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9F860AC5-D030-4CA9-BE2A-1DB70F5635FB}" xr6:coauthVersionLast="47" xr6:coauthVersionMax="47" xr10:uidLastSave="{00000000-0000-0000-0000-000000000000}"/>
  <bookViews>
    <workbookView xWindow="-120" yWindow="-120" windowWidth="20730" windowHeight="11040" firstSheet="2" activeTab="4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DATOS 1" sheetId="9" r:id="rId5"/>
    <sheet name="DATOS 2" sheetId="8" r:id="rId6"/>
    <sheet name="DATOS 3" sheetId="7" r:id="rId7"/>
  </sheets>
  <definedNames>
    <definedName name="_xlnm._FilterDatabase" localSheetId="4" hidden="1">'DATOS 1'!$A$7:$L$49</definedName>
    <definedName name="_xlnm._FilterDatabase" localSheetId="5" hidden="1">'DATOS 2'!$A$7:$L$66</definedName>
    <definedName name="_xlnm._FilterDatabase" localSheetId="6" hidden="1">'DATOS 3'!$A$7:$M$60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0" hidden="1">SEMANAS!$A$7:$B$108</definedName>
  </definedNames>
  <calcPr calcId="191028"/>
  <pivotCaches>
    <pivotCache cacheId="0" r:id="rId8"/>
    <pivotCache cacheId="17" r:id="rId9"/>
    <pivotCache cacheId="22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9" i="9" l="1"/>
  <c r="S109" i="9"/>
  <c r="R109" i="9"/>
  <c r="Q109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76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6"/>
  <c r="A7" i="6" a="1"/>
  <c r="A7" i="9"/>
  <c r="A7" i="9" a="1"/>
  <c r="A7" i="1"/>
  <c r="A7" i="1" a="1"/>
  <c r="A7" i="8"/>
  <c r="A7" i="8" a="1"/>
  <c r="A7" i="4"/>
  <c r="A7" i="4" a="1"/>
  <c r="A7" i="7"/>
  <c r="A7" i="7" a="1"/>
  <c r="A7" i="5"/>
  <c r="A7" i="5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<sst xmlns="http://schemas.openxmlformats.org/spreadsheetml/2006/main" count="2063" uniqueCount="216">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</sst>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8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NumberFormat="1"/>
    <xf numFmtId="0" fontId="2" fillId="0" borderId="0" xfId="0" applyFont="1" applyAlignment="1">
      <alignment horizontal="left"/>
    </xf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1'!$A$122:$A$133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1'!$B$122:$B$133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1'!$C$122:$C$133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1'!$D$122:$D$133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1'!$E$122:$E$133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[dt_ptl_controlAsignaciones_definitivo3 (REQUERIMIENTOS) (version definitiva).xlsb.xlsx]DATOS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1'!$B$51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1'!$B$52:$B$58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1'!$C$51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1'!$C$52:$C$58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1'!$D$51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1'!$D$52:$D$58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1'!$E$51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1'!$E$52:$E$58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[dt_ptl_controlAsignaciones_definitivo3 (REQUERIMIENTOS) (version definitiva).xlsb.xlsx]DATOS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[dt_ptl_controlAsignaciones_definitivo3 (REQUERIMIENTOS) (version definitiva).xlsb.xlsx]DATOS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3'!$H$63:$H$71</c:f>
              <c:strCache>
                <c:ptCount val="8"/>
                <c:pt idx="0">
                  <c:v>   Esteban Prieto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Matias Marín</c:v>
                </c:pt>
                <c:pt idx="6">
                  <c:v>Nicolas Cubillos</c:v>
                </c:pt>
                <c:pt idx="7">
                  <c:v>Santiago Herrada</c:v>
                </c:pt>
              </c:strCache>
            </c:strRef>
          </c:cat>
          <c:val>
            <c:numRef>
              <c:f>'DATOS 3'!$I$63:$I$71</c:f>
              <c:numCache>
                <c:formatCode>0</c:formatCode>
                <c:ptCount val="8"/>
                <c:pt idx="0">
                  <c:v>30</c:v>
                </c:pt>
                <c:pt idx="1">
                  <c:v>20</c:v>
                </c:pt>
                <c:pt idx="2">
                  <c:v>329</c:v>
                </c:pt>
                <c:pt idx="3">
                  <c:v>283</c:v>
                </c:pt>
                <c:pt idx="4">
                  <c:v>350</c:v>
                </c:pt>
                <c:pt idx="5">
                  <c:v>183</c:v>
                </c:pt>
                <c:pt idx="6">
                  <c:v>187</c:v>
                </c:pt>
                <c:pt idx="7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3'!$H$63:$H$71</c:f>
              <c:strCache>
                <c:ptCount val="8"/>
                <c:pt idx="0">
                  <c:v>   Esteban Prieto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Matias Marín</c:v>
                </c:pt>
                <c:pt idx="6">
                  <c:v>Nicolas Cubillos</c:v>
                </c:pt>
                <c:pt idx="7">
                  <c:v>Santiago Herrada</c:v>
                </c:pt>
              </c:strCache>
            </c:strRef>
          </c:cat>
          <c:val>
            <c:numRef>
              <c:f>'DATOS 3'!$J$63:$J$71</c:f>
              <c:numCache>
                <c:formatCode>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13</c:v>
                </c:pt>
                <c:pt idx="4">
                  <c:v>15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3'!$H$63:$H$71</c:f>
              <c:strCache>
                <c:ptCount val="8"/>
                <c:pt idx="0">
                  <c:v>   Esteban Prieto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Matias Marín</c:v>
                </c:pt>
                <c:pt idx="6">
                  <c:v>Nicolas Cubillos</c:v>
                </c:pt>
                <c:pt idx="7">
                  <c:v>Santiago Herrada</c:v>
                </c:pt>
              </c:strCache>
            </c:strRef>
          </c:cat>
          <c:val>
            <c:numRef>
              <c:f>'DATOS 3'!$K$63:$K$71</c:f>
              <c:numCache>
                <c:formatCode>0</c:formatCode>
                <c:ptCount val="8"/>
                <c:pt idx="0">
                  <c:v>30</c:v>
                </c:pt>
                <c:pt idx="1">
                  <c:v>20</c:v>
                </c:pt>
                <c:pt idx="2">
                  <c:v>355</c:v>
                </c:pt>
                <c:pt idx="3">
                  <c:v>340</c:v>
                </c:pt>
                <c:pt idx="4">
                  <c:v>435</c:v>
                </c:pt>
                <c:pt idx="5">
                  <c:v>255</c:v>
                </c:pt>
                <c:pt idx="6">
                  <c:v>240</c:v>
                </c:pt>
                <c:pt idx="7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3'!$H$63:$H$71</c:f>
              <c:strCache>
                <c:ptCount val="8"/>
                <c:pt idx="0">
                  <c:v>   Esteban Prieto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Matias Marín</c:v>
                </c:pt>
                <c:pt idx="6">
                  <c:v>Nicolas Cubillos</c:v>
                </c:pt>
                <c:pt idx="7">
                  <c:v>Santiago Herrada</c:v>
                </c:pt>
              </c:strCache>
            </c:strRef>
          </c:cat>
          <c:val>
            <c:numRef>
              <c:f>'DATOS 3'!$L$63:$L$71</c:f>
              <c:numCache>
                <c:formatCode>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image" Target="../media/image1.jpeg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78</xdr:row>
      <xdr:rowOff>147865</xdr:rowOff>
    </xdr:from>
    <xdr:to>
      <xdr:col>4</xdr:col>
      <xdr:colOff>1134</xdr:colOff>
      <xdr:row>80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87</xdr:row>
      <xdr:rowOff>34018</xdr:rowOff>
    </xdr:from>
    <xdr:to>
      <xdr:col>4</xdr:col>
      <xdr:colOff>-1</xdr:colOff>
      <xdr:row>89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94</xdr:row>
      <xdr:rowOff>147863</xdr:rowOff>
    </xdr:from>
    <xdr:to>
      <xdr:col>3</xdr:col>
      <xdr:colOff>771071</xdr:colOff>
      <xdr:row>95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101</xdr:row>
      <xdr:rowOff>91167</xdr:rowOff>
    </xdr:from>
    <xdr:to>
      <xdr:col>4</xdr:col>
      <xdr:colOff>278947</xdr:colOff>
      <xdr:row>115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134</xdr:row>
      <xdr:rowOff>34471</xdr:rowOff>
    </xdr:from>
    <xdr:to>
      <xdr:col>6</xdr:col>
      <xdr:colOff>34017</xdr:colOff>
      <xdr:row>160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58</xdr:row>
      <xdr:rowOff>113846</xdr:rowOff>
    </xdr:from>
    <xdr:to>
      <xdr:col>5</xdr:col>
      <xdr:colOff>11340</xdr:colOff>
      <xdr:row>71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61</xdr:row>
      <xdr:rowOff>0</xdr:rowOff>
    </xdr:from>
    <xdr:to>
      <xdr:col>6</xdr:col>
      <xdr:colOff>158750</xdr:colOff>
      <xdr:row>70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0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49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1:E58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2:L71" firstHeaderRow="0" firstDataRow="1" firstDataCol="1"/>
  <pivotFields count="11">
    <pivotField axis="axisRow" showAll="0">
      <items count="9">
        <item x="6"/>
        <item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177"/>
  <sheetViews>
    <sheetView topLeftCell="A159" zoomScale="84" zoomScaleNormal="76" workbookViewId="0">
      <selection activeCell="A173" sqref="A173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2"/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6"/>
      <c r="M1" s="87"/>
    </row>
    <row r="2" spans="1:20" ht="20.25" customHeight="1" x14ac:dyDescent="0.2">
      <c r="A2" s="83"/>
      <c r="B2" s="85"/>
      <c r="C2" s="85"/>
      <c r="D2" s="85"/>
      <c r="E2" s="85"/>
      <c r="F2" s="85"/>
      <c r="G2" s="85"/>
      <c r="H2" s="85"/>
      <c r="I2" s="85"/>
      <c r="J2" s="85"/>
      <c r="K2" s="85"/>
      <c r="L2" s="88"/>
      <c r="M2" s="89"/>
    </row>
    <row r="3" spans="1:20" ht="12.75" customHeight="1" x14ac:dyDescent="0.2">
      <c r="A3" s="90" t="s">
        <v>1</v>
      </c>
      <c r="B3" s="92" t="s">
        <v>2</v>
      </c>
      <c r="C3" s="92"/>
      <c r="D3" s="92"/>
      <c r="E3" s="92"/>
      <c r="F3" s="92"/>
      <c r="G3" s="92"/>
      <c r="H3" s="92"/>
      <c r="I3" s="92"/>
      <c r="J3" s="92"/>
      <c r="K3" s="92"/>
      <c r="L3" s="94" t="s">
        <v>3</v>
      </c>
      <c r="M3" s="95"/>
    </row>
    <row r="4" spans="1:20" ht="13.5" thickBot="1" x14ac:dyDescent="0.25">
      <c r="A4" s="91"/>
      <c r="B4" s="93"/>
      <c r="C4" s="93"/>
      <c r="D4" s="93"/>
      <c r="E4" s="93"/>
      <c r="F4" s="93"/>
      <c r="G4" s="93"/>
      <c r="H4" s="93"/>
      <c r="I4" s="93"/>
      <c r="J4" s="93"/>
      <c r="K4" s="9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8" t="s">
        <v>6</v>
      </c>
      <c r="C6" s="78"/>
      <c r="D6" s="78"/>
      <c r="E6" s="78"/>
      <c r="F6" s="78"/>
      <c r="G6" s="78"/>
      <c r="H6" s="79" t="s">
        <v>7</v>
      </c>
      <c r="I6" s="80"/>
      <c r="J6" s="80"/>
      <c r="K6" s="80"/>
      <c r="L6" s="81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0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76" spans="2:13" ht="36" x14ac:dyDescent="0.2">
      <c r="B176" s="11" t="s">
        <v>30</v>
      </c>
      <c r="C176" s="11" t="s">
        <v>83</v>
      </c>
      <c r="D176" s="20">
        <v>1</v>
      </c>
      <c r="E176" s="29">
        <v>50</v>
      </c>
      <c r="F176" s="11">
        <v>45882</v>
      </c>
      <c r="G176" s="10">
        <v>0.375</v>
      </c>
      <c r="H176" s="11">
        <v>45880</v>
      </c>
      <c r="I176" s="10">
        <v>0.95833333333333337</v>
      </c>
      <c r="J176" s="9">
        <f>E176-L176</f>
        <v>-4</v>
      </c>
      <c r="K176" s="8">
        <v>1</v>
      </c>
      <c r="L176" s="7">
        <v>54</v>
      </c>
      <c r="M176" s="6" t="s">
        <v>84</v>
      </c>
    </row>
    <row r="177" spans="1:1" x14ac:dyDescent="0.2">
      <c r="A177" s="23" t="s">
        <v>82</v>
      </c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47" zoomScale="84" zoomScaleNormal="76" workbookViewId="0">
      <selection activeCell="I37" sqref="I37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2"/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6"/>
      <c r="M1" s="87"/>
    </row>
    <row r="2" spans="1:20" ht="20.25" customHeight="1" x14ac:dyDescent="0.2">
      <c r="A2" s="83"/>
      <c r="B2" s="85"/>
      <c r="C2" s="85"/>
      <c r="D2" s="85"/>
      <c r="E2" s="85"/>
      <c r="F2" s="85"/>
      <c r="G2" s="85"/>
      <c r="H2" s="85"/>
      <c r="I2" s="85"/>
      <c r="J2" s="85"/>
      <c r="K2" s="85"/>
      <c r="L2" s="88"/>
      <c r="M2" s="89"/>
    </row>
    <row r="3" spans="1:20" ht="12.75" customHeight="1" x14ac:dyDescent="0.2">
      <c r="A3" s="90" t="s">
        <v>1</v>
      </c>
      <c r="B3" s="92" t="s">
        <v>2</v>
      </c>
      <c r="C3" s="92"/>
      <c r="D3" s="92"/>
      <c r="E3" s="92"/>
      <c r="F3" s="92"/>
      <c r="G3" s="92"/>
      <c r="H3" s="92"/>
      <c r="I3" s="92"/>
      <c r="J3" s="92"/>
      <c r="K3" s="92"/>
      <c r="L3" s="94" t="s">
        <v>3</v>
      </c>
      <c r="M3" s="95"/>
    </row>
    <row r="4" spans="1:20" ht="13.5" thickBot="1" x14ac:dyDescent="0.25">
      <c r="A4" s="91"/>
      <c r="B4" s="93"/>
      <c r="C4" s="93"/>
      <c r="D4" s="93"/>
      <c r="E4" s="93"/>
      <c r="F4" s="93"/>
      <c r="G4" s="93"/>
      <c r="H4" s="93"/>
      <c r="I4" s="93"/>
      <c r="J4" s="93"/>
      <c r="K4" s="9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8" t="s">
        <v>6</v>
      </c>
      <c r="C6" s="78"/>
      <c r="D6" s="78"/>
      <c r="E6" s="78"/>
      <c r="F6" s="78"/>
      <c r="G6" s="78"/>
      <c r="H6" s="79" t="s">
        <v>7</v>
      </c>
      <c r="I6" s="80"/>
      <c r="J6" s="80"/>
      <c r="K6" s="80"/>
      <c r="L6" s="81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2"/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6"/>
      <c r="M1" s="87"/>
    </row>
    <row r="2" spans="1:20" ht="20.25" customHeight="1" x14ac:dyDescent="0.2">
      <c r="A2" s="83"/>
      <c r="B2" s="85"/>
      <c r="C2" s="85"/>
      <c r="D2" s="85"/>
      <c r="E2" s="85"/>
      <c r="F2" s="85"/>
      <c r="G2" s="85"/>
      <c r="H2" s="85"/>
      <c r="I2" s="85"/>
      <c r="J2" s="85"/>
      <c r="K2" s="85"/>
      <c r="L2" s="88"/>
      <c r="M2" s="89"/>
    </row>
    <row r="3" spans="1:20" ht="12.75" customHeight="1" x14ac:dyDescent="0.2">
      <c r="A3" s="90" t="s">
        <v>1</v>
      </c>
      <c r="B3" s="92" t="s">
        <v>2</v>
      </c>
      <c r="C3" s="92"/>
      <c r="D3" s="92"/>
      <c r="E3" s="92"/>
      <c r="F3" s="92"/>
      <c r="G3" s="92"/>
      <c r="H3" s="92"/>
      <c r="I3" s="92"/>
      <c r="J3" s="92"/>
      <c r="K3" s="92"/>
      <c r="L3" s="94" t="s">
        <v>3</v>
      </c>
      <c r="M3" s="95"/>
    </row>
    <row r="4" spans="1:20" ht="13.5" thickBot="1" x14ac:dyDescent="0.25">
      <c r="A4" s="91"/>
      <c r="B4" s="93"/>
      <c r="C4" s="93"/>
      <c r="D4" s="93"/>
      <c r="E4" s="93"/>
      <c r="F4" s="93"/>
      <c r="G4" s="93"/>
      <c r="H4" s="93"/>
      <c r="I4" s="93"/>
      <c r="J4" s="93"/>
      <c r="K4" s="9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8" t="s">
        <v>6</v>
      </c>
      <c r="C6" s="78"/>
      <c r="D6" s="78"/>
      <c r="E6" s="78"/>
      <c r="F6" s="78"/>
      <c r="G6" s="78"/>
      <c r="H6" s="79" t="s">
        <v>7</v>
      </c>
      <c r="I6" s="80"/>
      <c r="J6" s="80"/>
      <c r="K6" s="80"/>
      <c r="L6" s="81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11" zoomScale="84" zoomScaleNormal="76" workbookViewId="0">
      <selection activeCell="B66" sqref="B66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2"/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6"/>
      <c r="M1" s="87"/>
    </row>
    <row r="2" spans="1:20" ht="20.25" customHeight="1" x14ac:dyDescent="0.2">
      <c r="A2" s="83"/>
      <c r="B2" s="85"/>
      <c r="C2" s="85"/>
      <c r="D2" s="85"/>
      <c r="E2" s="85"/>
      <c r="F2" s="85"/>
      <c r="G2" s="85"/>
      <c r="H2" s="85"/>
      <c r="I2" s="85"/>
      <c r="J2" s="85"/>
      <c r="K2" s="85"/>
      <c r="L2" s="88"/>
      <c r="M2" s="89"/>
    </row>
    <row r="3" spans="1:20" ht="12.75" customHeight="1" x14ac:dyDescent="0.2">
      <c r="A3" s="90" t="s">
        <v>1</v>
      </c>
      <c r="B3" s="92" t="s">
        <v>2</v>
      </c>
      <c r="C3" s="92"/>
      <c r="D3" s="92"/>
      <c r="E3" s="92"/>
      <c r="F3" s="92"/>
      <c r="G3" s="92"/>
      <c r="H3" s="92"/>
      <c r="I3" s="92"/>
      <c r="J3" s="92"/>
      <c r="K3" s="92"/>
      <c r="L3" s="94" t="s">
        <v>3</v>
      </c>
      <c r="M3" s="95"/>
    </row>
    <row r="4" spans="1:20" ht="13.5" thickBot="1" x14ac:dyDescent="0.25">
      <c r="A4" s="91"/>
      <c r="B4" s="93"/>
      <c r="C4" s="93"/>
      <c r="D4" s="93"/>
      <c r="E4" s="93"/>
      <c r="F4" s="93"/>
      <c r="G4" s="93"/>
      <c r="H4" s="93"/>
      <c r="I4" s="93"/>
      <c r="J4" s="93"/>
      <c r="K4" s="9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8" t="s">
        <v>6</v>
      </c>
      <c r="C6" s="78"/>
      <c r="D6" s="78"/>
      <c r="E6" s="78"/>
      <c r="F6" s="78"/>
      <c r="G6" s="78"/>
      <c r="H6" s="79" t="s">
        <v>7</v>
      </c>
      <c r="I6" s="80"/>
      <c r="J6" s="80"/>
      <c r="K6" s="80"/>
      <c r="L6" s="81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157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159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160</v>
      </c>
    </row>
    <row r="20" spans="1:13" s="5" customFormat="1" ht="29.45" customHeight="1" x14ac:dyDescent="0.2">
      <c r="A20" s="60" t="s">
        <v>162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161</v>
      </c>
    </row>
    <row r="21" spans="1:13" s="5" customFormat="1" ht="33.950000000000003" customHeight="1" x14ac:dyDescent="0.2">
      <c r="A21" s="60" t="s">
        <v>163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164</v>
      </c>
    </row>
    <row r="22" spans="1:13" s="5" customFormat="1" ht="33.950000000000003" customHeight="1" x14ac:dyDescent="0.2">
      <c r="A22" s="61" t="s">
        <v>165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166</v>
      </c>
    </row>
    <row r="23" spans="1:13" s="5" customFormat="1" ht="28.5" customHeight="1" x14ac:dyDescent="0.2">
      <c r="A23" s="61" t="s">
        <v>167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168</v>
      </c>
    </row>
    <row r="24" spans="1:13" s="5" customFormat="1" ht="24.95" customHeight="1" x14ac:dyDescent="0.2">
      <c r="A24" s="61" t="s">
        <v>169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170</v>
      </c>
    </row>
    <row r="25" spans="1:13" s="5" customFormat="1" ht="12.75" customHeight="1" x14ac:dyDescent="0.2">
      <c r="A25" s="13" t="s">
        <v>171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172</v>
      </c>
    </row>
    <row r="26" spans="1:13" s="5" customFormat="1" ht="12.75" customHeight="1" x14ac:dyDescent="0.2">
      <c r="A26" s="13" t="s">
        <v>174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173</v>
      </c>
    </row>
    <row r="27" spans="1:13" s="5" customFormat="1" ht="33.950000000000003" customHeight="1" x14ac:dyDescent="0.2">
      <c r="A27" s="13" t="s">
        <v>175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176</v>
      </c>
    </row>
    <row r="28" spans="1:13" s="5" customFormat="1" ht="32.450000000000003" customHeight="1" x14ac:dyDescent="0.2">
      <c r="A28" s="13" t="s">
        <v>177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178</v>
      </c>
    </row>
    <row r="29" spans="1:13" ht="35.25" customHeight="1" x14ac:dyDescent="0.2">
      <c r="A29" s="61" t="s">
        <v>179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180</v>
      </c>
    </row>
    <row r="30" spans="1:13" s="5" customFormat="1" ht="47.1" customHeight="1" x14ac:dyDescent="0.2">
      <c r="A30" s="13" t="s">
        <v>181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184</v>
      </c>
    </row>
    <row r="31" spans="1:13" s="5" customFormat="1" ht="33" customHeight="1" x14ac:dyDescent="0.2">
      <c r="A31" s="13" t="s">
        <v>182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183</v>
      </c>
    </row>
    <row r="32" spans="1:13" s="5" customFormat="1" ht="27" customHeight="1" x14ac:dyDescent="0.2">
      <c r="A32" s="61" t="s">
        <v>185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186</v>
      </c>
    </row>
    <row r="33" spans="1:13" s="5" customFormat="1" ht="33.6" customHeight="1" x14ac:dyDescent="0.2">
      <c r="A33" s="13" t="s">
        <v>187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188</v>
      </c>
    </row>
    <row r="34" spans="1:13" s="5" customFormat="1" ht="29.25" customHeight="1" x14ac:dyDescent="0.2">
      <c r="A34" s="61" t="s">
        <v>88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189</v>
      </c>
    </row>
    <row r="35" spans="1:13" s="5" customFormat="1" ht="31.5" customHeight="1" x14ac:dyDescent="0.2">
      <c r="A35" s="13" t="s">
        <v>190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191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3"/>
  <sheetViews>
    <sheetView tabSelected="1" zoomScale="84" zoomScaleNormal="76" workbookViewId="0">
      <selection activeCell="B9" sqref="B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2"/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6"/>
      <c r="M1" s="87"/>
    </row>
    <row r="2" spans="1:20" ht="20.25" customHeight="1" x14ac:dyDescent="0.2">
      <c r="A2" s="83"/>
      <c r="B2" s="85"/>
      <c r="C2" s="85"/>
      <c r="D2" s="85"/>
      <c r="E2" s="85"/>
      <c r="F2" s="85"/>
      <c r="G2" s="85"/>
      <c r="H2" s="85"/>
      <c r="I2" s="85"/>
      <c r="J2" s="85"/>
      <c r="K2" s="85"/>
      <c r="L2" s="88"/>
      <c r="M2" s="89"/>
    </row>
    <row r="3" spans="1:20" ht="12.75" customHeight="1" x14ac:dyDescent="0.2">
      <c r="A3" s="90" t="s">
        <v>1</v>
      </c>
      <c r="B3" s="92" t="s">
        <v>2</v>
      </c>
      <c r="C3" s="92"/>
      <c r="D3" s="92"/>
      <c r="E3" s="92"/>
      <c r="F3" s="92"/>
      <c r="G3" s="92"/>
      <c r="H3" s="92"/>
      <c r="I3" s="92"/>
      <c r="J3" s="92"/>
      <c r="K3" s="92"/>
      <c r="L3" s="94" t="s">
        <v>3</v>
      </c>
      <c r="M3" s="95"/>
    </row>
    <row r="4" spans="1:20" ht="13.5" thickBot="1" x14ac:dyDescent="0.25">
      <c r="A4" s="91"/>
      <c r="B4" s="93"/>
      <c r="C4" s="93"/>
      <c r="D4" s="93"/>
      <c r="E4" s="93"/>
      <c r="F4" s="93"/>
      <c r="G4" s="93"/>
      <c r="H4" s="93"/>
      <c r="I4" s="93"/>
      <c r="J4" s="93"/>
      <c r="K4" s="9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8" t="s">
        <v>6</v>
      </c>
      <c r="C6" s="78"/>
      <c r="D6" s="78"/>
      <c r="E6" s="78"/>
      <c r="F6" s="78"/>
      <c r="G6" s="78"/>
      <c r="H6" s="79" t="s">
        <v>7</v>
      </c>
      <c r="I6" s="80"/>
      <c r="J6" s="80"/>
      <c r="K6" s="80"/>
      <c r="L6" s="81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49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97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63" t="s">
        <v>30</v>
      </c>
      <c r="C29" s="21" t="s">
        <v>31</v>
      </c>
      <c r="D29" s="66">
        <v>1</v>
      </c>
      <c r="E29" s="65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65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62" t="s">
        <v>55</v>
      </c>
      <c r="C30" s="11" t="s">
        <v>28</v>
      </c>
      <c r="D30" s="66">
        <v>1</v>
      </c>
      <c r="E30" s="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65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62" t="s">
        <v>61</v>
      </c>
      <c r="C32" s="11" t="s">
        <v>62</v>
      </c>
      <c r="D32" s="66">
        <v>1</v>
      </c>
      <c r="E32" s="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65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62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65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65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65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62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65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62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65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62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65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62" t="s">
        <v>30</v>
      </c>
      <c r="C39" s="11" t="s">
        <v>83</v>
      </c>
      <c r="D39" s="66">
        <v>1</v>
      </c>
      <c r="E39" s="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65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62" t="s">
        <v>21</v>
      </c>
      <c r="C40" s="11" t="s">
        <v>86</v>
      </c>
      <c r="D40" s="66">
        <v>1</v>
      </c>
      <c r="E40" s="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65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62" t="s">
        <v>21</v>
      </c>
      <c r="C41" s="11" t="s">
        <v>86</v>
      </c>
      <c r="D41" s="66">
        <v>1</v>
      </c>
      <c r="E41" s="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65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62" t="s">
        <v>30</v>
      </c>
      <c r="C42" s="11" t="s">
        <v>83</v>
      </c>
      <c r="D42" s="66">
        <v>1</v>
      </c>
      <c r="E42" s="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65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21</v>
      </c>
      <c r="C43" s="11" t="s">
        <v>86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62" t="s">
        <v>30</v>
      </c>
      <c r="C48" s="11" t="s">
        <v>83</v>
      </c>
      <c r="D48" s="66">
        <v>1</v>
      </c>
      <c r="E48" s="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65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62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65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70" t="s">
        <v>210</v>
      </c>
      <c r="B51" t="s">
        <v>215</v>
      </c>
      <c r="C51" t="s">
        <v>214</v>
      </c>
      <c r="D51" t="s">
        <v>213</v>
      </c>
      <c r="E51" t="s">
        <v>212</v>
      </c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1" t="s">
        <v>55</v>
      </c>
      <c r="B52" s="96">
        <v>1</v>
      </c>
      <c r="C52" s="96">
        <v>120</v>
      </c>
      <c r="D52" s="2">
        <v>1</v>
      </c>
      <c r="E52" s="2">
        <v>60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70</v>
      </c>
      <c r="B53" s="96">
        <v>1</v>
      </c>
      <c r="C53" s="96">
        <v>30</v>
      </c>
      <c r="D53" s="2">
        <v>1</v>
      </c>
      <c r="E53" s="2">
        <v>25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57</v>
      </c>
      <c r="B54" s="96">
        <v>1</v>
      </c>
      <c r="C54" s="96">
        <v>120</v>
      </c>
      <c r="D54" s="2">
        <v>1</v>
      </c>
      <c r="E54" s="2">
        <v>60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64</v>
      </c>
      <c r="B55" s="96">
        <v>1</v>
      </c>
      <c r="C55" s="96">
        <v>30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67</v>
      </c>
      <c r="B56" s="96">
        <v>1</v>
      </c>
      <c r="C56" s="96">
        <v>30</v>
      </c>
      <c r="D56" s="2">
        <v>1</v>
      </c>
      <c r="E56" s="2">
        <v>120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61</v>
      </c>
      <c r="B57" s="96">
        <v>1</v>
      </c>
      <c r="C57" s="96">
        <v>30</v>
      </c>
      <c r="D57" s="2">
        <v>1</v>
      </c>
      <c r="E57" s="2">
        <v>60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211</v>
      </c>
      <c r="B58" s="96">
        <v>6</v>
      </c>
      <c r="C58" s="96">
        <v>360</v>
      </c>
      <c r="D58" s="2">
        <v>6</v>
      </c>
      <c r="E58" s="2">
        <v>385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/>
      <c r="B59"/>
      <c r="C59"/>
      <c r="D59"/>
      <c r="E59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4"/>
      <c r="G65" s="45"/>
      <c r="H65" s="44"/>
      <c r="I65" s="45"/>
      <c r="J65" s="46"/>
      <c r="L65" s="47"/>
      <c r="M65" s="48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K98"/>
      <c r="L98"/>
      <c r="M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</sheetData>
  <mergeCells count="8">
    <mergeCell ref="A1:A2"/>
    <mergeCell ref="B1:K2"/>
    <mergeCell ref="L1:M2"/>
    <mergeCell ref="A3:A4"/>
    <mergeCell ref="B3:K4"/>
    <mergeCell ref="L3:M3"/>
    <mergeCell ref="B6:G6"/>
    <mergeCell ref="H6:L6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T125"/>
  <sheetViews>
    <sheetView topLeftCell="A63" zoomScale="84" zoomScaleNormal="84" workbookViewId="0">
      <selection activeCell="E94" sqref="E94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2"/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6"/>
      <c r="M1" s="87"/>
    </row>
    <row r="2" spans="1:20" ht="20.25" customHeight="1" x14ac:dyDescent="0.2">
      <c r="A2" s="83"/>
      <c r="B2" s="85"/>
      <c r="C2" s="85"/>
      <c r="D2" s="85"/>
      <c r="E2" s="85"/>
      <c r="F2" s="85"/>
      <c r="G2" s="85"/>
      <c r="H2" s="85"/>
      <c r="I2" s="85"/>
      <c r="J2" s="85"/>
      <c r="K2" s="85"/>
      <c r="L2" s="88"/>
      <c r="M2" s="89"/>
    </row>
    <row r="3" spans="1:20" ht="12.75" customHeight="1" x14ac:dyDescent="0.2">
      <c r="A3" s="90" t="s">
        <v>1</v>
      </c>
      <c r="B3" s="92" t="s">
        <v>2</v>
      </c>
      <c r="C3" s="92"/>
      <c r="D3" s="92"/>
      <c r="E3" s="92"/>
      <c r="F3" s="92"/>
      <c r="G3" s="92"/>
      <c r="H3" s="92"/>
      <c r="I3" s="92"/>
      <c r="J3" s="92"/>
      <c r="K3" s="92"/>
      <c r="L3" s="94" t="s">
        <v>3</v>
      </c>
      <c r="M3" s="95"/>
    </row>
    <row r="4" spans="1:20" ht="13.5" thickBot="1" x14ac:dyDescent="0.25">
      <c r="A4" s="91"/>
      <c r="B4" s="93"/>
      <c r="C4" s="93"/>
      <c r="D4" s="93"/>
      <c r="E4" s="93"/>
      <c r="F4" s="93"/>
      <c r="G4" s="93"/>
      <c r="H4" s="93"/>
      <c r="I4" s="93"/>
      <c r="J4" s="93"/>
      <c r="K4" s="9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8" t="s">
        <v>6</v>
      </c>
      <c r="C6" s="78"/>
      <c r="D6" s="78"/>
      <c r="E6" s="78"/>
      <c r="F6" s="78"/>
      <c r="G6" s="78"/>
      <c r="H6" s="79" t="s">
        <v>7</v>
      </c>
      <c r="I6" s="80"/>
      <c r="J6" s="80"/>
      <c r="K6" s="80"/>
      <c r="L6" s="81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 s="96">
        <v>7</v>
      </c>
      <c r="C70" s="96">
        <v>160</v>
      </c>
      <c r="D70" s="2">
        <v>153</v>
      </c>
      <c r="E70" s="96">
        <v>7</v>
      </c>
      <c r="F70"/>
    </row>
    <row r="71" spans="1:20" x14ac:dyDescent="0.2">
      <c r="A71" s="71" t="s">
        <v>143</v>
      </c>
      <c r="B71" s="96">
        <v>1</v>
      </c>
      <c r="C71" s="96">
        <v>20</v>
      </c>
      <c r="D71" s="2">
        <v>20</v>
      </c>
      <c r="E71" s="96">
        <v>1</v>
      </c>
      <c r="F71"/>
    </row>
    <row r="72" spans="1:20" x14ac:dyDescent="0.2">
      <c r="A72" s="71" t="s">
        <v>36</v>
      </c>
      <c r="B72" s="96">
        <v>12</v>
      </c>
      <c r="C72" s="96">
        <v>345</v>
      </c>
      <c r="D72" s="2">
        <v>316</v>
      </c>
      <c r="E72" s="96">
        <v>15</v>
      </c>
      <c r="F72"/>
    </row>
    <row r="73" spans="1:20" x14ac:dyDescent="0.2">
      <c r="A73" s="71" t="s">
        <v>39</v>
      </c>
      <c r="B73" s="96">
        <v>7</v>
      </c>
      <c r="C73" s="96">
        <v>270</v>
      </c>
      <c r="D73" s="2">
        <v>193</v>
      </c>
      <c r="E73" s="96">
        <v>7</v>
      </c>
      <c r="F73"/>
    </row>
    <row r="74" spans="1:20" x14ac:dyDescent="0.2">
      <c r="A74" s="71" t="s">
        <v>21</v>
      </c>
      <c r="B74" s="96">
        <v>16</v>
      </c>
      <c r="C74" s="96">
        <v>435</v>
      </c>
      <c r="D74" s="2">
        <v>364</v>
      </c>
      <c r="E74" s="96">
        <v>16</v>
      </c>
      <c r="F74"/>
    </row>
    <row r="75" spans="1:20" x14ac:dyDescent="0.2">
      <c r="A75" s="71" t="s">
        <v>30</v>
      </c>
      <c r="B75" s="96">
        <v>8</v>
      </c>
      <c r="C75" s="96">
        <v>300</v>
      </c>
      <c r="D75" s="2">
        <v>223</v>
      </c>
      <c r="E75" s="96">
        <v>8</v>
      </c>
      <c r="F75"/>
    </row>
    <row r="76" spans="1:20" x14ac:dyDescent="0.2">
      <c r="A76" s="71" t="s">
        <v>211</v>
      </c>
      <c r="B76" s="96">
        <v>51</v>
      </c>
      <c r="C76" s="96">
        <v>1530</v>
      </c>
      <c r="D76" s="2">
        <v>1269</v>
      </c>
      <c r="E76" s="9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A92" zoomScale="84" zoomScaleNormal="84" workbookViewId="0">
      <selection activeCell="M65" sqref="M6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51.570312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82"/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6"/>
      <c r="M1" s="87"/>
    </row>
    <row r="2" spans="1:20" ht="20.25" customHeight="1" x14ac:dyDescent="0.2">
      <c r="A2" s="83"/>
      <c r="B2" s="85"/>
      <c r="C2" s="85"/>
      <c r="D2" s="85"/>
      <c r="E2" s="85"/>
      <c r="F2" s="85"/>
      <c r="G2" s="85"/>
      <c r="H2" s="85"/>
      <c r="I2" s="85"/>
      <c r="J2" s="85"/>
      <c r="K2" s="85"/>
      <c r="L2" s="88"/>
      <c r="M2" s="89"/>
    </row>
    <row r="3" spans="1:20" ht="12.75" customHeight="1" x14ac:dyDescent="0.2">
      <c r="A3" s="90" t="s">
        <v>1</v>
      </c>
      <c r="B3" s="92" t="s">
        <v>2</v>
      </c>
      <c r="C3" s="92"/>
      <c r="D3" s="92"/>
      <c r="E3" s="92"/>
      <c r="F3" s="92"/>
      <c r="G3" s="92"/>
      <c r="H3" s="92"/>
      <c r="I3" s="92"/>
      <c r="J3" s="92"/>
      <c r="K3" s="92"/>
      <c r="L3" s="94" t="s">
        <v>3</v>
      </c>
      <c r="M3" s="95"/>
    </row>
    <row r="4" spans="1:20" ht="13.5" thickBot="1" x14ac:dyDescent="0.25">
      <c r="A4" s="91"/>
      <c r="B4" s="93"/>
      <c r="C4" s="93"/>
      <c r="D4" s="93"/>
      <c r="E4" s="93"/>
      <c r="F4" s="93"/>
      <c r="G4" s="93"/>
      <c r="H4" s="93"/>
      <c r="I4" s="93"/>
      <c r="J4" s="93"/>
      <c r="K4" s="9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78" t="s">
        <v>6</v>
      </c>
      <c r="C6" s="78"/>
      <c r="D6" s="78"/>
      <c r="E6" s="78"/>
      <c r="F6" s="78"/>
      <c r="G6" s="78"/>
      <c r="H6" s="79" t="s">
        <v>7</v>
      </c>
      <c r="I6" s="80"/>
      <c r="J6" s="80"/>
      <c r="K6" s="80"/>
      <c r="L6" s="81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157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159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160</v>
      </c>
    </row>
    <row r="20" spans="1:13" s="5" customFormat="1" ht="29.45" customHeight="1" x14ac:dyDescent="0.2">
      <c r="A20" s="60" t="s">
        <v>162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161</v>
      </c>
    </row>
    <row r="21" spans="1:13" s="5" customFormat="1" ht="33.950000000000003" customHeight="1" x14ac:dyDescent="0.2">
      <c r="A21" s="60" t="s">
        <v>163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164</v>
      </c>
    </row>
    <row r="22" spans="1:13" s="5" customFormat="1" ht="33.950000000000003" customHeight="1" x14ac:dyDescent="0.2">
      <c r="A22" s="61" t="s">
        <v>165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166</v>
      </c>
    </row>
    <row r="23" spans="1:13" s="5" customFormat="1" ht="28.5" customHeight="1" x14ac:dyDescent="0.2">
      <c r="A23" s="61" t="s">
        <v>167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168</v>
      </c>
    </row>
    <row r="24" spans="1:13" s="5" customFormat="1" ht="24.95" customHeight="1" x14ac:dyDescent="0.2">
      <c r="A24" s="61" t="s">
        <v>169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170</v>
      </c>
    </row>
    <row r="25" spans="1:13" s="5" customFormat="1" ht="12.75" customHeight="1" x14ac:dyDescent="0.2">
      <c r="A25" s="13" t="s">
        <v>171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172</v>
      </c>
    </row>
    <row r="26" spans="1:13" s="5" customFormat="1" ht="12.75" customHeight="1" x14ac:dyDescent="0.2">
      <c r="A26" s="13" t="s">
        <v>174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173</v>
      </c>
    </row>
    <row r="27" spans="1:13" s="5" customFormat="1" ht="33.950000000000003" customHeight="1" x14ac:dyDescent="0.2">
      <c r="A27" s="13" t="s">
        <v>175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176</v>
      </c>
    </row>
    <row r="28" spans="1:13" s="5" customFormat="1" ht="32.450000000000003" customHeight="1" x14ac:dyDescent="0.2">
      <c r="A28" s="13" t="s">
        <v>177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178</v>
      </c>
    </row>
    <row r="29" spans="1:13" ht="35.25" customHeight="1" x14ac:dyDescent="0.2">
      <c r="A29" s="61" t="s">
        <v>179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180</v>
      </c>
    </row>
    <row r="30" spans="1:13" s="5" customFormat="1" ht="47.1" customHeight="1" x14ac:dyDescent="0.2">
      <c r="A30" s="13" t="s">
        <v>181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184</v>
      </c>
    </row>
    <row r="31" spans="1:13" s="5" customFormat="1" ht="33" customHeight="1" x14ac:dyDescent="0.2">
      <c r="A31" s="13" t="s">
        <v>182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183</v>
      </c>
    </row>
    <row r="32" spans="1:13" s="5" customFormat="1" ht="27" customHeight="1" x14ac:dyDescent="0.2">
      <c r="A32" s="61" t="s">
        <v>185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186</v>
      </c>
    </row>
    <row r="33" spans="1:13" s="5" customFormat="1" ht="33.6" customHeight="1" x14ac:dyDescent="0.2">
      <c r="A33" s="13" t="s">
        <v>187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188</v>
      </c>
    </row>
    <row r="34" spans="1:13" s="5" customFormat="1" ht="29.25" customHeight="1" x14ac:dyDescent="0.2">
      <c r="A34" s="61" t="s">
        <v>88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189</v>
      </c>
    </row>
    <row r="35" spans="1:13" s="5" customFormat="1" ht="31.5" customHeight="1" x14ac:dyDescent="0.2">
      <c r="A35" s="13" t="s">
        <v>190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191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8">
        <v>1</v>
      </c>
      <c r="E42" s="50">
        <v>60</v>
      </c>
      <c r="F42" s="11">
        <v>45927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66">
        <v>1</v>
      </c>
      <c r="E43" s="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65">
        <v>1</v>
      </c>
      <c r="L43" s="69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22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66">
        <v>1</v>
      </c>
      <c r="E49" s="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65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66">
        <v>1</v>
      </c>
      <c r="E50" s="64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66">
        <v>1</v>
      </c>
      <c r="E51" s="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65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66">
        <v>1</v>
      </c>
      <c r="E52" s="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65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66">
        <v>1</v>
      </c>
      <c r="E53" s="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65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9">
        <v>1</v>
      </c>
      <c r="E54" s="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65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69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9">
        <v>3</v>
      </c>
      <c r="E60" s="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65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 s="2"/>
      <c r="M61"/>
    </row>
    <row r="62" spans="1:13" s="5" customFormat="1" ht="35.450000000000003" customHeight="1" x14ac:dyDescent="0.2">
      <c r="A62" s="72"/>
      <c r="B62" s="73"/>
      <c r="C62" s="73"/>
      <c r="D62" s="73"/>
      <c r="E62" s="74"/>
      <c r="F62" s="4"/>
      <c r="G62" s="4"/>
      <c r="H62" s="70" t="s">
        <v>210</v>
      </c>
      <c r="I62" t="s">
        <v>212</v>
      </c>
      <c r="J62" t="s">
        <v>213</v>
      </c>
      <c r="K62" t="s">
        <v>214</v>
      </c>
      <c r="L62" t="s">
        <v>215</v>
      </c>
      <c r="M62" s="1"/>
    </row>
    <row r="63" spans="1:13" s="5" customFormat="1" ht="35.450000000000003" customHeight="1" x14ac:dyDescent="0.2">
      <c r="A63" s="72"/>
      <c r="B63" s="75"/>
      <c r="C63" s="76"/>
      <c r="D63" s="75"/>
      <c r="E63" s="75"/>
      <c r="F63" s="4"/>
      <c r="G63" s="4"/>
      <c r="H63" s="71" t="s">
        <v>74</v>
      </c>
      <c r="I63" s="2">
        <v>30</v>
      </c>
      <c r="J63" s="2">
        <v>1</v>
      </c>
      <c r="K63" s="2">
        <v>30</v>
      </c>
      <c r="L63" s="2">
        <v>1</v>
      </c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71" t="s">
        <v>143</v>
      </c>
      <c r="I64" s="2">
        <v>20</v>
      </c>
      <c r="J64" s="2">
        <v>1</v>
      </c>
      <c r="K64" s="2">
        <v>20</v>
      </c>
      <c r="L64" s="2">
        <v>1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36</v>
      </c>
      <c r="I65" s="2">
        <v>329</v>
      </c>
      <c r="J65" s="2">
        <v>10</v>
      </c>
      <c r="K65" s="2">
        <v>355</v>
      </c>
      <c r="L65" s="2">
        <v>11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39</v>
      </c>
      <c r="I66" s="2">
        <v>283</v>
      </c>
      <c r="J66" s="2">
        <v>13</v>
      </c>
      <c r="K66" s="2">
        <v>340</v>
      </c>
      <c r="L66" s="2">
        <v>13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21</v>
      </c>
      <c r="I67" s="2">
        <v>350</v>
      </c>
      <c r="J67" s="2">
        <v>15</v>
      </c>
      <c r="K67" s="2">
        <v>435</v>
      </c>
      <c r="L67" s="2">
        <v>14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136</v>
      </c>
      <c r="I68" s="2">
        <v>183</v>
      </c>
      <c r="J68" s="2">
        <v>8</v>
      </c>
      <c r="K68" s="2">
        <v>255</v>
      </c>
      <c r="L68" s="2">
        <v>8</v>
      </c>
      <c r="M68" s="1"/>
    </row>
    <row r="69" spans="1:13" ht="28.5" customHeight="1" x14ac:dyDescent="0.2">
      <c r="H69" s="71" t="s">
        <v>42</v>
      </c>
      <c r="I69" s="2">
        <v>187</v>
      </c>
      <c r="J69" s="2">
        <v>8</v>
      </c>
      <c r="K69" s="2">
        <v>240</v>
      </c>
      <c r="L69" s="2">
        <v>8</v>
      </c>
    </row>
    <row r="70" spans="1:13" ht="30.75" customHeight="1" x14ac:dyDescent="0.2">
      <c r="H70" s="71" t="s">
        <v>30</v>
      </c>
      <c r="I70" s="2">
        <v>222</v>
      </c>
      <c r="J70" s="2">
        <v>9</v>
      </c>
      <c r="K70" s="2">
        <v>290</v>
      </c>
      <c r="L70" s="2">
        <v>9</v>
      </c>
    </row>
    <row r="71" spans="1:13" ht="26.25" customHeight="1" x14ac:dyDescent="0.2">
      <c r="H71" s="71" t="s">
        <v>211</v>
      </c>
      <c r="I71" s="2">
        <v>1604</v>
      </c>
      <c r="J71" s="2">
        <v>65</v>
      </c>
      <c r="K71" s="2">
        <v>1965</v>
      </c>
      <c r="L71" s="2">
        <v>65</v>
      </c>
    </row>
    <row r="72" spans="1:13" x14ac:dyDescent="0.2">
      <c r="H72"/>
      <c r="I72"/>
      <c r="J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/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0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SEMANAS</vt:lpstr>
      <vt:lpstr>SEMANA 1</vt:lpstr>
      <vt:lpstr>SEMANA 2</vt:lpstr>
      <vt:lpstr>SEMANA 3</vt:lpstr>
      <vt:lpstr>DATOS 1</vt:lpstr>
      <vt:lpstr>DATOS 2</vt:lpstr>
      <vt:lpstr>DATOS 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SANTIAGO ANDRES HERRADA MONTENEGRO</cp:lastModifiedBy>
  <cp:revision/>
  <dcterms:created xsi:type="dcterms:W3CDTF">2016-02-05T21:36:42Z</dcterms:created>
  <dcterms:modified xsi:type="dcterms:W3CDTF">2025-09-02T23:32:34Z</dcterms:modified>
  <cp:category/>
  <cp:contentStatus/>
</cp:coreProperties>
</file>