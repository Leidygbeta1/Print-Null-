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pryectos print(nul)\docs\importantes\control\"/>
    </mc:Choice>
  </mc:AlternateContent>
  <xr:revisionPtr revIDLastSave="0" documentId="13_ncr:1_{1DA99CB2-354C-43BC-A4AD-3D1B5515CD2B}" xr6:coauthVersionLast="47" xr6:coauthVersionMax="47" xr10:uidLastSave="{00000000-0000-0000-0000-000000000000}"/>
  <bookViews>
    <workbookView xWindow="28680" yWindow="-120" windowWidth="29040" windowHeight="15990" firstSheet="5" activeTab="10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DATOS 1" sheetId="9" r:id="rId7"/>
    <sheet name="DATOS 2" sheetId="8" r:id="rId8"/>
    <sheet name="DATOS 3" sheetId="7" r:id="rId9"/>
    <sheet name="DATOS 4" sheetId="14" r:id="rId10"/>
    <sheet name="DATOS 5" sheetId="21" r:id="rId11"/>
    <sheet name="EDTs" sheetId="19" r:id="rId12"/>
  </sheets>
  <definedNames>
    <definedName name="_xlnm._FilterDatabase" localSheetId="6" hidden="1">'DATOS 1'!$A$7:$L$49</definedName>
    <definedName name="_xlnm._FilterDatabase" localSheetId="7" hidden="1">'DATOS 2'!$A$7:$L$66</definedName>
    <definedName name="_xlnm._FilterDatabase" localSheetId="8" hidden="1">'DATOS 3'!$A$7:$M$60</definedName>
    <definedName name="_xlnm._FilterDatabase" localSheetId="9" hidden="1">'DATOS 4'!$A$7:$M$96</definedName>
    <definedName name="_xlnm._FilterDatabase" localSheetId="10" hidden="1">'DATOS 5'!$A$7:$M$55</definedName>
    <definedName name="_xlnm._FilterDatabase" localSheetId="11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0" hidden="1">SEMANAS!$A$7:$B$108</definedName>
  </definedNames>
  <calcPr calcId="191028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3" i="21" l="1"/>
  <c r="S123" i="21"/>
  <c r="R123" i="21"/>
  <c r="Q123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8" i="14"/>
  <c r="T109" i="9"/>
  <c r="S109" i="9"/>
  <c r="R109" i="9"/>
  <c r="Q109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21"/>
  <c r="A7" i="21" a="1"/>
  <c r="A7" i="5"/>
  <c r="A7" i="5" a="1"/>
  <c r="A7" i="20"/>
  <c r="A7" i="20" a="1"/>
  <c r="A7" i="8"/>
  <c r="A7" i="8" a="1"/>
  <c r="A7" i="7"/>
  <c r="A7" i="7" a="1"/>
  <c r="A7" i="6"/>
  <c r="A7" i="6" a="1"/>
  <c r="A7" i="4"/>
  <c r="A7" i="4" a="1"/>
  <c r="A7" i="19"/>
  <c r="A7" i="19" a="1"/>
  <c r="A7" i="9"/>
  <c r="A7" i="9" a="1"/>
  <c r="A7" i="1"/>
  <c r="A7" i="1" a="1"/>
  <c r="A7" i="14"/>
  <c r="A7" i="14" a="1"/>
  <c r="A7" i="15"/>
  <c r="A7" i="1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<sst xmlns="http://schemas.openxmlformats.org/spreadsheetml/2006/main" count="4667" uniqueCount="356">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</sst>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6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2" applyNumberFormat="1" applyFont="1" applyFill="1" applyBorder="1" applyAlignment="1">
      <alignment wrapText="1"/>
    </xf>
    <xf numFmtId="165" fontId="1" fillId="0" borderId="1" xfId="0" applyNumberFormat="1" applyFont="1" applyBorder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8" borderId="14" xfId="0" applyFont="1" applyFill="1" applyBorder="1" applyAlignment="1">
      <alignment wrapText="1"/>
    </xf>
    <xf numFmtId="0" fontId="0" fillId="0" borderId="0" xfId="0" applyNumberFormat="1"/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1'!$A$122:$A$133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1'!$B$122:$B$133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1'!$C$122:$C$133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1'!$D$122:$D$133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1'!$E$122:$E$133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diseño.xlsx]DATOS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1'!$B$51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1'!$B$52:$B$58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1'!$C$51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1'!$C$52:$C$58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1'!$D$51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1'!$D$52:$D$58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1'!$E$51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1'!$E$52:$E$58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diseño.xlsx]DATOS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diseño.xlsx]DATOS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3'!$I$63:$I$69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3'!$J$63:$J$69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3'!$K$63:$K$69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3'!$L$63:$L$69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diseño.xlsx]DATOS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4'!$B$99:$B$105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4'!$C$99:$C$105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4'!$D$99:$D$105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4'!$E$99:$E$105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diseño.xlsx]DATOS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4'!$B$124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4'!$A$125:$A$131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4'!$B$125:$B$131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4'!$C$124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4'!$A$125:$A$131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4'!$C$125:$C$131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diseño.xlsx]DATOS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5'!$B$58:$B$64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5'!$C$58:$C$64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5'!$D$58:$D$64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5'!$E$58:$E$64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diseño.xlsx]DATOS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5'!$A$79:$A$85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5'!$B$79:$B$85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5'!$A$79:$A$85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5'!$C$79:$C$85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diseño.xlsx]EDTs!TablaDinámica10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1.jpe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1.jpeg"/><Relationship Id="rId4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image" Target="../media/image1.jpeg"/><Relationship Id="rId4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78</xdr:row>
      <xdr:rowOff>147865</xdr:rowOff>
    </xdr:from>
    <xdr:to>
      <xdr:col>4</xdr:col>
      <xdr:colOff>1134</xdr:colOff>
      <xdr:row>80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87</xdr:row>
      <xdr:rowOff>34018</xdr:rowOff>
    </xdr:from>
    <xdr:to>
      <xdr:col>4</xdr:col>
      <xdr:colOff>-1</xdr:colOff>
      <xdr:row>89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94</xdr:row>
      <xdr:rowOff>147863</xdr:rowOff>
    </xdr:from>
    <xdr:to>
      <xdr:col>3</xdr:col>
      <xdr:colOff>771071</xdr:colOff>
      <xdr:row>95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101</xdr:row>
      <xdr:rowOff>91167</xdr:rowOff>
    </xdr:from>
    <xdr:to>
      <xdr:col>4</xdr:col>
      <xdr:colOff>278947</xdr:colOff>
      <xdr:row>115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134</xdr:row>
      <xdr:rowOff>34471</xdr:rowOff>
    </xdr:from>
    <xdr:to>
      <xdr:col>6</xdr:col>
      <xdr:colOff>34017</xdr:colOff>
      <xdr:row>160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58</xdr:row>
      <xdr:rowOff>113846</xdr:rowOff>
    </xdr:from>
    <xdr:to>
      <xdr:col>5</xdr:col>
      <xdr:colOff>11340</xdr:colOff>
      <xdr:row>71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61</xdr:row>
      <xdr:rowOff>0</xdr:rowOff>
    </xdr:from>
    <xdr:to>
      <xdr:col>6</xdr:col>
      <xdr:colOff>158750</xdr:colOff>
      <xdr:row>70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97</xdr:row>
      <xdr:rowOff>79827</xdr:rowOff>
    </xdr:from>
    <xdr:to>
      <xdr:col>12</xdr:col>
      <xdr:colOff>2313215</xdr:colOff>
      <xdr:row>118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123</xdr:row>
      <xdr:rowOff>57150</xdr:rowOff>
    </xdr:from>
    <xdr:to>
      <xdr:col>7</xdr:col>
      <xdr:colOff>579438</xdr:colOff>
      <xdr:row>130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65</xdr:row>
      <xdr:rowOff>23130</xdr:rowOff>
    </xdr:from>
    <xdr:to>
      <xdr:col>4</xdr:col>
      <xdr:colOff>1428749</xdr:colOff>
      <xdr:row>76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86</xdr:row>
      <xdr:rowOff>454</xdr:rowOff>
    </xdr:from>
    <xdr:to>
      <xdr:col>2</xdr:col>
      <xdr:colOff>1428749</xdr:colOff>
      <xdr:row>106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0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49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6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5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1:E58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2:L69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4:C131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8:E105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8:C8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7:E6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4" x14ac:dyDescent="0.2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5.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5.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36" x14ac:dyDescent="0.2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36" x14ac:dyDescent="0.2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36" x14ac:dyDescent="0.2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36" x14ac:dyDescent="0.2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36" x14ac:dyDescent="0.2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4" x14ac:dyDescent="0.2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4" x14ac:dyDescent="0.2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4" x14ac:dyDescent="0.2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4" x14ac:dyDescent="0.2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4" x14ac:dyDescent="0.2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4" x14ac:dyDescent="0.2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4" x14ac:dyDescent="0.2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4" x14ac:dyDescent="0.2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 t="shared" ref="J8" si="0"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1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1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1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1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1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1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1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1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1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1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1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1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1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1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1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1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1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1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1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1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1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1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1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1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1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1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1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1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1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1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1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1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1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1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1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1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1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1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1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1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1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1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1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1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1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1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1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1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1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1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1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1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1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1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1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1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1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1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1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1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1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1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1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1"/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2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2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2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2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2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2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2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2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2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2"/>
        <v>50</v>
      </c>
      <c r="K84" s="8">
        <v>1</v>
      </c>
      <c r="L84" s="88">
        <v>10</v>
      </c>
      <c r="M84" s="91" t="s">
        <v>149</v>
      </c>
    </row>
    <row r="85" spans="1:13" x14ac:dyDescent="0.2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2"/>
        <v>0</v>
      </c>
      <c r="K85" s="8">
        <v>1</v>
      </c>
      <c r="L85" s="88">
        <v>30</v>
      </c>
      <c r="M85" s="91" t="s">
        <v>53</v>
      </c>
    </row>
    <row r="86" spans="1:13" x14ac:dyDescent="0.2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2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2"/>
        <v>-35</v>
      </c>
      <c r="K87" s="8">
        <v>1</v>
      </c>
      <c r="L87" s="88">
        <v>80</v>
      </c>
      <c r="M87" s="91" t="s">
        <v>81</v>
      </c>
    </row>
    <row r="88" spans="1:13" x14ac:dyDescent="0.2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2"/>
        <v>10</v>
      </c>
      <c r="K88" s="8">
        <v>1</v>
      </c>
      <c r="L88" s="88">
        <v>50</v>
      </c>
      <c r="M88" s="91" t="s">
        <v>87</v>
      </c>
    </row>
    <row r="89" spans="1:13" x14ac:dyDescent="0.2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2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2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2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2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2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2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2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2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 t="shared" ref="J33" si="1"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2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2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2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2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2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2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2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2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2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2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2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2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2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2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2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2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2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2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2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2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2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2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50000000000003" customHeight="1" x14ac:dyDescent="0.2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3"/>
  <sheetViews>
    <sheetView zoomScale="84" zoomScaleNormal="76" workbookViewId="0">
      <selection activeCell="B8" sqref="B8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49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63" t="s">
        <v>30</v>
      </c>
      <c r="C29" s="21" t="s">
        <v>31</v>
      </c>
      <c r="D29" s="66">
        <v>1</v>
      </c>
      <c r="E29" s="65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65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62" t="s">
        <v>55</v>
      </c>
      <c r="C30" s="11" t="s">
        <v>28</v>
      </c>
      <c r="D30" s="66">
        <v>1</v>
      </c>
      <c r="E30" s="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65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62" t="s">
        <v>61</v>
      </c>
      <c r="C32" s="11" t="s">
        <v>62</v>
      </c>
      <c r="D32" s="66">
        <v>1</v>
      </c>
      <c r="E32" s="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65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62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65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65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65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62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65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62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65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62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65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62" t="s">
        <v>30</v>
      </c>
      <c r="C39" s="11" t="s">
        <v>83</v>
      </c>
      <c r="D39" s="66">
        <v>1</v>
      </c>
      <c r="E39" s="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65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62" t="s">
        <v>21</v>
      </c>
      <c r="C40" s="11" t="s">
        <v>86</v>
      </c>
      <c r="D40" s="66">
        <v>1</v>
      </c>
      <c r="E40" s="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65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62" t="s">
        <v>21</v>
      </c>
      <c r="C41" s="11" t="s">
        <v>86</v>
      </c>
      <c r="D41" s="66">
        <v>1</v>
      </c>
      <c r="E41" s="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65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62" t="s">
        <v>30</v>
      </c>
      <c r="C42" s="11" t="s">
        <v>83</v>
      </c>
      <c r="D42" s="66">
        <v>1</v>
      </c>
      <c r="E42" s="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65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21</v>
      </c>
      <c r="C43" s="11" t="s">
        <v>86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62" t="s">
        <v>30</v>
      </c>
      <c r="C48" s="11" t="s">
        <v>83</v>
      </c>
      <c r="D48" s="66">
        <v>1</v>
      </c>
      <c r="E48" s="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65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62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65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70" t="s">
        <v>210</v>
      </c>
      <c r="B51" t="s">
        <v>215</v>
      </c>
      <c r="C51" t="s">
        <v>214</v>
      </c>
      <c r="D51" t="s">
        <v>213</v>
      </c>
      <c r="E51" t="s">
        <v>212</v>
      </c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1" t="s">
        <v>55</v>
      </c>
      <c r="B52">
        <v>1</v>
      </c>
      <c r="C52">
        <v>120</v>
      </c>
      <c r="D52" s="2">
        <v>1</v>
      </c>
      <c r="E52" s="2">
        <v>60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70</v>
      </c>
      <c r="B53">
        <v>1</v>
      </c>
      <c r="C53">
        <v>30</v>
      </c>
      <c r="D53" s="2">
        <v>1</v>
      </c>
      <c r="E53" s="2">
        <v>25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57</v>
      </c>
      <c r="B54">
        <v>1</v>
      </c>
      <c r="C54">
        <v>120</v>
      </c>
      <c r="D54" s="2">
        <v>1</v>
      </c>
      <c r="E54" s="2">
        <v>60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64</v>
      </c>
      <c r="B55">
        <v>1</v>
      </c>
      <c r="C55">
        <v>30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67</v>
      </c>
      <c r="B56">
        <v>1</v>
      </c>
      <c r="C56">
        <v>30</v>
      </c>
      <c r="D56" s="2">
        <v>1</v>
      </c>
      <c r="E56" s="2">
        <v>120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61</v>
      </c>
      <c r="B57">
        <v>1</v>
      </c>
      <c r="C57">
        <v>30</v>
      </c>
      <c r="D57" s="2">
        <v>1</v>
      </c>
      <c r="E57" s="2">
        <v>60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211</v>
      </c>
      <c r="B58">
        <v>6</v>
      </c>
      <c r="C58">
        <v>360</v>
      </c>
      <c r="D58" s="2">
        <v>6</v>
      </c>
      <c r="E58" s="2">
        <v>385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/>
      <c r="B59"/>
      <c r="C59"/>
      <c r="D59"/>
      <c r="E59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4"/>
      <c r="G65" s="45"/>
      <c r="H65" s="44"/>
      <c r="I65" s="45"/>
      <c r="J65" s="46"/>
      <c r="L65" s="47"/>
      <c r="M65" s="48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K98"/>
      <c r="L98"/>
      <c r="M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T125"/>
  <sheetViews>
    <sheetView topLeftCell="D8" zoomScale="84" zoomScaleNormal="84" workbookViewId="0">
      <selection activeCell="O11" sqref="O11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A51" zoomScale="84" zoomScaleNormal="84" workbookViewId="0">
      <selection activeCell="A6" sqref="A6:M60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8">
        <v>1</v>
      </c>
      <c r="E42" s="50">
        <v>60</v>
      </c>
      <c r="F42" s="11">
        <v>45927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66">
        <v>1</v>
      </c>
      <c r="E43" s="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65">
        <v>1</v>
      </c>
      <c r="L43" s="69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22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66">
        <v>1</v>
      </c>
      <c r="E49" s="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65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66">
        <v>1</v>
      </c>
      <c r="E50" s="64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66">
        <v>1</v>
      </c>
      <c r="E51" s="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65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66">
        <v>1</v>
      </c>
      <c r="E52" s="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65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66">
        <v>1</v>
      </c>
      <c r="E53" s="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65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9">
        <v>1</v>
      </c>
      <c r="E54" s="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65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69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9">
        <v>3</v>
      </c>
      <c r="E60" s="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65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 s="2"/>
      <c r="M61"/>
    </row>
    <row r="62" spans="1:13" s="5" customFormat="1" ht="35.450000000000003" customHeight="1" x14ac:dyDescent="0.2">
      <c r="A62" s="72"/>
      <c r="B62" s="73"/>
      <c r="C62" s="73"/>
      <c r="D62" s="73"/>
      <c r="E62" s="74"/>
      <c r="F62" s="4"/>
      <c r="G62" s="4"/>
      <c r="H62" s="70" t="s">
        <v>210</v>
      </c>
      <c r="I62" t="s">
        <v>212</v>
      </c>
      <c r="J62" t="s">
        <v>213</v>
      </c>
      <c r="K62" t="s">
        <v>214</v>
      </c>
      <c r="L62" t="s">
        <v>215</v>
      </c>
      <c r="M62" s="1"/>
    </row>
    <row r="63" spans="1:13" s="5" customFormat="1" ht="35.450000000000003" customHeight="1" x14ac:dyDescent="0.2">
      <c r="A63" s="72"/>
      <c r="B63" s="75"/>
      <c r="C63" s="76"/>
      <c r="D63" s="75"/>
      <c r="E63" s="75"/>
      <c r="F63" s="4"/>
      <c r="G63" s="4"/>
      <c r="H63" s="71" t="s">
        <v>36</v>
      </c>
      <c r="I63" s="2">
        <v>329</v>
      </c>
      <c r="J63" s="2">
        <v>10</v>
      </c>
      <c r="K63" s="2">
        <v>355</v>
      </c>
      <c r="L63" s="2">
        <v>11</v>
      </c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71" t="s">
        <v>39</v>
      </c>
      <c r="I64" s="2">
        <v>283</v>
      </c>
      <c r="J64" s="2">
        <v>13</v>
      </c>
      <c r="K64" s="2">
        <v>340</v>
      </c>
      <c r="L64" s="2">
        <v>13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21</v>
      </c>
      <c r="I65" s="2">
        <v>350</v>
      </c>
      <c r="J65" s="2">
        <v>15</v>
      </c>
      <c r="K65" s="2">
        <v>435</v>
      </c>
      <c r="L65" s="2">
        <v>14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136</v>
      </c>
      <c r="I66" s="2">
        <v>183</v>
      </c>
      <c r="J66" s="2">
        <v>8</v>
      </c>
      <c r="K66" s="2">
        <v>255</v>
      </c>
      <c r="L66" s="2">
        <v>8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42</v>
      </c>
      <c r="I67" s="2">
        <v>187</v>
      </c>
      <c r="J67" s="2">
        <v>8</v>
      </c>
      <c r="K67" s="2">
        <v>240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30</v>
      </c>
      <c r="I68" s="2">
        <v>222</v>
      </c>
      <c r="J68" s="2">
        <v>9</v>
      </c>
      <c r="K68" s="2">
        <v>290</v>
      </c>
      <c r="L68" s="2">
        <v>9</v>
      </c>
      <c r="M68" s="1"/>
    </row>
    <row r="69" spans="1:13" ht="28.5" customHeight="1" x14ac:dyDescent="0.2">
      <c r="H69" s="71" t="s">
        <v>211</v>
      </c>
      <c r="I69" s="2">
        <v>1554</v>
      </c>
      <c r="J69" s="2">
        <v>63</v>
      </c>
      <c r="K69" s="2">
        <v>1915</v>
      </c>
      <c r="L69" s="2">
        <v>63</v>
      </c>
    </row>
    <row r="70" spans="1:13" ht="30.75" customHeight="1" x14ac:dyDescent="0.2">
      <c r="H70"/>
      <c r="I70"/>
      <c r="J70"/>
      <c r="K70"/>
      <c r="L70"/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/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0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5"/>
  <sheetViews>
    <sheetView topLeftCell="A119" zoomScale="84" zoomScaleNormal="76" workbookViewId="0">
      <selection activeCell="M72" sqref="M72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 t="shared" ref="J8" si="0"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3" si="1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1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1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1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1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1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1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1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1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1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1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1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1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1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1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1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1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1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1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1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1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1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1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1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1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1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1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1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1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1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1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1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1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1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1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1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1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1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1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1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1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1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1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1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1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1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1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1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1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1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1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1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1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1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1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1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1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1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1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1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1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1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1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90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ref="J74:J96" si="2">E74-L74</f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90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si="2"/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96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2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96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2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96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2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90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2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90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2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90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2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2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90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2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90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2"/>
        <v>50</v>
      </c>
      <c r="K84" s="8">
        <v>1</v>
      </c>
      <c r="L84" s="88">
        <v>10</v>
      </c>
      <c r="M84" s="91" t="s">
        <v>149</v>
      </c>
    </row>
    <row r="85" spans="1:13" ht="24" x14ac:dyDescent="0.2">
      <c r="A85" s="23" t="s">
        <v>52</v>
      </c>
      <c r="B85" s="90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2"/>
        <v>0</v>
      </c>
      <c r="K85" s="8">
        <v>1</v>
      </c>
      <c r="L85" s="88">
        <v>30</v>
      </c>
      <c r="M85" s="91" t="s">
        <v>53</v>
      </c>
    </row>
    <row r="86" spans="1:13" ht="24" x14ac:dyDescent="0.2">
      <c r="A86" s="23" t="s">
        <v>153</v>
      </c>
      <c r="B86" s="90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2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90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2"/>
        <v>-35</v>
      </c>
      <c r="K87" s="8">
        <v>1</v>
      </c>
      <c r="L87" s="88">
        <v>80</v>
      </c>
      <c r="M87" s="91" t="s">
        <v>81</v>
      </c>
    </row>
    <row r="88" spans="1:13" ht="36" x14ac:dyDescent="0.2">
      <c r="A88" s="23" t="s">
        <v>85</v>
      </c>
      <c r="B88" s="90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2"/>
        <v>10</v>
      </c>
      <c r="K88" s="8">
        <v>1</v>
      </c>
      <c r="L88" s="88">
        <v>50</v>
      </c>
      <c r="M88" s="91" t="s">
        <v>87</v>
      </c>
    </row>
    <row r="89" spans="1:13" ht="24" x14ac:dyDescent="0.2">
      <c r="A89" s="23" t="s">
        <v>88</v>
      </c>
      <c r="B89" s="90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2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90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2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90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2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90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2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90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2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90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2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90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2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90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2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">
      <c r="A98" s="70" t="s">
        <v>210</v>
      </c>
      <c r="B98" t="s">
        <v>215</v>
      </c>
      <c r="C98" t="s">
        <v>214</v>
      </c>
      <c r="D98" t="s">
        <v>212</v>
      </c>
      <c r="E98" t="s">
        <v>213</v>
      </c>
    </row>
    <row r="99" spans="1:13" x14ac:dyDescent="0.2">
      <c r="A99" s="71" t="s">
        <v>36</v>
      </c>
      <c r="B99">
        <v>22</v>
      </c>
      <c r="C99">
        <v>550</v>
      </c>
      <c r="D99">
        <v>535</v>
      </c>
      <c r="E99">
        <v>25</v>
      </c>
    </row>
    <row r="100" spans="1:13" x14ac:dyDescent="0.2">
      <c r="A100" s="71" t="s">
        <v>39</v>
      </c>
      <c r="B100">
        <v>18</v>
      </c>
      <c r="C100">
        <v>370</v>
      </c>
      <c r="D100">
        <v>296</v>
      </c>
      <c r="E100">
        <v>18</v>
      </c>
    </row>
    <row r="101" spans="1:13" x14ac:dyDescent="0.2">
      <c r="A101" s="71" t="s">
        <v>21</v>
      </c>
      <c r="B101">
        <v>22</v>
      </c>
      <c r="C101">
        <v>730</v>
      </c>
      <c r="D101">
        <v>555</v>
      </c>
      <c r="E101">
        <v>23</v>
      </c>
    </row>
    <row r="102" spans="1:13" x14ac:dyDescent="0.2">
      <c r="A102" s="71" t="s">
        <v>136</v>
      </c>
      <c r="B102">
        <v>16</v>
      </c>
      <c r="C102">
        <v>565</v>
      </c>
      <c r="D102">
        <v>402</v>
      </c>
      <c r="E102">
        <v>15</v>
      </c>
    </row>
    <row r="103" spans="1:13" x14ac:dyDescent="0.2">
      <c r="A103" s="71" t="s">
        <v>42</v>
      </c>
      <c r="B103">
        <v>17</v>
      </c>
      <c r="C103">
        <v>395</v>
      </c>
      <c r="D103">
        <v>342</v>
      </c>
      <c r="E103">
        <v>19</v>
      </c>
    </row>
    <row r="104" spans="1:13" x14ac:dyDescent="0.2">
      <c r="A104" s="71" t="s">
        <v>30</v>
      </c>
      <c r="B104">
        <v>13</v>
      </c>
      <c r="C104">
        <v>320</v>
      </c>
      <c r="D104">
        <v>262</v>
      </c>
      <c r="E104">
        <v>14</v>
      </c>
    </row>
    <row r="105" spans="1:13" x14ac:dyDescent="0.2">
      <c r="A105" s="71" t="s">
        <v>211</v>
      </c>
      <c r="B105">
        <v>108</v>
      </c>
      <c r="C105">
        <v>2930</v>
      </c>
      <c r="D105">
        <v>2392</v>
      </c>
      <c r="E105">
        <v>114</v>
      </c>
    </row>
    <row r="106" spans="1:13" x14ac:dyDescent="0.2">
      <c r="A106"/>
      <c r="B106"/>
      <c r="C106"/>
      <c r="D106"/>
      <c r="E106"/>
    </row>
    <row r="107" spans="1:13" x14ac:dyDescent="0.2">
      <c r="A107"/>
      <c r="B107"/>
      <c r="C107"/>
    </row>
    <row r="108" spans="1:13" x14ac:dyDescent="0.2">
      <c r="A108"/>
      <c r="B108"/>
      <c r="C108"/>
    </row>
    <row r="109" spans="1:13" x14ac:dyDescent="0.2">
      <c r="A109" s="95" t="s">
        <v>317</v>
      </c>
      <c r="B109" s="53">
        <v>33</v>
      </c>
      <c r="C109"/>
    </row>
    <row r="110" spans="1:13" x14ac:dyDescent="0.2">
      <c r="A110"/>
      <c r="B110"/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>
      <c r="A124" s="70" t="s">
        <v>210</v>
      </c>
      <c r="B124" t="s">
        <v>213</v>
      </c>
      <c r="C124" t="s">
        <v>215</v>
      </c>
    </row>
    <row r="125" spans="1:20" ht="36.75" customHeight="1" x14ac:dyDescent="0.2">
      <c r="A125" s="71" t="s">
        <v>36</v>
      </c>
      <c r="B125">
        <v>25</v>
      </c>
      <c r="C125">
        <v>22</v>
      </c>
    </row>
    <row r="126" spans="1:20" ht="33.75" customHeight="1" x14ac:dyDescent="0.2">
      <c r="A126" s="71" t="s">
        <v>39</v>
      </c>
      <c r="B126">
        <v>18</v>
      </c>
      <c r="C126">
        <v>18</v>
      </c>
    </row>
    <row r="127" spans="1:20" ht="26.25" customHeight="1" x14ac:dyDescent="0.2">
      <c r="A127" s="71" t="s">
        <v>21</v>
      </c>
      <c r="B127">
        <v>23</v>
      </c>
      <c r="C127">
        <v>22</v>
      </c>
    </row>
    <row r="128" spans="1:20" ht="27.75" customHeight="1" x14ac:dyDescent="0.2">
      <c r="A128" s="71" t="s">
        <v>136</v>
      </c>
      <c r="B128">
        <v>15</v>
      </c>
      <c r="C128">
        <v>16</v>
      </c>
    </row>
    <row r="129" spans="1:3" ht="40.5" customHeight="1" x14ac:dyDescent="0.2">
      <c r="A129" s="71" t="s">
        <v>42</v>
      </c>
      <c r="B129">
        <v>19</v>
      </c>
      <c r="C129">
        <v>17</v>
      </c>
    </row>
    <row r="130" spans="1:3" x14ac:dyDescent="0.2">
      <c r="A130" s="71" t="s">
        <v>30</v>
      </c>
      <c r="B130">
        <v>14</v>
      </c>
      <c r="C130">
        <v>13</v>
      </c>
    </row>
    <row r="131" spans="1:3" x14ac:dyDescent="0.2">
      <c r="A131" s="71" t="s">
        <v>211</v>
      </c>
      <c r="B131">
        <v>114</v>
      </c>
      <c r="C131">
        <v>108</v>
      </c>
    </row>
    <row r="132" spans="1:3" x14ac:dyDescent="0.2">
      <c r="A132"/>
      <c r="B132"/>
      <c r="C132"/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</row>
    <row r="143" spans="1:3" x14ac:dyDescent="0.2">
      <c r="A143"/>
    </row>
    <row r="144" spans="1:3" x14ac:dyDescent="0.2">
      <c r="A144"/>
    </row>
    <row r="145" spans="1:1" x14ac:dyDescent="0.2">
      <c r="A14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abSelected="1" topLeftCell="A37" zoomScale="84" zoomScaleNormal="76" workbookViewId="0">
      <selection activeCell="A55" sqref="A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21.5703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5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95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90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 t="shared" si="0"/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90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96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0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96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96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0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90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0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90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90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90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90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90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0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90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90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90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90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90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90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0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70" t="s">
        <v>210</v>
      </c>
      <c r="B57" t="s">
        <v>215</v>
      </c>
      <c r="C57" t="s">
        <v>214</v>
      </c>
      <c r="D57" t="s">
        <v>212</v>
      </c>
      <c r="E57" t="s">
        <v>213</v>
      </c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71" t="s">
        <v>36</v>
      </c>
      <c r="B58" s="107">
        <v>11</v>
      </c>
      <c r="C58" s="107">
        <v>395</v>
      </c>
      <c r="D58" s="107">
        <v>372</v>
      </c>
      <c r="E58" s="107">
        <v>10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71" t="s">
        <v>39</v>
      </c>
      <c r="B59" s="107">
        <v>12</v>
      </c>
      <c r="C59" s="107">
        <v>320</v>
      </c>
      <c r="D59" s="107">
        <v>259</v>
      </c>
      <c r="E59" s="107">
        <v>11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71" t="s">
        <v>21</v>
      </c>
      <c r="B60" s="107">
        <v>13</v>
      </c>
      <c r="C60" s="107">
        <v>465</v>
      </c>
      <c r="D60" s="107">
        <v>387</v>
      </c>
      <c r="E60" s="107">
        <v>14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71" t="s">
        <v>136</v>
      </c>
      <c r="B61" s="107">
        <v>9</v>
      </c>
      <c r="C61" s="107">
        <v>270</v>
      </c>
      <c r="D61" s="107">
        <v>210</v>
      </c>
      <c r="E61" s="107">
        <v>8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71" t="s">
        <v>42</v>
      </c>
      <c r="B62" s="107">
        <v>6</v>
      </c>
      <c r="C62" s="107">
        <v>240</v>
      </c>
      <c r="D62" s="107">
        <v>181</v>
      </c>
      <c r="E62" s="107">
        <v>5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71" t="s">
        <v>30</v>
      </c>
      <c r="B63" s="107">
        <v>8</v>
      </c>
      <c r="C63" s="107">
        <v>270</v>
      </c>
      <c r="D63" s="107">
        <v>220</v>
      </c>
      <c r="E63" s="107">
        <v>9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71" t="s">
        <v>211</v>
      </c>
      <c r="B64" s="107">
        <v>59</v>
      </c>
      <c r="C64" s="107">
        <v>1960</v>
      </c>
      <c r="D64" s="107">
        <v>1629</v>
      </c>
      <c r="E64" s="107">
        <v>57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/>
      <c r="B66"/>
      <c r="C66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s="5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50000000000003" customHeight="1" x14ac:dyDescent="0.2">
      <c r="A74"/>
      <c r="B74"/>
      <c r="C7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70" t="s">
        <v>210</v>
      </c>
      <c r="B78" t="s">
        <v>215</v>
      </c>
      <c r="C78" t="s">
        <v>213</v>
      </c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71" t="s">
        <v>36</v>
      </c>
      <c r="B79" s="107">
        <v>11</v>
      </c>
      <c r="C79" s="107">
        <v>10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71" t="s">
        <v>39</v>
      </c>
      <c r="B80" s="107">
        <v>12</v>
      </c>
      <c r="C80" s="107">
        <v>11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71" t="s">
        <v>21</v>
      </c>
      <c r="B81" s="107">
        <v>13</v>
      </c>
      <c r="C81" s="107">
        <v>14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71" t="s">
        <v>136</v>
      </c>
      <c r="B82" s="107">
        <v>9</v>
      </c>
      <c r="C82" s="107">
        <v>8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">
      <c r="A83" s="71" t="s">
        <v>42</v>
      </c>
      <c r="B83" s="107">
        <v>6</v>
      </c>
      <c r="C83" s="107">
        <v>5</v>
      </c>
    </row>
    <row r="84" spans="1:13" x14ac:dyDescent="0.2">
      <c r="A84" s="71" t="s">
        <v>30</v>
      </c>
      <c r="B84" s="107">
        <v>8</v>
      </c>
      <c r="C84" s="107">
        <v>9</v>
      </c>
    </row>
    <row r="85" spans="1:13" x14ac:dyDescent="0.2">
      <c r="A85" s="71" t="s">
        <v>211</v>
      </c>
      <c r="B85" s="107">
        <v>59</v>
      </c>
      <c r="C85" s="107">
        <v>57</v>
      </c>
    </row>
    <row r="86" spans="1:13" x14ac:dyDescent="0.2">
      <c r="A86"/>
      <c r="B86"/>
      <c r="C86"/>
    </row>
    <row r="87" spans="1:13" x14ac:dyDescent="0.2">
      <c r="A87"/>
      <c r="B87"/>
      <c r="C87"/>
    </row>
    <row r="88" spans="1:13" x14ac:dyDescent="0.2">
      <c r="A88"/>
      <c r="B88"/>
      <c r="C88"/>
    </row>
    <row r="89" spans="1:13" x14ac:dyDescent="0.2">
      <c r="A89"/>
      <c r="B89"/>
      <c r="C89"/>
    </row>
    <row r="90" spans="1:13" x14ac:dyDescent="0.2">
      <c r="A90"/>
      <c r="B90"/>
      <c r="C90"/>
    </row>
    <row r="91" spans="1:13" x14ac:dyDescent="0.2">
      <c r="A91"/>
      <c r="B91"/>
      <c r="C91"/>
    </row>
    <row r="92" spans="1:13" x14ac:dyDescent="0.2">
      <c r="A92"/>
      <c r="B92"/>
      <c r="C92"/>
    </row>
    <row r="93" spans="1:13" x14ac:dyDescent="0.2">
      <c r="A93"/>
      <c r="B93"/>
      <c r="C93"/>
    </row>
    <row r="94" spans="1:13" x14ac:dyDescent="0.2">
      <c r="A94"/>
      <c r="B94"/>
      <c r="C94"/>
    </row>
    <row r="95" spans="1:13" x14ac:dyDescent="0.2">
      <c r="A95"/>
      <c r="B95"/>
      <c r="C95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248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99" cm="1">
        <f t="array" aca="1" ref="A7" ca="1">+#REF!+A1:L7+A7:L108</f>
        <v>0</v>
      </c>
      <c r="B7" s="99" t="s">
        <v>8</v>
      </c>
      <c r="C7" s="99" t="s">
        <v>9</v>
      </c>
      <c r="D7" s="99" t="s">
        <v>10</v>
      </c>
      <c r="E7" s="99" t="s">
        <v>11</v>
      </c>
      <c r="F7" s="99" t="s">
        <v>12</v>
      </c>
      <c r="G7" s="99" t="s">
        <v>13</v>
      </c>
      <c r="H7" s="100" t="s">
        <v>14</v>
      </c>
      <c r="I7" s="100" t="s">
        <v>15</v>
      </c>
      <c r="J7" s="100" t="s">
        <v>16</v>
      </c>
      <c r="K7" s="100" t="s">
        <v>17</v>
      </c>
      <c r="L7" s="100" t="s">
        <v>18</v>
      </c>
      <c r="M7" s="9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8" t="s">
        <v>20</v>
      </c>
      <c r="B8" s="85" t="s">
        <v>21</v>
      </c>
      <c r="C8" s="85" t="s">
        <v>22</v>
      </c>
      <c r="D8" s="84">
        <v>1</v>
      </c>
      <c r="E8" s="84">
        <v>45</v>
      </c>
      <c r="F8" s="85">
        <v>45882</v>
      </c>
      <c r="G8" s="86">
        <v>0.375</v>
      </c>
      <c r="H8" s="85">
        <v>45877</v>
      </c>
      <c r="I8" s="86">
        <v>0.4375</v>
      </c>
      <c r="J8" s="87">
        <f t="shared" ref="J8:J71" si="0">E8-L8</f>
        <v>-15</v>
      </c>
      <c r="K8" s="8">
        <v>1</v>
      </c>
      <c r="L8" s="87">
        <v>60</v>
      </c>
      <c r="M8" s="8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8" t="s">
        <v>24</v>
      </c>
      <c r="B9" s="85" t="s">
        <v>21</v>
      </c>
      <c r="C9" s="85" t="s">
        <v>22</v>
      </c>
      <c r="D9" s="84">
        <v>1</v>
      </c>
      <c r="E9" s="84">
        <v>60</v>
      </c>
      <c r="F9" s="85">
        <v>45882</v>
      </c>
      <c r="G9" s="86">
        <v>0.375</v>
      </c>
      <c r="H9" s="85">
        <v>45877</v>
      </c>
      <c r="I9" s="86">
        <v>0.4375</v>
      </c>
      <c r="J9" s="87">
        <f>E9-L9</f>
        <v>0</v>
      </c>
      <c r="K9" s="8">
        <v>1</v>
      </c>
      <c r="L9" s="87">
        <v>60</v>
      </c>
      <c r="M9" s="8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8" t="s">
        <v>24</v>
      </c>
      <c r="B10" s="85" t="s">
        <v>135</v>
      </c>
      <c r="C10" s="85" t="s">
        <v>31</v>
      </c>
      <c r="D10" s="84">
        <v>1</v>
      </c>
      <c r="E10" s="84">
        <v>60</v>
      </c>
      <c r="F10" s="85">
        <v>45882</v>
      </c>
      <c r="G10" s="86">
        <v>0.375</v>
      </c>
      <c r="H10" s="85">
        <v>45877</v>
      </c>
      <c r="I10" s="86">
        <v>0.4375</v>
      </c>
      <c r="J10" s="87">
        <f>E10-L10</f>
        <v>0</v>
      </c>
      <c r="K10" s="8">
        <v>1</v>
      </c>
      <c r="L10" s="87">
        <v>60</v>
      </c>
      <c r="M10" s="8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8" t="s">
        <v>24</v>
      </c>
      <c r="B11" s="85" t="s">
        <v>136</v>
      </c>
      <c r="C11" s="85" t="s">
        <v>34</v>
      </c>
      <c r="D11" s="84">
        <v>1</v>
      </c>
      <c r="E11" s="84">
        <v>60</v>
      </c>
      <c r="F11" s="85">
        <v>45882</v>
      </c>
      <c r="G11" s="86">
        <v>0.375</v>
      </c>
      <c r="H11" s="85">
        <v>45877</v>
      </c>
      <c r="I11" s="86">
        <v>0.4375</v>
      </c>
      <c r="J11" s="87">
        <f>E11-L11</f>
        <v>0</v>
      </c>
      <c r="K11" s="8">
        <v>1</v>
      </c>
      <c r="L11" s="87">
        <v>60</v>
      </c>
      <c r="M11" s="8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8" t="s">
        <v>24</v>
      </c>
      <c r="B12" s="85" t="s">
        <v>137</v>
      </c>
      <c r="C12" s="85" t="s">
        <v>37</v>
      </c>
      <c r="D12" s="84">
        <v>1</v>
      </c>
      <c r="E12" s="84">
        <v>60</v>
      </c>
      <c r="F12" s="85">
        <v>45882</v>
      </c>
      <c r="G12" s="86">
        <v>0.375</v>
      </c>
      <c r="H12" s="85">
        <v>45877</v>
      </c>
      <c r="I12" s="86">
        <v>0.4375</v>
      </c>
      <c r="J12" s="87">
        <f>E12-L12</f>
        <v>0</v>
      </c>
      <c r="K12" s="8">
        <v>1</v>
      </c>
      <c r="L12" s="87">
        <v>60</v>
      </c>
      <c r="M12" s="8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8" t="s">
        <v>24</v>
      </c>
      <c r="B13" s="85" t="s">
        <v>42</v>
      </c>
      <c r="C13" s="85" t="s">
        <v>43</v>
      </c>
      <c r="D13" s="84">
        <v>1</v>
      </c>
      <c r="E13" s="84">
        <v>60</v>
      </c>
      <c r="F13" s="85">
        <v>45882</v>
      </c>
      <c r="G13" s="86">
        <v>0.375</v>
      </c>
      <c r="H13" s="85">
        <v>45877</v>
      </c>
      <c r="I13" s="86">
        <v>0.4375</v>
      </c>
      <c r="J13" s="87">
        <f>E13-L13</f>
        <v>0</v>
      </c>
      <c r="K13" s="8">
        <v>1</v>
      </c>
      <c r="L13" s="87">
        <v>60</v>
      </c>
      <c r="M13" s="8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8" t="s">
        <v>24</v>
      </c>
      <c r="B14" s="85" t="s">
        <v>138</v>
      </c>
      <c r="C14" s="85" t="s">
        <v>40</v>
      </c>
      <c r="D14" s="84">
        <v>1</v>
      </c>
      <c r="E14" s="84">
        <v>60</v>
      </c>
      <c r="F14" s="85">
        <v>45882</v>
      </c>
      <c r="G14" s="86">
        <v>0.375</v>
      </c>
      <c r="H14" s="85">
        <v>45877</v>
      </c>
      <c r="I14" s="86">
        <v>0.4375</v>
      </c>
      <c r="J14" s="87">
        <f t="shared" si="0"/>
        <v>0</v>
      </c>
      <c r="K14" s="8">
        <v>1</v>
      </c>
      <c r="L14" s="87">
        <v>60</v>
      </c>
      <c r="M14" s="8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8" t="s">
        <v>26</v>
      </c>
      <c r="B15" s="5" t="s">
        <v>27</v>
      </c>
      <c r="C15" s="8" t="s">
        <v>28</v>
      </c>
      <c r="D15" s="84">
        <v>1</v>
      </c>
      <c r="E15" s="97">
        <v>50</v>
      </c>
      <c r="F15" s="85">
        <v>45882</v>
      </c>
      <c r="G15" s="86">
        <v>0.375</v>
      </c>
      <c r="H15" s="85">
        <v>45877</v>
      </c>
      <c r="I15" s="86">
        <v>0.45833333333333331</v>
      </c>
      <c r="J15" s="87">
        <f t="shared" si="0"/>
        <v>-10</v>
      </c>
      <c r="K15" s="8">
        <v>1</v>
      </c>
      <c r="L15" s="87">
        <v>60</v>
      </c>
      <c r="M15" s="8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8" t="s">
        <v>26</v>
      </c>
      <c r="B16" s="85" t="s">
        <v>30</v>
      </c>
      <c r="C16" s="85" t="s">
        <v>31</v>
      </c>
      <c r="D16" s="84">
        <v>1</v>
      </c>
      <c r="E16" s="97">
        <v>50</v>
      </c>
      <c r="F16" s="85">
        <v>45882</v>
      </c>
      <c r="G16" s="86">
        <v>0.375</v>
      </c>
      <c r="H16" s="85">
        <v>45877</v>
      </c>
      <c r="I16" s="86">
        <v>0.45833333333333331</v>
      </c>
      <c r="J16" s="87">
        <f t="shared" si="0"/>
        <v>-10</v>
      </c>
      <c r="K16" s="8">
        <v>1</v>
      </c>
      <c r="L16" s="87">
        <v>60</v>
      </c>
      <c r="M16" s="8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8" t="s">
        <v>26</v>
      </c>
      <c r="B17" s="85" t="s">
        <v>33</v>
      </c>
      <c r="C17" s="85" t="s">
        <v>34</v>
      </c>
      <c r="D17" s="84">
        <v>1</v>
      </c>
      <c r="E17" s="97">
        <v>50</v>
      </c>
      <c r="F17" s="85">
        <v>45882</v>
      </c>
      <c r="G17" s="86">
        <v>0.375</v>
      </c>
      <c r="H17" s="85">
        <v>45877</v>
      </c>
      <c r="I17" s="86">
        <v>0.45833333333333331</v>
      </c>
      <c r="J17" s="87">
        <f t="shared" si="0"/>
        <v>-10</v>
      </c>
      <c r="K17" s="8">
        <v>1</v>
      </c>
      <c r="L17" s="87">
        <v>60</v>
      </c>
      <c r="M17" s="8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8" t="s">
        <v>26</v>
      </c>
      <c r="B18" s="85" t="s">
        <v>36</v>
      </c>
      <c r="C18" s="85" t="s">
        <v>37</v>
      </c>
      <c r="D18" s="84">
        <v>1</v>
      </c>
      <c r="E18" s="97">
        <v>50</v>
      </c>
      <c r="F18" s="85">
        <v>45882</v>
      </c>
      <c r="G18" s="86">
        <v>0.375</v>
      </c>
      <c r="H18" s="85">
        <v>45877</v>
      </c>
      <c r="I18" s="86">
        <v>0.45833333333333331</v>
      </c>
      <c r="J18" s="87">
        <f t="shared" si="0"/>
        <v>-10</v>
      </c>
      <c r="K18" s="8">
        <v>1</v>
      </c>
      <c r="L18" s="87">
        <v>60</v>
      </c>
      <c r="M18" s="8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8" t="s">
        <v>26</v>
      </c>
      <c r="B19" s="85" t="s">
        <v>39</v>
      </c>
      <c r="C19" s="85" t="s">
        <v>40</v>
      </c>
      <c r="D19" s="84">
        <v>1</v>
      </c>
      <c r="E19" s="97">
        <v>50</v>
      </c>
      <c r="F19" s="85">
        <v>45882</v>
      </c>
      <c r="G19" s="86">
        <v>0.375</v>
      </c>
      <c r="H19" s="85">
        <v>45877</v>
      </c>
      <c r="I19" s="86">
        <v>0.45833333333333331</v>
      </c>
      <c r="J19" s="87">
        <f t="shared" si="0"/>
        <v>-10</v>
      </c>
      <c r="K19" s="8">
        <v>1</v>
      </c>
      <c r="L19" s="87">
        <v>60</v>
      </c>
      <c r="M19" s="8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8" t="s">
        <v>26</v>
      </c>
      <c r="B20" s="85" t="s">
        <v>42</v>
      </c>
      <c r="C20" s="85" t="s">
        <v>43</v>
      </c>
      <c r="D20" s="84">
        <v>1</v>
      </c>
      <c r="E20" s="97">
        <v>50</v>
      </c>
      <c r="F20" s="85">
        <v>45882</v>
      </c>
      <c r="G20" s="86">
        <v>0.375</v>
      </c>
      <c r="H20" s="85">
        <v>45877</v>
      </c>
      <c r="I20" s="86">
        <v>0.45833333333333331</v>
      </c>
      <c r="J20" s="87">
        <f t="shared" si="0"/>
        <v>-10</v>
      </c>
      <c r="K20" s="8">
        <v>1</v>
      </c>
      <c r="L20" s="87">
        <v>60</v>
      </c>
      <c r="M20" s="8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8" t="s">
        <v>45</v>
      </c>
      <c r="B21" s="85" t="s">
        <v>21</v>
      </c>
      <c r="C21" s="85" t="s">
        <v>22</v>
      </c>
      <c r="D21" s="84">
        <v>1</v>
      </c>
      <c r="E21" s="97">
        <v>70</v>
      </c>
      <c r="F21" s="85">
        <v>45882</v>
      </c>
      <c r="G21" s="86">
        <v>0.375</v>
      </c>
      <c r="H21" s="85">
        <v>45877</v>
      </c>
      <c r="I21" s="86">
        <v>0.5</v>
      </c>
      <c r="J21" s="87">
        <f t="shared" si="0"/>
        <v>10</v>
      </c>
      <c r="K21" s="8">
        <v>1</v>
      </c>
      <c r="L21" s="87">
        <v>60</v>
      </c>
      <c r="M21" s="8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8" t="s">
        <v>45</v>
      </c>
      <c r="B22" s="85" t="s">
        <v>30</v>
      </c>
      <c r="C22" s="85" t="s">
        <v>31</v>
      </c>
      <c r="D22" s="84">
        <v>1</v>
      </c>
      <c r="E22" s="97">
        <v>70</v>
      </c>
      <c r="F22" s="85">
        <v>45882</v>
      </c>
      <c r="G22" s="86">
        <v>0.375</v>
      </c>
      <c r="H22" s="85">
        <v>45877</v>
      </c>
      <c r="I22" s="86">
        <v>0.5</v>
      </c>
      <c r="J22" s="87">
        <f t="shared" si="0"/>
        <v>10</v>
      </c>
      <c r="K22" s="8">
        <v>1</v>
      </c>
      <c r="L22" s="87">
        <v>60</v>
      </c>
      <c r="M22" s="8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85" t="s">
        <v>33</v>
      </c>
      <c r="C23" s="85" t="s">
        <v>34</v>
      </c>
      <c r="D23" s="84">
        <v>1</v>
      </c>
      <c r="E23" s="97">
        <v>70</v>
      </c>
      <c r="F23" s="85">
        <v>45882</v>
      </c>
      <c r="G23" s="86">
        <v>0.375</v>
      </c>
      <c r="H23" s="85">
        <v>45877</v>
      </c>
      <c r="I23" s="86">
        <v>0.5</v>
      </c>
      <c r="J23" s="87">
        <f t="shared" si="0"/>
        <v>10</v>
      </c>
      <c r="K23" s="8">
        <v>1</v>
      </c>
      <c r="L23" s="87">
        <v>60</v>
      </c>
      <c r="M23" s="8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8" t="s">
        <v>45</v>
      </c>
      <c r="B24" s="85" t="s">
        <v>36</v>
      </c>
      <c r="C24" s="85" t="s">
        <v>37</v>
      </c>
      <c r="D24" s="84">
        <v>1</v>
      </c>
      <c r="E24" s="97">
        <v>70</v>
      </c>
      <c r="F24" s="85">
        <v>45882</v>
      </c>
      <c r="G24" s="86">
        <v>0.375</v>
      </c>
      <c r="H24" s="85">
        <v>45877</v>
      </c>
      <c r="I24" s="86">
        <v>0.5</v>
      </c>
      <c r="J24" s="87">
        <f t="shared" si="0"/>
        <v>10</v>
      </c>
      <c r="K24" s="8">
        <v>1</v>
      </c>
      <c r="L24" s="87">
        <v>60</v>
      </c>
      <c r="M24" s="8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8" t="s">
        <v>45</v>
      </c>
      <c r="B25" s="85" t="s">
        <v>39</v>
      </c>
      <c r="C25" s="85" t="s">
        <v>40</v>
      </c>
      <c r="D25" s="84">
        <v>1</v>
      </c>
      <c r="E25" s="97">
        <v>70</v>
      </c>
      <c r="F25" s="85">
        <v>45882</v>
      </c>
      <c r="G25" s="86">
        <v>0.375</v>
      </c>
      <c r="H25" s="85">
        <v>45877</v>
      </c>
      <c r="I25" s="86">
        <v>0.5</v>
      </c>
      <c r="J25" s="87">
        <f t="shared" si="0"/>
        <v>10</v>
      </c>
      <c r="K25" s="8">
        <v>1</v>
      </c>
      <c r="L25" s="87">
        <v>60</v>
      </c>
      <c r="M25" s="8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8" t="s">
        <v>45</v>
      </c>
      <c r="B26" s="85" t="s">
        <v>42</v>
      </c>
      <c r="C26" s="85" t="s">
        <v>43</v>
      </c>
      <c r="D26" s="84">
        <v>1</v>
      </c>
      <c r="E26" s="97">
        <v>70</v>
      </c>
      <c r="F26" s="85">
        <v>45882</v>
      </c>
      <c r="G26" s="86">
        <v>0.375</v>
      </c>
      <c r="H26" s="85">
        <v>45877</v>
      </c>
      <c r="I26" s="86">
        <v>0.5</v>
      </c>
      <c r="J26" s="87">
        <f t="shared" si="0"/>
        <v>10</v>
      </c>
      <c r="K26" s="8">
        <v>1</v>
      </c>
      <c r="L26" s="87">
        <v>60</v>
      </c>
      <c r="M26" s="8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8" t="s">
        <v>52</v>
      </c>
      <c r="B27" s="85" t="s">
        <v>21</v>
      </c>
      <c r="C27" s="85" t="s">
        <v>22</v>
      </c>
      <c r="D27" s="84">
        <v>1</v>
      </c>
      <c r="E27" s="49">
        <v>30</v>
      </c>
      <c r="F27" s="85">
        <v>45882</v>
      </c>
      <c r="G27" s="86">
        <v>0.375</v>
      </c>
      <c r="H27" s="85">
        <v>45877</v>
      </c>
      <c r="I27" s="86">
        <v>4.1666666666666664E-2</v>
      </c>
      <c r="J27" s="87">
        <f t="shared" si="0"/>
        <v>0</v>
      </c>
      <c r="K27" s="8">
        <v>1</v>
      </c>
      <c r="L27" s="87">
        <v>30</v>
      </c>
      <c r="M27" s="8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8" t="s">
        <v>52</v>
      </c>
      <c r="B28" s="85" t="s">
        <v>36</v>
      </c>
      <c r="C28" s="85" t="s">
        <v>37</v>
      </c>
      <c r="D28" s="84">
        <v>1</v>
      </c>
      <c r="E28" s="5">
        <v>30</v>
      </c>
      <c r="F28" s="85">
        <v>45882</v>
      </c>
      <c r="G28" s="86">
        <v>0.375</v>
      </c>
      <c r="H28" s="85">
        <v>45877</v>
      </c>
      <c r="I28" s="86">
        <v>4.1666666666666664E-2</v>
      </c>
      <c r="J28" s="87">
        <f>E28-L28</f>
        <v>0</v>
      </c>
      <c r="K28" s="8">
        <v>1</v>
      </c>
      <c r="L28" s="87">
        <v>30</v>
      </c>
      <c r="M28" s="8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8" t="s">
        <v>144</v>
      </c>
      <c r="B29" s="85" t="s">
        <v>30</v>
      </c>
      <c r="C29" s="85" t="s">
        <v>31</v>
      </c>
      <c r="D29" s="84">
        <v>1</v>
      </c>
      <c r="E29" s="8">
        <v>30</v>
      </c>
      <c r="F29" s="85">
        <v>45882</v>
      </c>
      <c r="G29" s="86">
        <v>0.375</v>
      </c>
      <c r="H29" s="85">
        <v>45877</v>
      </c>
      <c r="I29" s="86">
        <v>4.1666666666666664E-2</v>
      </c>
      <c r="J29" s="87">
        <f t="shared" si="0"/>
        <v>0</v>
      </c>
      <c r="K29" s="8">
        <v>1</v>
      </c>
      <c r="L29" s="87">
        <v>30</v>
      </c>
      <c r="M29" s="8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8" t="s">
        <v>54</v>
      </c>
      <c r="B30" s="85" t="s">
        <v>21</v>
      </c>
      <c r="C30" s="85" t="s">
        <v>28</v>
      </c>
      <c r="D30" s="84">
        <v>1</v>
      </c>
      <c r="E30" s="49">
        <v>120</v>
      </c>
      <c r="F30" s="85">
        <v>45882</v>
      </c>
      <c r="G30" s="86">
        <v>0.375</v>
      </c>
      <c r="H30" s="27">
        <v>45879</v>
      </c>
      <c r="I30" s="86">
        <v>0.91666666666666663</v>
      </c>
      <c r="J30" s="87">
        <f t="shared" si="0"/>
        <v>60</v>
      </c>
      <c r="K30" s="8">
        <v>1</v>
      </c>
      <c r="L30" s="87">
        <v>60</v>
      </c>
      <c r="M30" s="8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8" t="s">
        <v>54</v>
      </c>
      <c r="B31" s="85" t="s">
        <v>39</v>
      </c>
      <c r="C31" s="85" t="s">
        <v>58</v>
      </c>
      <c r="D31" s="84">
        <v>1</v>
      </c>
      <c r="E31" s="49">
        <v>120</v>
      </c>
      <c r="F31" s="85">
        <v>45882</v>
      </c>
      <c r="G31" s="86">
        <v>0.375</v>
      </c>
      <c r="H31" s="85">
        <v>45879</v>
      </c>
      <c r="I31" s="86">
        <v>0.91666666666666663</v>
      </c>
      <c r="J31" s="87">
        <f t="shared" si="0"/>
        <v>60</v>
      </c>
      <c r="K31" s="8">
        <v>1</v>
      </c>
      <c r="L31" s="87">
        <v>60</v>
      </c>
      <c r="M31" s="8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85" t="s">
        <v>30</v>
      </c>
      <c r="C32" s="85" t="s">
        <v>62</v>
      </c>
      <c r="D32" s="84">
        <v>1</v>
      </c>
      <c r="E32" s="49">
        <v>30</v>
      </c>
      <c r="F32" s="85">
        <v>45882</v>
      </c>
      <c r="G32" s="86">
        <v>0.375</v>
      </c>
      <c r="H32" s="13">
        <v>45879</v>
      </c>
      <c r="I32" s="12">
        <v>0.91666666666666663</v>
      </c>
      <c r="J32" s="87">
        <f>E32-L32</f>
        <v>-30</v>
      </c>
      <c r="K32" s="8">
        <v>1</v>
      </c>
      <c r="L32" s="101">
        <v>60</v>
      </c>
      <c r="M32" s="10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8" t="s">
        <v>60</v>
      </c>
      <c r="B33" s="85" t="s">
        <v>33</v>
      </c>
      <c r="C33" s="85" t="s">
        <v>65</v>
      </c>
      <c r="D33" s="84">
        <v>1</v>
      </c>
      <c r="E33" s="49">
        <v>30</v>
      </c>
      <c r="F33" s="85">
        <v>45882</v>
      </c>
      <c r="G33" s="86">
        <v>0.375</v>
      </c>
      <c r="H33" s="85">
        <v>45879</v>
      </c>
      <c r="I33" s="86">
        <v>0.875</v>
      </c>
      <c r="J33" s="87">
        <f t="shared" si="0"/>
        <v>-30</v>
      </c>
      <c r="K33" s="8">
        <v>1</v>
      </c>
      <c r="L33" s="87">
        <v>60</v>
      </c>
      <c r="M33" s="8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8" t="s">
        <v>60</v>
      </c>
      <c r="B34" s="90" t="s">
        <v>42</v>
      </c>
      <c r="C34" s="85" t="s">
        <v>68</v>
      </c>
      <c r="D34" s="84">
        <v>1</v>
      </c>
      <c r="E34" s="49">
        <v>30</v>
      </c>
      <c r="F34" s="85">
        <v>45882</v>
      </c>
      <c r="G34" s="86">
        <v>0.375</v>
      </c>
      <c r="H34" s="85">
        <v>45879</v>
      </c>
      <c r="I34" s="86">
        <v>0.91666666666666663</v>
      </c>
      <c r="J34" s="87">
        <f t="shared" si="0"/>
        <v>-90</v>
      </c>
      <c r="K34" s="8">
        <v>1</v>
      </c>
      <c r="L34" s="87">
        <v>120</v>
      </c>
      <c r="M34" s="8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8" t="s">
        <v>60</v>
      </c>
      <c r="B35" s="90" t="s">
        <v>36</v>
      </c>
      <c r="C35" s="85" t="s">
        <v>71</v>
      </c>
      <c r="D35" s="84">
        <v>1</v>
      </c>
      <c r="E35" s="49">
        <v>30</v>
      </c>
      <c r="F35" s="85">
        <v>45882</v>
      </c>
      <c r="G35" s="86">
        <v>0.375</v>
      </c>
      <c r="H35" s="85">
        <v>45879</v>
      </c>
      <c r="I35" s="86">
        <v>0.46527777777777779</v>
      </c>
      <c r="J35" s="87">
        <f t="shared" si="0"/>
        <v>5</v>
      </c>
      <c r="K35" s="8">
        <v>1</v>
      </c>
      <c r="L35" s="87">
        <v>25</v>
      </c>
      <c r="M35" s="8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8" t="s">
        <v>73</v>
      </c>
      <c r="B36" s="90" t="s">
        <v>74</v>
      </c>
      <c r="C36" s="85" t="s">
        <v>71</v>
      </c>
      <c r="D36" s="84">
        <v>1</v>
      </c>
      <c r="E36" s="49">
        <v>70</v>
      </c>
      <c r="F36" s="85">
        <v>45882</v>
      </c>
      <c r="G36" s="86">
        <v>0.375</v>
      </c>
      <c r="H36" s="85">
        <v>45880</v>
      </c>
      <c r="I36" s="86">
        <v>0.83333333333333337</v>
      </c>
      <c r="J36" s="87">
        <f t="shared" si="0"/>
        <v>-50</v>
      </c>
      <c r="K36" s="8">
        <v>1</v>
      </c>
      <c r="L36" s="87">
        <v>120</v>
      </c>
      <c r="M36" s="8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8" t="s">
        <v>76</v>
      </c>
      <c r="B37" s="85" t="s">
        <v>42</v>
      </c>
      <c r="C37" s="85" t="s">
        <v>77</v>
      </c>
      <c r="D37" s="84">
        <v>1</v>
      </c>
      <c r="E37" s="49">
        <v>50</v>
      </c>
      <c r="F37" s="85">
        <v>45882</v>
      </c>
      <c r="G37" s="86">
        <v>0.375</v>
      </c>
      <c r="H37" s="85">
        <v>45880</v>
      </c>
      <c r="I37" s="86">
        <v>0.91666666666666663</v>
      </c>
      <c r="J37" s="87">
        <f t="shared" si="0"/>
        <v>-70</v>
      </c>
      <c r="K37" s="8">
        <v>1</v>
      </c>
      <c r="L37" s="87">
        <v>120</v>
      </c>
      <c r="M37" s="8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8" t="s">
        <v>79</v>
      </c>
      <c r="B38" s="85" t="s">
        <v>36</v>
      </c>
      <c r="C38" s="85" t="s">
        <v>80</v>
      </c>
      <c r="D38" s="84">
        <v>1</v>
      </c>
      <c r="E38" s="49">
        <v>45</v>
      </c>
      <c r="F38" s="85">
        <v>45882</v>
      </c>
      <c r="G38" s="86">
        <v>0.375</v>
      </c>
      <c r="H38" s="85">
        <v>45880</v>
      </c>
      <c r="I38" s="86">
        <v>0.9375</v>
      </c>
      <c r="J38" s="87">
        <f t="shared" si="0"/>
        <v>-35</v>
      </c>
      <c r="K38" s="8">
        <v>1</v>
      </c>
      <c r="L38" s="87">
        <v>80</v>
      </c>
      <c r="M38" s="8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8" t="s">
        <v>82</v>
      </c>
      <c r="B39" s="85" t="s">
        <v>30</v>
      </c>
      <c r="C39" s="85" t="s">
        <v>83</v>
      </c>
      <c r="D39" s="84">
        <v>1</v>
      </c>
      <c r="E39" s="49">
        <v>50</v>
      </c>
      <c r="F39" s="85">
        <v>45882</v>
      </c>
      <c r="G39" s="86">
        <v>0.375</v>
      </c>
      <c r="H39" s="85">
        <v>45880</v>
      </c>
      <c r="I39" s="86">
        <v>0.95833333333333337</v>
      </c>
      <c r="J39" s="87">
        <f t="shared" si="0"/>
        <v>-4</v>
      </c>
      <c r="K39" s="8">
        <v>1</v>
      </c>
      <c r="L39" s="87">
        <v>54</v>
      </c>
      <c r="M39" s="8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8" t="s">
        <v>85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45882</v>
      </c>
      <c r="G40" s="86">
        <v>0.375</v>
      </c>
      <c r="H40" s="85">
        <v>45880</v>
      </c>
      <c r="I40" s="86">
        <v>0.95833333333333337</v>
      </c>
      <c r="J40" s="87">
        <f t="shared" si="0"/>
        <v>10</v>
      </c>
      <c r="K40" s="8">
        <v>1</v>
      </c>
      <c r="L40" s="87">
        <v>50</v>
      </c>
      <c r="M40" s="8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8" t="s">
        <v>88</v>
      </c>
      <c r="B41" s="85" t="s">
        <v>21</v>
      </c>
      <c r="C41" s="85" t="s">
        <v>86</v>
      </c>
      <c r="D41" s="84">
        <v>1</v>
      </c>
      <c r="E41" s="49">
        <v>55</v>
      </c>
      <c r="F41" s="85">
        <v>45882</v>
      </c>
      <c r="G41" s="86">
        <v>0.375</v>
      </c>
      <c r="H41" s="85">
        <v>45880</v>
      </c>
      <c r="I41" s="86">
        <v>0.95833333333333337</v>
      </c>
      <c r="J41" s="87">
        <f t="shared" si="0"/>
        <v>0</v>
      </c>
      <c r="K41" s="8">
        <v>1</v>
      </c>
      <c r="L41" s="87">
        <v>55</v>
      </c>
      <c r="M41" s="8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8" t="s">
        <v>146</v>
      </c>
      <c r="B42" s="85" t="s">
        <v>30</v>
      </c>
      <c r="C42" s="85" t="s">
        <v>83</v>
      </c>
      <c r="D42" s="84">
        <v>1</v>
      </c>
      <c r="E42" s="49">
        <v>60</v>
      </c>
      <c r="F42" s="85">
        <v>45882</v>
      </c>
      <c r="G42" s="86">
        <v>0.375</v>
      </c>
      <c r="H42" s="85">
        <v>45880</v>
      </c>
      <c r="I42" s="86">
        <v>0.875</v>
      </c>
      <c r="J42" s="87">
        <f>E42-L42</f>
        <v>-6</v>
      </c>
      <c r="K42" s="8">
        <v>1</v>
      </c>
      <c r="L42" s="87">
        <v>66</v>
      </c>
      <c r="M42" s="8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8" t="s">
        <v>146</v>
      </c>
      <c r="B43" s="85" t="s">
        <v>21</v>
      </c>
      <c r="C43" s="85" t="s">
        <v>86</v>
      </c>
      <c r="D43" s="84">
        <v>1</v>
      </c>
      <c r="E43" s="49">
        <v>60</v>
      </c>
      <c r="F43" s="85">
        <v>45882</v>
      </c>
      <c r="G43" s="86">
        <v>0.375</v>
      </c>
      <c r="H43" s="85">
        <v>45880</v>
      </c>
      <c r="I43" s="86">
        <v>0.875</v>
      </c>
      <c r="J43" s="87">
        <f>E43-L43</f>
        <v>-6</v>
      </c>
      <c r="K43" s="8">
        <v>1</v>
      </c>
      <c r="L43" s="87">
        <v>66</v>
      </c>
      <c r="M43" s="8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8" t="s">
        <v>146</v>
      </c>
      <c r="B44" s="85" t="s">
        <v>39</v>
      </c>
      <c r="C44" s="85" t="s">
        <v>150</v>
      </c>
      <c r="D44" s="84">
        <v>1</v>
      </c>
      <c r="E44" s="49">
        <v>60</v>
      </c>
      <c r="F44" s="85">
        <v>45882</v>
      </c>
      <c r="G44" s="86">
        <v>0.375</v>
      </c>
      <c r="H44" s="85">
        <v>45880</v>
      </c>
      <c r="I44" s="86">
        <v>0.875</v>
      </c>
      <c r="J44" s="87">
        <f>E44-L44</f>
        <v>-6</v>
      </c>
      <c r="K44" s="8">
        <v>1</v>
      </c>
      <c r="L44" s="87">
        <v>66</v>
      </c>
      <c r="M44" s="8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8" t="s">
        <v>146</v>
      </c>
      <c r="B45" s="85" t="s">
        <v>136</v>
      </c>
      <c r="C45" s="85" t="s">
        <v>151</v>
      </c>
      <c r="D45" s="84">
        <v>1</v>
      </c>
      <c r="E45" s="49">
        <v>60</v>
      </c>
      <c r="F45" s="85">
        <v>45882</v>
      </c>
      <c r="G45" s="86">
        <v>0.375</v>
      </c>
      <c r="H45" s="85">
        <v>45880</v>
      </c>
      <c r="I45" s="86">
        <v>0.875</v>
      </c>
      <c r="J45" s="87">
        <f>E45-L45</f>
        <v>-6</v>
      </c>
      <c r="K45" s="8">
        <v>1</v>
      </c>
      <c r="L45" s="87">
        <v>66</v>
      </c>
      <c r="M45" s="8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8" t="s">
        <v>146</v>
      </c>
      <c r="B46" s="85" t="s">
        <v>42</v>
      </c>
      <c r="C46" s="85" t="s">
        <v>77</v>
      </c>
      <c r="D46" s="84">
        <v>1</v>
      </c>
      <c r="E46" s="49">
        <v>60</v>
      </c>
      <c r="F46" s="85">
        <v>45882</v>
      </c>
      <c r="G46" s="86">
        <v>0.375</v>
      </c>
      <c r="H46" s="85">
        <v>45880</v>
      </c>
      <c r="I46" s="86">
        <v>0.875</v>
      </c>
      <c r="J46" s="87">
        <f>E46-L46</f>
        <v>-6</v>
      </c>
      <c r="K46" s="8">
        <v>1</v>
      </c>
      <c r="L46" s="87">
        <v>66</v>
      </c>
      <c r="M46" s="8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8" t="s">
        <v>146</v>
      </c>
      <c r="B47" s="85" t="s">
        <v>36</v>
      </c>
      <c r="C47" s="85" t="s">
        <v>80</v>
      </c>
      <c r="D47" s="84">
        <v>1</v>
      </c>
      <c r="E47" s="49">
        <v>60</v>
      </c>
      <c r="F47" s="85">
        <v>45882</v>
      </c>
      <c r="G47" s="86">
        <v>0.375</v>
      </c>
      <c r="H47" s="85">
        <v>45880</v>
      </c>
      <c r="I47" s="86">
        <v>0.875</v>
      </c>
      <c r="J47" s="87">
        <f t="shared" si="0"/>
        <v>-6</v>
      </c>
      <c r="K47" s="8">
        <v>1</v>
      </c>
      <c r="L47" s="87">
        <v>66</v>
      </c>
      <c r="M47" s="8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8" t="s">
        <v>147</v>
      </c>
      <c r="B48" s="85" t="s">
        <v>30</v>
      </c>
      <c r="C48" s="85" t="s">
        <v>83</v>
      </c>
      <c r="D48" s="84">
        <v>1</v>
      </c>
      <c r="E48" s="49">
        <v>30</v>
      </c>
      <c r="F48" s="85">
        <v>45882</v>
      </c>
      <c r="G48" s="86">
        <v>0.375</v>
      </c>
      <c r="H48" s="85">
        <v>45880</v>
      </c>
      <c r="I48" s="86">
        <v>0.95833333333333337</v>
      </c>
      <c r="J48" s="87">
        <f t="shared" si="0"/>
        <v>5</v>
      </c>
      <c r="K48" s="8">
        <v>1</v>
      </c>
      <c r="L48" s="87">
        <v>25</v>
      </c>
      <c r="M48" s="8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8" t="s">
        <v>90</v>
      </c>
      <c r="B49" s="85" t="s">
        <v>42</v>
      </c>
      <c r="C49" s="85" t="s">
        <v>77</v>
      </c>
      <c r="D49" s="84">
        <v>1</v>
      </c>
      <c r="E49" s="49">
        <v>20</v>
      </c>
      <c r="F49" s="85">
        <v>45882</v>
      </c>
      <c r="G49" s="86">
        <v>0.375</v>
      </c>
      <c r="H49" s="85">
        <v>45880</v>
      </c>
      <c r="I49" s="86">
        <v>0.95833333333333337</v>
      </c>
      <c r="J49" s="87">
        <f t="shared" si="0"/>
        <v>0</v>
      </c>
      <c r="K49" s="8">
        <v>1</v>
      </c>
      <c r="L49" s="87">
        <v>20</v>
      </c>
      <c r="M49" s="8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02" t="s">
        <v>92</v>
      </c>
      <c r="B50" s="85" t="s">
        <v>140</v>
      </c>
      <c r="C50" s="85" t="s">
        <v>22</v>
      </c>
      <c r="D50" s="84">
        <v>1</v>
      </c>
      <c r="E50" s="49">
        <v>30</v>
      </c>
      <c r="F50" s="85">
        <v>45896</v>
      </c>
      <c r="G50" s="86">
        <v>0.375</v>
      </c>
      <c r="H50" s="85">
        <v>45890</v>
      </c>
      <c r="I50" s="86">
        <v>0.8125</v>
      </c>
      <c r="J50" s="87">
        <f>E50-L50</f>
        <v>5</v>
      </c>
      <c r="K50" s="8">
        <v>1</v>
      </c>
      <c r="L50" s="87">
        <v>25</v>
      </c>
      <c r="M50" s="8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03" t="s">
        <v>92</v>
      </c>
      <c r="B51" s="85" t="s">
        <v>139</v>
      </c>
      <c r="C51" s="85" t="s">
        <v>34</v>
      </c>
      <c r="D51" s="84">
        <v>1</v>
      </c>
      <c r="E51" s="49">
        <v>30</v>
      </c>
      <c r="F51" s="85">
        <v>45896</v>
      </c>
      <c r="G51" s="86">
        <v>0.375</v>
      </c>
      <c r="H51" s="85">
        <v>45890</v>
      </c>
      <c r="I51" s="86">
        <v>0.8125</v>
      </c>
      <c r="J51" s="87">
        <f t="shared" si="0"/>
        <v>5</v>
      </c>
      <c r="K51" s="8">
        <v>1</v>
      </c>
      <c r="L51" s="87">
        <v>25</v>
      </c>
      <c r="M51" s="8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8" t="s">
        <v>144</v>
      </c>
      <c r="B52" s="85" t="s">
        <v>30</v>
      </c>
      <c r="C52" s="85" t="s">
        <v>31</v>
      </c>
      <c r="D52" s="84">
        <v>1</v>
      </c>
      <c r="E52" s="8">
        <v>30</v>
      </c>
      <c r="F52" s="85">
        <v>45882</v>
      </c>
      <c r="G52" s="86">
        <v>0.375</v>
      </c>
      <c r="H52" s="85">
        <v>45890</v>
      </c>
      <c r="I52" s="86">
        <v>0.83333333333333337</v>
      </c>
      <c r="J52" s="87">
        <f t="shared" si="0"/>
        <v>0</v>
      </c>
      <c r="K52" s="8">
        <v>1</v>
      </c>
      <c r="L52" s="87">
        <v>30</v>
      </c>
      <c r="M52" s="8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85" t="s">
        <v>139</v>
      </c>
      <c r="C53" s="85" t="s">
        <v>34</v>
      </c>
      <c r="D53" s="84">
        <v>3</v>
      </c>
      <c r="E53" s="49">
        <v>60</v>
      </c>
      <c r="F53" s="85">
        <v>45896</v>
      </c>
      <c r="G53" s="86">
        <v>0.375</v>
      </c>
      <c r="H53" s="85">
        <v>45890</v>
      </c>
      <c r="I53" s="86">
        <v>0.85416666666666663</v>
      </c>
      <c r="J53" s="87">
        <f>E53-L53</f>
        <v>0</v>
      </c>
      <c r="K53" s="8">
        <v>3</v>
      </c>
      <c r="L53" s="87">
        <v>60</v>
      </c>
      <c r="M53" s="8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85" t="s">
        <v>21</v>
      </c>
      <c r="C54" s="85" t="s">
        <v>22</v>
      </c>
      <c r="D54" s="84">
        <v>3</v>
      </c>
      <c r="E54" s="49">
        <v>60</v>
      </c>
      <c r="F54" s="85">
        <v>45896</v>
      </c>
      <c r="G54" s="86">
        <v>0.375</v>
      </c>
      <c r="H54" s="85">
        <v>45890</v>
      </c>
      <c r="I54" s="86">
        <v>0.85416666666666663</v>
      </c>
      <c r="J54" s="87">
        <f t="shared" si="0"/>
        <v>0</v>
      </c>
      <c r="K54" s="8">
        <v>3</v>
      </c>
      <c r="L54" s="87">
        <v>60</v>
      </c>
      <c r="M54" s="8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85" t="s">
        <v>21</v>
      </c>
      <c r="C55" s="85" t="s">
        <v>22</v>
      </c>
      <c r="D55" s="84">
        <v>1</v>
      </c>
      <c r="E55" s="49">
        <v>30</v>
      </c>
      <c r="F55" s="85">
        <v>45896</v>
      </c>
      <c r="G55" s="86">
        <v>0.375</v>
      </c>
      <c r="H55" s="85">
        <v>45890</v>
      </c>
      <c r="I55" s="86">
        <v>0.875</v>
      </c>
      <c r="J55" s="87">
        <f>E55-L55</f>
        <v>0</v>
      </c>
      <c r="K55" s="8">
        <v>1</v>
      </c>
      <c r="L55" s="87">
        <v>30</v>
      </c>
      <c r="M55" s="8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85" t="s">
        <v>139</v>
      </c>
      <c r="C56" s="85" t="s">
        <v>34</v>
      </c>
      <c r="D56" s="84">
        <v>1</v>
      </c>
      <c r="E56" s="49">
        <v>30</v>
      </c>
      <c r="F56" s="85">
        <v>45896</v>
      </c>
      <c r="G56" s="86">
        <v>0.375</v>
      </c>
      <c r="H56" s="85">
        <v>45890</v>
      </c>
      <c r="I56" s="86">
        <v>0.875</v>
      </c>
      <c r="J56" s="87">
        <f t="shared" si="0"/>
        <v>0</v>
      </c>
      <c r="K56" s="8">
        <v>1</v>
      </c>
      <c r="L56" s="87">
        <v>30</v>
      </c>
      <c r="M56" s="8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8" t="s">
        <v>97</v>
      </c>
      <c r="B57" s="85" t="s">
        <v>21</v>
      </c>
      <c r="C57" s="85" t="s">
        <v>22</v>
      </c>
      <c r="D57" s="84">
        <v>1</v>
      </c>
      <c r="E57" s="49">
        <v>20</v>
      </c>
      <c r="F57" s="85">
        <v>45896</v>
      </c>
      <c r="G57" s="86">
        <v>0.375</v>
      </c>
      <c r="H57" s="85">
        <v>45890</v>
      </c>
      <c r="I57" s="86">
        <v>0.88888888888888884</v>
      </c>
      <c r="J57" s="87">
        <f>E57-L57</f>
        <v>0</v>
      </c>
      <c r="K57" s="8">
        <v>1</v>
      </c>
      <c r="L57" s="87">
        <v>20</v>
      </c>
      <c r="M57" s="8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8" t="s">
        <v>97</v>
      </c>
      <c r="B58" s="85" t="s">
        <v>139</v>
      </c>
      <c r="C58" s="85" t="s">
        <v>34</v>
      </c>
      <c r="D58" s="84">
        <v>1</v>
      </c>
      <c r="E58" s="49">
        <v>20</v>
      </c>
      <c r="F58" s="85">
        <v>45896</v>
      </c>
      <c r="G58" s="86">
        <v>0.375</v>
      </c>
      <c r="H58" s="85">
        <v>45890</v>
      </c>
      <c r="I58" s="86">
        <v>0.88888888888888884</v>
      </c>
      <c r="J58" s="87">
        <f t="shared" si="0"/>
        <v>0</v>
      </c>
      <c r="K58" s="8">
        <v>1</v>
      </c>
      <c r="L58" s="87">
        <v>20</v>
      </c>
      <c r="M58" s="8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8" t="s">
        <v>99</v>
      </c>
      <c r="B59" s="85" t="s">
        <v>21</v>
      </c>
      <c r="C59" s="85" t="s">
        <v>22</v>
      </c>
      <c r="D59" s="49">
        <v>1</v>
      </c>
      <c r="E59" s="5">
        <v>20</v>
      </c>
      <c r="F59" s="85">
        <v>45896</v>
      </c>
      <c r="G59" s="86">
        <v>0.375</v>
      </c>
      <c r="H59" s="85">
        <v>45890</v>
      </c>
      <c r="I59" s="86">
        <v>0.90277777777777779</v>
      </c>
      <c r="J59" s="87">
        <f>E59-L59</f>
        <v>2</v>
      </c>
      <c r="K59" s="8">
        <v>1</v>
      </c>
      <c r="L59" s="87">
        <v>18</v>
      </c>
      <c r="M59" s="8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8" t="s">
        <v>99</v>
      </c>
      <c r="B60" s="85" t="s">
        <v>139</v>
      </c>
      <c r="C60" s="85" t="s">
        <v>34</v>
      </c>
      <c r="D60" s="49">
        <v>1</v>
      </c>
      <c r="E60" s="8">
        <v>20</v>
      </c>
      <c r="F60" s="85">
        <v>45896</v>
      </c>
      <c r="G60" s="86">
        <v>0.375</v>
      </c>
      <c r="H60" s="85">
        <v>45890</v>
      </c>
      <c r="I60" s="86">
        <v>0.90277777777777779</v>
      </c>
      <c r="J60" s="87">
        <f t="shared" si="0"/>
        <v>2</v>
      </c>
      <c r="K60" s="8">
        <v>1</v>
      </c>
      <c r="L60" s="87">
        <v>18</v>
      </c>
      <c r="M60" s="8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85" t="s">
        <v>21</v>
      </c>
      <c r="C61" s="85" t="s">
        <v>22</v>
      </c>
      <c r="D61" s="49">
        <v>1</v>
      </c>
      <c r="E61" s="49">
        <v>20</v>
      </c>
      <c r="F61" s="85">
        <v>45896</v>
      </c>
      <c r="G61" s="86">
        <v>0.375</v>
      </c>
      <c r="H61" s="85">
        <v>45890</v>
      </c>
      <c r="I61" s="86">
        <v>0.91666666666666663</v>
      </c>
      <c r="J61" s="87">
        <f>E61-L61</f>
        <v>1</v>
      </c>
      <c r="K61" s="8">
        <v>1</v>
      </c>
      <c r="L61" s="87">
        <v>19</v>
      </c>
      <c r="M61" s="8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85" t="s">
        <v>136</v>
      </c>
      <c r="C62" s="85" t="s">
        <v>34</v>
      </c>
      <c r="D62" s="49">
        <v>1</v>
      </c>
      <c r="E62" s="49">
        <v>20</v>
      </c>
      <c r="F62" s="85">
        <v>45896</v>
      </c>
      <c r="G62" s="86">
        <v>0.375</v>
      </c>
      <c r="H62" s="85">
        <v>45890</v>
      </c>
      <c r="I62" s="86">
        <v>0.91666666666666663</v>
      </c>
      <c r="J62" s="87">
        <f t="shared" si="0"/>
        <v>1</v>
      </c>
      <c r="K62" s="8">
        <v>1</v>
      </c>
      <c r="L62" s="87">
        <v>19</v>
      </c>
      <c r="M62" s="8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8" t="s">
        <v>103</v>
      </c>
      <c r="B63" s="85" t="s">
        <v>21</v>
      </c>
      <c r="C63" s="85" t="s">
        <v>22</v>
      </c>
      <c r="D63" s="49">
        <v>1</v>
      </c>
      <c r="E63" s="49">
        <v>30</v>
      </c>
      <c r="F63" s="85">
        <v>45896</v>
      </c>
      <c r="G63" s="86">
        <v>0.375</v>
      </c>
      <c r="H63" s="85">
        <v>45890</v>
      </c>
      <c r="I63" s="86">
        <v>0.9375</v>
      </c>
      <c r="J63" s="87">
        <f>E63-L63</f>
        <v>5</v>
      </c>
      <c r="K63" s="8">
        <v>1</v>
      </c>
      <c r="L63" s="87">
        <v>25</v>
      </c>
      <c r="M63" s="8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8" t="s">
        <v>103</v>
      </c>
      <c r="B64" s="85" t="s">
        <v>136</v>
      </c>
      <c r="C64" s="85" t="s">
        <v>34</v>
      </c>
      <c r="D64" s="49">
        <v>1</v>
      </c>
      <c r="E64" s="49">
        <v>30</v>
      </c>
      <c r="F64" s="85">
        <v>45896</v>
      </c>
      <c r="G64" s="86">
        <v>0.375</v>
      </c>
      <c r="H64" s="85">
        <v>45890</v>
      </c>
      <c r="I64" s="86">
        <v>0.9375</v>
      </c>
      <c r="J64" s="87">
        <f t="shared" si="0"/>
        <v>5</v>
      </c>
      <c r="K64" s="8">
        <v>1</v>
      </c>
      <c r="L64" s="87">
        <v>25</v>
      </c>
      <c r="M64" s="8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8" t="s">
        <v>105</v>
      </c>
      <c r="B65" s="85" t="s">
        <v>30</v>
      </c>
      <c r="C65" s="85" t="s">
        <v>31</v>
      </c>
      <c r="D65" s="49">
        <v>1</v>
      </c>
      <c r="E65" s="49">
        <v>30</v>
      </c>
      <c r="F65" s="85">
        <v>45896</v>
      </c>
      <c r="G65" s="86">
        <v>0.375</v>
      </c>
      <c r="H65" s="85">
        <v>45890</v>
      </c>
      <c r="I65" s="86">
        <v>0.8125</v>
      </c>
      <c r="J65" s="87">
        <f>E65-L65</f>
        <v>6</v>
      </c>
      <c r="K65" s="8">
        <v>1</v>
      </c>
      <c r="L65" s="87">
        <v>24</v>
      </c>
      <c r="M65" s="8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8" t="s">
        <v>105</v>
      </c>
      <c r="B66" s="85" t="s">
        <v>39</v>
      </c>
      <c r="C66" s="85" t="s">
        <v>40</v>
      </c>
      <c r="D66" s="49">
        <v>1</v>
      </c>
      <c r="E66" s="49">
        <v>30</v>
      </c>
      <c r="F66" s="85">
        <v>45896</v>
      </c>
      <c r="G66" s="86">
        <v>0.375</v>
      </c>
      <c r="H66" s="85">
        <v>45890</v>
      </c>
      <c r="I66" s="86">
        <v>0.8125</v>
      </c>
      <c r="J66" s="87">
        <f t="shared" si="0"/>
        <v>6</v>
      </c>
      <c r="K66" s="8">
        <v>1</v>
      </c>
      <c r="L66" s="87">
        <v>24</v>
      </c>
      <c r="M66" s="8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85" t="s">
        <v>30</v>
      </c>
      <c r="C67" s="85" t="s">
        <v>31</v>
      </c>
      <c r="D67" s="49">
        <v>1</v>
      </c>
      <c r="E67" s="49">
        <v>60</v>
      </c>
      <c r="F67" s="85">
        <v>45896</v>
      </c>
      <c r="G67" s="86">
        <v>0.375</v>
      </c>
      <c r="H67" s="85">
        <v>45890</v>
      </c>
      <c r="I67" s="86">
        <v>0.85416666666666663</v>
      </c>
      <c r="J67" s="87">
        <f>E67-L67</f>
        <v>15</v>
      </c>
      <c r="K67" s="8">
        <v>1</v>
      </c>
      <c r="L67" s="87">
        <v>45</v>
      </c>
      <c r="M67" s="8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85" t="s">
        <v>39</v>
      </c>
      <c r="C68" s="85" t="s">
        <v>40</v>
      </c>
      <c r="D68" s="49">
        <v>1</v>
      </c>
      <c r="E68" s="49">
        <v>60</v>
      </c>
      <c r="F68" s="85">
        <v>45896</v>
      </c>
      <c r="G68" s="86">
        <v>0.375</v>
      </c>
      <c r="H68" s="85">
        <v>45890</v>
      </c>
      <c r="I68" s="86">
        <v>0.85416666666666663</v>
      </c>
      <c r="J68" s="87">
        <f t="shared" si="0"/>
        <v>15</v>
      </c>
      <c r="K68" s="8">
        <v>1</v>
      </c>
      <c r="L68" s="87">
        <v>45</v>
      </c>
      <c r="M68" s="8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8" t="s">
        <v>109</v>
      </c>
      <c r="B69" s="85" t="s">
        <v>30</v>
      </c>
      <c r="C69" s="85" t="s">
        <v>31</v>
      </c>
      <c r="D69" s="49">
        <v>1</v>
      </c>
      <c r="E69" s="49">
        <v>30</v>
      </c>
      <c r="F69" s="85">
        <v>45896</v>
      </c>
      <c r="G69" s="86">
        <v>0.375</v>
      </c>
      <c r="H69" s="85">
        <v>45890</v>
      </c>
      <c r="I69" s="86">
        <v>0.875</v>
      </c>
      <c r="J69" s="87">
        <f>E69-L69</f>
        <v>10</v>
      </c>
      <c r="K69" s="8">
        <v>1</v>
      </c>
      <c r="L69" s="87">
        <v>20</v>
      </c>
      <c r="M69" s="8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8" t="s">
        <v>109</v>
      </c>
      <c r="B70" s="85" t="s">
        <v>39</v>
      </c>
      <c r="C70" s="85" t="s">
        <v>40</v>
      </c>
      <c r="D70" s="49">
        <v>1</v>
      </c>
      <c r="E70" s="49">
        <v>30</v>
      </c>
      <c r="F70" s="85">
        <v>45896</v>
      </c>
      <c r="G70" s="86">
        <v>0.375</v>
      </c>
      <c r="H70" s="85">
        <v>45890</v>
      </c>
      <c r="I70" s="86">
        <v>0.875</v>
      </c>
      <c r="J70" s="87">
        <f t="shared" si="0"/>
        <v>10</v>
      </c>
      <c r="K70" s="8">
        <v>1</v>
      </c>
      <c r="L70" s="87">
        <v>20</v>
      </c>
      <c r="M70" s="8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8" t="s">
        <v>111</v>
      </c>
      <c r="B71" s="85" t="s">
        <v>39</v>
      </c>
      <c r="C71" s="85" t="s">
        <v>142</v>
      </c>
      <c r="D71" s="49">
        <v>1</v>
      </c>
      <c r="E71" s="49">
        <v>30</v>
      </c>
      <c r="F71" s="85">
        <v>45896</v>
      </c>
      <c r="G71" s="86">
        <v>0.375</v>
      </c>
      <c r="H71" s="85">
        <v>45890</v>
      </c>
      <c r="I71" s="86">
        <v>0.89583333333333337</v>
      </c>
      <c r="J71" s="87">
        <f t="shared" si="0"/>
        <v>0</v>
      </c>
      <c r="K71" s="8">
        <v>1</v>
      </c>
      <c r="L71" s="87">
        <v>30</v>
      </c>
      <c r="M71" s="8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8" t="s">
        <v>111</v>
      </c>
      <c r="B72" s="85" t="s">
        <v>30</v>
      </c>
      <c r="C72" s="85" t="s">
        <v>31</v>
      </c>
      <c r="D72" s="49">
        <v>1</v>
      </c>
      <c r="E72" s="49">
        <v>30</v>
      </c>
      <c r="F72" s="85">
        <v>45896</v>
      </c>
      <c r="G72" s="86">
        <v>0.375</v>
      </c>
      <c r="H72" s="85">
        <v>45890</v>
      </c>
      <c r="I72" s="86">
        <v>0.89583333333333337</v>
      </c>
      <c r="J72" s="87">
        <f t="shared" ref="J72:J135" si="1">E72-L72</f>
        <v>0</v>
      </c>
      <c r="K72" s="8">
        <v>1</v>
      </c>
      <c r="L72" s="87">
        <v>30</v>
      </c>
      <c r="M72" s="8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85" t="s">
        <v>30</v>
      </c>
      <c r="C73" s="85" t="s">
        <v>31</v>
      </c>
      <c r="D73" s="49">
        <v>1</v>
      </c>
      <c r="E73" s="49">
        <v>30</v>
      </c>
      <c r="F73" s="85">
        <v>45896</v>
      </c>
      <c r="G73" s="86">
        <v>0.375</v>
      </c>
      <c r="H73" s="85">
        <v>45890</v>
      </c>
      <c r="I73" s="86">
        <v>0.91666666666666663</v>
      </c>
      <c r="J73" s="87">
        <f t="shared" si="1"/>
        <v>-2</v>
      </c>
      <c r="K73" s="8">
        <v>1</v>
      </c>
      <c r="L73" s="87">
        <v>32</v>
      </c>
      <c r="M73" s="8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85" t="s">
        <v>39</v>
      </c>
      <c r="C74" s="85" t="s">
        <v>40</v>
      </c>
      <c r="D74" s="49">
        <v>1</v>
      </c>
      <c r="E74" s="49">
        <v>30</v>
      </c>
      <c r="F74" s="85">
        <v>45896</v>
      </c>
      <c r="G74" s="86">
        <v>0.375</v>
      </c>
      <c r="H74" s="85">
        <v>45890</v>
      </c>
      <c r="I74" s="86">
        <v>0.91666666666666663</v>
      </c>
      <c r="J74" s="87">
        <f t="shared" si="1"/>
        <v>-2</v>
      </c>
      <c r="K74" s="8">
        <v>1</v>
      </c>
      <c r="L74" s="87">
        <v>32</v>
      </c>
      <c r="M74" s="8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85" t="s">
        <v>36</v>
      </c>
      <c r="C75" s="85" t="s">
        <v>37</v>
      </c>
      <c r="D75" s="49">
        <v>1</v>
      </c>
      <c r="E75" s="49">
        <v>20</v>
      </c>
      <c r="F75" s="85">
        <v>45896</v>
      </c>
      <c r="G75" s="86">
        <v>0.375</v>
      </c>
      <c r="H75" s="85">
        <v>45890</v>
      </c>
      <c r="I75" s="86">
        <v>0.80555555555555558</v>
      </c>
      <c r="J75" s="87">
        <f t="shared" si="1"/>
        <v>0</v>
      </c>
      <c r="K75" s="8">
        <v>1</v>
      </c>
      <c r="L75" s="87">
        <v>20</v>
      </c>
      <c r="M75" s="8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85" t="s">
        <v>42</v>
      </c>
      <c r="C76" s="85" t="s">
        <v>43</v>
      </c>
      <c r="D76" s="49">
        <v>1</v>
      </c>
      <c r="E76" s="49">
        <v>20</v>
      </c>
      <c r="F76" s="85">
        <v>45896</v>
      </c>
      <c r="G76" s="86">
        <v>0.375</v>
      </c>
      <c r="H76" s="85">
        <v>45890</v>
      </c>
      <c r="I76" s="86">
        <v>0.80555555555555558</v>
      </c>
      <c r="J76" s="87">
        <f t="shared" si="1"/>
        <v>0</v>
      </c>
      <c r="K76" s="8">
        <v>1</v>
      </c>
      <c r="L76" s="87">
        <v>20</v>
      </c>
      <c r="M76" s="8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85" t="s">
        <v>36</v>
      </c>
      <c r="C77" s="85" t="s">
        <v>37</v>
      </c>
      <c r="D77" s="49">
        <v>1</v>
      </c>
      <c r="E77" s="49">
        <v>20</v>
      </c>
      <c r="F77" s="85">
        <v>45896</v>
      </c>
      <c r="G77" s="86">
        <v>0.375</v>
      </c>
      <c r="H77" s="85">
        <v>45890</v>
      </c>
      <c r="I77" s="86">
        <v>0.81944444444444442</v>
      </c>
      <c r="J77" s="87">
        <f t="shared" si="1"/>
        <v>0</v>
      </c>
      <c r="K77" s="8">
        <v>1</v>
      </c>
      <c r="L77" s="87">
        <v>20</v>
      </c>
      <c r="M77" s="8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85" t="s">
        <v>42</v>
      </c>
      <c r="C78" s="85" t="s">
        <v>43</v>
      </c>
      <c r="D78" s="49">
        <v>1</v>
      </c>
      <c r="E78" s="49">
        <v>20</v>
      </c>
      <c r="F78" s="85">
        <v>45896</v>
      </c>
      <c r="G78" s="86">
        <v>0.375</v>
      </c>
      <c r="H78" s="85">
        <v>45890</v>
      </c>
      <c r="I78" s="86">
        <v>0.81944444444444442</v>
      </c>
      <c r="J78" s="87">
        <f t="shared" si="1"/>
        <v>0</v>
      </c>
      <c r="K78" s="8">
        <v>1</v>
      </c>
      <c r="L78" s="87">
        <v>20</v>
      </c>
      <c r="M78" s="8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85" t="s">
        <v>36</v>
      </c>
      <c r="C79" s="85" t="s">
        <v>37</v>
      </c>
      <c r="D79" s="49">
        <v>1</v>
      </c>
      <c r="E79" s="49">
        <v>20</v>
      </c>
      <c r="F79" s="85">
        <v>45896</v>
      </c>
      <c r="G79" s="86">
        <v>0.375</v>
      </c>
      <c r="H79" s="85">
        <v>45890</v>
      </c>
      <c r="I79" s="86">
        <v>0.83333333333333337</v>
      </c>
      <c r="J79" s="87">
        <f>E79-L79</f>
        <v>0</v>
      </c>
      <c r="K79" s="8">
        <v>1</v>
      </c>
      <c r="L79" s="87">
        <v>20</v>
      </c>
      <c r="M79" s="8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85" t="s">
        <v>42</v>
      </c>
      <c r="C80" s="85" t="s">
        <v>43</v>
      </c>
      <c r="D80" s="49">
        <v>1</v>
      </c>
      <c r="E80" s="49">
        <v>20</v>
      </c>
      <c r="F80" s="85">
        <v>45896</v>
      </c>
      <c r="G80" s="86">
        <v>0.375</v>
      </c>
      <c r="H80" s="85">
        <v>45890</v>
      </c>
      <c r="I80" s="86">
        <v>0.83333333333333337</v>
      </c>
      <c r="J80" s="87">
        <f t="shared" si="1"/>
        <v>0</v>
      </c>
      <c r="K80" s="8">
        <v>1</v>
      </c>
      <c r="L80" s="87">
        <v>20</v>
      </c>
      <c r="M80" s="8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85" t="s">
        <v>36</v>
      </c>
      <c r="C81" s="85" t="s">
        <v>37</v>
      </c>
      <c r="D81" s="49">
        <v>1</v>
      </c>
      <c r="E81" s="49">
        <v>20</v>
      </c>
      <c r="F81" s="85">
        <v>45896</v>
      </c>
      <c r="G81" s="86">
        <v>0.375</v>
      </c>
      <c r="H81" s="85">
        <v>45890</v>
      </c>
      <c r="I81" s="86">
        <v>0.84722222222222221</v>
      </c>
      <c r="J81" s="87">
        <f>E81-L81</f>
        <v>2</v>
      </c>
      <c r="K81" s="8">
        <v>1</v>
      </c>
      <c r="L81" s="87">
        <v>18</v>
      </c>
      <c r="M81" s="8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85" t="s">
        <v>42</v>
      </c>
      <c r="C82" s="85" t="s">
        <v>43</v>
      </c>
      <c r="D82" s="49">
        <v>1</v>
      </c>
      <c r="E82" s="49">
        <v>20</v>
      </c>
      <c r="F82" s="85">
        <v>45896</v>
      </c>
      <c r="G82" s="86">
        <v>0.375</v>
      </c>
      <c r="H82" s="85">
        <v>45890</v>
      </c>
      <c r="I82" s="86">
        <v>0.84722222222222221</v>
      </c>
      <c r="J82" s="87">
        <f t="shared" si="1"/>
        <v>2</v>
      </c>
      <c r="K82" s="8">
        <v>1</v>
      </c>
      <c r="L82" s="87">
        <v>18</v>
      </c>
      <c r="M82" s="8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85" t="s">
        <v>36</v>
      </c>
      <c r="C83" s="85" t="s">
        <v>37</v>
      </c>
      <c r="D83" s="49">
        <v>1</v>
      </c>
      <c r="E83" s="49">
        <v>20</v>
      </c>
      <c r="F83" s="85">
        <v>45896</v>
      </c>
      <c r="G83" s="86">
        <v>0.375</v>
      </c>
      <c r="H83" s="85">
        <v>45890</v>
      </c>
      <c r="I83" s="86">
        <v>0.86111111111111116</v>
      </c>
      <c r="J83" s="87">
        <f>E83-L83</f>
        <v>0</v>
      </c>
      <c r="K83" s="8">
        <v>1</v>
      </c>
      <c r="L83" s="8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85" t="s">
        <v>143</v>
      </c>
      <c r="C84" s="85" t="s">
        <v>43</v>
      </c>
      <c r="D84" s="49">
        <v>1</v>
      </c>
      <c r="E84" s="49">
        <v>20</v>
      </c>
      <c r="F84" s="85">
        <v>45896</v>
      </c>
      <c r="G84" s="86">
        <v>0.375</v>
      </c>
      <c r="H84" s="85">
        <v>45890</v>
      </c>
      <c r="I84" s="86">
        <v>0.86111111111111116</v>
      </c>
      <c r="J84" s="87">
        <f t="shared" si="1"/>
        <v>0</v>
      </c>
      <c r="K84" s="8">
        <v>1</v>
      </c>
      <c r="L84" s="8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85" t="s">
        <v>36</v>
      </c>
      <c r="C85" s="85" t="s">
        <v>37</v>
      </c>
      <c r="D85" s="49">
        <v>1</v>
      </c>
      <c r="E85" s="49">
        <v>20</v>
      </c>
      <c r="F85" s="85">
        <v>45896</v>
      </c>
      <c r="G85" s="86">
        <v>0.375</v>
      </c>
      <c r="H85" s="85">
        <v>45890</v>
      </c>
      <c r="I85" s="86">
        <v>0.875</v>
      </c>
      <c r="J85" s="87">
        <f>E85-L85</f>
        <v>-1</v>
      </c>
      <c r="K85" s="8">
        <v>1</v>
      </c>
      <c r="L85" s="87">
        <v>21</v>
      </c>
      <c r="M85" s="8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85" t="s">
        <v>42</v>
      </c>
      <c r="C86" s="85" t="s">
        <v>43</v>
      </c>
      <c r="D86" s="49">
        <v>1</v>
      </c>
      <c r="E86" s="49">
        <v>20</v>
      </c>
      <c r="F86" s="85">
        <v>45896</v>
      </c>
      <c r="G86" s="86">
        <v>0.375</v>
      </c>
      <c r="H86" s="85">
        <v>45890</v>
      </c>
      <c r="I86" s="86">
        <v>0.875</v>
      </c>
      <c r="J86" s="87">
        <f t="shared" si="1"/>
        <v>-1</v>
      </c>
      <c r="K86" s="8">
        <v>1</v>
      </c>
      <c r="L86" s="87">
        <v>21</v>
      </c>
      <c r="M86" s="8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85" t="s">
        <v>36</v>
      </c>
      <c r="C87" s="85" t="s">
        <v>37</v>
      </c>
      <c r="D87" s="49">
        <v>1</v>
      </c>
      <c r="E87" s="49">
        <v>30</v>
      </c>
      <c r="F87" s="85">
        <v>45896</v>
      </c>
      <c r="G87" s="86">
        <v>0.375</v>
      </c>
      <c r="H87" s="85">
        <v>45890</v>
      </c>
      <c r="I87" s="86">
        <v>0.89583333333333337</v>
      </c>
      <c r="J87" s="87">
        <f>E87-L87</f>
        <v>5</v>
      </c>
      <c r="K87" s="8">
        <v>1</v>
      </c>
      <c r="L87" s="87">
        <v>25</v>
      </c>
      <c r="M87" s="8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85" t="s">
        <v>42</v>
      </c>
      <c r="C88" s="85" t="s">
        <v>43</v>
      </c>
      <c r="D88" s="49">
        <v>1</v>
      </c>
      <c r="E88" s="49">
        <v>30</v>
      </c>
      <c r="F88" s="85">
        <v>45896</v>
      </c>
      <c r="G88" s="86">
        <v>0.375</v>
      </c>
      <c r="H88" s="85">
        <v>45890</v>
      </c>
      <c r="I88" s="86">
        <v>0.89583333333333337</v>
      </c>
      <c r="J88" s="87">
        <f t="shared" si="1"/>
        <v>5</v>
      </c>
      <c r="K88" s="8">
        <v>1</v>
      </c>
      <c r="L88" s="87">
        <v>25</v>
      </c>
      <c r="M88" s="8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85" t="s">
        <v>36</v>
      </c>
      <c r="C89" s="85" t="s">
        <v>37</v>
      </c>
      <c r="D89" s="49">
        <v>1</v>
      </c>
      <c r="E89" s="49">
        <v>30</v>
      </c>
      <c r="F89" s="85">
        <v>45896</v>
      </c>
      <c r="G89" s="86">
        <v>0.375</v>
      </c>
      <c r="H89" s="85">
        <v>45890</v>
      </c>
      <c r="I89" s="86">
        <v>0.91666666666666663</v>
      </c>
      <c r="J89" s="87">
        <f>E89-L89</f>
        <v>10</v>
      </c>
      <c r="K89" s="8">
        <v>1</v>
      </c>
      <c r="L89" s="87">
        <v>20</v>
      </c>
      <c r="M89" s="8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85" t="s">
        <v>42</v>
      </c>
      <c r="C90" s="85" t="s">
        <v>43</v>
      </c>
      <c r="D90" s="49">
        <v>1</v>
      </c>
      <c r="E90" s="49">
        <v>30</v>
      </c>
      <c r="F90" s="85">
        <v>45896</v>
      </c>
      <c r="G90" s="86">
        <v>0.375</v>
      </c>
      <c r="H90" s="85">
        <v>45890</v>
      </c>
      <c r="I90" s="86">
        <v>0.91666666666666663</v>
      </c>
      <c r="J90" s="87">
        <f t="shared" si="1"/>
        <v>10</v>
      </c>
      <c r="K90" s="8">
        <v>1</v>
      </c>
      <c r="L90" s="87">
        <v>20</v>
      </c>
      <c r="M90" s="8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8" t="s">
        <v>146</v>
      </c>
      <c r="B91" s="85" t="s">
        <v>30</v>
      </c>
      <c r="C91" s="85" t="s">
        <v>83</v>
      </c>
      <c r="D91" s="84">
        <v>1</v>
      </c>
      <c r="E91" s="49">
        <v>60</v>
      </c>
      <c r="F91" s="85">
        <v>45896</v>
      </c>
      <c r="G91" s="86">
        <v>0.375</v>
      </c>
      <c r="H91" s="85">
        <v>45890</v>
      </c>
      <c r="I91" s="86">
        <v>0.91666666666666663</v>
      </c>
      <c r="J91" s="87">
        <f>E91-L91</f>
        <v>50</v>
      </c>
      <c r="K91" s="8">
        <v>1</v>
      </c>
      <c r="L91" s="87">
        <v>10</v>
      </c>
      <c r="M91" s="8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8" t="s">
        <v>146</v>
      </c>
      <c r="B92" s="85" t="s">
        <v>42</v>
      </c>
      <c r="C92" s="85" t="s">
        <v>77</v>
      </c>
      <c r="D92" s="84">
        <v>1</v>
      </c>
      <c r="E92" s="49">
        <v>60</v>
      </c>
      <c r="F92" s="85">
        <v>45896</v>
      </c>
      <c r="G92" s="86">
        <v>0.375</v>
      </c>
      <c r="H92" s="85">
        <v>45890</v>
      </c>
      <c r="I92" s="86">
        <v>0.91666666666666663</v>
      </c>
      <c r="J92" s="87">
        <f>E92-L92</f>
        <v>50</v>
      </c>
      <c r="K92" s="8">
        <v>1</v>
      </c>
      <c r="L92" s="87">
        <v>10</v>
      </c>
      <c r="M92" s="8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8" t="s">
        <v>146</v>
      </c>
      <c r="B93" s="85" t="s">
        <v>21</v>
      </c>
      <c r="C93" s="85" t="s">
        <v>86</v>
      </c>
      <c r="D93" s="84">
        <v>1</v>
      </c>
      <c r="E93" s="49">
        <v>60</v>
      </c>
      <c r="F93" s="85">
        <v>45896</v>
      </c>
      <c r="G93" s="86">
        <v>0.375</v>
      </c>
      <c r="H93" s="85">
        <v>45890</v>
      </c>
      <c r="I93" s="86">
        <v>0.91666666666666663</v>
      </c>
      <c r="J93" s="87">
        <f>E93-L93</f>
        <v>50</v>
      </c>
      <c r="K93" s="8">
        <v>1</v>
      </c>
      <c r="L93" s="87">
        <v>10</v>
      </c>
      <c r="M93" s="8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8" t="s">
        <v>146</v>
      </c>
      <c r="B94" s="85" t="s">
        <v>136</v>
      </c>
      <c r="C94" s="85" t="s">
        <v>151</v>
      </c>
      <c r="D94" s="84">
        <v>1</v>
      </c>
      <c r="E94" s="49">
        <v>60</v>
      </c>
      <c r="F94" s="85">
        <v>45896</v>
      </c>
      <c r="G94" s="86">
        <v>0.375</v>
      </c>
      <c r="H94" s="85">
        <v>45890</v>
      </c>
      <c r="I94" s="86">
        <v>0.91666666666666663</v>
      </c>
      <c r="J94" s="87">
        <f>E94-L94</f>
        <v>50</v>
      </c>
      <c r="K94" s="8">
        <v>1</v>
      </c>
      <c r="L94" s="87">
        <v>10</v>
      </c>
      <c r="M94" s="8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8" t="s">
        <v>146</v>
      </c>
      <c r="B95" s="85" t="s">
        <v>36</v>
      </c>
      <c r="C95" s="85" t="s">
        <v>80</v>
      </c>
      <c r="D95" s="84">
        <v>1</v>
      </c>
      <c r="E95" s="49">
        <v>60</v>
      </c>
      <c r="F95" s="85">
        <v>45882</v>
      </c>
      <c r="G95" s="86">
        <v>0.375</v>
      </c>
      <c r="H95" s="85">
        <v>45890</v>
      </c>
      <c r="I95" s="86">
        <v>0.91666666666666663</v>
      </c>
      <c r="J95" s="87">
        <f>E95-L95</f>
        <v>50</v>
      </c>
      <c r="K95" s="8">
        <v>1</v>
      </c>
      <c r="L95" s="87">
        <v>10</v>
      </c>
      <c r="M95" s="8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8" t="s">
        <v>146</v>
      </c>
      <c r="B96" s="85" t="s">
        <v>39</v>
      </c>
      <c r="C96" s="85" t="s">
        <v>150</v>
      </c>
      <c r="D96" s="84">
        <v>1</v>
      </c>
      <c r="E96" s="49">
        <v>60</v>
      </c>
      <c r="F96" s="85">
        <v>45896</v>
      </c>
      <c r="G96" s="86">
        <v>0.375</v>
      </c>
      <c r="H96" s="85">
        <v>45890</v>
      </c>
      <c r="I96" s="86">
        <v>0.91666666666666663</v>
      </c>
      <c r="J96" s="87">
        <f t="shared" si="1"/>
        <v>50</v>
      </c>
      <c r="K96" s="8">
        <v>1</v>
      </c>
      <c r="L96" s="87">
        <v>10</v>
      </c>
      <c r="M96" s="8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8" t="s">
        <v>52</v>
      </c>
      <c r="B97" s="85" t="s">
        <v>21</v>
      </c>
      <c r="C97" s="85" t="s">
        <v>22</v>
      </c>
      <c r="D97" s="84">
        <v>1</v>
      </c>
      <c r="E97" s="49">
        <v>30</v>
      </c>
      <c r="F97" s="85">
        <v>45896</v>
      </c>
      <c r="G97" s="86">
        <v>0.375</v>
      </c>
      <c r="H97" s="85">
        <v>45890</v>
      </c>
      <c r="I97" s="86">
        <v>0.91666666666666663</v>
      </c>
      <c r="J97" s="87">
        <f t="shared" si="1"/>
        <v>0</v>
      </c>
      <c r="K97" s="8">
        <v>1</v>
      </c>
      <c r="L97" s="87">
        <v>30</v>
      </c>
      <c r="M97" s="8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8" t="s">
        <v>153</v>
      </c>
      <c r="B98" s="85" t="s">
        <v>36</v>
      </c>
      <c r="C98" s="85" t="s">
        <v>37</v>
      </c>
      <c r="D98" s="84">
        <v>1</v>
      </c>
      <c r="E98" s="5">
        <v>30</v>
      </c>
      <c r="F98" s="85">
        <v>45896</v>
      </c>
      <c r="G98" s="86">
        <v>0.375</v>
      </c>
      <c r="H98" s="85">
        <v>45890</v>
      </c>
      <c r="I98" s="86">
        <v>0.91666666666666663</v>
      </c>
      <c r="J98" s="87">
        <f t="shared" si="1"/>
        <v>0</v>
      </c>
      <c r="K98" s="8">
        <v>1</v>
      </c>
      <c r="L98" s="87">
        <v>30</v>
      </c>
      <c r="M98" s="8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8" t="s">
        <v>79</v>
      </c>
      <c r="B99" s="85" t="s">
        <v>36</v>
      </c>
      <c r="C99" s="85" t="s">
        <v>80</v>
      </c>
      <c r="D99" s="84">
        <v>1</v>
      </c>
      <c r="E99" s="49">
        <v>45</v>
      </c>
      <c r="F99" s="85">
        <v>45896</v>
      </c>
      <c r="G99" s="86">
        <v>0.375</v>
      </c>
      <c r="H99" s="85">
        <v>45890</v>
      </c>
      <c r="I99" s="86">
        <v>0.9375</v>
      </c>
      <c r="J99" s="87">
        <f t="shared" si="1"/>
        <v>-35</v>
      </c>
      <c r="K99" s="8">
        <v>1</v>
      </c>
      <c r="L99" s="87">
        <v>80</v>
      </c>
      <c r="M99" s="8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8" t="s">
        <v>85</v>
      </c>
      <c r="B100" s="85" t="s">
        <v>21</v>
      </c>
      <c r="C100" s="85" t="s">
        <v>86</v>
      </c>
      <c r="D100" s="84">
        <v>1</v>
      </c>
      <c r="E100" s="49">
        <v>60</v>
      </c>
      <c r="F100" s="85">
        <v>45896</v>
      </c>
      <c r="G100" s="86">
        <v>0.375</v>
      </c>
      <c r="H100" s="85">
        <v>45890</v>
      </c>
      <c r="I100" s="86">
        <v>0.9375</v>
      </c>
      <c r="J100" s="87">
        <f t="shared" si="1"/>
        <v>10</v>
      </c>
      <c r="K100" s="8">
        <v>1</v>
      </c>
      <c r="L100" s="87">
        <v>50</v>
      </c>
      <c r="M100" s="8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8" t="s">
        <v>88</v>
      </c>
      <c r="B101" s="85" t="s">
        <v>21</v>
      </c>
      <c r="C101" s="85" t="s">
        <v>86</v>
      </c>
      <c r="D101" s="84">
        <v>1</v>
      </c>
      <c r="E101" s="49">
        <v>55</v>
      </c>
      <c r="F101" s="85">
        <v>45896</v>
      </c>
      <c r="G101" s="86">
        <v>0.375</v>
      </c>
      <c r="H101" s="85">
        <v>45890</v>
      </c>
      <c r="I101" s="86">
        <v>0.9375</v>
      </c>
      <c r="J101" s="87">
        <f t="shared" si="1"/>
        <v>0</v>
      </c>
      <c r="K101" s="8">
        <v>1</v>
      </c>
      <c r="L101" s="87">
        <v>55</v>
      </c>
      <c r="M101" s="8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85" t="s">
        <v>36</v>
      </c>
      <c r="C102" s="85" t="s">
        <v>37</v>
      </c>
      <c r="D102" s="49">
        <v>1</v>
      </c>
      <c r="E102" s="49">
        <v>30</v>
      </c>
      <c r="F102" s="85">
        <v>45896</v>
      </c>
      <c r="G102" s="86">
        <v>0.375</v>
      </c>
      <c r="H102" s="85">
        <v>45894</v>
      </c>
      <c r="I102" s="86">
        <v>0.9375</v>
      </c>
      <c r="J102" s="87">
        <f>E102-L102</f>
        <v>-2</v>
      </c>
      <c r="K102" s="8">
        <v>1</v>
      </c>
      <c r="L102" s="87">
        <v>32</v>
      </c>
      <c r="M102" s="8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85" t="s">
        <v>42</v>
      </c>
      <c r="C103" s="85" t="s">
        <v>43</v>
      </c>
      <c r="D103" s="49">
        <v>1</v>
      </c>
      <c r="E103" s="49">
        <v>30</v>
      </c>
      <c r="F103" s="85">
        <v>45896</v>
      </c>
      <c r="G103" s="86">
        <v>0.375</v>
      </c>
      <c r="H103" s="85">
        <v>45894</v>
      </c>
      <c r="I103" s="86">
        <v>0.9375</v>
      </c>
      <c r="J103" s="87">
        <f>E103-L103</f>
        <v>-2</v>
      </c>
      <c r="K103" s="8">
        <v>1</v>
      </c>
      <c r="L103" s="87">
        <v>32</v>
      </c>
      <c r="M103" s="8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85" t="s">
        <v>30</v>
      </c>
      <c r="C104" s="85" t="s">
        <v>31</v>
      </c>
      <c r="D104" s="49">
        <v>1</v>
      </c>
      <c r="E104" s="49">
        <v>30</v>
      </c>
      <c r="F104" s="85">
        <v>45896</v>
      </c>
      <c r="G104" s="86">
        <v>0.375</v>
      </c>
      <c r="H104" s="85">
        <v>45894</v>
      </c>
      <c r="I104" s="86">
        <v>0.9375</v>
      </c>
      <c r="J104" s="87">
        <f>E104-L104</f>
        <v>-2</v>
      </c>
      <c r="K104" s="8">
        <v>1</v>
      </c>
      <c r="L104" s="87">
        <v>32</v>
      </c>
      <c r="M104" s="8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85" t="s">
        <v>21</v>
      </c>
      <c r="C105" s="85" t="s">
        <v>22</v>
      </c>
      <c r="D105" s="49">
        <v>1</v>
      </c>
      <c r="E105" s="49">
        <v>30</v>
      </c>
      <c r="F105" s="85">
        <v>45896</v>
      </c>
      <c r="G105" s="86">
        <v>0.375</v>
      </c>
      <c r="H105" s="85">
        <v>45894</v>
      </c>
      <c r="I105" s="86">
        <v>0.9375</v>
      </c>
      <c r="J105" s="87">
        <f>E105-L105</f>
        <v>-2</v>
      </c>
      <c r="K105" s="8">
        <v>1</v>
      </c>
      <c r="L105" s="87">
        <v>32</v>
      </c>
      <c r="M105" s="8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85" t="s">
        <v>136</v>
      </c>
      <c r="C106" s="85" t="s">
        <v>34</v>
      </c>
      <c r="D106" s="49">
        <v>1</v>
      </c>
      <c r="E106" s="49">
        <v>30</v>
      </c>
      <c r="F106" s="85">
        <v>45896</v>
      </c>
      <c r="G106" s="86">
        <v>0.375</v>
      </c>
      <c r="H106" s="85">
        <v>45894</v>
      </c>
      <c r="I106" s="86">
        <v>0.9375</v>
      </c>
      <c r="J106" s="87">
        <f>E106-L106</f>
        <v>-2</v>
      </c>
      <c r="K106" s="8">
        <v>1</v>
      </c>
      <c r="L106" s="87">
        <v>32</v>
      </c>
      <c r="M106" s="8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85" t="s">
        <v>39</v>
      </c>
      <c r="C107" s="85" t="s">
        <v>40</v>
      </c>
      <c r="D107" s="49">
        <v>1</v>
      </c>
      <c r="E107" s="49">
        <v>30</v>
      </c>
      <c r="F107" s="85">
        <v>45896</v>
      </c>
      <c r="G107" s="86">
        <v>0.375</v>
      </c>
      <c r="H107" s="85">
        <v>45894</v>
      </c>
      <c r="I107" s="86">
        <v>0.9375</v>
      </c>
      <c r="J107" s="87">
        <f t="shared" si="1"/>
        <v>-2</v>
      </c>
      <c r="K107" s="8">
        <v>1</v>
      </c>
      <c r="L107" s="87">
        <v>32</v>
      </c>
      <c r="M107" s="8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85" t="s">
        <v>21</v>
      </c>
      <c r="C108" s="85" t="s">
        <v>22</v>
      </c>
      <c r="D108" s="49">
        <v>3</v>
      </c>
      <c r="E108" s="49">
        <v>20</v>
      </c>
      <c r="F108" s="85">
        <v>45896</v>
      </c>
      <c r="G108" s="86">
        <v>0.375</v>
      </c>
      <c r="H108" s="85">
        <v>45895</v>
      </c>
      <c r="I108" s="86">
        <v>0.58333333333333337</v>
      </c>
      <c r="J108" s="87">
        <f t="shared" si="1"/>
        <v>5</v>
      </c>
      <c r="K108" s="8">
        <v>3</v>
      </c>
      <c r="L108" s="87">
        <v>15</v>
      </c>
      <c r="M108" s="8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04" t="s">
        <v>154</v>
      </c>
      <c r="B109" s="85" t="s">
        <v>30</v>
      </c>
      <c r="C109" s="85" t="s">
        <v>31</v>
      </c>
      <c r="D109" s="49">
        <v>2</v>
      </c>
      <c r="E109" s="49">
        <v>50</v>
      </c>
      <c r="F109" s="85">
        <v>45903</v>
      </c>
      <c r="G109" s="86">
        <v>0.375</v>
      </c>
      <c r="H109" s="85">
        <v>45902</v>
      </c>
      <c r="I109" s="86">
        <v>0.16666666666666666</v>
      </c>
      <c r="J109" s="87">
        <f t="shared" si="1"/>
        <v>0</v>
      </c>
      <c r="K109" s="8">
        <v>1</v>
      </c>
      <c r="L109" s="8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04" t="s">
        <v>154</v>
      </c>
      <c r="B110" s="85" t="s">
        <v>39</v>
      </c>
      <c r="C110" s="85" t="s">
        <v>40</v>
      </c>
      <c r="D110" s="49">
        <v>2</v>
      </c>
      <c r="E110" s="49">
        <v>50</v>
      </c>
      <c r="F110" s="85">
        <v>45903</v>
      </c>
      <c r="G110" s="86">
        <v>0.375</v>
      </c>
      <c r="H110" s="85">
        <v>45902</v>
      </c>
      <c r="I110" s="86">
        <v>0.16666666666666666</v>
      </c>
      <c r="J110" s="87">
        <f t="shared" si="1"/>
        <v>0</v>
      </c>
      <c r="K110" s="8">
        <v>1</v>
      </c>
      <c r="L110" s="87">
        <v>50</v>
      </c>
      <c r="M110" s="49" t="s">
        <v>155</v>
      </c>
    </row>
    <row r="111" spans="1:20" ht="36.75" customHeight="1" x14ac:dyDescent="0.2">
      <c r="A111" s="104" t="s">
        <v>154</v>
      </c>
      <c r="B111" s="85" t="s">
        <v>21</v>
      </c>
      <c r="C111" s="85" t="s">
        <v>22</v>
      </c>
      <c r="D111" s="49">
        <v>2</v>
      </c>
      <c r="E111" s="49">
        <v>50</v>
      </c>
      <c r="F111" s="85">
        <v>45903</v>
      </c>
      <c r="G111" s="86">
        <v>0.375</v>
      </c>
      <c r="H111" s="85">
        <v>45902</v>
      </c>
      <c r="I111" s="86">
        <v>0.16666666666666666</v>
      </c>
      <c r="J111" s="87">
        <f t="shared" si="1"/>
        <v>0</v>
      </c>
      <c r="K111" s="8">
        <v>1</v>
      </c>
      <c r="L111" s="87">
        <v>50</v>
      </c>
      <c r="M111" s="49" t="s">
        <v>155</v>
      </c>
    </row>
    <row r="112" spans="1:20" ht="33.75" customHeight="1" x14ac:dyDescent="0.2">
      <c r="A112" s="104" t="s">
        <v>154</v>
      </c>
      <c r="B112" s="85" t="s">
        <v>136</v>
      </c>
      <c r="C112" s="85" t="s">
        <v>34</v>
      </c>
      <c r="D112" s="49">
        <v>2</v>
      </c>
      <c r="E112" s="49">
        <v>50</v>
      </c>
      <c r="F112" s="85">
        <v>45903</v>
      </c>
      <c r="G112" s="86">
        <v>0.375</v>
      </c>
      <c r="H112" s="85">
        <v>45902</v>
      </c>
      <c r="I112" s="86">
        <v>0.16666666666666666</v>
      </c>
      <c r="J112" s="87">
        <f t="shared" si="1"/>
        <v>0</v>
      </c>
      <c r="K112" s="8">
        <v>1</v>
      </c>
      <c r="L112" s="87">
        <v>50</v>
      </c>
      <c r="M112" s="49" t="s">
        <v>155</v>
      </c>
    </row>
    <row r="113" spans="1:13" ht="26.25" customHeight="1" x14ac:dyDescent="0.2">
      <c r="A113" s="104" t="s">
        <v>154</v>
      </c>
      <c r="B113" s="85" t="s">
        <v>36</v>
      </c>
      <c r="C113" s="85" t="s">
        <v>37</v>
      </c>
      <c r="D113" s="49">
        <v>2</v>
      </c>
      <c r="E113" s="49">
        <v>50</v>
      </c>
      <c r="F113" s="85">
        <v>45903</v>
      </c>
      <c r="G113" s="86">
        <v>0.375</v>
      </c>
      <c r="H113" s="85">
        <v>45902</v>
      </c>
      <c r="I113" s="86">
        <v>0.16666666666666666</v>
      </c>
      <c r="J113" s="87">
        <f t="shared" si="1"/>
        <v>0</v>
      </c>
      <c r="K113" s="8">
        <v>1</v>
      </c>
      <c r="L113" s="87">
        <v>50</v>
      </c>
      <c r="M113" s="49" t="s">
        <v>155</v>
      </c>
    </row>
    <row r="114" spans="1:13" ht="27.75" customHeight="1" x14ac:dyDescent="0.2">
      <c r="A114" s="104" t="s">
        <v>154</v>
      </c>
      <c r="B114" s="85" t="s">
        <v>42</v>
      </c>
      <c r="C114" s="85" t="s">
        <v>43</v>
      </c>
      <c r="D114" s="49">
        <v>2</v>
      </c>
      <c r="E114" s="49">
        <v>50</v>
      </c>
      <c r="F114" s="85">
        <v>45903</v>
      </c>
      <c r="G114" s="86">
        <v>0.375</v>
      </c>
      <c r="H114" s="85">
        <v>45902</v>
      </c>
      <c r="I114" s="86">
        <v>0.16666666666666666</v>
      </c>
      <c r="J114" s="87">
        <f t="shared" si="1"/>
        <v>0</v>
      </c>
      <c r="K114" s="8">
        <v>1</v>
      </c>
      <c r="L114" s="87">
        <v>50</v>
      </c>
      <c r="M114" s="49" t="s">
        <v>155</v>
      </c>
    </row>
    <row r="115" spans="1:13" ht="40.5" customHeight="1" x14ac:dyDescent="0.2">
      <c r="A115" s="8" t="s">
        <v>144</v>
      </c>
      <c r="B115" s="85" t="s">
        <v>30</v>
      </c>
      <c r="C115" s="85" t="s">
        <v>31</v>
      </c>
      <c r="D115" s="84">
        <v>1</v>
      </c>
      <c r="E115" s="8">
        <v>30</v>
      </c>
      <c r="F115" s="85">
        <v>45903</v>
      </c>
      <c r="G115" s="86">
        <v>0.375</v>
      </c>
      <c r="H115" s="85">
        <v>45899</v>
      </c>
      <c r="I115" s="86">
        <v>0.79166666666666663</v>
      </c>
      <c r="J115" s="87">
        <f t="shared" si="1"/>
        <v>0</v>
      </c>
      <c r="K115" s="8">
        <v>1</v>
      </c>
      <c r="L115" s="87">
        <v>30</v>
      </c>
      <c r="M115" s="87" t="s">
        <v>156</v>
      </c>
    </row>
    <row r="116" spans="1:13" ht="24" x14ac:dyDescent="0.2">
      <c r="A116" s="38" t="s">
        <v>123</v>
      </c>
      <c r="B116" s="85" t="s">
        <v>36</v>
      </c>
      <c r="C116" s="85" t="s">
        <v>37</v>
      </c>
      <c r="D116" s="49">
        <v>1</v>
      </c>
      <c r="E116" s="49">
        <v>20</v>
      </c>
      <c r="F116" s="85">
        <v>45903</v>
      </c>
      <c r="G116" s="86">
        <v>0.375</v>
      </c>
      <c r="H116" s="85">
        <v>45902</v>
      </c>
      <c r="I116" s="86">
        <v>0.80555555555555558</v>
      </c>
      <c r="J116" s="87">
        <f t="shared" si="1"/>
        <v>0</v>
      </c>
      <c r="K116" s="8">
        <v>1</v>
      </c>
      <c r="L116" s="87">
        <v>20</v>
      </c>
      <c r="M116" s="49" t="s">
        <v>124</v>
      </c>
    </row>
    <row r="117" spans="1:13" ht="24" x14ac:dyDescent="0.2">
      <c r="A117" s="38" t="s">
        <v>123</v>
      </c>
      <c r="B117" s="85" t="s">
        <v>143</v>
      </c>
      <c r="C117" s="85" t="s">
        <v>43</v>
      </c>
      <c r="D117" s="49">
        <v>1</v>
      </c>
      <c r="E117" s="49">
        <v>20</v>
      </c>
      <c r="F117" s="85">
        <v>45903</v>
      </c>
      <c r="G117" s="86">
        <v>0.375</v>
      </c>
      <c r="H117" s="85">
        <v>45902</v>
      </c>
      <c r="I117" s="86">
        <v>0.80555555555555558</v>
      </c>
      <c r="J117" s="87">
        <f t="shared" si="1"/>
        <v>0</v>
      </c>
      <c r="K117" s="8">
        <v>1</v>
      </c>
      <c r="L117" s="87">
        <v>20</v>
      </c>
      <c r="M117" s="49" t="s">
        <v>124</v>
      </c>
    </row>
    <row r="118" spans="1:13" ht="24" x14ac:dyDescent="0.2">
      <c r="A118" s="38" t="s">
        <v>157</v>
      </c>
      <c r="B118" s="85" t="s">
        <v>39</v>
      </c>
      <c r="C118" s="85" t="s">
        <v>40</v>
      </c>
      <c r="D118" s="49">
        <v>1</v>
      </c>
      <c r="E118" s="49">
        <v>30</v>
      </c>
      <c r="F118" s="85">
        <v>45903</v>
      </c>
      <c r="G118" s="86">
        <v>0.375</v>
      </c>
      <c r="H118" s="85">
        <v>45902</v>
      </c>
      <c r="I118" s="86">
        <v>0.8125</v>
      </c>
      <c r="J118" s="87">
        <f t="shared" si="1"/>
        <v>2</v>
      </c>
      <c r="K118" s="8">
        <v>2</v>
      </c>
      <c r="L118" s="87">
        <v>28</v>
      </c>
      <c r="M118" s="49" t="s">
        <v>158</v>
      </c>
    </row>
    <row r="119" spans="1:13" ht="38.25" x14ac:dyDescent="0.2">
      <c r="A119" s="49" t="s">
        <v>159</v>
      </c>
      <c r="B119" s="13" t="s">
        <v>21</v>
      </c>
      <c r="C119" s="13" t="s">
        <v>22</v>
      </c>
      <c r="D119" s="53">
        <v>1</v>
      </c>
      <c r="E119" s="53">
        <v>30</v>
      </c>
      <c r="F119" s="13">
        <v>45903</v>
      </c>
      <c r="G119" s="86">
        <v>0.375</v>
      </c>
      <c r="H119" s="13">
        <v>45902</v>
      </c>
      <c r="I119" s="12">
        <v>0.8125</v>
      </c>
      <c r="J119" s="53">
        <f t="shared" si="1"/>
        <v>0</v>
      </c>
      <c r="K119" s="50">
        <v>2</v>
      </c>
      <c r="L119" s="50">
        <v>30</v>
      </c>
      <c r="M119" s="101" t="s">
        <v>160</v>
      </c>
    </row>
    <row r="120" spans="1:13" ht="25.5" x14ac:dyDescent="0.2">
      <c r="A120" s="60" t="s">
        <v>162</v>
      </c>
      <c r="B120" s="98" t="s">
        <v>30</v>
      </c>
      <c r="C120" s="98" t="s">
        <v>31</v>
      </c>
      <c r="D120" s="53">
        <v>1</v>
      </c>
      <c r="E120" s="53">
        <v>30</v>
      </c>
      <c r="F120" s="13">
        <v>45903</v>
      </c>
      <c r="G120" s="86">
        <v>0.375</v>
      </c>
      <c r="H120" s="13">
        <v>45902</v>
      </c>
      <c r="I120" s="12">
        <v>0.8125</v>
      </c>
      <c r="J120" s="53">
        <f t="shared" si="1"/>
        <v>3</v>
      </c>
      <c r="K120" s="50">
        <v>1</v>
      </c>
      <c r="L120" s="50">
        <v>27</v>
      </c>
      <c r="M120" s="101" t="s">
        <v>161</v>
      </c>
    </row>
    <row r="121" spans="1:13" ht="25.5" x14ac:dyDescent="0.2">
      <c r="A121" s="60" t="s">
        <v>163</v>
      </c>
      <c r="B121" s="13" t="s">
        <v>30</v>
      </c>
      <c r="C121" s="13" t="s">
        <v>31</v>
      </c>
      <c r="D121" s="53">
        <v>1</v>
      </c>
      <c r="E121" s="53">
        <v>30</v>
      </c>
      <c r="F121" s="13">
        <v>45903</v>
      </c>
      <c r="G121" s="86">
        <v>0.375</v>
      </c>
      <c r="H121" s="13">
        <v>45902</v>
      </c>
      <c r="I121" s="12">
        <v>0.83333333333333337</v>
      </c>
      <c r="J121" s="53">
        <f t="shared" si="1"/>
        <v>2</v>
      </c>
      <c r="K121" s="50">
        <v>1</v>
      </c>
      <c r="L121" s="50">
        <v>28</v>
      </c>
      <c r="M121" s="101" t="s">
        <v>164</v>
      </c>
    </row>
    <row r="122" spans="1:13" ht="25.5" x14ac:dyDescent="0.2">
      <c r="A122" s="61" t="s">
        <v>165</v>
      </c>
      <c r="B122" s="13" t="s">
        <v>30</v>
      </c>
      <c r="C122" s="13" t="s">
        <v>31</v>
      </c>
      <c r="D122" s="53">
        <v>1</v>
      </c>
      <c r="E122" s="53">
        <v>30</v>
      </c>
      <c r="F122" s="13">
        <v>45903</v>
      </c>
      <c r="G122" s="86">
        <v>0.375</v>
      </c>
      <c r="H122" s="13">
        <v>45902</v>
      </c>
      <c r="I122" s="12">
        <v>0.85416666666666663</v>
      </c>
      <c r="J122" s="53">
        <f t="shared" si="1"/>
        <v>10</v>
      </c>
      <c r="K122" s="50">
        <v>2</v>
      </c>
      <c r="L122" s="50">
        <v>20</v>
      </c>
      <c r="M122" s="101" t="s">
        <v>166</v>
      </c>
    </row>
    <row r="123" spans="1:13" ht="25.5" x14ac:dyDescent="0.2">
      <c r="A123" s="61" t="s">
        <v>167</v>
      </c>
      <c r="B123" s="13" t="s">
        <v>42</v>
      </c>
      <c r="C123" s="13" t="s">
        <v>43</v>
      </c>
      <c r="D123" s="53">
        <v>1</v>
      </c>
      <c r="E123" s="53">
        <v>30</v>
      </c>
      <c r="F123" s="13">
        <v>45903</v>
      </c>
      <c r="G123" s="86">
        <v>0.375</v>
      </c>
      <c r="H123" s="13">
        <v>45900</v>
      </c>
      <c r="I123" s="12">
        <v>0.79166666666666663</v>
      </c>
      <c r="J123" s="53">
        <f t="shared" si="1"/>
        <v>5</v>
      </c>
      <c r="K123" s="50">
        <v>2</v>
      </c>
      <c r="L123" s="50">
        <v>25</v>
      </c>
      <c r="M123" s="10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3">
        <v>1</v>
      </c>
      <c r="E124" s="53">
        <v>30</v>
      </c>
      <c r="F124" s="13">
        <v>45903</v>
      </c>
      <c r="G124" s="86">
        <v>0.375</v>
      </c>
      <c r="H124" s="13">
        <v>45900</v>
      </c>
      <c r="I124" s="12">
        <v>0.79166666666666663</v>
      </c>
      <c r="J124" s="53">
        <f t="shared" si="1"/>
        <v>4</v>
      </c>
      <c r="K124" s="50">
        <v>1</v>
      </c>
      <c r="L124" s="50">
        <v>26</v>
      </c>
      <c r="M124" s="101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3">
        <v>1</v>
      </c>
      <c r="E125" s="53">
        <v>30</v>
      </c>
      <c r="F125" s="13">
        <v>45903</v>
      </c>
      <c r="G125" s="86">
        <v>0.375</v>
      </c>
      <c r="H125" s="13">
        <v>45899</v>
      </c>
      <c r="I125" s="12">
        <v>0.79166666666666663</v>
      </c>
      <c r="J125" s="53">
        <f t="shared" si="1"/>
        <v>0</v>
      </c>
      <c r="K125" s="50">
        <v>1</v>
      </c>
      <c r="L125" s="50">
        <v>30</v>
      </c>
      <c r="M125" s="101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3">
        <v>1</v>
      </c>
      <c r="E126" s="53">
        <v>30</v>
      </c>
      <c r="F126" s="13">
        <v>45903</v>
      </c>
      <c r="G126" s="86">
        <v>0.375</v>
      </c>
      <c r="H126" s="13">
        <v>45899</v>
      </c>
      <c r="I126" s="12">
        <v>0.8125</v>
      </c>
      <c r="J126" s="53">
        <f t="shared" si="1"/>
        <v>2</v>
      </c>
      <c r="K126" s="50">
        <v>1</v>
      </c>
      <c r="L126" s="50">
        <v>28</v>
      </c>
      <c r="M126" s="101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3">
        <v>1</v>
      </c>
      <c r="E127" s="53">
        <v>30</v>
      </c>
      <c r="F127" s="13">
        <v>45903</v>
      </c>
      <c r="G127" s="86">
        <v>0.375</v>
      </c>
      <c r="H127" s="13">
        <v>45899</v>
      </c>
      <c r="I127" s="12">
        <v>0.83333333333333337</v>
      </c>
      <c r="J127" s="53">
        <f t="shared" si="1"/>
        <v>6</v>
      </c>
      <c r="K127" s="50">
        <v>1</v>
      </c>
      <c r="L127" s="50">
        <v>24</v>
      </c>
      <c r="M127" s="101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3">
        <v>1</v>
      </c>
      <c r="E128" s="53">
        <v>30</v>
      </c>
      <c r="F128" s="13">
        <v>45903</v>
      </c>
      <c r="G128" s="86">
        <v>0.375</v>
      </c>
      <c r="H128" s="13">
        <v>45902</v>
      </c>
      <c r="I128" s="12">
        <v>0.83333333333333337</v>
      </c>
      <c r="J128" s="53">
        <f t="shared" si="1"/>
        <v>0</v>
      </c>
      <c r="K128" s="50">
        <v>1</v>
      </c>
      <c r="L128" s="50">
        <v>30</v>
      </c>
      <c r="M128" s="101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3">
        <v>5</v>
      </c>
      <c r="E129" s="53">
        <v>50</v>
      </c>
      <c r="F129" s="13">
        <v>45903</v>
      </c>
      <c r="G129" s="86">
        <v>0.375</v>
      </c>
      <c r="H129" s="13">
        <v>45902</v>
      </c>
      <c r="I129" s="12">
        <v>0.86805555555555558</v>
      </c>
      <c r="J129" s="53">
        <f t="shared" si="1"/>
        <v>5</v>
      </c>
      <c r="K129" s="50">
        <v>5</v>
      </c>
      <c r="L129" s="50">
        <v>45</v>
      </c>
      <c r="M129" s="101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3">
        <v>1</v>
      </c>
      <c r="E130" s="53">
        <v>30</v>
      </c>
      <c r="F130" s="13">
        <v>45903</v>
      </c>
      <c r="G130" s="86">
        <v>0.375</v>
      </c>
      <c r="H130" s="13">
        <v>45900</v>
      </c>
      <c r="I130" s="12">
        <v>0.8125</v>
      </c>
      <c r="J130" s="53">
        <f t="shared" si="1"/>
        <v>8</v>
      </c>
      <c r="K130" s="50">
        <v>1</v>
      </c>
      <c r="L130" s="50">
        <v>22</v>
      </c>
      <c r="M130" s="101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3">
        <v>1</v>
      </c>
      <c r="E131" s="53">
        <v>30</v>
      </c>
      <c r="F131" s="13">
        <v>45903</v>
      </c>
      <c r="G131" s="86">
        <v>0.375</v>
      </c>
      <c r="H131" s="13">
        <v>45902</v>
      </c>
      <c r="I131" s="12">
        <v>0.83333333333333337</v>
      </c>
      <c r="J131" s="53">
        <f t="shared" si="1"/>
        <v>7</v>
      </c>
      <c r="K131" s="50">
        <v>1</v>
      </c>
      <c r="L131" s="50">
        <v>23</v>
      </c>
      <c r="M131" s="101" t="s">
        <v>183</v>
      </c>
    </row>
    <row r="132" spans="1:13" ht="38.25" x14ac:dyDescent="0.2">
      <c r="A132" s="61" t="s">
        <v>185</v>
      </c>
      <c r="B132" s="13" t="s">
        <v>21</v>
      </c>
      <c r="C132" s="13" t="s">
        <v>22</v>
      </c>
      <c r="D132" s="53">
        <v>1</v>
      </c>
      <c r="E132" s="53">
        <v>40</v>
      </c>
      <c r="F132" s="13">
        <v>45903</v>
      </c>
      <c r="G132" s="86">
        <v>0.375</v>
      </c>
      <c r="H132" s="13">
        <v>45902</v>
      </c>
      <c r="I132" s="12">
        <v>0.86111111111111116</v>
      </c>
      <c r="J132" s="53">
        <f t="shared" si="1"/>
        <v>9</v>
      </c>
      <c r="K132" s="50">
        <v>2</v>
      </c>
      <c r="L132" s="50">
        <v>31</v>
      </c>
      <c r="M132" s="101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3">
        <v>1</v>
      </c>
      <c r="E133" s="53">
        <v>25</v>
      </c>
      <c r="F133" s="13">
        <v>45903</v>
      </c>
      <c r="G133" s="86">
        <v>0.375</v>
      </c>
      <c r="H133" s="13">
        <v>45900</v>
      </c>
      <c r="I133" s="12">
        <v>0.82986111111111116</v>
      </c>
      <c r="J133" s="53">
        <f t="shared" si="1"/>
        <v>5</v>
      </c>
      <c r="K133" s="50">
        <v>2</v>
      </c>
      <c r="L133" s="50">
        <v>20</v>
      </c>
      <c r="M133" s="101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3">
        <v>1</v>
      </c>
      <c r="E134" s="53">
        <v>20</v>
      </c>
      <c r="F134" s="13">
        <v>45903</v>
      </c>
      <c r="G134" s="86">
        <v>0.375</v>
      </c>
      <c r="H134" s="13">
        <v>45900</v>
      </c>
      <c r="I134" s="12">
        <v>0.80555555555555558</v>
      </c>
      <c r="J134" s="53">
        <f t="shared" si="1"/>
        <v>0</v>
      </c>
      <c r="K134" s="50">
        <v>1</v>
      </c>
      <c r="L134" s="50">
        <v>20</v>
      </c>
      <c r="M134" s="101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3">
        <v>1</v>
      </c>
      <c r="E135" s="53">
        <v>20</v>
      </c>
      <c r="F135" s="13">
        <v>45903</v>
      </c>
      <c r="G135" s="86">
        <v>0.375</v>
      </c>
      <c r="H135" s="13">
        <v>45900</v>
      </c>
      <c r="I135" s="12">
        <v>0.81944444444444442</v>
      </c>
      <c r="J135" s="53">
        <f t="shared" si="1"/>
        <v>0</v>
      </c>
      <c r="K135" s="50">
        <v>1</v>
      </c>
      <c r="L135" s="50">
        <v>20</v>
      </c>
      <c r="M135" s="101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3">
        <v>1</v>
      </c>
      <c r="E136" s="53">
        <v>30</v>
      </c>
      <c r="F136" s="13">
        <v>45903</v>
      </c>
      <c r="G136" s="86">
        <v>0.375</v>
      </c>
      <c r="H136" s="13">
        <v>45902</v>
      </c>
      <c r="I136" s="12">
        <v>0.875</v>
      </c>
      <c r="J136" s="53">
        <f t="shared" ref="J136:J161" si="2">E136-L136</f>
        <v>5</v>
      </c>
      <c r="K136" s="50">
        <v>1</v>
      </c>
      <c r="L136" s="50">
        <v>25</v>
      </c>
      <c r="M136" s="101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3">
        <v>1</v>
      </c>
      <c r="E137" s="53">
        <v>30</v>
      </c>
      <c r="F137" s="13">
        <v>45903</v>
      </c>
      <c r="G137" s="86">
        <v>0.375</v>
      </c>
      <c r="H137" s="13">
        <v>45900</v>
      </c>
      <c r="I137" s="12">
        <v>0.84027777777777779</v>
      </c>
      <c r="J137" s="53">
        <f t="shared" si="2"/>
        <v>0</v>
      </c>
      <c r="K137" s="50">
        <v>1</v>
      </c>
      <c r="L137" s="50">
        <v>30</v>
      </c>
      <c r="M137" s="101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3">
        <v>1</v>
      </c>
      <c r="E138" s="53">
        <v>30</v>
      </c>
      <c r="F138" s="13">
        <v>45903</v>
      </c>
      <c r="G138" s="86">
        <v>0.375</v>
      </c>
      <c r="H138" s="13">
        <v>45899</v>
      </c>
      <c r="I138" s="12">
        <v>0.85416666666666663</v>
      </c>
      <c r="J138" s="53">
        <f t="shared" si="2"/>
        <v>5</v>
      </c>
      <c r="K138" s="50">
        <v>1</v>
      </c>
      <c r="L138" s="50">
        <v>25</v>
      </c>
      <c r="M138" s="101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3">
        <v>1</v>
      </c>
      <c r="E139" s="53">
        <v>30</v>
      </c>
      <c r="F139" s="13">
        <v>45903</v>
      </c>
      <c r="G139" s="86">
        <v>0.375</v>
      </c>
      <c r="H139" s="13">
        <v>45902</v>
      </c>
      <c r="I139" s="12">
        <v>0.88194444444444442</v>
      </c>
      <c r="J139" s="53">
        <f t="shared" si="2"/>
        <v>6</v>
      </c>
      <c r="K139" s="50">
        <v>1</v>
      </c>
      <c r="L139" s="50">
        <v>24</v>
      </c>
      <c r="M139" s="101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3">
        <v>1</v>
      </c>
      <c r="E140" s="53">
        <v>30</v>
      </c>
      <c r="F140" s="13">
        <v>45903</v>
      </c>
      <c r="G140" s="86">
        <v>0.375</v>
      </c>
      <c r="H140" s="13">
        <v>45900</v>
      </c>
      <c r="I140" s="12">
        <v>0.85069444444444442</v>
      </c>
      <c r="J140" s="53">
        <f t="shared" si="2"/>
        <v>7</v>
      </c>
      <c r="K140" s="50">
        <v>1</v>
      </c>
      <c r="L140" s="50">
        <v>23</v>
      </c>
      <c r="M140" s="101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3">
        <v>1</v>
      </c>
      <c r="E141" s="53">
        <v>30</v>
      </c>
      <c r="F141" s="13">
        <v>45903</v>
      </c>
      <c r="G141" s="86">
        <v>0.375</v>
      </c>
      <c r="H141" s="13">
        <v>45902</v>
      </c>
      <c r="I141" s="12">
        <v>0.88888888888888884</v>
      </c>
      <c r="J141" s="53">
        <f t="shared" si="2"/>
        <v>4</v>
      </c>
      <c r="K141" s="50">
        <v>1</v>
      </c>
      <c r="L141" s="50">
        <v>26</v>
      </c>
      <c r="M141" s="101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3">
        <v>1</v>
      </c>
      <c r="E142" s="53">
        <v>60</v>
      </c>
      <c r="F142" s="13">
        <v>45903</v>
      </c>
      <c r="G142" s="86">
        <v>0.375</v>
      </c>
      <c r="H142" s="13">
        <v>45902</v>
      </c>
      <c r="I142" s="12">
        <v>0.93055555555555558</v>
      </c>
      <c r="J142" s="53">
        <f t="shared" si="2"/>
        <v>-2</v>
      </c>
      <c r="K142" s="50">
        <v>1</v>
      </c>
      <c r="L142" s="50">
        <v>62</v>
      </c>
      <c r="M142" s="101" t="s">
        <v>205</v>
      </c>
    </row>
    <row r="143" spans="1:13" ht="36" x14ac:dyDescent="0.2">
      <c r="A143" s="8" t="s">
        <v>146</v>
      </c>
      <c r="B143" s="85" t="s">
        <v>30</v>
      </c>
      <c r="C143" s="85" t="s">
        <v>83</v>
      </c>
      <c r="D143" s="84">
        <v>1</v>
      </c>
      <c r="E143" s="49">
        <v>60</v>
      </c>
      <c r="F143" s="85">
        <v>45903</v>
      </c>
      <c r="G143" s="86">
        <v>0.375</v>
      </c>
      <c r="H143" s="85">
        <v>45902</v>
      </c>
      <c r="I143" s="86">
        <v>0.91666666666666663</v>
      </c>
      <c r="J143" s="87">
        <f t="shared" si="2"/>
        <v>50</v>
      </c>
      <c r="K143" s="8">
        <v>1</v>
      </c>
      <c r="L143" s="87">
        <v>10</v>
      </c>
      <c r="M143" s="87" t="s">
        <v>149</v>
      </c>
    </row>
    <row r="144" spans="1:13" ht="36" x14ac:dyDescent="0.2">
      <c r="A144" s="8" t="s">
        <v>146</v>
      </c>
      <c r="B144" s="85" t="s">
        <v>42</v>
      </c>
      <c r="C144" s="85" t="s">
        <v>77</v>
      </c>
      <c r="D144" s="84">
        <v>1</v>
      </c>
      <c r="E144" s="49">
        <v>60</v>
      </c>
      <c r="F144" s="85">
        <v>45903</v>
      </c>
      <c r="G144" s="86">
        <v>0.375</v>
      </c>
      <c r="H144" s="85">
        <v>45902</v>
      </c>
      <c r="I144" s="86">
        <v>0.91666666666666663</v>
      </c>
      <c r="J144" s="87">
        <f t="shared" si="2"/>
        <v>50</v>
      </c>
      <c r="K144" s="8">
        <v>1</v>
      </c>
      <c r="L144" s="87">
        <v>10</v>
      </c>
      <c r="M144" s="87" t="s">
        <v>149</v>
      </c>
    </row>
    <row r="145" spans="1:13" ht="36" x14ac:dyDescent="0.2">
      <c r="A145" s="8" t="s">
        <v>146</v>
      </c>
      <c r="B145" s="85" t="s">
        <v>21</v>
      </c>
      <c r="C145" s="85" t="s">
        <v>86</v>
      </c>
      <c r="D145" s="84">
        <v>1</v>
      </c>
      <c r="E145" s="49">
        <v>60</v>
      </c>
      <c r="F145" s="85">
        <v>45903</v>
      </c>
      <c r="G145" s="86">
        <v>0.375</v>
      </c>
      <c r="H145" s="85">
        <v>45902</v>
      </c>
      <c r="I145" s="86">
        <v>0.91666666666666663</v>
      </c>
      <c r="J145" s="87">
        <f t="shared" si="2"/>
        <v>50</v>
      </c>
      <c r="K145" s="8">
        <v>1</v>
      </c>
      <c r="L145" s="87">
        <v>10</v>
      </c>
      <c r="M145" s="87" t="s">
        <v>149</v>
      </c>
    </row>
    <row r="146" spans="1:13" ht="36" x14ac:dyDescent="0.2">
      <c r="A146" s="8" t="s">
        <v>146</v>
      </c>
      <c r="B146" s="85" t="s">
        <v>136</v>
      </c>
      <c r="C146" s="85" t="s">
        <v>151</v>
      </c>
      <c r="D146" s="84">
        <v>1</v>
      </c>
      <c r="E146" s="49">
        <v>60</v>
      </c>
      <c r="F146" s="85">
        <v>45903</v>
      </c>
      <c r="G146" s="86">
        <v>0.375</v>
      </c>
      <c r="H146" s="85">
        <v>45902</v>
      </c>
      <c r="I146" s="86">
        <v>0.91666666666666663</v>
      </c>
      <c r="J146" s="87">
        <f t="shared" si="2"/>
        <v>50</v>
      </c>
      <c r="K146" s="8">
        <v>1</v>
      </c>
      <c r="L146" s="87">
        <v>10</v>
      </c>
      <c r="M146" s="87" t="s">
        <v>149</v>
      </c>
    </row>
    <row r="147" spans="1:13" ht="36" x14ac:dyDescent="0.2">
      <c r="A147" s="8" t="s">
        <v>146</v>
      </c>
      <c r="B147" s="85" t="s">
        <v>36</v>
      </c>
      <c r="C147" s="85" t="s">
        <v>80</v>
      </c>
      <c r="D147" s="84">
        <v>1</v>
      </c>
      <c r="E147" s="49">
        <v>60</v>
      </c>
      <c r="F147" s="85">
        <v>45903</v>
      </c>
      <c r="G147" s="86">
        <v>0.375</v>
      </c>
      <c r="H147" s="85">
        <v>45902</v>
      </c>
      <c r="I147" s="86">
        <v>0.91666666666666663</v>
      </c>
      <c r="J147" s="87">
        <f t="shared" si="2"/>
        <v>50</v>
      </c>
      <c r="K147" s="8">
        <v>1</v>
      </c>
      <c r="L147" s="87">
        <v>10</v>
      </c>
      <c r="M147" s="87" t="s">
        <v>149</v>
      </c>
    </row>
    <row r="148" spans="1:13" ht="36" x14ac:dyDescent="0.2">
      <c r="A148" s="8" t="s">
        <v>146</v>
      </c>
      <c r="B148" s="85" t="s">
        <v>39</v>
      </c>
      <c r="C148" s="85" t="s">
        <v>150</v>
      </c>
      <c r="D148" s="84">
        <v>1</v>
      </c>
      <c r="E148" s="49">
        <v>60</v>
      </c>
      <c r="F148" s="85">
        <v>45903</v>
      </c>
      <c r="G148" s="86">
        <v>0.375</v>
      </c>
      <c r="H148" s="85">
        <v>45902</v>
      </c>
      <c r="I148" s="86">
        <v>0.91666666666666663</v>
      </c>
      <c r="J148" s="87">
        <f t="shared" si="2"/>
        <v>50</v>
      </c>
      <c r="K148" s="8">
        <v>1</v>
      </c>
      <c r="L148" s="87">
        <v>10</v>
      </c>
      <c r="M148" s="87" t="s">
        <v>149</v>
      </c>
    </row>
    <row r="149" spans="1:13" x14ac:dyDescent="0.2">
      <c r="A149" s="8" t="s">
        <v>52</v>
      </c>
      <c r="B149" s="85" t="s">
        <v>21</v>
      </c>
      <c r="C149" s="85" t="s">
        <v>22</v>
      </c>
      <c r="D149" s="84">
        <v>1</v>
      </c>
      <c r="E149" s="49">
        <v>30</v>
      </c>
      <c r="F149" s="85">
        <v>45903</v>
      </c>
      <c r="G149" s="86">
        <v>0.375</v>
      </c>
      <c r="H149" s="85">
        <v>45902</v>
      </c>
      <c r="I149" s="86">
        <v>0.91666666666666663</v>
      </c>
      <c r="J149" s="87">
        <f t="shared" si="2"/>
        <v>0</v>
      </c>
      <c r="K149" s="8">
        <v>1</v>
      </c>
      <c r="L149" s="87">
        <v>30</v>
      </c>
      <c r="M149" s="87" t="s">
        <v>53</v>
      </c>
    </row>
    <row r="150" spans="1:13" x14ac:dyDescent="0.2">
      <c r="A150" s="8" t="s">
        <v>153</v>
      </c>
      <c r="B150" s="85" t="s">
        <v>36</v>
      </c>
      <c r="C150" s="85" t="s">
        <v>37</v>
      </c>
      <c r="D150" s="84">
        <v>1</v>
      </c>
      <c r="E150" s="5">
        <v>30</v>
      </c>
      <c r="F150" s="85">
        <v>45903</v>
      </c>
      <c r="G150" s="86">
        <v>0.375</v>
      </c>
      <c r="H150" s="85">
        <v>45902</v>
      </c>
      <c r="I150" s="86">
        <v>0.91666666666666663</v>
      </c>
      <c r="J150" s="87">
        <f t="shared" si="2"/>
        <v>0</v>
      </c>
      <c r="K150" s="8">
        <v>1</v>
      </c>
      <c r="L150" s="87">
        <v>30</v>
      </c>
      <c r="M150" s="87" t="s">
        <v>53</v>
      </c>
    </row>
    <row r="151" spans="1:13" ht="24" x14ac:dyDescent="0.2">
      <c r="A151" s="8" t="s">
        <v>79</v>
      </c>
      <c r="B151" s="85" t="s">
        <v>36</v>
      </c>
      <c r="C151" s="85" t="s">
        <v>37</v>
      </c>
      <c r="D151" s="84">
        <v>1</v>
      </c>
      <c r="E151" s="49">
        <v>45</v>
      </c>
      <c r="F151" s="85">
        <v>45903</v>
      </c>
      <c r="G151" s="86">
        <v>0.375</v>
      </c>
      <c r="H151" s="85">
        <v>45902</v>
      </c>
      <c r="I151" s="86">
        <v>0.9375</v>
      </c>
      <c r="J151" s="87">
        <f t="shared" si="2"/>
        <v>-35</v>
      </c>
      <c r="K151" s="8">
        <v>1</v>
      </c>
      <c r="L151" s="87">
        <v>80</v>
      </c>
      <c r="M151" s="87" t="s">
        <v>81</v>
      </c>
    </row>
    <row r="152" spans="1:13" x14ac:dyDescent="0.2">
      <c r="A152" s="8" t="s">
        <v>85</v>
      </c>
      <c r="B152" s="85" t="s">
        <v>21</v>
      </c>
      <c r="C152" s="85" t="s">
        <v>22</v>
      </c>
      <c r="D152" s="84">
        <v>1</v>
      </c>
      <c r="E152" s="49">
        <v>60</v>
      </c>
      <c r="F152" s="85">
        <v>45903</v>
      </c>
      <c r="G152" s="86">
        <v>0.375</v>
      </c>
      <c r="H152" s="85">
        <v>45902</v>
      </c>
      <c r="I152" s="86">
        <v>0.9375</v>
      </c>
      <c r="J152" s="87">
        <f t="shared" si="2"/>
        <v>10</v>
      </c>
      <c r="K152" s="8">
        <v>1</v>
      </c>
      <c r="L152" s="87">
        <v>50</v>
      </c>
      <c r="M152" s="87" t="s">
        <v>87</v>
      </c>
    </row>
    <row r="153" spans="1:13" x14ac:dyDescent="0.2">
      <c r="A153" s="8" t="s">
        <v>88</v>
      </c>
      <c r="B153" s="85" t="s">
        <v>21</v>
      </c>
      <c r="C153" s="85" t="s">
        <v>22</v>
      </c>
      <c r="D153" s="84">
        <v>1</v>
      </c>
      <c r="E153" s="49">
        <v>55</v>
      </c>
      <c r="F153" s="85">
        <v>45903</v>
      </c>
      <c r="G153" s="86">
        <v>0.375</v>
      </c>
      <c r="H153" s="85">
        <v>45902</v>
      </c>
      <c r="I153" s="86">
        <v>0.9375</v>
      </c>
      <c r="J153" s="87">
        <f t="shared" si="2"/>
        <v>0</v>
      </c>
      <c r="K153" s="8">
        <v>1</v>
      </c>
      <c r="L153" s="87">
        <v>55</v>
      </c>
      <c r="M153" s="87" t="s">
        <v>89</v>
      </c>
    </row>
    <row r="154" spans="1:13" ht="24" x14ac:dyDescent="0.2">
      <c r="A154" s="49" t="s">
        <v>131</v>
      </c>
      <c r="B154" s="85" t="s">
        <v>36</v>
      </c>
      <c r="C154" s="85" t="s">
        <v>37</v>
      </c>
      <c r="D154" s="49">
        <v>1</v>
      </c>
      <c r="E154" s="49">
        <v>30</v>
      </c>
      <c r="F154" s="85">
        <v>45903</v>
      </c>
      <c r="G154" s="86">
        <v>0.375</v>
      </c>
      <c r="H154" s="85">
        <v>45902</v>
      </c>
      <c r="I154" s="86">
        <v>0.9375</v>
      </c>
      <c r="J154" s="87">
        <f t="shared" si="2"/>
        <v>-2</v>
      </c>
      <c r="K154" s="8">
        <v>1</v>
      </c>
      <c r="L154" s="87">
        <v>32</v>
      </c>
      <c r="M154" s="87" t="s">
        <v>132</v>
      </c>
    </row>
    <row r="155" spans="1:13" ht="24" x14ac:dyDescent="0.2">
      <c r="A155" s="49" t="s">
        <v>131</v>
      </c>
      <c r="B155" s="85" t="s">
        <v>42</v>
      </c>
      <c r="C155" s="85" t="s">
        <v>43</v>
      </c>
      <c r="D155" s="49">
        <v>1</v>
      </c>
      <c r="E155" s="49">
        <v>30</v>
      </c>
      <c r="F155" s="85">
        <v>45903</v>
      </c>
      <c r="G155" s="86">
        <v>0.375</v>
      </c>
      <c r="H155" s="85">
        <v>45902</v>
      </c>
      <c r="I155" s="86">
        <v>0.9375</v>
      </c>
      <c r="J155" s="87">
        <f t="shared" si="2"/>
        <v>-2</v>
      </c>
      <c r="K155" s="8">
        <v>1</v>
      </c>
      <c r="L155" s="87">
        <v>32</v>
      </c>
      <c r="M155" s="87" t="s">
        <v>132</v>
      </c>
    </row>
    <row r="156" spans="1:13" ht="24" x14ac:dyDescent="0.2">
      <c r="A156" s="49" t="s">
        <v>131</v>
      </c>
      <c r="B156" s="85" t="s">
        <v>30</v>
      </c>
      <c r="C156" s="85" t="s">
        <v>31</v>
      </c>
      <c r="D156" s="49">
        <v>1</v>
      </c>
      <c r="E156" s="49">
        <v>30</v>
      </c>
      <c r="F156" s="85">
        <v>45903</v>
      </c>
      <c r="G156" s="86">
        <v>0.375</v>
      </c>
      <c r="H156" s="85">
        <v>45902</v>
      </c>
      <c r="I156" s="86">
        <v>0.9375</v>
      </c>
      <c r="J156" s="87">
        <f t="shared" si="2"/>
        <v>-2</v>
      </c>
      <c r="K156" s="8">
        <v>1</v>
      </c>
      <c r="L156" s="87">
        <v>32</v>
      </c>
      <c r="M156" s="87" t="s">
        <v>132</v>
      </c>
    </row>
    <row r="157" spans="1:13" ht="24" x14ac:dyDescent="0.2">
      <c r="A157" s="49" t="s">
        <v>131</v>
      </c>
      <c r="B157" s="85" t="s">
        <v>21</v>
      </c>
      <c r="C157" s="85" t="s">
        <v>22</v>
      </c>
      <c r="D157" s="49">
        <v>1</v>
      </c>
      <c r="E157" s="49">
        <v>30</v>
      </c>
      <c r="F157" s="85">
        <v>45903</v>
      </c>
      <c r="G157" s="86">
        <v>0.375</v>
      </c>
      <c r="H157" s="85">
        <v>45902</v>
      </c>
      <c r="I157" s="86">
        <v>0.9375</v>
      </c>
      <c r="J157" s="87">
        <f t="shared" si="2"/>
        <v>-2</v>
      </c>
      <c r="K157" s="8">
        <v>1</v>
      </c>
      <c r="L157" s="87">
        <v>32</v>
      </c>
      <c r="M157" s="87" t="s">
        <v>132</v>
      </c>
    </row>
    <row r="158" spans="1:13" ht="24" x14ac:dyDescent="0.2">
      <c r="A158" s="49" t="s">
        <v>131</v>
      </c>
      <c r="B158" s="85" t="s">
        <v>136</v>
      </c>
      <c r="C158" s="85" t="s">
        <v>34</v>
      </c>
      <c r="D158" s="49">
        <v>1</v>
      </c>
      <c r="E158" s="49">
        <v>30</v>
      </c>
      <c r="F158" s="85">
        <v>45903</v>
      </c>
      <c r="G158" s="86">
        <v>0.375</v>
      </c>
      <c r="H158" s="85">
        <v>45902</v>
      </c>
      <c r="I158" s="86">
        <v>0.9375</v>
      </c>
      <c r="J158" s="87">
        <f t="shared" si="2"/>
        <v>-2</v>
      </c>
      <c r="K158" s="8">
        <v>1</v>
      </c>
      <c r="L158" s="87">
        <v>32</v>
      </c>
      <c r="M158" s="87" t="s">
        <v>132</v>
      </c>
    </row>
    <row r="159" spans="1:13" ht="24" x14ac:dyDescent="0.2">
      <c r="A159" s="49" t="s">
        <v>131</v>
      </c>
      <c r="B159" s="85" t="s">
        <v>39</v>
      </c>
      <c r="C159" s="85" t="s">
        <v>40</v>
      </c>
      <c r="D159" s="49">
        <v>1</v>
      </c>
      <c r="E159" s="49">
        <v>30</v>
      </c>
      <c r="F159" s="85">
        <v>45903</v>
      </c>
      <c r="G159" s="86">
        <v>0.375</v>
      </c>
      <c r="H159" s="85">
        <v>45902</v>
      </c>
      <c r="I159" s="86">
        <v>0.9375</v>
      </c>
      <c r="J159" s="87">
        <f t="shared" si="2"/>
        <v>-2</v>
      </c>
      <c r="K159" s="8">
        <v>1</v>
      </c>
      <c r="L159" s="87">
        <v>32</v>
      </c>
      <c r="M159" s="87" t="s">
        <v>132</v>
      </c>
    </row>
    <row r="160" spans="1:13" ht="24" x14ac:dyDescent="0.2">
      <c r="A160" s="49" t="s">
        <v>133</v>
      </c>
      <c r="B160" s="85" t="s">
        <v>21</v>
      </c>
      <c r="C160" s="85" t="s">
        <v>22</v>
      </c>
      <c r="D160" s="49">
        <v>3</v>
      </c>
      <c r="E160" s="49">
        <v>20</v>
      </c>
      <c r="F160" s="85">
        <v>45903</v>
      </c>
      <c r="G160" s="86">
        <v>0.375</v>
      </c>
      <c r="H160" s="85">
        <v>45902</v>
      </c>
      <c r="I160" s="86">
        <v>0.58333333333333337</v>
      </c>
      <c r="J160" s="87">
        <f t="shared" si="2"/>
        <v>5</v>
      </c>
      <c r="K160" s="8">
        <v>3</v>
      </c>
      <c r="L160" s="87">
        <v>15</v>
      </c>
      <c r="M160" s="87" t="s">
        <v>134</v>
      </c>
    </row>
    <row r="161" spans="1:13" ht="36" x14ac:dyDescent="0.2">
      <c r="A161" s="105" t="s">
        <v>144</v>
      </c>
      <c r="B161" s="85" t="s">
        <v>30</v>
      </c>
      <c r="C161" s="85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2"/>
        <v>0</v>
      </c>
      <c r="K161" s="8">
        <v>1</v>
      </c>
      <c r="L161" s="87">
        <v>30</v>
      </c>
      <c r="M161" s="87" t="s">
        <v>156</v>
      </c>
    </row>
    <row r="162" spans="1:13" ht="24" x14ac:dyDescent="0.2">
      <c r="A162" s="8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7">
        <v>30</v>
      </c>
      <c r="M162" s="87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3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3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3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3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3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3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3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3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3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3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3"/>
        <v>0</v>
      </c>
      <c r="K174" s="53">
        <v>1</v>
      </c>
      <c r="L174" s="53">
        <v>30</v>
      </c>
      <c r="M174" s="79" t="s">
        <v>263</v>
      </c>
    </row>
    <row r="175" spans="1:13" ht="38.2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3"/>
        <v>0</v>
      </c>
      <c r="K175" s="53">
        <v>1</v>
      </c>
      <c r="L175" s="53">
        <v>30</v>
      </c>
      <c r="M175" s="79" t="s">
        <v>265</v>
      </c>
    </row>
    <row r="176" spans="1:13" ht="38.2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3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3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3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3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3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3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3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3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3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3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3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3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3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3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3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3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3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3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3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3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3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3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3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3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3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3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3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3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3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3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3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3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3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3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3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3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3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3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3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3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3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3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3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3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3"/>
        <v>5</v>
      </c>
      <c r="K220" s="53">
        <v>1</v>
      </c>
      <c r="L220" s="53">
        <v>15</v>
      </c>
      <c r="M220" s="79" t="s">
        <v>310</v>
      </c>
    </row>
    <row r="221" spans="1:13" ht="25.5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3"/>
        <v>10</v>
      </c>
      <c r="K221" s="53">
        <v>1</v>
      </c>
      <c r="L221" s="53">
        <v>10</v>
      </c>
      <c r="M221" s="53" t="s">
        <v>312</v>
      </c>
    </row>
    <row r="222" spans="1:13" ht="25.5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3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3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3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3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3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3"/>
        <v>0</v>
      </c>
      <c r="K227" s="8">
        <v>1</v>
      </c>
      <c r="L227" s="87">
        <v>20</v>
      </c>
      <c r="M227" s="49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4">E228-L228</f>
        <v>0</v>
      </c>
      <c r="K228" s="8">
        <v>1</v>
      </c>
      <c r="L228" s="87">
        <v>20</v>
      </c>
      <c r="M228" s="49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4"/>
        <v>6</v>
      </c>
      <c r="K229" s="50">
        <v>1</v>
      </c>
      <c r="L229" s="50">
        <v>24</v>
      </c>
      <c r="M229" s="101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4"/>
        <v>0</v>
      </c>
      <c r="K230" s="50">
        <v>1</v>
      </c>
      <c r="L230" s="50">
        <v>30</v>
      </c>
      <c r="M230" s="101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4"/>
        <v>5</v>
      </c>
      <c r="K231" s="50">
        <v>5</v>
      </c>
      <c r="L231" s="50">
        <v>45</v>
      </c>
      <c r="M231" s="101" t="s">
        <v>180</v>
      </c>
    </row>
    <row r="232" spans="1:13" ht="36" x14ac:dyDescent="0.2">
      <c r="A232" s="8" t="s">
        <v>146</v>
      </c>
      <c r="B232" s="85" t="s">
        <v>30</v>
      </c>
      <c r="C232" s="85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4"/>
        <v>50</v>
      </c>
      <c r="K232" s="8">
        <v>1</v>
      </c>
      <c r="L232" s="87">
        <v>10</v>
      </c>
      <c r="M232" s="87" t="s">
        <v>149</v>
      </c>
    </row>
    <row r="233" spans="1:13" ht="36" x14ac:dyDescent="0.2">
      <c r="A233" s="8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4"/>
        <v>50</v>
      </c>
      <c r="K233" s="8">
        <v>1</v>
      </c>
      <c r="L233" s="87">
        <v>10</v>
      </c>
      <c r="M233" s="87" t="s">
        <v>149</v>
      </c>
    </row>
    <row r="234" spans="1:13" ht="36" x14ac:dyDescent="0.2">
      <c r="A234" s="8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4"/>
        <v>50</v>
      </c>
      <c r="K234" s="8">
        <v>1</v>
      </c>
      <c r="L234" s="87">
        <v>10</v>
      </c>
      <c r="M234" s="87" t="s">
        <v>149</v>
      </c>
    </row>
    <row r="235" spans="1:13" ht="36" x14ac:dyDescent="0.2">
      <c r="A235" s="8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4"/>
        <v>50</v>
      </c>
      <c r="K235" s="8">
        <v>1</v>
      </c>
      <c r="L235" s="87">
        <v>10</v>
      </c>
      <c r="M235" s="87" t="s">
        <v>149</v>
      </c>
    </row>
    <row r="236" spans="1:13" ht="36" x14ac:dyDescent="0.2">
      <c r="A236" s="8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4"/>
        <v>50</v>
      </c>
      <c r="K236" s="8">
        <v>1</v>
      </c>
      <c r="L236" s="87">
        <v>10</v>
      </c>
      <c r="M236" s="87" t="s">
        <v>149</v>
      </c>
    </row>
    <row r="237" spans="1:13" ht="36" x14ac:dyDescent="0.2">
      <c r="A237" s="8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4"/>
        <v>50</v>
      </c>
      <c r="K237" s="8">
        <v>1</v>
      </c>
      <c r="L237" s="87">
        <v>10</v>
      </c>
      <c r="M237" s="87" t="s">
        <v>149</v>
      </c>
    </row>
    <row r="238" spans="1:13" x14ac:dyDescent="0.2">
      <c r="A238" s="8" t="s">
        <v>52</v>
      </c>
      <c r="B238" s="85" t="s">
        <v>21</v>
      </c>
      <c r="C238" s="85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4"/>
        <v>0</v>
      </c>
      <c r="K238" s="8">
        <v>1</v>
      </c>
      <c r="L238" s="87">
        <v>30</v>
      </c>
      <c r="M238" s="87" t="s">
        <v>53</v>
      </c>
    </row>
    <row r="239" spans="1:13" x14ac:dyDescent="0.2">
      <c r="A239" s="8" t="s">
        <v>153</v>
      </c>
      <c r="B239" s="85" t="s">
        <v>36</v>
      </c>
      <c r="C239" s="85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4"/>
        <v>0</v>
      </c>
      <c r="K239" s="8">
        <v>1</v>
      </c>
      <c r="L239" s="87">
        <v>30</v>
      </c>
      <c r="M239" s="87" t="s">
        <v>53</v>
      </c>
    </row>
    <row r="240" spans="1:13" ht="24" x14ac:dyDescent="0.2">
      <c r="A240" s="8" t="s">
        <v>79</v>
      </c>
      <c r="B240" s="85" t="s">
        <v>36</v>
      </c>
      <c r="C240" s="85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4"/>
        <v>-35</v>
      </c>
      <c r="K240" s="8">
        <v>1</v>
      </c>
      <c r="L240" s="87">
        <v>80</v>
      </c>
      <c r="M240" s="87" t="s">
        <v>81</v>
      </c>
    </row>
    <row r="241" spans="1:13" x14ac:dyDescent="0.2">
      <c r="A241" s="8" t="s">
        <v>85</v>
      </c>
      <c r="B241" s="85" t="s">
        <v>21</v>
      </c>
      <c r="C241" s="85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4"/>
        <v>10</v>
      </c>
      <c r="K241" s="8">
        <v>1</v>
      </c>
      <c r="L241" s="87">
        <v>50</v>
      </c>
      <c r="M241" s="87" t="s">
        <v>87</v>
      </c>
    </row>
    <row r="242" spans="1:13" x14ac:dyDescent="0.2">
      <c r="A242" s="8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4"/>
        <v>0</v>
      </c>
      <c r="K242" s="8">
        <v>1</v>
      </c>
      <c r="L242" s="87">
        <v>55</v>
      </c>
      <c r="M242" s="87" t="s">
        <v>89</v>
      </c>
    </row>
    <row r="243" spans="1:13" ht="24" x14ac:dyDescent="0.2">
      <c r="A243" s="49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4"/>
        <v>-2</v>
      </c>
      <c r="K243" s="8">
        <v>1</v>
      </c>
      <c r="L243" s="87">
        <v>32</v>
      </c>
      <c r="M243" s="87" t="s">
        <v>132</v>
      </c>
    </row>
    <row r="244" spans="1:13" ht="24" x14ac:dyDescent="0.2">
      <c r="A244" s="49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4"/>
        <v>-2</v>
      </c>
      <c r="K244" s="8">
        <v>1</v>
      </c>
      <c r="L244" s="87">
        <v>32</v>
      </c>
      <c r="M244" s="87" t="s">
        <v>132</v>
      </c>
    </row>
    <row r="245" spans="1:13" ht="24" x14ac:dyDescent="0.2">
      <c r="A245" s="49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4"/>
        <v>-2</v>
      </c>
      <c r="K245" s="8">
        <v>1</v>
      </c>
      <c r="L245" s="87">
        <v>32</v>
      </c>
      <c r="M245" s="87" t="s">
        <v>132</v>
      </c>
    </row>
    <row r="246" spans="1:13" ht="24" x14ac:dyDescent="0.2">
      <c r="A246" s="49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4"/>
        <v>-2</v>
      </c>
      <c r="K246" s="8">
        <v>1</v>
      </c>
      <c r="L246" s="87">
        <v>32</v>
      </c>
      <c r="M246" s="87" t="s">
        <v>132</v>
      </c>
    </row>
    <row r="247" spans="1:13" ht="24" x14ac:dyDescent="0.2">
      <c r="A247" s="49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4"/>
        <v>-2</v>
      </c>
      <c r="K247" s="8">
        <v>1</v>
      </c>
      <c r="L247" s="87">
        <v>32</v>
      </c>
      <c r="M247" s="87" t="s">
        <v>132</v>
      </c>
    </row>
    <row r="248" spans="1:13" ht="24" x14ac:dyDescent="0.2">
      <c r="A248" s="49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4"/>
        <v>-2</v>
      </c>
      <c r="K248" s="8">
        <v>1</v>
      </c>
      <c r="L248" s="87">
        <v>32</v>
      </c>
      <c r="M248" s="87" t="s">
        <v>132</v>
      </c>
    </row>
    <row r="249" spans="1:13" ht="24" x14ac:dyDescent="0.2">
      <c r="A249" s="49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4"/>
        <v>5</v>
      </c>
      <c r="K249" s="8">
        <v>3</v>
      </c>
      <c r="L249" s="87">
        <v>15</v>
      </c>
      <c r="M249" s="8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>
        <v>51</v>
      </c>
      <c r="C253">
        <v>1535</v>
      </c>
      <c r="D253">
        <v>1501</v>
      </c>
      <c r="E253">
        <v>53</v>
      </c>
    </row>
    <row r="254" spans="1:13" x14ac:dyDescent="0.2">
      <c r="A254" s="71" t="s">
        <v>39</v>
      </c>
      <c r="B254">
        <v>42</v>
      </c>
      <c r="C254">
        <v>1280</v>
      </c>
      <c r="D254">
        <v>1018</v>
      </c>
      <c r="E254">
        <v>42</v>
      </c>
    </row>
    <row r="255" spans="1:13" x14ac:dyDescent="0.2">
      <c r="A255" s="71" t="s">
        <v>21</v>
      </c>
      <c r="B255">
        <v>60</v>
      </c>
      <c r="C255">
        <v>2100</v>
      </c>
      <c r="D255">
        <v>1710</v>
      </c>
      <c r="E255">
        <v>62</v>
      </c>
    </row>
    <row r="256" spans="1:13" x14ac:dyDescent="0.2">
      <c r="A256" s="71" t="s">
        <v>136</v>
      </c>
      <c r="B256">
        <v>30</v>
      </c>
      <c r="C256">
        <v>1080</v>
      </c>
      <c r="D256">
        <v>797</v>
      </c>
      <c r="E256">
        <v>29</v>
      </c>
    </row>
    <row r="257" spans="1:13" x14ac:dyDescent="0.2">
      <c r="A257" s="71" t="s">
        <v>42</v>
      </c>
      <c r="B257">
        <v>41</v>
      </c>
      <c r="C257">
        <v>1225</v>
      </c>
      <c r="D257">
        <v>1221</v>
      </c>
      <c r="E257">
        <v>43</v>
      </c>
    </row>
    <row r="258" spans="1:13" x14ac:dyDescent="0.2">
      <c r="A258" s="71" t="s">
        <v>30</v>
      </c>
      <c r="B258">
        <v>37</v>
      </c>
      <c r="C258">
        <v>1230</v>
      </c>
      <c r="D258">
        <v>1062</v>
      </c>
      <c r="E258">
        <v>38</v>
      </c>
    </row>
    <row r="259" spans="1:13" x14ac:dyDescent="0.2">
      <c r="A259" s="71" t="s">
        <v>211</v>
      </c>
      <c r="B259">
        <v>261</v>
      </c>
      <c r="C259">
        <v>8450</v>
      </c>
      <c r="D259">
        <v>7309</v>
      </c>
      <c r="E259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SEMANAS</vt:lpstr>
      <vt:lpstr>SEMANA 1</vt:lpstr>
      <vt:lpstr>SEMANA 2</vt:lpstr>
      <vt:lpstr>SEMANA 3</vt:lpstr>
      <vt:lpstr>SEMANA 4</vt:lpstr>
      <vt:lpstr>SEMANA 5</vt:lpstr>
      <vt:lpstr>DATOS 1</vt:lpstr>
      <vt:lpstr>DATOS 2</vt:lpstr>
      <vt:lpstr>DATOS 3</vt:lpstr>
      <vt:lpstr>DATOS 4</vt:lpstr>
      <vt:lpstr>DATOS 5</vt:lpstr>
      <vt:lpstr>EDTs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LEIDY SOFIA GIRALDO BETANCOURTH</cp:lastModifiedBy>
  <cp:revision/>
  <dcterms:created xsi:type="dcterms:W3CDTF">2016-02-05T21:36:42Z</dcterms:created>
  <dcterms:modified xsi:type="dcterms:W3CDTF">2025-09-17T15:29:29Z</dcterms:modified>
  <cp:category/>
  <cp:contentStatus/>
</cp:coreProperties>
</file>