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2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3.xml" ContentType="application/vnd.openxmlformats-officedocument.spreadsheetml.pivotTable+xml"/>
  <Override PartName="/xl/drawings/drawing11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4.xml" ContentType="application/vnd.openxmlformats-officedocument.spreadsheetml.pivotTable+xml"/>
  <Override PartName="/xl/drawings/drawing1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ivotTables/pivotTable9.xml" ContentType="application/vnd.openxmlformats-officedocument.spreadsheetml.pivotTable+xml"/>
  <Override PartName="/xl/drawings/drawing15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10.xml" ContentType="application/vnd.openxmlformats-officedocument.spreadsheetml.pivotTable+xml"/>
  <Override PartName="/xl/drawings/drawing16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pivotTables/pivotTable11.xml" ContentType="application/vnd.openxmlformats-officedocument.spreadsheetml.pivotTable+xml"/>
  <Override PartName="/xl/drawings/drawing1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ables/table1.xml" ContentType="application/vnd.openxmlformats-officedocument.spreadsheetml.table+xml"/>
  <Override PartName="/xl/pivotTables/pivotTable12.xml" ContentType="application/vnd.openxmlformats-officedocument.spreadsheetml.pivotTable+xml"/>
  <Override PartName="/xl/drawings/drawing18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ndrey\Documents\"/>
    </mc:Choice>
  </mc:AlternateContent>
  <xr:revisionPtr revIDLastSave="0" documentId="13_ncr:1_{4D8CDF59-F5B2-42D2-B401-12EEE304C040}" xr6:coauthVersionLast="47" xr6:coauthVersionMax="47" xr10:uidLastSave="{00000000-0000-0000-0000-000000000000}"/>
  <bookViews>
    <workbookView xWindow="-108" yWindow="-108" windowWidth="23256" windowHeight="12456" firstSheet="16" activeTab="19" xr2:uid="{00000000-000D-0000-FFFF-FFFF00000000}"/>
  </bookViews>
  <sheets>
    <sheet name="SEMANAS" sheetId="6" r:id="rId1"/>
    <sheet name="SEMANA 1" sheetId="1" r:id="rId2"/>
    <sheet name="SEMANA 2" sheetId="5" r:id="rId3"/>
    <sheet name="SEMANA 3" sheetId="4" r:id="rId4"/>
    <sheet name="SEMANA 4" sheetId="15" r:id="rId5"/>
    <sheet name="SEMANA 5" sheetId="20" r:id="rId6"/>
    <sheet name="SEMANA 6 y 7" sheetId="22" r:id="rId7"/>
    <sheet name="SEMANA 8" sheetId="24" r:id="rId8"/>
    <sheet name="SEMANA 9" sheetId="27" r:id="rId9"/>
    <sheet name="DATOS 1" sheetId="9" r:id="rId10"/>
    <sheet name="DATOS 2" sheetId="8" r:id="rId11"/>
    <sheet name="DATOS 3" sheetId="7" r:id="rId12"/>
    <sheet name="DATOS 4" sheetId="14" r:id="rId13"/>
    <sheet name="DATOS 5" sheetId="21" r:id="rId14"/>
    <sheet name="DATOS 6 y 7 " sheetId="23" r:id="rId15"/>
    <sheet name="DATOS 8" sheetId="25" r:id="rId16"/>
    <sheet name="DATOS 9" sheetId="26" r:id="rId17"/>
    <sheet name="POSTMORTEM " sheetId="30" r:id="rId18"/>
    <sheet name="CONSOLIDADO" sheetId="32" r:id="rId19"/>
    <sheet name="CUMPLIMIENTO" sheetId="33" r:id="rId20"/>
    <sheet name="TAREAS NO PLANIFICADAS" sheetId="34" r:id="rId21"/>
  </sheets>
  <definedNames>
    <definedName name="_xlnm._FilterDatabase" localSheetId="18" hidden="1">CONSOLIDADO!$A$7:$L$50</definedName>
    <definedName name="_xlnm._FilterDatabase" localSheetId="9" hidden="1">'DATOS 1'!$A$7:$L$50</definedName>
    <definedName name="_xlnm._FilterDatabase" localSheetId="10" hidden="1">'DATOS 2'!$A$7:$L$66</definedName>
    <definedName name="_xlnm._FilterDatabase" localSheetId="11" hidden="1">'DATOS 3'!$A$7:$M$61</definedName>
    <definedName name="_xlnm._FilterDatabase" localSheetId="12" hidden="1">'DATOS 4'!$A$7:$M$97</definedName>
    <definedName name="_xlnm._FilterDatabase" localSheetId="13" hidden="1">'DATOS 5'!$A$7:$M$56</definedName>
    <definedName name="_xlnm._FilterDatabase" localSheetId="14" hidden="1">'DATOS 6 y 7 '!$A$7:$M$65</definedName>
    <definedName name="_xlnm._FilterDatabase" localSheetId="15" hidden="1">'DATOS 8'!$A$7:$M$87</definedName>
    <definedName name="_xlnm._FilterDatabase" localSheetId="16" hidden="1">'DATOS 9'!$A$7:$M$90</definedName>
    <definedName name="_xlnm._FilterDatabase" localSheetId="1" hidden="1">'SEMANA 1'!$A$7:$B$49</definedName>
    <definedName name="_xlnm._FilterDatabase" localSheetId="2" hidden="1">'SEMANA 2'!$A$7:$B$66</definedName>
    <definedName name="_xlnm._FilterDatabase" localSheetId="3" hidden="1">'SEMANA 3'!$A$7:$M$60</definedName>
    <definedName name="_xlnm._FilterDatabase" localSheetId="4" hidden="1">'SEMANA 4'!$A$7:$M$96</definedName>
    <definedName name="_xlnm._FilterDatabase" localSheetId="5" hidden="1">'SEMANA 5'!$A$7:$M$55</definedName>
    <definedName name="_xlnm._FilterDatabase" localSheetId="6" hidden="1">'SEMANA 6 y 7'!$A$7:$M$63</definedName>
    <definedName name="_xlnm._FilterDatabase" localSheetId="7" hidden="1">'SEMANA 8'!$A$7:$M$86</definedName>
    <definedName name="_xlnm._FilterDatabase" localSheetId="8" hidden="1">'SEMANA 9'!$A$7:$M$90</definedName>
    <definedName name="_xlnm._FilterDatabase" localSheetId="0" hidden="1">SEMANAS!$A$7:$B$108</definedName>
  </definedNames>
  <calcPr calcId="191028"/>
  <pivotCaches>
    <pivotCache cacheId="0" r:id="rId22"/>
    <pivotCache cacheId="1" r:id="rId23"/>
    <pivotCache cacheId="2" r:id="rId24"/>
    <pivotCache cacheId="3" r:id="rId25"/>
    <pivotCache cacheId="4" r:id="rId26"/>
    <pivotCache cacheId="5" r:id="rId27"/>
    <pivotCache cacheId="6" r:id="rId28"/>
    <pivotCache cacheId="7" r:id="rId29"/>
    <pivotCache cacheId="8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33" l="1"/>
  <c r="F14" i="33"/>
  <c r="F15" i="33"/>
  <c r="F16" i="33"/>
  <c r="F17" i="33"/>
  <c r="F18" i="33"/>
  <c r="F19" i="33"/>
  <c r="C20" i="33"/>
  <c r="E20" i="33"/>
  <c r="D14" i="33"/>
  <c r="D15" i="33"/>
  <c r="D16" i="33"/>
  <c r="D20" i="33" s="1"/>
  <c r="D17" i="33"/>
  <c r="D18" i="33"/>
  <c r="D19" i="33"/>
  <c r="C11" i="33"/>
  <c r="D11" i="33"/>
  <c r="C11" i="34"/>
  <c r="E11" i="34"/>
  <c r="E11" i="33"/>
  <c r="D10" i="34"/>
  <c r="F10" i="34" s="1"/>
  <c r="D9" i="34"/>
  <c r="F9" i="34" s="1"/>
  <c r="D8" i="34"/>
  <c r="F8" i="34" s="1"/>
  <c r="D7" i="34"/>
  <c r="F7" i="34" s="1"/>
  <c r="D6" i="34"/>
  <c r="F6" i="34" s="1"/>
  <c r="D5" i="34"/>
  <c r="F5" i="34" s="1"/>
  <c r="D4" i="34"/>
  <c r="F4" i="34" s="1"/>
  <c r="D3" i="34"/>
  <c r="F3" i="34" s="1"/>
  <c r="J103" i="30"/>
  <c r="J90" i="30"/>
  <c r="J75" i="30"/>
  <c r="J63" i="30"/>
  <c r="J48" i="30"/>
  <c r="J33" i="30"/>
  <c r="J19" i="30"/>
  <c r="J18" i="30"/>
  <c r="J10" i="30"/>
  <c r="F20" i="30"/>
  <c r="G20" i="30"/>
  <c r="H20" i="30"/>
  <c r="I20" i="30"/>
  <c r="D3" i="33"/>
  <c r="D4" i="33"/>
  <c r="D5" i="33"/>
  <c r="D6" i="33"/>
  <c r="D7" i="33"/>
  <c r="D8" i="33"/>
  <c r="D9" i="33"/>
  <c r="D10" i="33"/>
  <c r="F3" i="33"/>
  <c r="F4" i="33"/>
  <c r="F5" i="33"/>
  <c r="F6" i="33"/>
  <c r="F7" i="33"/>
  <c r="F8" i="33"/>
  <c r="F9" i="33"/>
  <c r="F10" i="33"/>
  <c r="J4" i="30"/>
  <c r="J3" i="30"/>
  <c r="J7" i="30"/>
  <c r="J8" i="30"/>
  <c r="J9" i="30"/>
  <c r="J12" i="30"/>
  <c r="J13" i="30"/>
  <c r="J14" i="30"/>
  <c r="J15" i="30"/>
  <c r="J24" i="30"/>
  <c r="J25" i="30"/>
  <c r="J26" i="30"/>
  <c r="J27" i="30"/>
  <c r="J29" i="30"/>
  <c r="J30" i="30"/>
  <c r="J32" i="30"/>
  <c r="J34" i="30"/>
  <c r="J36" i="30"/>
  <c r="J37" i="30"/>
  <c r="J40" i="30"/>
  <c r="J41" i="30"/>
  <c r="J42" i="30"/>
  <c r="J43" i="30"/>
  <c r="J44" i="30"/>
  <c r="J47" i="30"/>
  <c r="J49" i="30"/>
  <c r="J50" i="30"/>
  <c r="J51" i="30"/>
  <c r="J53" i="30"/>
  <c r="J54" i="30"/>
  <c r="J55" i="30"/>
  <c r="J56" i="30"/>
  <c r="J57" i="30"/>
  <c r="J58" i="30"/>
  <c r="J59" i="30"/>
  <c r="J62" i="30"/>
  <c r="J64" i="30"/>
  <c r="J65" i="30"/>
  <c r="J67" i="30"/>
  <c r="J68" i="30"/>
  <c r="J69" i="30"/>
  <c r="J70" i="30"/>
  <c r="J71" i="30"/>
  <c r="J76" i="30"/>
  <c r="J78" i="30"/>
  <c r="J80" i="30"/>
  <c r="J82" i="30"/>
  <c r="J83" i="30"/>
  <c r="J84" i="30"/>
  <c r="J85" i="30"/>
  <c r="J86" i="30"/>
  <c r="J89" i="30"/>
  <c r="J91" i="30"/>
  <c r="J93" i="30"/>
  <c r="J94" i="30"/>
  <c r="J105" i="30"/>
  <c r="J108" i="30"/>
  <c r="J109" i="30"/>
  <c r="J110" i="30"/>
  <c r="J111" i="30"/>
  <c r="F60" i="30"/>
  <c r="J523" i="32"/>
  <c r="J522" i="32"/>
  <c r="J521" i="32"/>
  <c r="J520" i="32"/>
  <c r="J519" i="32"/>
  <c r="J518" i="32"/>
  <c r="J517" i="32"/>
  <c r="J516" i="32"/>
  <c r="J515" i="32"/>
  <c r="J514" i="32"/>
  <c r="J513" i="32"/>
  <c r="J512" i="32"/>
  <c r="J511" i="32"/>
  <c r="J510" i="32"/>
  <c r="J509" i="32"/>
  <c r="J508" i="32"/>
  <c r="J507" i="32"/>
  <c r="J506" i="32"/>
  <c r="J505" i="32"/>
  <c r="J504" i="32"/>
  <c r="J503" i="32"/>
  <c r="J502" i="32"/>
  <c r="J501" i="32"/>
  <c r="J500" i="32"/>
  <c r="J499" i="32"/>
  <c r="J498" i="32"/>
  <c r="J497" i="32"/>
  <c r="J496" i="32"/>
  <c r="J495" i="32"/>
  <c r="J494" i="32"/>
  <c r="J493" i="32"/>
  <c r="J492" i="32"/>
  <c r="J491" i="32"/>
  <c r="J490" i="32"/>
  <c r="J489" i="32"/>
  <c r="J488" i="32"/>
  <c r="J487" i="32"/>
  <c r="J486" i="32"/>
  <c r="J485" i="32"/>
  <c r="J484" i="32"/>
  <c r="J483" i="32"/>
  <c r="J482" i="32"/>
  <c r="J481" i="32"/>
  <c r="J480" i="32"/>
  <c r="J479" i="32"/>
  <c r="J478" i="32"/>
  <c r="J477" i="32"/>
  <c r="J476" i="32"/>
  <c r="J475" i="32"/>
  <c r="J474" i="32"/>
  <c r="J473" i="32"/>
  <c r="J472" i="32"/>
  <c r="J471" i="32"/>
  <c r="J470" i="32"/>
  <c r="J469" i="32"/>
  <c r="J468" i="32"/>
  <c r="J467" i="32"/>
  <c r="J466" i="32"/>
  <c r="J465" i="32"/>
  <c r="J464" i="32"/>
  <c r="J463" i="32"/>
  <c r="J462" i="32"/>
  <c r="J461" i="32"/>
  <c r="J460" i="32"/>
  <c r="J459" i="32"/>
  <c r="J458" i="32"/>
  <c r="J457" i="32"/>
  <c r="J456" i="32"/>
  <c r="J455" i="32"/>
  <c r="J454" i="32"/>
  <c r="J453" i="32"/>
  <c r="J452" i="32"/>
  <c r="J451" i="32"/>
  <c r="J450" i="32"/>
  <c r="J449" i="32"/>
  <c r="J448" i="32"/>
  <c r="J447" i="32"/>
  <c r="J446" i="32"/>
  <c r="J445" i="32"/>
  <c r="J444" i="32"/>
  <c r="J443" i="32"/>
  <c r="J442" i="32"/>
  <c r="J441" i="32"/>
  <c r="J440" i="32"/>
  <c r="J439" i="32"/>
  <c r="J438" i="32"/>
  <c r="J437" i="32"/>
  <c r="J436" i="32"/>
  <c r="J435" i="32"/>
  <c r="J434" i="32"/>
  <c r="J433" i="32"/>
  <c r="J432" i="32"/>
  <c r="J431" i="32"/>
  <c r="J430" i="32"/>
  <c r="J429" i="32"/>
  <c r="J428" i="32"/>
  <c r="J427" i="32"/>
  <c r="J426" i="32"/>
  <c r="J425" i="32"/>
  <c r="J424" i="32"/>
  <c r="J423" i="32"/>
  <c r="J422" i="32"/>
  <c r="J421" i="32"/>
  <c r="J420" i="32"/>
  <c r="J419" i="32"/>
  <c r="J418" i="32"/>
  <c r="J417" i="32"/>
  <c r="J416" i="32"/>
  <c r="J415" i="32"/>
  <c r="J414" i="32"/>
  <c r="J413" i="32"/>
  <c r="J412" i="32"/>
  <c r="J411" i="32"/>
  <c r="J410" i="32"/>
  <c r="J409" i="32"/>
  <c r="J408" i="32"/>
  <c r="J407" i="32"/>
  <c r="J406" i="32"/>
  <c r="J405" i="32"/>
  <c r="J404" i="32"/>
  <c r="J403" i="32"/>
  <c r="J402" i="32"/>
  <c r="J401" i="32"/>
  <c r="J400" i="32"/>
  <c r="J399" i="32"/>
  <c r="J398" i="32"/>
  <c r="J397" i="32"/>
  <c r="J396" i="32"/>
  <c r="J395" i="32"/>
  <c r="J394" i="32"/>
  <c r="J393" i="32"/>
  <c r="J392" i="32"/>
  <c r="J391" i="32"/>
  <c r="J390" i="32"/>
  <c r="J389" i="32"/>
  <c r="J388" i="32"/>
  <c r="J387" i="32"/>
  <c r="J386" i="32"/>
  <c r="J385" i="32"/>
  <c r="J384" i="32"/>
  <c r="J383" i="32"/>
  <c r="J382" i="32"/>
  <c r="J381" i="32"/>
  <c r="J380" i="32"/>
  <c r="J379" i="32"/>
  <c r="J378" i="32"/>
  <c r="J377" i="32"/>
  <c r="J376" i="32"/>
  <c r="J375" i="32"/>
  <c r="J374" i="32"/>
  <c r="J373" i="32"/>
  <c r="J372" i="32"/>
  <c r="J371" i="32"/>
  <c r="J370" i="32"/>
  <c r="J369" i="32"/>
  <c r="J368" i="32"/>
  <c r="J367" i="32"/>
  <c r="J366" i="32"/>
  <c r="J365" i="32"/>
  <c r="J364" i="32"/>
  <c r="J363" i="32"/>
  <c r="J362" i="32"/>
  <c r="J361" i="32"/>
  <c r="J360" i="32"/>
  <c r="J359" i="32"/>
  <c r="J358" i="32"/>
  <c r="J357" i="32"/>
  <c r="J356" i="32"/>
  <c r="J355" i="32"/>
  <c r="J354" i="32"/>
  <c r="J353" i="32"/>
  <c r="J352" i="32"/>
  <c r="J351" i="32"/>
  <c r="J350" i="32"/>
  <c r="J349" i="32"/>
  <c r="J348" i="32"/>
  <c r="J347" i="32"/>
  <c r="J346" i="32"/>
  <c r="J345" i="32"/>
  <c r="J344" i="32"/>
  <c r="J343" i="32"/>
  <c r="J342" i="32"/>
  <c r="J341" i="32"/>
  <c r="J340" i="32"/>
  <c r="J339" i="32"/>
  <c r="J338" i="32"/>
  <c r="J337" i="32"/>
  <c r="J336" i="32"/>
  <c r="J335" i="32"/>
  <c r="J334" i="32"/>
  <c r="J333" i="32"/>
  <c r="J332" i="32"/>
  <c r="J331" i="32"/>
  <c r="J330" i="32"/>
  <c r="J329" i="32"/>
  <c r="J328" i="32"/>
  <c r="J327" i="32"/>
  <c r="J326" i="32"/>
  <c r="J325" i="32"/>
  <c r="J324" i="32"/>
  <c r="J323" i="32"/>
  <c r="J322" i="32"/>
  <c r="J321" i="32"/>
  <c r="J320" i="32"/>
  <c r="J319" i="32"/>
  <c r="J318" i="32"/>
  <c r="J317" i="32"/>
  <c r="J316" i="32"/>
  <c r="J315" i="32"/>
  <c r="J314" i="32"/>
  <c r="J313" i="32"/>
  <c r="J312" i="32"/>
  <c r="J311" i="32"/>
  <c r="J310" i="32"/>
  <c r="J309" i="32"/>
  <c r="J308" i="32"/>
  <c r="J307" i="32"/>
  <c r="J306" i="32"/>
  <c r="J305" i="32"/>
  <c r="J304" i="32"/>
  <c r="J303" i="32"/>
  <c r="J302" i="32"/>
  <c r="J301" i="32"/>
  <c r="J300" i="32"/>
  <c r="J299" i="32"/>
  <c r="J298" i="32"/>
  <c r="J297" i="32"/>
  <c r="J296" i="32"/>
  <c r="J295" i="32"/>
  <c r="J294" i="32"/>
  <c r="J293" i="32"/>
  <c r="J292" i="32"/>
  <c r="J291" i="32"/>
  <c r="J290" i="32"/>
  <c r="J289" i="32"/>
  <c r="J288" i="32"/>
  <c r="J287" i="32"/>
  <c r="J286" i="32"/>
  <c r="J285" i="32"/>
  <c r="J284" i="32"/>
  <c r="J283" i="32"/>
  <c r="J282" i="32"/>
  <c r="J281" i="32"/>
  <c r="J280" i="32"/>
  <c r="J279" i="32"/>
  <c r="J278" i="32"/>
  <c r="J277" i="32"/>
  <c r="J276" i="32"/>
  <c r="J275" i="32"/>
  <c r="J274" i="32"/>
  <c r="J273" i="32"/>
  <c r="J272" i="32"/>
  <c r="J271" i="32"/>
  <c r="J270" i="32"/>
  <c r="J269" i="32"/>
  <c r="J268" i="32"/>
  <c r="J267" i="32"/>
  <c r="J266" i="32"/>
  <c r="J265" i="32"/>
  <c r="J264" i="32"/>
  <c r="J263" i="32"/>
  <c r="J262" i="32"/>
  <c r="J261" i="32"/>
  <c r="J260" i="32"/>
  <c r="J259" i="32"/>
  <c r="J258" i="32"/>
  <c r="J257" i="32"/>
  <c r="J256" i="32"/>
  <c r="J255" i="32"/>
  <c r="J254" i="32"/>
  <c r="J253" i="32"/>
  <c r="J252" i="32"/>
  <c r="J251" i="32"/>
  <c r="J250" i="32"/>
  <c r="J249" i="32"/>
  <c r="J248" i="32"/>
  <c r="J247" i="32"/>
  <c r="J246" i="32"/>
  <c r="J245" i="32"/>
  <c r="J244" i="32"/>
  <c r="J243" i="32"/>
  <c r="J242" i="32"/>
  <c r="J241" i="32"/>
  <c r="J240" i="32"/>
  <c r="J239" i="32"/>
  <c r="J238" i="32"/>
  <c r="J237" i="32"/>
  <c r="J236" i="32"/>
  <c r="J235" i="32"/>
  <c r="J234" i="32"/>
  <c r="J233" i="32"/>
  <c r="J232" i="32"/>
  <c r="J231" i="32"/>
  <c r="J230" i="32"/>
  <c r="J229" i="32"/>
  <c r="J228" i="32"/>
  <c r="J227" i="32"/>
  <c r="J226" i="32"/>
  <c r="J225" i="32"/>
  <c r="J224" i="32"/>
  <c r="J223" i="32"/>
  <c r="J222" i="32"/>
  <c r="J221" i="32"/>
  <c r="J220" i="32"/>
  <c r="J219" i="32"/>
  <c r="J218" i="32"/>
  <c r="J217" i="32"/>
  <c r="J216" i="32"/>
  <c r="J215" i="32"/>
  <c r="J214" i="32"/>
  <c r="J213" i="32"/>
  <c r="J212" i="32"/>
  <c r="J211" i="32"/>
  <c r="J210" i="32"/>
  <c r="J209" i="32"/>
  <c r="J208" i="32"/>
  <c r="J207" i="32"/>
  <c r="J206" i="32"/>
  <c r="J205" i="32"/>
  <c r="J204" i="32"/>
  <c r="J203" i="32"/>
  <c r="J202" i="32"/>
  <c r="J201" i="32"/>
  <c r="J200" i="32"/>
  <c r="J199" i="32"/>
  <c r="J198" i="32"/>
  <c r="J197" i="32"/>
  <c r="J196" i="32"/>
  <c r="J195" i="32"/>
  <c r="J194" i="32"/>
  <c r="J193" i="32"/>
  <c r="J192" i="32"/>
  <c r="J191" i="32"/>
  <c r="J190" i="32"/>
  <c r="J189" i="32"/>
  <c r="J188" i="32"/>
  <c r="J187" i="32"/>
  <c r="J186" i="32"/>
  <c r="J185" i="32"/>
  <c r="J184" i="32"/>
  <c r="J183" i="32"/>
  <c r="J182" i="32"/>
  <c r="J181" i="32"/>
  <c r="J180" i="32"/>
  <c r="J179" i="32"/>
  <c r="J178" i="32"/>
  <c r="J177" i="32"/>
  <c r="J176" i="32"/>
  <c r="J175" i="32"/>
  <c r="J174" i="32"/>
  <c r="J173" i="32"/>
  <c r="J172" i="32"/>
  <c r="J171" i="32"/>
  <c r="J170" i="32"/>
  <c r="J169" i="32"/>
  <c r="J168" i="32"/>
  <c r="J167" i="32"/>
  <c r="J166" i="32"/>
  <c r="J165" i="32"/>
  <c r="J164" i="32"/>
  <c r="J163" i="32"/>
  <c r="J162" i="32"/>
  <c r="J161" i="32"/>
  <c r="J160" i="32"/>
  <c r="J159" i="32"/>
  <c r="J158" i="32"/>
  <c r="J157" i="32"/>
  <c r="J156" i="32"/>
  <c r="J155" i="32"/>
  <c r="J154" i="32"/>
  <c r="J153" i="32"/>
  <c r="J152" i="32"/>
  <c r="J151" i="32"/>
  <c r="J150" i="32"/>
  <c r="J149" i="32"/>
  <c r="J148" i="32"/>
  <c r="J147" i="32"/>
  <c r="J146" i="32"/>
  <c r="J145" i="32"/>
  <c r="J144" i="32"/>
  <c r="J143" i="32"/>
  <c r="J142" i="32"/>
  <c r="J141" i="32"/>
  <c r="J140" i="32"/>
  <c r="J139" i="32"/>
  <c r="J138" i="32"/>
  <c r="J137" i="32"/>
  <c r="J136" i="32"/>
  <c r="J135" i="32"/>
  <c r="J134" i="32"/>
  <c r="J133" i="32"/>
  <c r="J132" i="32"/>
  <c r="J131" i="32"/>
  <c r="J130" i="32"/>
  <c r="J129" i="32"/>
  <c r="J128" i="32"/>
  <c r="J127" i="32"/>
  <c r="J126" i="32"/>
  <c r="J125" i="32"/>
  <c r="J124" i="32"/>
  <c r="J123" i="32"/>
  <c r="J122" i="32"/>
  <c r="J121" i="32"/>
  <c r="J120" i="32"/>
  <c r="J119" i="32"/>
  <c r="J118" i="32"/>
  <c r="J117" i="32"/>
  <c r="J116" i="32"/>
  <c r="J115" i="32"/>
  <c r="J114" i="32"/>
  <c r="J113" i="32"/>
  <c r="J112" i="32"/>
  <c r="J111" i="32"/>
  <c r="J110" i="32"/>
  <c r="J109" i="32"/>
  <c r="J108" i="32"/>
  <c r="J107" i="32"/>
  <c r="J106" i="32"/>
  <c r="J105" i="32"/>
  <c r="J104" i="32"/>
  <c r="J103" i="32"/>
  <c r="J102" i="32"/>
  <c r="J101" i="32"/>
  <c r="J100" i="32"/>
  <c r="J99" i="32"/>
  <c r="J98" i="32"/>
  <c r="J97" i="32"/>
  <c r="J96" i="32"/>
  <c r="J95" i="32"/>
  <c r="J94" i="32"/>
  <c r="J93" i="32"/>
  <c r="J92" i="32"/>
  <c r="J91" i="32"/>
  <c r="J90" i="32"/>
  <c r="J89" i="32"/>
  <c r="J88" i="32"/>
  <c r="J87" i="32"/>
  <c r="J86" i="32"/>
  <c r="J85" i="32"/>
  <c r="J84" i="32"/>
  <c r="J83" i="32"/>
  <c r="J82" i="32"/>
  <c r="J81" i="32"/>
  <c r="J80" i="32"/>
  <c r="J79" i="32"/>
  <c r="J78" i="32"/>
  <c r="J77" i="32"/>
  <c r="J76" i="32"/>
  <c r="J75" i="32"/>
  <c r="J74" i="32"/>
  <c r="J73" i="32"/>
  <c r="J72" i="32"/>
  <c r="J71" i="32"/>
  <c r="J70" i="32"/>
  <c r="J69" i="32"/>
  <c r="J68" i="32"/>
  <c r="J67" i="32"/>
  <c r="J66" i="32"/>
  <c r="J65" i="32"/>
  <c r="J64" i="32"/>
  <c r="J63" i="32"/>
  <c r="J62" i="32"/>
  <c r="J61" i="32"/>
  <c r="J60" i="32"/>
  <c r="J59" i="32"/>
  <c r="J58" i="32"/>
  <c r="J57" i="32"/>
  <c r="J56" i="32"/>
  <c r="J55" i="32"/>
  <c r="J54" i="32"/>
  <c r="J53" i="32"/>
  <c r="J52" i="32"/>
  <c r="J51" i="32"/>
  <c r="T109" i="32"/>
  <c r="S109" i="32"/>
  <c r="R109" i="32"/>
  <c r="Q109" i="32"/>
  <c r="J50" i="32"/>
  <c r="J49" i="32"/>
  <c r="J48" i="32"/>
  <c r="J47" i="32"/>
  <c r="J46" i="32"/>
  <c r="J45" i="32"/>
  <c r="J44" i="32"/>
  <c r="J43" i="32"/>
  <c r="J42" i="32"/>
  <c r="J41" i="32"/>
  <c r="J40" i="32"/>
  <c r="J39" i="32"/>
  <c r="J38" i="32"/>
  <c r="J37" i="32"/>
  <c r="J36" i="32"/>
  <c r="J35" i="32"/>
  <c r="J34" i="32"/>
  <c r="J33" i="32"/>
  <c r="J32" i="32"/>
  <c r="J31" i="32"/>
  <c r="J30" i="32"/>
  <c r="J29" i="32"/>
  <c r="J28" i="32"/>
  <c r="J27" i="32"/>
  <c r="J26" i="32"/>
  <c r="J25" i="32"/>
  <c r="J24" i="32"/>
  <c r="J23" i="32"/>
  <c r="J22" i="32"/>
  <c r="J21" i="32"/>
  <c r="J20" i="32"/>
  <c r="J19" i="32"/>
  <c r="J18" i="32"/>
  <c r="J17" i="32"/>
  <c r="J16" i="32"/>
  <c r="J15" i="32"/>
  <c r="J14" i="32"/>
  <c r="J13" i="32"/>
  <c r="J12" i="32"/>
  <c r="J11" i="32"/>
  <c r="J10" i="32"/>
  <c r="J9" i="32"/>
  <c r="J8" i="32"/>
  <c r="G5" i="30"/>
  <c r="G77" i="30"/>
  <c r="J77" i="30" s="1"/>
  <c r="I102" i="30"/>
  <c r="J102" i="30" s="1"/>
  <c r="G6" i="30"/>
  <c r="G101" i="30"/>
  <c r="C114" i="30"/>
  <c r="I113" i="30"/>
  <c r="H113" i="30"/>
  <c r="G113" i="30"/>
  <c r="I112" i="30"/>
  <c r="G112" i="30"/>
  <c r="I107" i="30"/>
  <c r="J107" i="30" s="1"/>
  <c r="H107" i="30"/>
  <c r="I106" i="30"/>
  <c r="H106" i="30"/>
  <c r="G106" i="30"/>
  <c r="I104" i="30"/>
  <c r="H104" i="30"/>
  <c r="G104" i="30"/>
  <c r="H102" i="30"/>
  <c r="I101" i="30"/>
  <c r="H101" i="30"/>
  <c r="I100" i="30"/>
  <c r="H100" i="30"/>
  <c r="G100" i="30"/>
  <c r="G99" i="30"/>
  <c r="J99" i="30" s="1"/>
  <c r="G98" i="30"/>
  <c r="J98" i="30" s="1"/>
  <c r="G97" i="30"/>
  <c r="J97" i="30" s="1"/>
  <c r="G96" i="30"/>
  <c r="J96" i="30" s="1"/>
  <c r="I95" i="30"/>
  <c r="H95" i="30"/>
  <c r="G95" i="30"/>
  <c r="G92" i="30"/>
  <c r="J92" i="30" s="1"/>
  <c r="I88" i="30"/>
  <c r="H88" i="30"/>
  <c r="G88" i="30"/>
  <c r="I87" i="30"/>
  <c r="H87" i="30"/>
  <c r="G87" i="30"/>
  <c r="G81" i="30"/>
  <c r="J81" i="30" s="1"/>
  <c r="I79" i="30"/>
  <c r="J79" i="30" s="1"/>
  <c r="H79" i="30"/>
  <c r="G74" i="30"/>
  <c r="J74" i="30" s="1"/>
  <c r="I73" i="30"/>
  <c r="G73" i="30"/>
  <c r="I72" i="30"/>
  <c r="G72" i="30"/>
  <c r="G66" i="30"/>
  <c r="J66" i="30" s="1"/>
  <c r="I61" i="30"/>
  <c r="H61" i="30"/>
  <c r="G61" i="30"/>
  <c r="F61" i="30"/>
  <c r="I60" i="30"/>
  <c r="H60" i="30"/>
  <c r="G60" i="30"/>
  <c r="G52" i="30"/>
  <c r="J52" i="30" s="1"/>
  <c r="I46" i="30"/>
  <c r="H46" i="30"/>
  <c r="G46" i="30"/>
  <c r="F46" i="30"/>
  <c r="I45" i="30"/>
  <c r="H45" i="30"/>
  <c r="G45" i="30"/>
  <c r="F45" i="30"/>
  <c r="I39" i="30"/>
  <c r="H39" i="30"/>
  <c r="G39" i="30"/>
  <c r="F39" i="30"/>
  <c r="I38" i="30"/>
  <c r="J38" i="30" s="1"/>
  <c r="I35" i="30"/>
  <c r="H35" i="30"/>
  <c r="G35" i="30"/>
  <c r="F35" i="30"/>
  <c r="I31" i="30"/>
  <c r="H31" i="30"/>
  <c r="G31" i="30"/>
  <c r="F31" i="30"/>
  <c r="I28" i="30"/>
  <c r="H28" i="30"/>
  <c r="G28" i="30"/>
  <c r="F28" i="30"/>
  <c r="H27" i="30"/>
  <c r="F27" i="30"/>
  <c r="H25" i="30"/>
  <c r="F25" i="30"/>
  <c r="I23" i="30"/>
  <c r="H23" i="30"/>
  <c r="G23" i="30"/>
  <c r="I22" i="30"/>
  <c r="J22" i="30" s="1"/>
  <c r="H22" i="30"/>
  <c r="F22" i="30"/>
  <c r="I21" i="30"/>
  <c r="J21" i="30" s="1"/>
  <c r="H21" i="30"/>
  <c r="F21" i="30"/>
  <c r="I17" i="30"/>
  <c r="H17" i="30"/>
  <c r="G17" i="30"/>
  <c r="F17" i="30"/>
  <c r="I16" i="30"/>
  <c r="H16" i="30"/>
  <c r="G16" i="30"/>
  <c r="F16" i="30"/>
  <c r="I11" i="30"/>
  <c r="J11" i="30" s="1"/>
  <c r="H11" i="30"/>
  <c r="F11" i="30"/>
  <c r="I6" i="30"/>
  <c r="H6" i="30"/>
  <c r="F6" i="30"/>
  <c r="I5" i="30"/>
  <c r="J5" i="30" s="1"/>
  <c r="H5" i="30"/>
  <c r="F5" i="30"/>
  <c r="I2" i="30"/>
  <c r="J2" i="30" s="1"/>
  <c r="H2" i="30"/>
  <c r="F2" i="30"/>
  <c r="F11" i="33" l="1"/>
  <c r="D11" i="34"/>
  <c r="F11" i="34"/>
  <c r="J20" i="30"/>
  <c r="J104" i="30"/>
  <c r="J31" i="30"/>
  <c r="J106" i="30"/>
  <c r="J61" i="30"/>
  <c r="J100" i="30"/>
  <c r="J35" i="30"/>
  <c r="J101" i="30"/>
  <c r="J73" i="30"/>
  <c r="J6" i="30"/>
  <c r="J88" i="30"/>
  <c r="J46" i="30"/>
  <c r="J112" i="30"/>
  <c r="J95" i="30"/>
  <c r="J39" i="30"/>
  <c r="J60" i="30"/>
  <c r="J72" i="30"/>
  <c r="J16" i="30"/>
  <c r="J113" i="30"/>
  <c r="J28" i="30"/>
  <c r="J17" i="30"/>
  <c r="J45" i="30"/>
  <c r="J23" i="30"/>
  <c r="J87" i="30"/>
  <c r="F114" i="30"/>
  <c r="H114" i="30"/>
  <c r="I114" i="30"/>
  <c r="G114" i="30"/>
  <c r="T133" i="27"/>
  <c r="S133" i="27"/>
  <c r="R133" i="27"/>
  <c r="Q133" i="27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9" i="27"/>
  <c r="J48" i="27"/>
  <c r="J47" i="27"/>
  <c r="J46" i="27"/>
  <c r="J45" i="27"/>
  <c r="J44" i="27"/>
  <c r="J43" i="27"/>
  <c r="J42" i="27"/>
  <c r="J41" i="27"/>
  <c r="J40" i="27"/>
  <c r="J39" i="27"/>
  <c r="J38" i="27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66" i="26"/>
  <c r="J65" i="26"/>
  <c r="J64" i="26"/>
  <c r="J63" i="26"/>
  <c r="J62" i="26"/>
  <c r="J61" i="26"/>
  <c r="J60" i="26"/>
  <c r="J59" i="26"/>
  <c r="J58" i="26"/>
  <c r="J57" i="26"/>
  <c r="J56" i="26"/>
  <c r="J55" i="26"/>
  <c r="J54" i="26"/>
  <c r="J53" i="26"/>
  <c r="J52" i="26"/>
  <c r="J51" i="26"/>
  <c r="J50" i="26"/>
  <c r="J49" i="26"/>
  <c r="J48" i="26"/>
  <c r="J47" i="26"/>
  <c r="J46" i="26"/>
  <c r="J45" i="26"/>
  <c r="J44" i="26"/>
  <c r="J43" i="26"/>
  <c r="J42" i="26"/>
  <c r="J41" i="26"/>
  <c r="J40" i="26"/>
  <c r="J39" i="26"/>
  <c r="J38" i="26"/>
  <c r="J37" i="26"/>
  <c r="J36" i="26"/>
  <c r="J35" i="26"/>
  <c r="J34" i="26"/>
  <c r="J33" i="26"/>
  <c r="J32" i="26"/>
  <c r="J31" i="26"/>
  <c r="J30" i="26"/>
  <c r="J29" i="26"/>
  <c r="J28" i="26"/>
  <c r="J27" i="26"/>
  <c r="J26" i="26"/>
  <c r="J25" i="26"/>
  <c r="J24" i="26"/>
  <c r="J23" i="26"/>
  <c r="J22" i="26"/>
  <c r="J21" i="26"/>
  <c r="J20" i="26"/>
  <c r="J12" i="26"/>
  <c r="J13" i="26"/>
  <c r="J14" i="26"/>
  <c r="J15" i="26"/>
  <c r="J16" i="26"/>
  <c r="J17" i="26"/>
  <c r="J18" i="26"/>
  <c r="J19" i="26"/>
  <c r="J10" i="26"/>
  <c r="J11" i="26"/>
  <c r="T133" i="26"/>
  <c r="S133" i="26"/>
  <c r="R133" i="26"/>
  <c r="Q133" i="26"/>
  <c r="J90" i="26"/>
  <c r="J89" i="26"/>
  <c r="J88" i="26"/>
  <c r="J87" i="26"/>
  <c r="J86" i="26"/>
  <c r="J85" i="26"/>
  <c r="J84" i="26"/>
  <c r="J83" i="26"/>
  <c r="J82" i="26"/>
  <c r="J81" i="26"/>
  <c r="J80" i="26"/>
  <c r="J79" i="26"/>
  <c r="J78" i="26"/>
  <c r="J77" i="26"/>
  <c r="J76" i="26"/>
  <c r="J75" i="26"/>
  <c r="J74" i="26"/>
  <c r="J73" i="26"/>
  <c r="J72" i="26"/>
  <c r="J71" i="26"/>
  <c r="J70" i="26"/>
  <c r="J69" i="26"/>
  <c r="J68" i="26"/>
  <c r="J67" i="26"/>
  <c r="J9" i="26"/>
  <c r="J8" i="26"/>
  <c r="J29" i="9"/>
  <c r="J49" i="8"/>
  <c r="J42" i="7"/>
  <c r="J74" i="14"/>
  <c r="J32" i="21"/>
  <c r="J42" i="23"/>
  <c r="J43" i="23"/>
  <c r="J40" i="23"/>
  <c r="J63" i="25"/>
  <c r="T130" i="25"/>
  <c r="S130" i="25"/>
  <c r="R130" i="25"/>
  <c r="Q130" i="25"/>
  <c r="J87" i="25"/>
  <c r="J86" i="25"/>
  <c r="J85" i="25"/>
  <c r="J84" i="25"/>
  <c r="J83" i="25"/>
  <c r="J82" i="25"/>
  <c r="J81" i="25"/>
  <c r="J80" i="25"/>
  <c r="J79" i="25"/>
  <c r="J78" i="25"/>
  <c r="J77" i="25"/>
  <c r="J76" i="25"/>
  <c r="J75" i="25"/>
  <c r="J74" i="25"/>
  <c r="J73" i="25"/>
  <c r="J72" i="25"/>
  <c r="J71" i="25"/>
  <c r="J70" i="25"/>
  <c r="J69" i="25"/>
  <c r="J68" i="25"/>
  <c r="J67" i="25"/>
  <c r="J66" i="25"/>
  <c r="J65" i="25"/>
  <c r="J64" i="25"/>
  <c r="J62" i="25"/>
  <c r="J61" i="25"/>
  <c r="J60" i="25"/>
  <c r="J59" i="25"/>
  <c r="J58" i="25"/>
  <c r="J57" i="25"/>
  <c r="J56" i="25"/>
  <c r="J55" i="25"/>
  <c r="J54" i="25"/>
  <c r="J53" i="25"/>
  <c r="J52" i="25"/>
  <c r="J51" i="25"/>
  <c r="J50" i="25"/>
  <c r="J49" i="25"/>
  <c r="J48" i="25"/>
  <c r="J47" i="25"/>
  <c r="J46" i="25"/>
  <c r="J45" i="25"/>
  <c r="J44" i="25"/>
  <c r="J43" i="25"/>
  <c r="J42" i="25"/>
  <c r="J41" i="25"/>
  <c r="J40" i="25"/>
  <c r="J39" i="25"/>
  <c r="J38" i="25"/>
  <c r="J37" i="25"/>
  <c r="J36" i="25"/>
  <c r="J35" i="25"/>
  <c r="J34" i="25"/>
  <c r="J33" i="25"/>
  <c r="J32" i="25"/>
  <c r="J31" i="25"/>
  <c r="J30" i="25"/>
  <c r="J29" i="25"/>
  <c r="J28" i="25"/>
  <c r="J27" i="25"/>
  <c r="J26" i="25"/>
  <c r="J25" i="25"/>
  <c r="J24" i="25"/>
  <c r="J23" i="25"/>
  <c r="J22" i="25"/>
  <c r="J21" i="25"/>
  <c r="J20" i="25"/>
  <c r="J19" i="25"/>
  <c r="J18" i="25"/>
  <c r="J17" i="25"/>
  <c r="J16" i="25"/>
  <c r="J15" i="25"/>
  <c r="J14" i="25"/>
  <c r="J13" i="25"/>
  <c r="J12" i="25"/>
  <c r="J11" i="25"/>
  <c r="J10" i="25"/>
  <c r="J9" i="25"/>
  <c r="J8" i="25"/>
  <c r="J56" i="24"/>
  <c r="J57" i="24"/>
  <c r="J58" i="24"/>
  <c r="J59" i="24"/>
  <c r="J60" i="24"/>
  <c r="J50" i="24"/>
  <c r="J51" i="24"/>
  <c r="J52" i="24"/>
  <c r="J53" i="24"/>
  <c r="J54" i="24"/>
  <c r="J49" i="24"/>
  <c r="J55" i="24"/>
  <c r="J61" i="24"/>
  <c r="J62" i="24"/>
  <c r="J63" i="24"/>
  <c r="J39" i="24"/>
  <c r="J40" i="24"/>
  <c r="J38" i="24"/>
  <c r="J41" i="24"/>
  <c r="J42" i="24"/>
  <c r="J43" i="24"/>
  <c r="J44" i="24"/>
  <c r="J45" i="24"/>
  <c r="J46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47" i="24"/>
  <c r="J48" i="24"/>
  <c r="J9" i="24"/>
  <c r="T129" i="24"/>
  <c r="S129" i="24"/>
  <c r="R129" i="24"/>
  <c r="Q129" i="24"/>
  <c r="J86" i="24"/>
  <c r="J85" i="24"/>
  <c r="J84" i="24"/>
  <c r="J83" i="24"/>
  <c r="J82" i="24"/>
  <c r="J81" i="24"/>
  <c r="J80" i="24"/>
  <c r="J79" i="24"/>
  <c r="J78" i="24"/>
  <c r="J77" i="24"/>
  <c r="J76" i="24"/>
  <c r="J75" i="24"/>
  <c r="J74" i="24"/>
  <c r="J73" i="24"/>
  <c r="J72" i="24"/>
  <c r="J71" i="24"/>
  <c r="J70" i="24"/>
  <c r="J69" i="24"/>
  <c r="J68" i="24"/>
  <c r="J67" i="24"/>
  <c r="J66" i="24"/>
  <c r="J65" i="24"/>
  <c r="J64" i="24"/>
  <c r="J8" i="24"/>
  <c r="J17" i="23"/>
  <c r="T126" i="23"/>
  <c r="S126" i="23"/>
  <c r="R126" i="23"/>
  <c r="Q126" i="23"/>
  <c r="J65" i="23"/>
  <c r="J64" i="23"/>
  <c r="J63" i="23"/>
  <c r="J62" i="23"/>
  <c r="J61" i="23"/>
  <c r="J60" i="23"/>
  <c r="J59" i="23"/>
  <c r="J58" i="23"/>
  <c r="J57" i="23"/>
  <c r="J56" i="23"/>
  <c r="J55" i="23"/>
  <c r="J54" i="23"/>
  <c r="J53" i="23"/>
  <c r="J52" i="23"/>
  <c r="J51" i="23"/>
  <c r="J50" i="23"/>
  <c r="J49" i="23"/>
  <c r="J48" i="23"/>
  <c r="J47" i="23"/>
  <c r="J46" i="23"/>
  <c r="J45" i="23"/>
  <c r="J44" i="23"/>
  <c r="J41" i="23"/>
  <c r="J39" i="23"/>
  <c r="J38" i="23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6" i="23"/>
  <c r="J15" i="23"/>
  <c r="J14" i="23"/>
  <c r="J13" i="23"/>
  <c r="J12" i="23"/>
  <c r="J11" i="23"/>
  <c r="J10" i="23"/>
  <c r="J9" i="23"/>
  <c r="J8" i="23"/>
  <c r="J34" i="22"/>
  <c r="J35" i="22"/>
  <c r="J36" i="22"/>
  <c r="J37" i="22"/>
  <c r="J38" i="22"/>
  <c r="J32" i="22"/>
  <c r="J33" i="22"/>
  <c r="J39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40" i="22"/>
  <c r="J12" i="22"/>
  <c r="J13" i="22"/>
  <c r="J14" i="22"/>
  <c r="J15" i="22"/>
  <c r="J10" i="22"/>
  <c r="J11" i="22"/>
  <c r="J9" i="22"/>
  <c r="T125" i="22"/>
  <c r="S125" i="22"/>
  <c r="R125" i="22"/>
  <c r="Q125" i="22"/>
  <c r="J80" i="22"/>
  <c r="J63" i="22"/>
  <c r="J62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8" i="22"/>
  <c r="T123" i="21"/>
  <c r="S123" i="21"/>
  <c r="R123" i="21"/>
  <c r="Q123" i="21"/>
  <c r="J56" i="21"/>
  <c r="J55" i="21"/>
  <c r="J54" i="21"/>
  <c r="J53" i="21"/>
  <c r="J52" i="21"/>
  <c r="J51" i="21"/>
  <c r="J50" i="21"/>
  <c r="J49" i="21"/>
  <c r="J48" i="21"/>
  <c r="J47" i="21"/>
  <c r="J46" i="21"/>
  <c r="J45" i="21"/>
  <c r="J44" i="21"/>
  <c r="J43" i="21"/>
  <c r="J42" i="21"/>
  <c r="J41" i="21"/>
  <c r="J40" i="21"/>
  <c r="J39" i="21"/>
  <c r="J38" i="21"/>
  <c r="J37" i="21"/>
  <c r="J36" i="21"/>
  <c r="J35" i="21"/>
  <c r="J34" i="21"/>
  <c r="J33" i="21"/>
  <c r="J31" i="21"/>
  <c r="J30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8" i="20"/>
  <c r="J9" i="20"/>
  <c r="T123" i="20"/>
  <c r="S123" i="20"/>
  <c r="R123" i="20"/>
  <c r="Q123" i="20"/>
  <c r="J72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T123" i="15"/>
  <c r="S123" i="15"/>
  <c r="R123" i="15"/>
  <c r="Q123" i="15"/>
  <c r="J113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0" i="14"/>
  <c r="J11" i="14"/>
  <c r="J12" i="14"/>
  <c r="J13" i="14"/>
  <c r="J9" i="14"/>
  <c r="T123" i="14"/>
  <c r="S123" i="14"/>
  <c r="R123" i="14"/>
  <c r="Q123" i="14"/>
  <c r="J97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8" i="14"/>
  <c r="T109" i="9"/>
  <c r="S109" i="9"/>
  <c r="R109" i="9"/>
  <c r="Q109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W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T105" i="7"/>
  <c r="S105" i="7"/>
  <c r="R105" i="7"/>
  <c r="Q105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15" i="4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T109" i="6"/>
  <c r="S109" i="6"/>
  <c r="R109" i="6"/>
  <c r="Q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104" i="5"/>
  <c r="T109" i="5"/>
  <c r="S109" i="5"/>
  <c r="R109" i="5"/>
  <c r="Q109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77" i="4"/>
  <c r="J18" i="4"/>
  <c r="J17" i="4"/>
  <c r="J16" i="4"/>
  <c r="J14" i="4"/>
  <c r="J13" i="4"/>
  <c r="J12" i="4"/>
  <c r="J11" i="4"/>
  <c r="J10" i="4"/>
  <c r="J9" i="4"/>
  <c r="T109" i="4"/>
  <c r="S109" i="4"/>
  <c r="R109" i="4"/>
  <c r="Q109" i="4"/>
  <c r="J8" i="4"/>
  <c r="R109" i="1"/>
  <c r="S109" i="1"/>
  <c r="T109" i="1"/>
  <c r="Q109" i="1"/>
  <c r="J46" i="1"/>
  <c r="J45" i="1"/>
  <c r="J44" i="1"/>
  <c r="J43" i="1"/>
  <c r="J42" i="1"/>
  <c r="J48" i="1"/>
  <c r="J28" i="1"/>
  <c r="J13" i="1"/>
  <c r="J12" i="1"/>
  <c r="J11" i="1"/>
  <c r="J10" i="1"/>
  <c r="J9" i="1"/>
  <c r="J49" i="1"/>
  <c r="J65" i="1"/>
  <c r="J47" i="1"/>
  <c r="J41" i="1"/>
  <c r="J40" i="1"/>
  <c r="J39" i="1"/>
  <c r="J38" i="1"/>
  <c r="J37" i="1"/>
  <c r="J20" i="1"/>
  <c r="J19" i="1"/>
  <c r="J18" i="1"/>
  <c r="J17" i="1"/>
  <c r="J16" i="1"/>
  <c r="J15" i="1"/>
  <c r="J14" i="1"/>
  <c r="J8" i="1"/>
  <c r="J32" i="1"/>
  <c r="J21" i="1"/>
  <c r="J22" i="1"/>
  <c r="J23" i="1"/>
  <c r="J24" i="1"/>
  <c r="J25" i="1"/>
  <c r="J26" i="1"/>
  <c r="J27" i="1"/>
  <c r="J29" i="1"/>
  <c r="J30" i="1"/>
  <c r="J31" i="1"/>
  <c r="J33" i="1"/>
  <c r="J34" i="1"/>
  <c r="J35" i="1"/>
  <c r="J36" i="1"/>
  <c r="J114" i="30" l="1"/>
  <c r="A7" i="1"/>
  <c r="A7" i="1" a="1"/>
  <c r="A7" i="21"/>
  <c r="A7" i="21" a="1"/>
  <c r="A7" i="20"/>
  <c r="A7" i="20" a="1"/>
  <c r="A7" i="25"/>
  <c r="A7" i="25" a="1"/>
  <c r="A7" i="23"/>
  <c r="A7" i="23" a="1"/>
  <c r="A7" i="4"/>
  <c r="A7" i="4" a="1"/>
  <c r="A7" i="9"/>
  <c r="A7" i="9" a="1"/>
  <c r="A7" i="22"/>
  <c r="A7" i="22" a="1"/>
  <c r="A7" i="14"/>
  <c r="A7" i="14" a="1"/>
  <c r="A7" i="5"/>
  <c r="A7" i="5" a="1"/>
  <c r="A7" i="6"/>
  <c r="A7" i="6" a="1"/>
  <c r="A7" i="32"/>
  <c r="A7" i="32" a="1"/>
  <c r="A7" i="24"/>
  <c r="A7" i="24" a="1"/>
  <c r="A7" i="26"/>
  <c r="A7" i="26" a="1"/>
  <c r="A7" i="27"/>
  <c r="A7" i="27" a="1"/>
  <c r="A7" i="15"/>
  <c r="A7" i="15" a="1"/>
  <c r="A7" i="7"/>
  <c r="A7" i="7" a="1"/>
  <c r="A7" i="8"/>
  <c r="A7" i="8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<sst xmlns="http://schemas.openxmlformats.org/spreadsheetml/2006/main" count="8244" uniqueCount="615">
  <si>
    <t>CONTROL ASIGNACIONES</t>
  </si>
  <si>
    <t>Universidad Piloto de Colombia</t>
  </si>
  <si>
    <t>PROYECTO:  KPI's by Print(Null);</t>
  </si>
  <si>
    <t>Grupo: 3</t>
  </si>
  <si>
    <t>Ciclo: 1</t>
  </si>
  <si>
    <t xml:space="preserve"> </t>
  </si>
  <si>
    <t>Planeación</t>
  </si>
  <si>
    <t>Seguimiento</t>
  </si>
  <si>
    <t>Responsable</t>
  </si>
  <si>
    <t>Rol que recibe</t>
  </si>
  <si>
    <t>Tamaño estimado (hojas, secciones)</t>
  </si>
  <si>
    <t>Tiempo estimado (minutos)</t>
  </si>
  <si>
    <t>Fecha Acordada Entrega</t>
  </si>
  <si>
    <t>Hora Acordada entrega</t>
  </si>
  <si>
    <t>Fecha Entregada</t>
  </si>
  <si>
    <t>Hora Entrega</t>
  </si>
  <si>
    <t>Diferencia</t>
  </si>
  <si>
    <t>Tamaño real</t>
  </si>
  <si>
    <t>Tiempo real</t>
  </si>
  <si>
    <t>Observaciones</t>
  </si>
  <si>
    <t>Conformación del equipo (Nombre, Logo, Integrantes)</t>
  </si>
  <si>
    <t>Leidy Giraldo</t>
  </si>
  <si>
    <t>LE</t>
  </si>
  <si>
    <t>Realizamos la la elección de los integrantes del grupo e implementamos ideas para el logo y el nombre del grupo.</t>
  </si>
  <si>
    <t>Asignación de roles</t>
  </si>
  <si>
    <t>Se escogió minusiosamente la eleción de roles para cada actividad, se realizo mediante experiencias en anteriores proyectos.</t>
  </si>
  <si>
    <t>Planificación del proyecto</t>
  </si>
  <si>
    <t xml:space="preserve">      Leidy Giraldo</t>
  </si>
  <si>
    <t xml:space="preserve">            LE</t>
  </si>
  <si>
    <t>Reunión inicial de equipo donde la lider propuso con el lider de planeación las actividades y planeación del proyecto</t>
  </si>
  <si>
    <t>Santiago Herrada</t>
  </si>
  <si>
    <t>LP</t>
  </si>
  <si>
    <t>Reunión inicial donde me correspondió el rol de planeación asigne al líder de calidad el llenado del script de definición de procesos</t>
  </si>
  <si>
    <t>Matias Marin</t>
  </si>
  <si>
    <t>LA</t>
  </si>
  <si>
    <t>Reunión Inicial donde gestionamos papeles responsabilidades, objetivos y del proyecto DashKPI.</t>
  </si>
  <si>
    <t>Esteban Prieto</t>
  </si>
  <si>
    <t>LC</t>
  </si>
  <si>
    <t>Reunión inicial de equipo para revisar roles y definir objetivos generales y específicos del proyecto KPITrack</t>
  </si>
  <si>
    <t>Kerlon Sanchez</t>
  </si>
  <si>
    <t>LD</t>
  </si>
  <si>
    <t>Reunión inicial de equipo para revisar los roles, definir los objetivos generales y específicos del proyecto</t>
  </si>
  <si>
    <t>Nicolas Cubillos</t>
  </si>
  <si>
    <t>LS</t>
  </si>
  <si>
    <t xml:space="preserve">Iniciamos la primera reunión del grupo donde distribuimos los roles </t>
  </si>
  <si>
    <t>Elaboración del acta de iniciación</t>
  </si>
  <si>
    <t>Elaboración con mi equipo el acta de iniciación, objetivos, metas y proyecciones</t>
  </si>
  <si>
    <t>Asigne a cada rol el llenado de sus bitácoras, además la planificación y elaboración del acta de iniciación</t>
  </si>
  <si>
    <t>Elaboración del alcance, metas y restricciones para el acta de iniciación del proyecto, realizando una lluvia de ideas que complementaba la participación de todos los actores en el mismo.</t>
  </si>
  <si>
    <t>elaboración del alcance metas y restricciones para el acta de iniciación del proyecto</t>
  </si>
  <si>
    <t>Elaboración del alcance, metas y restricciones para el acta de iniciación</t>
  </si>
  <si>
    <t>Empecé a crear el alcance metas y restricciones para el acta de iniciación del proyecto</t>
  </si>
  <si>
    <t>Evaluación de log de defectos</t>
  </si>
  <si>
    <t>No comentarios</t>
  </si>
  <si>
    <t>Desarrollo de la página web</t>
  </si>
  <si>
    <t xml:space="preserve">       Leidy Giraldo</t>
  </si>
  <si>
    <t>Tras la propuesta y acuerdo del grupo empezamos a realizar y a programar la pagina web junto con el lider de desarrollo</t>
  </si>
  <si>
    <t xml:space="preserve">    Kerlon Sanchez</t>
  </si>
  <si>
    <t xml:space="preserve">            LD</t>
  </si>
  <si>
    <t>Tras la propuesta general e implementación de este, supervise y colabore en la subida de la página del proyecto</t>
  </si>
  <si>
    <t>Revisión de la página web</t>
  </si>
  <si>
    <t xml:space="preserve">    Santiago Herrada</t>
  </si>
  <si>
    <t xml:space="preserve">            LP</t>
  </si>
  <si>
    <t>Planee que en este lapso se revisara la finalización y prueba de la página web</t>
  </si>
  <si>
    <t xml:space="preserve">    Matias Marin</t>
  </si>
  <si>
    <t xml:space="preserve">            LA</t>
  </si>
  <si>
    <t>Se revisaron y corrigieron pequeños Bugs que involucraban al correcto funcionamiento de la web, decoración y ajustes básicos del Front</t>
  </si>
  <si>
    <t xml:space="preserve">    Nicolas Cubillos</t>
  </si>
  <si>
    <t xml:space="preserve">            LS</t>
  </si>
  <si>
    <t>Realice la revisión y aplique en los documentos con cambios significativos y mejoras en las plantaciones anteriormente</t>
  </si>
  <si>
    <t xml:space="preserve">    Esteban Prieto</t>
  </si>
  <si>
    <t xml:space="preserve">            LC</t>
  </si>
  <si>
    <t xml:space="preserve">Revise el resultado final de la pagina que presentaremos los primeros avances al trabajo en grupo </t>
  </si>
  <si>
    <t>Script de definición de procesos</t>
  </si>
  <si>
    <t xml:space="preserve">   Esteban Prieto</t>
  </si>
  <si>
    <t>Diligenciar el formato correspondiente al script de definición de procesos</t>
  </si>
  <si>
    <t>Formas elaboradas</t>
  </si>
  <si>
    <t xml:space="preserve">           LS</t>
  </si>
  <si>
    <t>Se realizo la documentos e información que creíamos necesaria de momento para ir avanzando con el proyecto</t>
  </si>
  <si>
    <t>Acta de reunión</t>
  </si>
  <si>
    <t xml:space="preserve">           LC</t>
  </si>
  <si>
    <t>Ordenar en grupo todos los documentos asignados para la primera entrega</t>
  </si>
  <si>
    <t>Planeación de Reuniones</t>
  </si>
  <si>
    <t xml:space="preserve">           LP</t>
  </si>
  <si>
    <t>Finalizamos los documentos faltantes e asigne a cada uno la finalización del mismo, después planeamos el trabajo para la fase 2</t>
  </si>
  <si>
    <t>Elaboración de diapositivas(Informe final)</t>
  </si>
  <si>
    <t xml:space="preserve">           LE</t>
  </si>
  <si>
    <t xml:space="preserve">Diapositivas con los documentos hechos </t>
  </si>
  <si>
    <t>Maestro de documentos</t>
  </si>
  <si>
    <t xml:space="preserve">Realización de un excel con los documentos hechos </t>
  </si>
  <si>
    <t>Publicación de documentos</t>
  </si>
  <si>
    <t>subir todos los archivos a la pagina web</t>
  </si>
  <si>
    <t xml:space="preserve"> Lineamiento estratégico </t>
  </si>
  <si>
    <t xml:space="preserve">Plantear la ruta general del proyecto y principios de 
trabajo. </t>
  </si>
  <si>
    <t xml:space="preserve">Criterios de la estrategia </t>
  </si>
  <si>
    <t xml:space="preserve">Estrategia general </t>
  </si>
  <si>
    <t xml:space="preserve">Describir la orientación metodológica y técnica del proyecto. </t>
  </si>
  <si>
    <t xml:space="preserve">Diseño conceptual </t>
  </si>
  <si>
    <t xml:space="preserve">Representar la visión y estructura general de la plataforma. </t>
  </si>
  <si>
    <t xml:space="preserve">Identificación de módulos </t>
  </si>
  <si>
    <t xml:space="preserve">Determinar las áreas funcionales que compondrán el sistema. </t>
  </si>
  <si>
    <t xml:space="preserve">Funcionalidades asociadas </t>
  </si>
  <si>
    <t xml:space="preserve">Lista consolidada de funcionalidades clave vinculadas a cada módulo, con trazabilidad hacia los objetivos y KPIs definidos. </t>
  </si>
  <si>
    <t xml:space="preserve">Estimación preliminar del documento </t>
  </si>
  <si>
    <t>Estimación preliminar validada que incluye esfuerzo, cronograma tentativo, costos de recursos y supuestos de 
planificación.</t>
  </si>
  <si>
    <t xml:space="preserve">Identificación y criterios de valoración </t>
  </si>
  <si>
    <t xml:space="preserve">Definir criterios de probabilidad, impacto y costo de retiro, y aplicarlos a la identificación de riesgos. </t>
  </si>
  <si>
    <t xml:space="preserve">Clasificación de riesgos </t>
  </si>
  <si>
    <t xml:space="preserve">Registrar y categorizar riesgos en tres tipos: proyecto, producto y equipo. </t>
  </si>
  <si>
    <t xml:space="preserve">Valoración y priorización </t>
  </si>
  <si>
    <t>Evaluar cada riesgo según criterios establecidos y priorizar en función de su nivel de exposición.</t>
  </si>
  <si>
    <t>Plan de mitigación y contingencia</t>
  </si>
  <si>
    <t xml:space="preserve">Definir acciones preventivas y de contingencia para los riesgos de mayor impacto. </t>
  </si>
  <si>
    <t xml:space="preserve">Programa de seguimiento </t>
  </si>
  <si>
    <t xml:space="preserve">Establecer la periodicidad de revisión y los responsables del monitoreo de riesgos. </t>
  </si>
  <si>
    <t xml:space="preserve">Definición del objetivo </t>
  </si>
  <si>
    <t xml:space="preserve">Establecer el propósito de la administración de configuración en el proyecto. </t>
  </si>
  <si>
    <t xml:space="preserve">Organización y roles </t>
  </si>
  <si>
    <t xml:space="preserve">Definir la estructura organizativa y responsabilidades (líder de soporte, líder de proyecto, equipo).  </t>
  </si>
  <si>
    <t>Políticas y 
procedimientos</t>
  </si>
  <si>
    <t xml:space="preserve">Establecer políticas, directivas y lineamientos que regulen la 
administración de configuración. </t>
  </si>
  <si>
    <t>Identificación
de configuraciones</t>
  </si>
  <si>
    <t xml:space="preserve">Determinar y nombrar los elementos de configuración que 
serán controlados (código, BD, documentación). </t>
  </si>
  <si>
    <t xml:space="preserve">Control de 
cambios </t>
  </si>
  <si>
    <t xml:space="preserve">Gestionar solicitudes de cambios, su evaluación, aprobación/rechazo e implantación. </t>
  </si>
  <si>
    <t>Revisiones del 
estado</t>
  </si>
  <si>
    <t xml:space="preserve">Monitorear y verificar periódicamente el estado de los elementos de configuración. </t>
  </si>
  <si>
    <t>Programas y recursos</t>
  </si>
  <si>
    <t xml:space="preserve">Establecer programas de soporte (herramientas, repositorios, 
entornos) y recursos necesarios. </t>
  </si>
  <si>
    <t xml:space="preserve">Plan de 
mantenimiento </t>
  </si>
  <si>
    <t xml:space="preserve">Definir la estrategia de mantenimiento y actualización de los 
elementos de configuración. </t>
  </si>
  <si>
    <t xml:space="preserve">Revisión de 
documentos </t>
  </si>
  <si>
    <t xml:space="preserve">Se revisan los tres documentos realizados en grupo para consolidar los resultados y corregir errores </t>
  </si>
  <si>
    <t>Subir los documentos a la página web</t>
  </si>
  <si>
    <t xml:space="preserve">Todos los documentos subidos 
y actualizados en la pagina </t>
  </si>
  <si>
    <t xml:space="preserve"> Santiago Herrada</t>
  </si>
  <si>
    <t>Matias Marín</t>
  </si>
  <si>
    <t xml:space="preserve"> Esteban Prieto</t>
  </si>
  <si>
    <t xml:space="preserve"> Kerlon Sanchez</t>
  </si>
  <si>
    <t xml:space="preserve"> Matias Marín</t>
  </si>
  <si>
    <t xml:space="preserve">Leidy Giraldo </t>
  </si>
  <si>
    <t xml:space="preserve">Identificar los criterios que guiarán decisiones y prioridades. </t>
  </si>
  <si>
    <t xml:space="preserve"> LD</t>
  </si>
  <si>
    <t xml:space="preserve"> Nicolas Cubillos</t>
  </si>
  <si>
    <t>Realización del control de asignaciones</t>
  </si>
  <si>
    <t>Se realizo el llenado del control de asignaciones para asi terminar con éxito la fase 1  de iniciación y para que los demas lideres llenen sus bitácoras</t>
  </si>
  <si>
    <t>Elaboración de las bitácoras</t>
  </si>
  <si>
    <t>Revisión de las bitácoras</t>
  </si>
  <si>
    <t>Con las bitácoras ya en mi poder, empecé a Revisar que las mismasestuviesen acordes con la tabla de control de asignaciones</t>
  </si>
  <si>
    <t>Con las bitácoras llenamos cada espacio con las actividaes correspondientes según el control de asignaciones</t>
  </si>
  <si>
    <t xml:space="preserve">           LD</t>
  </si>
  <si>
    <t xml:space="preserve">           LA</t>
  </si>
  <si>
    <t>Se realizo el llenado del control de asignaciones para asi terminar con éxito la fase 2  de Estratégias y para que los demas lideres llenen sus bitácoras</t>
  </si>
  <si>
    <t>Llenado de log de defectos</t>
  </si>
  <si>
    <t>Modelo de casos de uso</t>
  </si>
  <si>
    <t>Elaborar el diagrama de casos de uso que represente los actores, límites del sistema yrelaciones principales.</t>
  </si>
  <si>
    <t>Se realizo el llenado del control de asignaciones para asi terminar con éxito la fase 3  de Requerimientos y para que los demas lideres llenen sus bitácoras</t>
  </si>
  <si>
    <t>Gestionarbacklog (historias/tareas)</t>
  </si>
  <si>
    <t>Crear, editar y priorizar historias y tareas
vinculadas al sprint.</t>
  </si>
  <si>
    <t>Gestionar autenticación multifactor (2FA)</t>
  </si>
  <si>
    <t>Definir y asegurar el inicio de sesión con
verificación en dos pasos para reforzar la
seguridad.</t>
  </si>
  <si>
    <t>Configurar y asignar roles con permisos
específicos para cada actor del sistema.</t>
  </si>
  <si>
    <t>Gestionar roles y permisos</t>
  </si>
  <si>
    <t>Crear proyecto</t>
  </si>
  <si>
    <t>Registrar nuevos proyectos en la plataforma
con datos básicos, alcance, fechas y equipo.</t>
  </si>
  <si>
    <t>Planificar sprint / iteración</t>
  </si>
  <si>
    <t>Definir duración, metas y tareas de cada
iteración para el control del avance.</t>
  </si>
  <si>
    <t>Registrar tiempo y avance</t>
  </si>
  <si>
    <t>Reportar horas invertidas y % de progreso
por tarea.</t>
  </si>
  <si>
    <t>Configurar y calcular KPIs</t>
  </si>
  <si>
    <t>Definir fórmulas, umbrales y frecuencia de cálculo de indicadores</t>
  </si>
  <si>
    <t>Visualizar dashboard (proyecto/portafolio)</t>
  </si>
  <si>
    <t>Consultar métricas y gráficos del avance de
los proyectos.</t>
  </si>
  <si>
    <t>Emitir reportes en PDF/Excel de métricas,
avances y estado de proyecto</t>
  </si>
  <si>
    <t>Generar reportes y exportaciones</t>
  </si>
  <si>
    <t>Registrar y gestionar riesgos</t>
  </si>
  <si>
    <t>Identificar, clasificar y dar seguimiento a
riesgos del proyecto.</t>
  </si>
  <si>
    <t>Log de defectos(apertura,seguimiento y cierre)</t>
  </si>
  <si>
    <t>Registrar incidencias y defectos, dar
seguimiento y cerrar tras validación.</t>
  </si>
  <si>
    <t>Bitácoras y actas</t>
  </si>
  <si>
    <t>Documentar bitácoras de tiempo y actas de
reuniones, manteniendo control de
versiones.</t>
  </si>
  <si>
    <t>Aprobación de cambios(control deconfiguración)</t>
  </si>
  <si>
    <t>Notificaciones y alertas</t>
  </si>
  <si>
    <t>Configurar y emitir avisos automáticos sobre
plazos, métricas o incidencias.</t>
  </si>
  <si>
    <t>Evaluar solicitudes de cambio y decidir su
aprobación o rechazo.</t>
  </si>
  <si>
    <t>Integración con
repositorios(GitHub/GitLab)</t>
  </si>
  <si>
    <t>Vincular commits, issues y PRs con tareas y
proyectos en la plataforma.</t>
  </si>
  <si>
    <t>Gestión de usuarios y equipo del proyecto</t>
  </si>
  <si>
    <t>Dar de alta, baja o editar miembros del
equipo y sus roles en el proyecto.</t>
  </si>
  <si>
    <t>Mantener un catálogo centralizado de
documentos y plantillas del proyecto.</t>
  </si>
  <si>
    <t>Cerrar proyecto</t>
  </si>
  <si>
    <t>Formalizar el cierre del proyecto,
consolidando entregables y métricas finales.</t>
  </si>
  <si>
    <t>Definir requisitos de tiempos de respuesta y
eficiencia en consultas y reportes</t>
  </si>
  <si>
    <t>Desempeño (atributo de calidad)</t>
  </si>
  <si>
    <t>Escalabilidad(atributo de calidad)</t>
  </si>
  <si>
    <t>Establecer estrategias para soportar el
crecimiento de usuarios y proyectos.</t>
  </si>
  <si>
    <t>Garantizar el tiempo de servicio del sistema y
planes de recuperación ante fallos</t>
  </si>
  <si>
    <t xml:space="preserve"> Usabilidad(atributo de calidad)</t>
  </si>
  <si>
    <t>Disponibilidad(atributo de calidad)</t>
  </si>
  <si>
    <t>Establecer criterios de interfaz amigable e
intuitiva para los usuarios.</t>
  </si>
  <si>
    <t>Seguridad(atributo de calidad)</t>
  </si>
  <si>
    <t>Definir políticas de seguridad, permisos y
protección de datos del sistema.</t>
  </si>
  <si>
    <t>Extensibilidad(atributode calidad)</t>
  </si>
  <si>
    <t>Asegurar que el sistema pueda incorporar
nuevos módulos o integraciones.</t>
  </si>
  <si>
    <t>Diagrama de clases (modelo de dominio)</t>
  </si>
  <si>
    <t>Elaborar el diagrama UML de clases que
represente entidades y relaciones.</t>
  </si>
  <si>
    <t>Script de definición de procesos(REQUERIMIENTOS)</t>
  </si>
  <si>
    <t xml:space="preserve"> LP</t>
  </si>
  <si>
    <t xml:space="preserve"> LC</t>
  </si>
  <si>
    <t>Tamaño estimad+B70+Q7:U64+Q7:U17+Q7:T1+Q7:T19</t>
  </si>
  <si>
    <t>Etiquetas de fila</t>
  </si>
  <si>
    <t>Total general</t>
  </si>
  <si>
    <t>Suma de Tiempo real</t>
  </si>
  <si>
    <t>Suma de Tamaño real</t>
  </si>
  <si>
    <t>Suma de Tiempo estimado (minutos)</t>
  </si>
  <si>
    <t>Suma de Tamaño estimado (hojas, secciones)</t>
  </si>
  <si>
    <t>Script de definición de procesos(PLANEACIÓN)</t>
  </si>
  <si>
    <t>Caso 10 Ver Lista de Tareas</t>
  </si>
  <si>
    <t>Caso 13 Filtrar Tareas</t>
  </si>
  <si>
    <t>Caso 1 Crear Tarea</t>
  </si>
  <si>
    <t>Caso 2 Asignar tarea a usuario</t>
  </si>
  <si>
    <t>Caso 3 Cambiar fecha límite de entrega</t>
  </si>
  <si>
    <t>Caso 14 Ver progreso de tarea</t>
  </si>
  <si>
    <t>Caso 15 ver notificaciones</t>
  </si>
  <si>
    <t>Caso 16 Marcar Notificación como leída</t>
  </si>
  <si>
    <t>Caso 4 Regsitrar tiempo a tarea</t>
  </si>
  <si>
    <t>Caso 5 Marcar tarea como completada</t>
  </si>
  <si>
    <t>Caso 6 Crear KPI</t>
  </si>
  <si>
    <t xml:space="preserve">Caso 7 Ver Dashboard del proyecto </t>
  </si>
  <si>
    <t>Caso 8 Generar reporte del progreso</t>
  </si>
  <si>
    <t>Caso 12 Editar tarea</t>
  </si>
  <si>
    <t>Caso 9 Visualizar KPI</t>
  </si>
  <si>
    <t>Caso 17 Ver detalles de tarea</t>
  </si>
  <si>
    <t>caso 11 Asignar tarea a proyecto</t>
  </si>
  <si>
    <t>Caso 18 Eliminar tarea</t>
  </si>
  <si>
    <t>Definir y asegurar la verificación del registro de tareas</t>
  </si>
  <si>
    <t>Crear tarea: Registrar una nueva tarea en el sistema.</t>
  </si>
  <si>
    <t>Asignar tarea a usuario: Designar un responsable para una tarea existente.</t>
  </si>
  <si>
    <t>Cambiar fecha límite de entrega: Modificar la fecha de vencimiento de una tarea.</t>
  </si>
  <si>
    <t>Ver progreso de tarea: Consultar el avance registrado de una tarea específica.</t>
  </si>
  <si>
    <t>Ver Dashboard del proyecto: Visualizar el tablero general del proyecto con avances.</t>
  </si>
  <si>
    <t>Registrar tiempo a tarea: Ingresar el tiempo trabajado en una tarea.</t>
  </si>
  <si>
    <t>Marcar tarea como completada: Cambiar el estado de una tarea a finalizada.</t>
  </si>
  <si>
    <t>Crear KPI: Definir un nuevo indicador de desempeño en el proyecto.</t>
  </si>
  <si>
    <t>Asignar tarea a proyecto: Asociar una tarea a un proyecto específico.</t>
  </si>
  <si>
    <t>Eliminar tarea: Borrar una tarea del sistema.</t>
  </si>
  <si>
    <t>Generar reporte del progreso: Crear un informe con el estado y evolución del proyecto.</t>
  </si>
  <si>
    <t>Visualizar KPI: Consultar los indicadores de desempeño creados en el sistema.</t>
  </si>
  <si>
    <t>Ver detalles de tarea: Mostrar información detallada de una tarea seleccionada.</t>
  </si>
  <si>
    <t>Editar tarea: Modificar datos de una tarea existente.</t>
  </si>
  <si>
    <t>Marcar notificación como leída: Cambiar el estado de una notificación a revisada.</t>
  </si>
  <si>
    <t>Ver notificaciones: Mostrar las alertas y avisos del sistema.</t>
  </si>
  <si>
    <t>Definir 
objetivo y 
alcance</t>
  </si>
  <si>
    <t>Redactar por qué existe el plan, qué cubre y
qué no, y cómo se usará en el proyecto.</t>
  </si>
  <si>
    <t>Identificar roles y recursos</t>
  </si>
  <si>
    <t>Listar responsables (PO/Analista/Calidad/Dev/LP) y herramientas (repo, tablero, plantillas).</t>
  </si>
  <si>
    <t>Configurar repositorio y URL de revisiones</t>
  </si>
  <si>
    <t>Crear/validar la carpeta oficial y su enlace
para revisiones y versiones.</t>
  </si>
  <si>
    <t>Diseñar plantilla de evaluación</t>
  </si>
  <si>
    <t>Construir el checklist con criterios:
completitud, no ambigüedad, consistencia,
trazabilidad, corrección y no redundancia.</t>
  </si>
  <si>
    <t>Capturar y normalizar requerimientos</t>
  </si>
  <si>
    <t>Recoger requerimientos (UC, reglas, calidad)
y asignar ID, nombre claro y formato estándar.</t>
  </si>
  <si>
    <t>Especificar y documentar</t>
  </si>
  <si>
    <t>Redactar cada requerimiento con
descripción, fuente, prioridad y criterios de
aceptación.</t>
  </si>
  <si>
    <t>Revisar e inspeccionar requerimientos</t>
  </si>
  <si>
    <t>Aplicar el checklist; registrar observaciones y
correcciones.</t>
  </si>
  <si>
    <t>Priorizar y aprobar</t>
  </si>
  <si>
    <t>Clasificar (p. ej., MoSCoW) y aprobar para
baseline con el equipo/líder de calidad.</t>
  </si>
  <si>
    <t>Trazabilidad</t>
  </si>
  <si>
    <t>Crear/actualizar matriz Req ↔
UC/Tarea/Prueba/KPI.</t>
  </si>
  <si>
    <t>Control de cambios
(RFC/CCB)</t>
  </si>
  <si>
    <t>Control decambios
(RFC/CCB)</t>
  </si>
  <si>
    <t>Versionado y publicación</t>
  </si>
  <si>
    <t>Definir formato RFC, flujo de aprobación y
registro de impactos.</t>
  </si>
  <si>
    <t>Versionar documentos, guardar en la carpeta
oficial y registrar enlace en maestro de
documentos.</t>
  </si>
  <si>
    <t>Seguimiento y métricas</t>
  </si>
  <si>
    <t>Definir frecuencia de revisión y métricas
mínimas (p. ej., % trazabilidad, % req
aprobados).</t>
  </si>
  <si>
    <t>Definir objetivos y alcance</t>
  </si>
  <si>
    <t>Qué calidad vamos a asegurar (defectos,
métricas, revisiones) y hasta dónde aplica
(por sprint).</t>
  </si>
  <si>
    <t>Establecer políticas de calidad</t>
  </si>
  <si>
    <t>Criterios y reglas: prevención &gt; detección,
severidades/prioridades, “cero críticos al
cierre”, uso de checklist.</t>
  </si>
  <si>
    <t>Configurar recursos y herramientas</t>
  </si>
  <si>
    <t>Repo/carpeta oficial, plantillas, tablero
DashKPI, espacios para evidencias.</t>
  </si>
  <si>
    <t>Definir roles y responsables (RACI)</t>
  </si>
  <si>
    <t>Líder de Calidad, QA, Líder de Desarrollo,
Dev, PO: quién revisa, quién aprueba, quién
corrige.</t>
  </si>
  <si>
    <t>Diseñar métricas de calidad</t>
  </si>
  <si>
    <t>Definir fórmula, umbral, frecuencia, fuente y
responsable (Densidad, DRE, MTTR,
%Revisiones, %DoD).</t>
  </si>
  <si>
    <t>Planear revisiones e inspecciones</t>
  </si>
  <si>
    <t>Calendario y alcance por artefacto; checklist
de revisión; formato de acta.</t>
  </si>
  <si>
    <t>Activar log de defectos y flujo de vida</t>
  </si>
  <si>
    <t>Estados (Abierto→Cerrado), severidades,
SLA por severidad y categorías; reglas de
cierre.</t>
  </si>
  <si>
    <t>Ejecutar revisiones/inspecciones</t>
  </si>
  <si>
    <t>Aplicar checklist en
req/diseño/código/pruebas; registrar
hallazgos y acciones.</t>
  </si>
  <si>
    <t>Recolección de
datos y evidencias</t>
  </si>
  <si>
    <t>Guardar capturas, commits, reportes;
vincular a defectos/métricas.</t>
  </si>
  <si>
    <t>Seguimiento y reportes de calidad</t>
  </si>
  <si>
    <t>Reunión semanal, tablero de KPIs, alertas y
acciones correctivas/preventivas (CAPA).</t>
  </si>
  <si>
    <t>Mejora y cierre por sprint</t>
  </si>
  <si>
    <t>Lecciones aprendidas y ajustes al
plan/métricas; baseline de cierre.</t>
  </si>
  <si>
    <t>Inventario de entregables</t>
  </si>
  <si>
    <t>Listar los entregables del sprint/fase (p. ej.,
Plan de calidad v1.0, Plan de admin de reqs
v1.0, etc.).</t>
  </si>
  <si>
    <t>Descomposición en tareas(WBS)</t>
  </si>
  <si>
    <t>Partir cada entregable en tareas concretas
con nombre y descripción.</t>
  </si>
  <si>
    <t>Secuenciación y
dependencias</t>
  </si>
  <si>
    <t>Ordenar tareas y registrar
predecesoras/sucesoras.</t>
  </si>
  <si>
    <t>Estimación de
esfuerzo</t>
  </si>
  <si>
    <t>Estimar horas por tarea (h-persona).</t>
  </si>
  <si>
    <t>Registrar productividad del recurso (h/día) o
capacidad del equipo.</t>
  </si>
  <si>
    <t>Productividad/capacidad</t>
  </si>
  <si>
    <t>Duración y calendario</t>
  </si>
  <si>
    <t>Calcular duración = esfuerzo/productividad,
fijar inicio/fin en calendario.</t>
  </si>
  <si>
    <t>Asignación de responsables</t>
  </si>
  <si>
    <t>Asignar responsable/rol y estado inicial.</t>
  </si>
  <si>
    <t>Criterios de aceptación y DoD</t>
  </si>
  <si>
    <t>Definir criterios específicos por tarea y DoD
estándar del equipo.</t>
  </si>
  <si>
    <t>Publicación y control</t>
  </si>
  <si>
    <t>Cargar todo al tablero DashKPI/hoja maestra
y versionar.</t>
  </si>
  <si>
    <t>TOTAL DE ACT</t>
  </si>
  <si>
    <t>Script de definición de procesos(DISEÑO)</t>
  </si>
  <si>
    <t>Vista funcional (UML de componentes)</t>
  </si>
  <si>
    <t>Modelar los principales componentes del
sistema.</t>
  </si>
  <si>
    <t>Definir el modelo entidad–relación y su
ciclo de vida.</t>
  </si>
  <si>
    <t>Definir objetivo
del documento</t>
  </si>
  <si>
    <t>Establecer el propósito del SDS y su
importancia para el proyecto DashKPI.</t>
  </si>
  <si>
    <t>Identificar audiencia del documento</t>
  </si>
  <si>
    <t>Determinar a quién va dirigido el SDS
(usuarios, desarrolladores, directivos).</t>
  </si>
  <si>
    <t xml:space="preserve">Definir acrónimos </t>
  </si>
  <si>
    <t>Descripción
del problema</t>
  </si>
  <si>
    <t>Establecer objetivos de la aplicación</t>
  </si>
  <si>
    <t>Documentar los objetivos que cumplirá la
plataforma DashKPI.</t>
  </si>
  <si>
    <t>Redactar el problema que resuelve
DashKPI</t>
  </si>
  <si>
    <t>Listar acrónimos y abreviaciones
utilizadas en el proyecto.</t>
  </si>
  <si>
    <t>Definir restricciones</t>
  </si>
  <si>
    <t>Identificar limitaciones técnicas, de
tiempo o recursos.</t>
  </si>
  <si>
    <t>Seleccionar estilo de arquitectura</t>
  </si>
  <si>
    <t>Definir si será cliente-servidor, multicapa,
etc.</t>
  </si>
  <si>
    <t>Vista de contexto (UML casos de uso)</t>
  </si>
  <si>
    <t>Diseñar el diagrama de casos de uso.</t>
  </si>
  <si>
    <t>Vista de información(Entidad Relación, ciclo de vida)</t>
  </si>
  <si>
    <t>Vista de despliegue (UML de despliegue)</t>
  </si>
  <si>
    <t>Representar la distribución física del
sistema.</t>
  </si>
  <si>
    <t>Vista de desarrollo(UML de paquetes)</t>
  </si>
  <si>
    <t>Organizar el sistema en paquetes o
módulos.</t>
  </si>
  <si>
    <t>Vista de concurrencia (UML de procesos)</t>
  </si>
  <si>
    <t>Modelar procesos concurrentes y flujos
de ejecución.</t>
  </si>
  <si>
    <t>Vista operacional (Ad hoc o descripciones textuales)</t>
  </si>
  <si>
    <t>Especificación de interfaz de usuario</t>
  </si>
  <si>
    <t>Definir pantallas, prototipos y flujo de
navegación.</t>
  </si>
  <si>
    <t>Documentar procesos operativos del
sistema de forma textual.</t>
  </si>
  <si>
    <t>Modelo de datos (Entidad–Relación)</t>
  </si>
  <si>
    <t>Crear el modelo de datos definitivo.</t>
  </si>
  <si>
    <t>Definir el modelo de clases UML.</t>
  </si>
  <si>
    <t>Modelo de clases</t>
  </si>
  <si>
    <t>Revisión del documento SDS</t>
  </si>
  <si>
    <t>Validar consistencia, completitud y
calidad del documento.</t>
  </si>
  <si>
    <t>Se realizo el llenado del control de asignaciones para asi terminar con éxito la fase 5  de Diseño y para que los demas lideres llenen sus bitácoras</t>
  </si>
  <si>
    <t>Script de definición de procesos(IMPLEMENTACIÓN)</t>
  </si>
  <si>
    <t>Configurar base del proyecto</t>
  </si>
  <si>
    <t>Inicializar app React, routing protegido,
manejo de estado, cliente HTTP,
variables de entorno.</t>
  </si>
  <si>
    <t>Módulo: Login</t>
  </si>
  <si>
    <t>Formulario con validaciones; consumo
de endpoint de login; manejo de
sesión/token; feedback de errores.</t>
  </si>
  <si>
    <t>Módulo: Registro</t>
  </si>
  <si>
    <t>Formulario de registro con validaciones;
consumo de endpoint de register;
confirmación visual.</t>
  </si>
  <si>
    <t>Módulo: Olvidé contraseña (UI)</t>
  </si>
  <si>
    <t>Pantallas y flujo UI (solicitud y
confirmación). Nota: backend del reset
completo se programará en fase
siguiente.</t>
  </si>
  <si>
    <t>Dashboard
inicial</t>
  </si>
  <si>
    <t>Vista con tarjetas/resumen; placeholders
para KPIs y reportes; enlaces a
Proyectos/Tareas</t>
  </si>
  <si>
    <t>Módulo:
Proyectos (UI)</t>
  </si>
  <si>
    <t>Listado, creación/edición, detalle y
eliminación; formularios con
validaciones.</t>
  </si>
  <si>
    <t>Módulo:
Tareas (UI)</t>
  </si>
  <si>
    <t>Listado filtrable, creación, asignación a
usuario, registro de tiempo, marcar
completada.</t>
  </si>
  <si>
    <t>Configuración
de usuario</t>
  </si>
  <si>
    <t>Pantalla para ver/editar datos básicos del
usuario logueado.</t>
  </si>
  <si>
    <t>Reportes
(vista inicial)</t>
  </si>
  <si>
    <t>Vista base con tablas/gráficas
placeholder conectadas a datos
disponibles.</t>
  </si>
  <si>
    <t>Modulo KPI</t>
  </si>
  <si>
    <t>Vista a base de las KPIs relacionada al
proyecto y a los usuarios</t>
  </si>
  <si>
    <t>Configurar
proyecto y
conexión a BD</t>
  </si>
  <si>
    <t>Proyecto Django; settings por entorno;
conexión a Azure SQL Server;
migraciones iniciales.</t>
  </si>
  <si>
    <t>Autenticación:
Login/Register</t>
  </si>
  <si>
    <t>Endpoints para autenticación y creación
de usuario; emisión/validación de
sesión/token</t>
  </si>
  <si>
    <t>API Proyectos
(CRUD)</t>
  </si>
  <si>
    <t>Endpoints: listar, crear, obtener,
actualizar, eliminar; permisos por
usuario; validaciones.</t>
  </si>
  <si>
    <t>API Tareas
(CRUD + flujo)</t>
  </si>
  <si>
    <t>Endpoints: listar/filtrar, crear, asignar
usuario, registrar tiempo, marcar
completada.</t>
  </si>
  <si>
    <t>Serializadores
y validaciones</t>
  </si>
  <si>
    <t>Validación de payloads; mensajes de
error consistentes; manejo de estados.</t>
  </si>
  <si>
    <t>Pruebas unitarias negocio</t>
  </si>
  <si>
    <t>Tests para servicios/validaciones de
auth, proyectos y tareas.</t>
  </si>
  <si>
    <t>Documentación API</t>
  </si>
  <si>
    <t>Auto-doc (Swagger/Redoc) o colección
Postman exportada.</t>
  </si>
  <si>
    <t>Estandarización</t>
  </si>
  <si>
    <t>Aplicar PEP8, ESLint/Prettier,
convenciones de ramas (feat/fix/chore),
mensajes tipo</t>
  </si>
  <si>
    <t>Revisiones e
inspecciones</t>
  </si>
  <si>
    <t>Pull requests con checklist (seguridad,
validación, pruebas)</t>
  </si>
  <si>
    <t>Evidencias</t>
  </si>
  <si>
    <t>Capturas/gifs de flujos, colección
Postman, scripts de BD, instructivo de
arranque local.</t>
  </si>
  <si>
    <t xml:space="preserve">Introducción </t>
  </si>
  <si>
    <t>Configurar FE/BE/BD, migraciones,
datos semilla y conectividad.</t>
  </si>
  <si>
    <t>Objetivo</t>
  </si>
  <si>
    <t>Redactar fichas PI-01…PI-18 (ID,
pasos, datos, esperado).</t>
  </si>
  <si>
    <t xml:space="preserve">Alcance </t>
  </si>
  <si>
    <t>Definiciones
y
Abreviaturas</t>
  </si>
  <si>
    <t>Definir orden, ventanas, RACI y
criterios de severidad/prioridad.</t>
  </si>
  <si>
    <t>Registrar y dar seguimiento en Log
(ID, severidad, estado).</t>
  </si>
  <si>
    <t>Plan de
pruebas</t>
  </si>
  <si>
    <t>Plan de pruebas</t>
  </si>
  <si>
    <t>Reprobar PIs afectados tras
correcciones</t>
  </si>
  <si>
    <t>Reprobar PIs afectados tras correcciones</t>
  </si>
  <si>
    <t>Ejecutar PI01 – UC-01
Crear tarea</t>
  </si>
  <si>
    <t>Ejecutar PI02 – UC-02
Asignar tarea</t>
  </si>
  <si>
    <t>Ejecutar PI03 – UC-03
Cambiar
fecha límite</t>
  </si>
  <si>
    <t>Ejecutar PI04 – UC-04
Registrar
tiempo</t>
  </si>
  <si>
    <t>Ejecutar PI05 – UC-05
Completar
tarea</t>
  </si>
  <si>
    <t>Ejecutar PI06 – UC-06
Crear KPI</t>
  </si>
  <si>
    <t>Ejecutar PI07 – UC-07
Ver
dashboard</t>
  </si>
  <si>
    <t>Ejecutar PI08 – UC-08
Generar
reporte</t>
  </si>
  <si>
    <t>Ejecutar PI09 – UC-09
Visualizar
KPI</t>
  </si>
  <si>
    <t>Ejecutar PI10 – UC-10
Ver lista de
tareas</t>
  </si>
  <si>
    <t>Ejecutar PI11 – UC-11
Tarea→Proy
ecto</t>
  </si>
  <si>
    <t>Ejecutar PI12 – UC-12
Editar tarea</t>
  </si>
  <si>
    <t>Ejecutar PI13 – UC-13
Filtrar tareas</t>
  </si>
  <si>
    <t>Ejecutar PI14 – UC-14
Ver progreso</t>
  </si>
  <si>
    <t>Ejecutar PI15 – UC-15
Ver
notificaciones</t>
  </si>
  <si>
    <t>Ejecutar PI16 – UC-16
Marcar
notificación
leída</t>
  </si>
  <si>
    <t>Ejecutar PI17 – UC-17
Detalle de
tarea</t>
  </si>
  <si>
    <t>Ejecutar PI18 – UC-18
Eliminar
tarea</t>
  </si>
  <si>
    <t>Ejecutar PI-019 Crear proyecto</t>
  </si>
  <si>
    <t>Ejecutar PI-020 Editar proyecto</t>
  </si>
  <si>
    <t>Ejecutar PI-021 Eliminar proyecto</t>
  </si>
  <si>
    <t>Ejecutar PI-022 Filtrar proyecto</t>
  </si>
  <si>
    <t>Ejecutar PI-023 Ver proyecto</t>
  </si>
  <si>
    <t>Ejecutar PI-024 Cambiar fecha proyecto</t>
  </si>
  <si>
    <t>Informe de Pruebas</t>
  </si>
  <si>
    <t>Informe
Consolidado
del Ciclo</t>
  </si>
  <si>
    <t>Revisión y
Firma del
Informe
Consolidado</t>
  </si>
  <si>
    <t>Archivo y
Distribución
de Informes</t>
  </si>
  <si>
    <t>Corrección de informe de pruebas y planes</t>
  </si>
  <si>
    <t>Corrección ortografica o lógica de los documentos de esta fase.</t>
  </si>
  <si>
    <t>Crear tarea y verificar
persistencia/visualización.</t>
  </si>
  <si>
    <t>Asignar responsable y validar en
lista/detalle.</t>
  </si>
  <si>
    <t>Modificar vencimiento y reflejo en
UI/BD.</t>
  </si>
  <si>
    <t>Registrar horas y actualizar
progreso</t>
  </si>
  <si>
    <t>Cambiar estado a “Completada” con
validaciones.</t>
  </si>
  <si>
    <t>Crear KPI (nombre/fórmula/objetivo)
para dashboard/reporte.</t>
  </si>
  <si>
    <t>Visualizar KPIs y tareas integradas.</t>
  </si>
  <si>
    <t>Descargar PDF/Excel con filtros y
validar consistencia.</t>
  </si>
  <si>
    <t>Ver valor/gráfica y contrastar con
BD.</t>
  </si>
  <si>
    <t>Listar tareas con estado y
responsable.</t>
  </si>
  <si>
    <t>Vincular tarea a proyecto y validar
relación.</t>
  </si>
  <si>
    <t>Modificar campos y verificar
integridad.</t>
  </si>
  <si>
    <t>Aplicar filtros por
fecha/estado/usuario</t>
  </si>
  <si>
    <t>Visualizar %/horas vs. registros de
tiempo.</t>
  </si>
  <si>
    <t>Listar notificaciones generadas por
eventos.</t>
  </si>
  <si>
    <t>Cambiar estado y persistir cambio</t>
  </si>
  <si>
    <t>Mostrar ficha completa (desc.,
vencimiento, responsable, horas).</t>
  </si>
  <si>
    <t>Borrar tarea y validar
integridad/ocultamiento.</t>
  </si>
  <si>
    <t>Crear un nuevo proyecto con las especificaciones dichas</t>
  </si>
  <si>
    <t>La opción despliegue el menu para ver las tareas</t>
  </si>
  <si>
    <t>Habilite la opción para Cambiar la fecha de vencimiento.</t>
  </si>
  <si>
    <t>Con la programación del filtro permita ver, lo que el usuario necesita.</t>
  </si>
  <si>
    <t>Resumen global de PIs
(aprobados/fallidos), métricas,
defectos por severidad/prioridad y
conclusión de aptitud para UAT.</t>
  </si>
  <si>
    <t xml:space="preserve">Revisión de hallazgos, aceptación y
firma del cierre de ciclo. </t>
  </si>
  <si>
    <t xml:space="preserve">Publicar informes (carpeta PI y
consolidado), notificar a interesados. </t>
  </si>
  <si>
    <t>Dentro del "PLAN DE PRUEBAS"agregamos las evidencias para incluir este informe.</t>
  </si>
  <si>
    <t>nicolas Cubillos</t>
  </si>
  <si>
    <t>Script de definición de procesos(PRUEBAS)</t>
  </si>
  <si>
    <t>Se realizo el llenado del control de asignaciones para asi terminar con éxito la fase 8 de PRUEBAS y para que los demas lideres llenen sus bitácoras</t>
  </si>
  <si>
    <t>Corrección de Código</t>
  </si>
  <si>
    <t>Corrección del codigo para mejorar escalibildad y tiempo.</t>
  </si>
  <si>
    <t>corregir Capturas/gifs de flujos, colección
Postman, scripts de BD, instructivo de
arranque local.</t>
  </si>
  <si>
    <t>Corrección de Documentos</t>
  </si>
  <si>
    <t>correción ortografica, orden y normas de los Documentos</t>
  </si>
  <si>
    <t>Recolección de
métricas
del ciclo</t>
  </si>
  <si>
    <t>Script de definición de procesos(POST-MORTEM)</t>
  </si>
  <si>
    <t>Se realizo el llenado del control de asignaciones para asi terminar con éxito la fase 9 de POST-MORTEM y para que los demas lideres llenen sus bitácoras</t>
  </si>
  <si>
    <t>Se recopilan los datos de
desempeño registrados en las
bitácoras, logs de defectos,
control de tareas y plan de
calidad. Se consolidan métricas
por equipo, integrante y rol.</t>
  </si>
  <si>
    <t>Análisis de
métricas
del
proyecto</t>
  </si>
  <si>
    <t>Se comparan los valores
estimados vs reales en tiempo,
esfuerzo y cumplimiento de
tareas. Se calcula el nivel de
desviación y porcentaje de
cumplimiento por fase y rol.</t>
  </si>
  <si>
    <t>Seguimiento de tareas no planeadas</t>
  </si>
  <si>
    <t>Se identifican las tareas que
surgieron durante la ejecución y
no estaban previstas en la planificación inicial, evaluando
su impacto en tiempo y esfuerzo.</t>
  </si>
  <si>
    <t>Evaluación
del plan de
calidad</t>
  </si>
  <si>
    <t>Se revisan los resultados de las
métricas de calidad: porcentaje
libre de defectos, efectividad de
revisiones, comparación de
tiempos de desarrollo y revisión,
y líneas de código (LOC)
analizadas.</t>
  </si>
  <si>
    <t>Gestión de
defectos e
incidencias</t>
  </si>
  <si>
    <t>Se realiza un análisis de
defectos por fase, tipo y
responsable. Se mide la
efectividad en la detección,
remoción y control de errores.</t>
  </si>
  <si>
    <t>Comparación de
tiempos y
esfuerzo</t>
  </si>
  <si>
    <t>Se contrastan los tiempos
dedicados a documentación,
revisión e implementación para
evaluar la eficiencia del equipo y
el equilibrio de carga de trabajo.</t>
  </si>
  <si>
    <t>Evaluación
de
requerimientos
implementados</t>
  </si>
  <si>
    <t>Se revisan los requerimientos
planeados en el acta de
lanzamiento versus los
efectivamente implementados y
probados.</t>
  </si>
  <si>
    <t>Consolidación de
documentos y
plantillas
revisadas</t>
  </si>
  <si>
    <t>Se verifican las plantillas
elaboradas, documentos
actualizados y revisiones
realizadas en cada fase del ciclo.</t>
  </si>
  <si>
    <t>Análisis
DOFA del
ciclo</t>
  </si>
  <si>
    <t>El equipo realiza un análisis de
fortalezas, oportunidades,
debilidades y amenazas
(DOFA), respondiendo: qué
funcionó bien, qué no, causas y
oportunidades de mejora.</t>
  </si>
  <si>
    <t>Elaboración del
Informe
Postmortem</t>
  </si>
  <si>
    <t>Postmortem</t>
  </si>
  <si>
    <t>Se redacta el documento final
con los resultados de métricas,
análisis DOFA, aspectos
positivos y negativos, y
propuesta de mejora para el ciclo
2.</t>
  </si>
  <si>
    <t>Preparación de
informe
individual
por rol</t>
  </si>
  <si>
    <t>Cada integrante elabora su parte
de la presentación, detallando lo
realizado durante el ciclo,
sustentado en métricas y
entregas.</t>
  </si>
  <si>
    <t>Identificación de
aspectos
positivos y
negativos</t>
  </si>
  <si>
    <t>Cada integrante presenta los
logros obtenidos y las
dificultades enfrentadas durante
el ciclo, justificándolos con datos
reales.</t>
  </si>
  <si>
    <t>Formulación de
propuestas de
mejora
(problema solución)</t>
  </si>
  <si>
    <t>Se plantean las mejoras a
implementar para el siguiente
ciclo, partiendo de los problemas
detectados. Se define una acción
concreta por propuesta.</t>
  </si>
  <si>
    <t>Reporte de
ciclo
(análisis de proceso,
esfuerzo y
producto)</t>
  </si>
  <si>
    <t>Se consolidan los resultados del
equipo respecto al proceso
seguido, el esfuerzo invertido y la
calidad del producto entregado.</t>
  </si>
  <si>
    <t>Diseño y
consolidación de la
presentación final</t>
  </si>
  <si>
    <t>Se unifican todas las diapositivas
en una presentación coherente,
clara y visualmente organizada,
incluyendo las métricas
generales y las conclusiones.</t>
  </si>
  <si>
    <t>Corrección de DOCUMENTOS POSTMORTEM</t>
  </si>
  <si>
    <t>Revisión y
validación
final de
entregables</t>
  </si>
  <si>
    <t>Se revisan el documento y la
presentación verificando
consistencia entre datos,
conclusiones y métricas. Se
obtiene la aprobación del equipo.</t>
  </si>
  <si>
    <t>Entrega y
exposición
del
Postmortem</t>
  </si>
  <si>
    <t>Se entrega el documento final y
se realiza la exposición ante el
docente. Cada integrante
sustenta sus resultados y la
propuesta de mejora.</t>
  </si>
  <si>
    <t>Lanzamiento / Iniciación</t>
  </si>
  <si>
    <t>Estrategia</t>
  </si>
  <si>
    <t>Requerimientos</t>
  </si>
  <si>
    <t>Acta de iniciación</t>
  </si>
  <si>
    <t>Constitución del equipo</t>
  </si>
  <si>
    <t>Definición del objetivo</t>
  </si>
  <si>
    <t>Definición del problema</t>
  </si>
  <si>
    <t>Definición de roles y responsabilidades</t>
  </si>
  <si>
    <t>Log de defectos</t>
  </si>
  <si>
    <t>Control de asignaciones</t>
  </si>
  <si>
    <t>Desarrollo Pagina Web</t>
  </si>
  <si>
    <t>Script de procesos</t>
  </si>
  <si>
    <t>Subida de documentos</t>
  </si>
  <si>
    <t>Bitacoras</t>
  </si>
  <si>
    <t>Lineamiento Estrategico</t>
  </si>
  <si>
    <t>Estrategia general y diseño conceptual</t>
  </si>
  <si>
    <t>Plan de riesgos</t>
  </si>
  <si>
    <t>Plan de administración de configuración</t>
  </si>
  <si>
    <t>Plan de control de cambios</t>
  </si>
  <si>
    <t>Plan de administración de requerimientos</t>
  </si>
  <si>
    <t>Especificación de Requerimientos de software</t>
  </si>
  <si>
    <t>Plantillas Casos de uso</t>
  </si>
  <si>
    <t>Diagrama de Caso de uso</t>
  </si>
  <si>
    <t>Plantilla de atributos de calidad</t>
  </si>
  <si>
    <t>Modelo de Dominio</t>
  </si>
  <si>
    <t>Especificación detallada de tareas</t>
  </si>
  <si>
    <t>Plan de calidad</t>
  </si>
  <si>
    <t>Definir objetivo y alcance</t>
  </si>
  <si>
    <t>Control de cambios</t>
  </si>
  <si>
    <t>Definir roles y responsabilidades</t>
  </si>
  <si>
    <t>Descomposición de tareas</t>
  </si>
  <si>
    <t>Arquitectura y diseño detallado</t>
  </si>
  <si>
    <t>Especificación de diseño de Software</t>
  </si>
  <si>
    <t>Arquitectura de la solución</t>
  </si>
  <si>
    <t>Diseño funcionales UML</t>
  </si>
  <si>
    <t>Implementación</t>
  </si>
  <si>
    <t>Plan de implementación</t>
  </si>
  <si>
    <t>Codificación</t>
  </si>
  <si>
    <t>Propuesta de testeos</t>
  </si>
  <si>
    <t>Configuración del repositorio GitHub</t>
  </si>
  <si>
    <t>Validaciones</t>
  </si>
  <si>
    <t>Pruebas</t>
  </si>
  <si>
    <t>Informes pruebas</t>
  </si>
  <si>
    <t>Testeo local</t>
  </si>
  <si>
    <t>Informe de postmortem</t>
  </si>
  <si>
    <t>Presentación postmortem</t>
  </si>
  <si>
    <t>Recolección de documentos</t>
  </si>
  <si>
    <t>LE, LP, LA, LC, LD, LS</t>
  </si>
  <si>
    <t>LE, LD</t>
  </si>
  <si>
    <t>LE, LA</t>
  </si>
  <si>
    <t>LP, LD</t>
  </si>
  <si>
    <t>LC, LS</t>
  </si>
  <si>
    <t>LP,LE</t>
  </si>
  <si>
    <t>LC,LS</t>
  </si>
  <si>
    <t>LP,LD</t>
  </si>
  <si>
    <t>LE,LA</t>
  </si>
  <si>
    <t>LS,LC</t>
  </si>
  <si>
    <t>LD,LE,LP</t>
  </si>
  <si>
    <t>LA,LC</t>
  </si>
  <si>
    <t>LE,LS</t>
  </si>
  <si>
    <t>LE,LA,LS</t>
  </si>
  <si>
    <t>Seguimiento de Riesgos</t>
  </si>
  <si>
    <t>Versión</t>
  </si>
  <si>
    <t>Fase / Etapa</t>
  </si>
  <si>
    <t>Actividades</t>
  </si>
  <si>
    <t>Responsable/s</t>
  </si>
  <si>
    <t>Tipo</t>
  </si>
  <si>
    <t>Tamaño documentos REAL</t>
  </si>
  <si>
    <t>Tiempo (min) REAL</t>
  </si>
  <si>
    <t>Tamaño documentos EST</t>
  </si>
  <si>
    <t>Tiempo (min) EST</t>
  </si>
  <si>
    <t>Unico</t>
  </si>
  <si>
    <t>Común</t>
  </si>
  <si>
    <t>SUMA</t>
  </si>
  <si>
    <t>Correción y revisión de Documentos</t>
  </si>
  <si>
    <t>Corrección y revisión de código</t>
  </si>
  <si>
    <t>Eficiencia</t>
  </si>
  <si>
    <t>Tareas NO planificadas</t>
  </si>
  <si>
    <t>SEMANA 3</t>
  </si>
  <si>
    <t>SEMANA 4</t>
  </si>
  <si>
    <t>SEMANA 5</t>
  </si>
  <si>
    <t>SEMANA 6Y 7</t>
  </si>
  <si>
    <t>SEMANA 8</t>
  </si>
  <si>
    <t>SEMANA 9</t>
  </si>
  <si>
    <t xml:space="preserve"> LE</t>
  </si>
  <si>
    <t>Checklist</t>
  </si>
  <si>
    <t>Fase</t>
  </si>
  <si>
    <t>Tareas entregadas a tiempo</t>
  </si>
  <si>
    <t>Tareas entregadas con retraso</t>
  </si>
  <si>
    <t>Total de tarea</t>
  </si>
  <si>
    <t>Porcentaje de Cumplimiento</t>
  </si>
  <si>
    <t>Arquitectura / Diseño detallado</t>
  </si>
  <si>
    <t>PostMortem</t>
  </si>
  <si>
    <t>Tareas Planificadas</t>
  </si>
  <si>
    <t>Rol</t>
  </si>
  <si>
    <t>Tareas entregadas a tiempo (≤100%)</t>
  </si>
  <si>
    <t>Tareas entregadas con retraso (&gt;100%)</t>
  </si>
  <si>
    <t>Total de Tareas</t>
  </si>
  <si>
    <t>Líder de Equipo (LE)</t>
  </si>
  <si>
    <t>Líder de Planeación (LP)</t>
  </si>
  <si>
    <t>Líder de Calidad (LC)</t>
  </si>
  <si>
    <t>Líder de Desarrollo (LD)</t>
  </si>
  <si>
    <t>Líder de Arquitectura (LA)</t>
  </si>
  <si>
    <t>Líder de Soporte (LS)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</si>
</sst>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64" formatCode="h:mm:ss;@"/>
    <numFmt numFmtId="165" formatCode="dd/mm/yyyy;@"/>
    <numFmt numFmtId="166" formatCode="_ [$€-2]\ * #,##0.00_ ;_ [$€-2]\ * \-#,##0.00_ ;_ [$€-2]\ * &quot;-&quot;??_ "/>
  </numFmts>
  <fonts count="13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name val="Arial"/>
    </font>
    <font>
      <sz val="11"/>
      <color theme="1"/>
      <name val="Arial"/>
    </font>
    <font>
      <sz val="11"/>
      <color theme="1"/>
      <name val="Aptos Narrow"/>
    </font>
    <font>
      <sz val="11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1E4F5"/>
        <bgColor rgb="FFC1E4F5"/>
      </patternFill>
    </fill>
    <fill>
      <patternFill patternType="solid">
        <fgColor rgb="FF83CAEB"/>
        <bgColor rgb="FF83CAEB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98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" fontId="2" fillId="0" borderId="1" xfId="0" applyNumberFormat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/>
    <xf numFmtId="1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 applyAlignment="1">
      <alignment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left" vertical="center" wrapText="1"/>
    </xf>
    <xf numFmtId="41" fontId="2" fillId="0" borderId="1" xfId="2" applyFont="1" applyFill="1" applyBorder="1" applyAlignment="1">
      <alignment vertical="top" wrapText="1"/>
    </xf>
    <xf numFmtId="165" fontId="2" fillId="0" borderId="1" xfId="0" applyNumberFormat="1" applyFont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justify"/>
    </xf>
    <xf numFmtId="165" fontId="8" fillId="2" borderId="5" xfId="0" applyNumberFormat="1" applyFont="1" applyFill="1" applyBorder="1"/>
    <xf numFmtId="165" fontId="8" fillId="2" borderId="3" xfId="0" applyNumberFormat="1" applyFont="1" applyFill="1" applyBorder="1"/>
    <xf numFmtId="165" fontId="2" fillId="0" borderId="0" xfId="0" applyNumberFormat="1" applyFont="1"/>
    <xf numFmtId="14" fontId="2" fillId="0" borderId="0" xfId="0" applyNumberFormat="1" applyFont="1"/>
    <xf numFmtId="0" fontId="2" fillId="0" borderId="1" xfId="2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left" vertical="top" wrapText="1"/>
    </xf>
    <xf numFmtId="0" fontId="2" fillId="3" borderId="1" xfId="0" applyFont="1" applyFill="1" applyBorder="1" applyAlignment="1">
      <alignment horizontal="justify"/>
    </xf>
    <xf numFmtId="0" fontId="2" fillId="0" borderId="1" xfId="0" applyFont="1" applyBorder="1" applyAlignment="1">
      <alignment horizontal="justify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justify"/>
    </xf>
    <xf numFmtId="0" fontId="2" fillId="0" borderId="14" xfId="0" applyFont="1" applyBorder="1" applyAlignment="1">
      <alignment wrapText="1"/>
    </xf>
    <xf numFmtId="0" fontId="0" fillId="0" borderId="14" xfId="0" applyBorder="1"/>
    <xf numFmtId="0" fontId="2" fillId="0" borderId="1" xfId="0" applyFont="1" applyBorder="1" applyAlignment="1">
      <alignment vertical="top"/>
    </xf>
    <xf numFmtId="0" fontId="2" fillId="0" borderId="14" xfId="0" applyFont="1" applyBorder="1"/>
    <xf numFmtId="41" fontId="0" fillId="0" borderId="1" xfId="0" applyNumberFormat="1" applyBorder="1"/>
    <xf numFmtId="0" fontId="2" fillId="6" borderId="1" xfId="0" applyFont="1" applyFill="1" applyBorder="1" applyAlignment="1">
      <alignment horizontal="justify" wrapText="1"/>
    </xf>
    <xf numFmtId="165" fontId="2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horizontal="right" vertical="top" wrapText="1"/>
    </xf>
    <xf numFmtId="1" fontId="2" fillId="0" borderId="0" xfId="0" applyNumberFormat="1" applyFont="1" applyAlignment="1">
      <alignment horizontal="left" vertical="top" wrapText="1"/>
    </xf>
    <xf numFmtId="0" fontId="2" fillId="0" borderId="1" xfId="0" applyFont="1" applyBorder="1" applyAlignment="1">
      <alignment wrapText="1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left" wrapText="1"/>
    </xf>
    <xf numFmtId="0" fontId="0" fillId="0" borderId="1" xfId="0" applyBorder="1"/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horizontal="center" vertical="top"/>
    </xf>
    <xf numFmtId="165" fontId="1" fillId="0" borderId="1" xfId="0" applyNumberFormat="1" applyFont="1" applyBorder="1" applyAlignment="1">
      <alignment wrapText="1"/>
    </xf>
    <xf numFmtId="165" fontId="0" fillId="0" borderId="1" xfId="0" applyNumberFormat="1" applyBorder="1" applyAlignment="1">
      <alignment wrapText="1"/>
    </xf>
    <xf numFmtId="165" fontId="2" fillId="0" borderId="1" xfId="0" applyNumberFormat="1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center" wrapText="1"/>
    </xf>
    <xf numFmtId="1" fontId="2" fillId="0" borderId="0" xfId="0" applyNumberFormat="1" applyFont="1"/>
    <xf numFmtId="1" fontId="2" fillId="0" borderId="1" xfId="0" applyNumberFormat="1" applyFont="1" applyBorder="1"/>
    <xf numFmtId="1" fontId="2" fillId="0" borderId="1" xfId="2" applyNumberFormat="1" applyFont="1" applyFill="1" applyBorder="1" applyAlignment="1">
      <alignment vertical="top" wrapText="1"/>
    </xf>
    <xf numFmtId="1" fontId="2" fillId="0" borderId="1" xfId="0" applyNumberFormat="1" applyFont="1" applyBorder="1" applyAlignment="1">
      <alignment vertical="top"/>
    </xf>
    <xf numFmtId="1" fontId="0" fillId="0" borderId="1" xfId="0" applyNumberForma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5" fontId="0" fillId="5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vertical="top" wrapText="1"/>
    </xf>
    <xf numFmtId="165" fontId="0" fillId="5" borderId="0" xfId="0" applyNumberFormat="1" applyFill="1" applyAlignment="1">
      <alignment vertical="top"/>
    </xf>
    <xf numFmtId="1" fontId="0" fillId="5" borderId="0" xfId="0" applyNumberFormat="1" applyFill="1"/>
    <xf numFmtId="0" fontId="0" fillId="5" borderId="0" xfId="0" applyFill="1"/>
    <xf numFmtId="1" fontId="5" fillId="5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21" fontId="0" fillId="0" borderId="1" xfId="0" applyNumberFormat="1" applyBorder="1"/>
    <xf numFmtId="0" fontId="3" fillId="5" borderId="0" xfId="0" applyFont="1" applyFill="1" applyAlignment="1">
      <alignment vertical="center" wrapText="1"/>
    </xf>
    <xf numFmtId="1" fontId="5" fillId="5" borderId="0" xfId="0" applyNumberFormat="1" applyFont="1" applyFill="1" applyAlignment="1">
      <alignment horizontal="center" vertical="center" wrapText="1"/>
    </xf>
    <xf numFmtId="41" fontId="2" fillId="0" borderId="1" xfId="2" applyFont="1" applyFill="1" applyBorder="1" applyAlignment="1">
      <alignment wrapText="1"/>
    </xf>
    <xf numFmtId="165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horizontal="right" wrapText="1"/>
    </xf>
    <xf numFmtId="165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left" wrapText="1"/>
    </xf>
    <xf numFmtId="1" fontId="2" fillId="0" borderId="1" xfId="0" applyNumberFormat="1" applyFont="1" applyBorder="1" applyAlignment="1">
      <alignment horizontal="left" wrapText="1"/>
    </xf>
    <xf numFmtId="0" fontId="2" fillId="7" borderId="14" xfId="0" applyFont="1" applyFill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7" borderId="1" xfId="0" applyFont="1" applyFill="1" applyBorder="1" applyAlignment="1">
      <alignment horizontal="justify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165" fontId="1" fillId="0" borderId="1" xfId="0" applyNumberFormat="1" applyFont="1" applyBorder="1"/>
    <xf numFmtId="0" fontId="2" fillId="8" borderId="14" xfId="0" applyFont="1" applyFill="1" applyBorder="1" applyAlignment="1">
      <alignment wrapText="1"/>
    </xf>
    <xf numFmtId="0" fontId="0" fillId="0" borderId="14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0" fontId="10" fillId="9" borderId="0" xfId="0" applyFont="1" applyFill="1"/>
    <xf numFmtId="0" fontId="10" fillId="10" borderId="0" xfId="0" applyFont="1" applyFill="1"/>
    <xf numFmtId="0" fontId="11" fillId="9" borderId="0" xfId="0" applyFont="1" applyFill="1"/>
    <xf numFmtId="0" fontId="11" fillId="10" borderId="0" xfId="0" applyFont="1" applyFill="1"/>
    <xf numFmtId="0" fontId="11" fillId="11" borderId="15" xfId="0" applyFont="1" applyFill="1" applyBorder="1"/>
    <xf numFmtId="0" fontId="11" fillId="11" borderId="16" xfId="0" applyFont="1" applyFill="1" applyBorder="1"/>
    <xf numFmtId="0" fontId="10" fillId="11" borderId="16" xfId="0" applyFont="1" applyFill="1" applyBorder="1"/>
    <xf numFmtId="0" fontId="12" fillId="0" borderId="0" xfId="0" applyFont="1"/>
    <xf numFmtId="0" fontId="10" fillId="0" borderId="0" xfId="0" applyFont="1"/>
    <xf numFmtId="0" fontId="11" fillId="12" borderId="0" xfId="0" applyFont="1" applyFill="1"/>
    <xf numFmtId="0" fontId="10" fillId="12" borderId="18" xfId="0" applyFont="1" applyFill="1" applyBorder="1"/>
    <xf numFmtId="165" fontId="1" fillId="0" borderId="0" xfId="0" applyNumberFormat="1" applyFont="1"/>
    <xf numFmtId="165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/>
    <xf numFmtId="165" fontId="1" fillId="0" borderId="1" xfId="0" applyNumberFormat="1" applyFont="1" applyBorder="1" applyAlignment="1">
      <alignment vertical="top" wrapText="1"/>
    </xf>
    <xf numFmtId="0" fontId="1" fillId="0" borderId="0" xfId="0" applyFo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165" fontId="1" fillId="0" borderId="1" xfId="0" applyNumberFormat="1" applyFont="1" applyBorder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65" fontId="5" fillId="2" borderId="5" xfId="0" applyNumberFormat="1" applyFont="1" applyFill="1" applyBorder="1"/>
    <xf numFmtId="0" fontId="1" fillId="0" borderId="1" xfId="0" applyFont="1" applyBorder="1" applyAlignment="1">
      <alignment horizontal="justify"/>
    </xf>
    <xf numFmtId="0" fontId="1" fillId="0" borderId="14" xfId="0" applyFont="1" applyBorder="1" applyAlignment="1">
      <alignment wrapText="1"/>
    </xf>
    <xf numFmtId="0" fontId="1" fillId="3" borderId="1" xfId="0" applyFont="1" applyFill="1" applyBorder="1" applyAlignment="1">
      <alignment horizontal="justify"/>
    </xf>
    <xf numFmtId="0" fontId="1" fillId="5" borderId="1" xfId="0" applyFont="1" applyFill="1" applyBorder="1" applyAlignment="1">
      <alignment horizontal="justify"/>
    </xf>
    <xf numFmtId="0" fontId="1" fillId="0" borderId="1" xfId="0" applyFont="1" applyBorder="1" applyAlignment="1">
      <alignment horizontal="justify" wrapText="1"/>
    </xf>
    <xf numFmtId="0" fontId="1" fillId="0" borderId="14" xfId="0" applyFont="1" applyBorder="1"/>
    <xf numFmtId="0" fontId="1" fillId="0" borderId="0" xfId="0" applyFont="1" applyAlignment="1">
      <alignment wrapText="1"/>
    </xf>
    <xf numFmtId="0" fontId="1" fillId="6" borderId="1" xfId="0" applyFont="1" applyFill="1" applyBorder="1" applyAlignment="1">
      <alignment horizontal="justify" wrapText="1"/>
    </xf>
    <xf numFmtId="0" fontId="1" fillId="0" borderId="1" xfId="0" applyFont="1" applyBorder="1" applyAlignment="1">
      <alignment wrapText="1"/>
    </xf>
    <xf numFmtId="0" fontId="1" fillId="7" borderId="14" xfId="0" applyFont="1" applyFill="1" applyBorder="1" applyAlignment="1">
      <alignment wrapText="1"/>
    </xf>
    <xf numFmtId="0" fontId="1" fillId="8" borderId="14" xfId="0" applyFont="1" applyFill="1" applyBorder="1" applyAlignment="1">
      <alignment wrapText="1"/>
    </xf>
    <xf numFmtId="14" fontId="1" fillId="0" borderId="1" xfId="0" applyNumberFormat="1" applyFont="1" applyBorder="1"/>
    <xf numFmtId="14" fontId="1" fillId="0" borderId="1" xfId="0" applyNumberFormat="1" applyFont="1" applyBorder="1" applyAlignment="1">
      <alignment wrapText="1"/>
    </xf>
    <xf numFmtId="0" fontId="5" fillId="0" borderId="7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164" fontId="1" fillId="0" borderId="0" xfId="0" applyNumberFormat="1" applyFont="1"/>
    <xf numFmtId="1" fontId="1" fillId="0" borderId="0" xfId="0" applyNumberFormat="1" applyFont="1"/>
    <xf numFmtId="1" fontId="1" fillId="0" borderId="0" xfId="0" applyNumberFormat="1" applyFont="1" applyAlignment="1">
      <alignment horizontal="left" vertical="top"/>
    </xf>
    <xf numFmtId="1" fontId="1" fillId="0" borderId="0" xfId="0" applyNumberFormat="1" applyFont="1" applyAlignment="1">
      <alignment horizontal="center"/>
    </xf>
    <xf numFmtId="165" fontId="5" fillId="2" borderId="3" xfId="0" applyNumberFormat="1" applyFont="1" applyFill="1" applyBorder="1"/>
    <xf numFmtId="0" fontId="1" fillId="0" borderId="0" xfId="0" applyFont="1" applyAlignment="1">
      <alignment vertical="center" wrapText="1"/>
    </xf>
    <xf numFmtId="1" fontId="1" fillId="0" borderId="1" xfId="2" applyNumberFormat="1" applyFont="1" applyFill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1" fontId="1" fillId="0" borderId="1" xfId="0" applyNumberFormat="1" applyFont="1" applyBorder="1" applyAlignment="1">
      <alignment vertical="top" wrapText="1"/>
    </xf>
    <xf numFmtId="1" fontId="1" fillId="0" borderId="1" xfId="0" applyNumberFormat="1" applyFont="1" applyBorder="1"/>
    <xf numFmtId="1" fontId="1" fillId="0" borderId="1" xfId="0" applyNumberFormat="1" applyFont="1" applyBorder="1" applyAlignment="1">
      <alignment horizontal="left" vertical="top" wrapText="1"/>
    </xf>
    <xf numFmtId="41" fontId="1" fillId="0" borderId="1" xfId="2" applyFont="1" applyFill="1" applyBorder="1" applyAlignment="1">
      <alignment vertical="top" wrapText="1"/>
    </xf>
    <xf numFmtId="0" fontId="1" fillId="0" borderId="1" xfId="2" applyNumberFormat="1" applyFont="1" applyFill="1" applyBorder="1" applyAlignment="1">
      <alignment vertical="top" wrapText="1"/>
    </xf>
    <xf numFmtId="21" fontId="1" fillId="0" borderId="1" xfId="0" applyNumberFormat="1" applyFont="1" applyBorder="1"/>
    <xf numFmtId="1" fontId="1" fillId="0" borderId="1" xfId="0" applyNumberFormat="1" applyFont="1" applyBorder="1" applyAlignment="1">
      <alignment wrapText="1"/>
    </xf>
    <xf numFmtId="14" fontId="1" fillId="0" borderId="0" xfId="0" applyNumberFormat="1" applyFont="1"/>
    <xf numFmtId="0" fontId="1" fillId="0" borderId="1" xfId="0" applyFont="1" applyBorder="1" applyAlignment="1">
      <alignment vertical="top" wrapText="1"/>
    </xf>
    <xf numFmtId="164" fontId="1" fillId="0" borderId="1" xfId="0" applyNumberFormat="1" applyFont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/>
    </xf>
    <xf numFmtId="1" fontId="1" fillId="0" borderId="1" xfId="0" applyNumberFormat="1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" fontId="1" fillId="0" borderId="1" xfId="0" applyNumberFormat="1" applyFont="1" applyBorder="1" applyAlignment="1">
      <alignment horizontal="left" wrapText="1"/>
    </xf>
    <xf numFmtId="41" fontId="1" fillId="0" borderId="1" xfId="2" applyFont="1" applyFill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9" fontId="10" fillId="11" borderId="17" xfId="3" applyFont="1" applyFill="1" applyBorder="1"/>
    <xf numFmtId="9" fontId="0" fillId="0" borderId="0" xfId="3" applyFont="1"/>
    <xf numFmtId="1" fontId="10" fillId="11" borderId="17" xfId="0" applyNumberFormat="1" applyFont="1" applyFill="1" applyBorder="1"/>
    <xf numFmtId="1" fontId="10" fillId="0" borderId="0" xfId="0" applyNumberFormat="1" applyFont="1"/>
    <xf numFmtId="1" fontId="12" fillId="12" borderId="18" xfId="0" applyNumberFormat="1" applyFont="1" applyFill="1" applyBorder="1"/>
    <xf numFmtId="165" fontId="8" fillId="2" borderId="4" xfId="0" applyNumberFormat="1" applyFont="1" applyFill="1" applyBorder="1" applyAlignment="1">
      <alignment horizontal="center"/>
    </xf>
    <xf numFmtId="165" fontId="8" fillId="4" borderId="5" xfId="0" applyNumberFormat="1" applyFont="1" applyFill="1" applyBorder="1" applyAlignment="1">
      <alignment horizontal="center"/>
    </xf>
    <xf numFmtId="165" fontId="8" fillId="4" borderId="4" xfId="0" applyNumberFormat="1" applyFont="1" applyFill="1" applyBorder="1" applyAlignment="1">
      <alignment horizontal="center"/>
    </xf>
    <xf numFmtId="165" fontId="8" fillId="4" borderId="3" xfId="0" applyNumberFormat="1" applyFont="1" applyFill="1" applyBorder="1" applyAlignment="1">
      <alignment horizontal="center"/>
    </xf>
    <xf numFmtId="0" fontId="7" fillId="0" borderId="13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65" fontId="5" fillId="2" borderId="4" xfId="0" applyNumberFormat="1" applyFont="1" applyFill="1" applyBorder="1" applyAlignment="1">
      <alignment horizontal="center"/>
    </xf>
    <xf numFmtId="165" fontId="5" fillId="4" borderId="5" xfId="0" applyNumberFormat="1" applyFont="1" applyFill="1" applyBorder="1" applyAlignment="1">
      <alignment horizontal="center"/>
    </xf>
    <xf numFmtId="165" fontId="5" fillId="4" borderId="4" xfId="0" applyNumberFormat="1" applyFont="1" applyFill="1" applyBorder="1" applyAlignment="1">
      <alignment horizontal="center"/>
    </xf>
    <xf numFmtId="165" fontId="5" fillId="4" borderId="3" xfId="0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0" xfId="0" applyNumberFormat="1"/>
  </cellXfs>
  <cellStyles count="4">
    <cellStyle name="Euro" xfId="1" xr:uid="{00000000-0005-0000-0000-000000000000}"/>
    <cellStyle name="Millares [0]" xfId="2" builtinId="6"/>
    <cellStyle name="Normal" xfId="0" builtinId="0"/>
    <cellStyle name="Porcentaje" xfId="3" builtinId="5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0" formatCode="General"/>
    </dxf>
    <dxf>
      <numFmt numFmtId="0" formatCode="General"/>
    </dxf>
    <dxf>
      <numFmt numFmtId="13" formatCode="0%"/>
    </dxf>
    <dxf>
      <numFmt numFmtId="1" formatCode="0"/>
    </dxf>
    <dxf>
      <numFmt numFmtId="1" formatCode="0"/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1"/>
          <bgColor theme="1"/>
        </patternFill>
      </fill>
    </dxf>
  </dxfs>
  <tableStyles count="1" defaultTableStyle="TableStyleMedium2" defaultPivotStyle="PivotStyleLight16">
    <tableStyle name="Hoja1-style" pivot="0" count="3" xr9:uid="{659619EC-13A5-494C-BF18-E63D8B0B4BC2}"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pivotCacheDefinition" Target="pivotCache/pivotCacheDefinition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pivotCacheDefinition" Target="pivotCache/pivotCacheDefinition6.xml"/><Relationship Id="rId30" Type="http://schemas.openxmlformats.org/officeDocument/2006/relationships/pivotCacheDefinition" Target="pivotCache/pivotCacheDefinition9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SEMANAS!$Q$109:$T$109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5-4326-B5DA-E05477B9A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1'!$Q$109:$T$109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8-4317-8860-5A03B95B8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2'!$Q$109:$T$109</c:f>
              <c:numCache>
                <c:formatCode>_(* #,##0_);_(* \(#,##0\);_(* "-"_);_(@_)</c:formatCode>
                <c:ptCount val="4"/>
                <c:pt idx="0">
                  <c:v>85</c:v>
                </c:pt>
                <c:pt idx="1">
                  <c:v>3665</c:v>
                </c:pt>
                <c:pt idx="2">
                  <c:v>85</c:v>
                </c:pt>
                <c:pt idx="3">
                  <c:v>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A-44CD-B56A-584B24C22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3'!$Q$109:$T$109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04C-B602-18D5973BB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4'!$Q$123:$T$123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5-4382-A09D-1597EC579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5'!$Q$123:$T$123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9-4AAC-A8B8-8F8FD1304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6 y 7'!$Q$125:$T$125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3-4C34-BFCE-B60221523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8'!$Q$129:$T$129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5-4D78-A211-A41D73196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9'!$Q$133:$T$133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3-4D0D-A789-8CAC510E5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[PLANEACIÓN POSTMORTEM.xlsx]SEMANA 9!TablaDinámica1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'SEMANA 9'!$B$93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9'!$B$94:$B$100</c:f>
              <c:numCache>
                <c:formatCode>General</c:formatCode>
                <c:ptCount val="6"/>
                <c:pt idx="0">
                  <c:v>19</c:v>
                </c:pt>
                <c:pt idx="1">
                  <c:v>16</c:v>
                </c:pt>
                <c:pt idx="2">
                  <c:v>18</c:v>
                </c:pt>
                <c:pt idx="3">
                  <c:v>11</c:v>
                </c:pt>
                <c:pt idx="4">
                  <c:v>13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8-46F6-A124-8C8A52875669}"/>
            </c:ext>
          </c:extLst>
        </c:ser>
        <c:ser>
          <c:idx val="1"/>
          <c:order val="1"/>
          <c:tx>
            <c:strRef>
              <c:f>'SEMANA 9'!$C$93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9'!$C$94:$C$100</c:f>
              <c:numCache>
                <c:formatCode>General</c:formatCode>
                <c:ptCount val="6"/>
                <c:pt idx="0">
                  <c:v>605</c:v>
                </c:pt>
                <c:pt idx="1">
                  <c:v>410</c:v>
                </c:pt>
                <c:pt idx="2">
                  <c:v>555</c:v>
                </c:pt>
                <c:pt idx="3">
                  <c:v>360</c:v>
                </c:pt>
                <c:pt idx="4">
                  <c:v>420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38-46F6-A124-8C8A52875669}"/>
            </c:ext>
          </c:extLst>
        </c:ser>
        <c:ser>
          <c:idx val="2"/>
          <c:order val="2"/>
          <c:tx>
            <c:strRef>
              <c:f>'SEMANA 9'!$D$93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9'!$D$94:$D$100</c:f>
              <c:numCache>
                <c:formatCode>General</c:formatCode>
                <c:ptCount val="6"/>
                <c:pt idx="0">
                  <c:v>566</c:v>
                </c:pt>
                <c:pt idx="1">
                  <c:v>340</c:v>
                </c:pt>
                <c:pt idx="2">
                  <c:v>480</c:v>
                </c:pt>
                <c:pt idx="3">
                  <c:v>300</c:v>
                </c:pt>
                <c:pt idx="4">
                  <c:v>352</c:v>
                </c:pt>
                <c:pt idx="5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38-46F6-A124-8C8A52875669}"/>
            </c:ext>
          </c:extLst>
        </c:ser>
        <c:ser>
          <c:idx val="3"/>
          <c:order val="3"/>
          <c:tx>
            <c:strRef>
              <c:f>'SEMANA 9'!$E$93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9'!$E$94:$E$100</c:f>
              <c:numCache>
                <c:formatCode>General</c:formatCode>
                <c:ptCount val="6"/>
                <c:pt idx="0">
                  <c:v>21</c:v>
                </c:pt>
                <c:pt idx="1">
                  <c:v>19</c:v>
                </c:pt>
                <c:pt idx="2">
                  <c:v>27</c:v>
                </c:pt>
                <c:pt idx="3">
                  <c:v>14</c:v>
                </c:pt>
                <c:pt idx="4">
                  <c:v>15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38-46F6-A124-8C8A528756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9151455"/>
        <c:axId val="1149168255"/>
      </c:barChart>
      <c:catAx>
        <c:axId val="114915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68255"/>
        <c:crosses val="autoZero"/>
        <c:auto val="1"/>
        <c:lblAlgn val="ctr"/>
        <c:lblOffset val="100"/>
        <c:noMultiLvlLbl val="0"/>
      </c:catAx>
      <c:valAx>
        <c:axId val="114916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5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1'!$Q$109:$T$109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0-4558-8520-0D1A505EE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Kerlon Sanchez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696032"/>
        <c:axId val="1422699392"/>
      </c:barChart>
      <c:catAx>
        <c:axId val="142269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699392"/>
        <c:crosses val="autoZero"/>
        <c:auto val="1"/>
        <c:lblAlgn val="ctr"/>
        <c:lblOffset val="100"/>
        <c:noMultiLvlLbl val="0"/>
      </c:catAx>
      <c:valAx>
        <c:axId val="14226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69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Esteban Prieto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26E-4923-8AE9-36AEF8816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957696"/>
        <c:axId val="1482958656"/>
      </c:barChart>
      <c:catAx>
        <c:axId val="148295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958656"/>
        <c:crosses val="autoZero"/>
        <c:auto val="1"/>
        <c:lblAlgn val="ctr"/>
        <c:lblOffset val="100"/>
        <c:noMultiLvlLbl val="0"/>
      </c:catAx>
      <c:valAx>
        <c:axId val="148295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95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Matias Marín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C65-41C7-A6E0-AE92DF524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1481616"/>
        <c:axId val="1411014400"/>
      </c:barChart>
      <c:catAx>
        <c:axId val="142148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1014400"/>
        <c:crosses val="autoZero"/>
        <c:auto val="1"/>
        <c:lblAlgn val="ctr"/>
        <c:lblOffset val="100"/>
        <c:noMultiLvlLbl val="0"/>
      </c:catAx>
      <c:valAx>
        <c:axId val="14110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148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y tamaño</a:t>
            </a:r>
            <a:r>
              <a:rPr lang="es-CO" baseline="0"/>
              <a:t> de Nicolas Cubillos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657-4EF7-9408-6A30B92FB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202608"/>
        <c:axId val="1550800128"/>
      </c:barChart>
      <c:catAx>
        <c:axId val="119420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0800128"/>
        <c:crosses val="autoZero"/>
        <c:auto val="1"/>
        <c:lblAlgn val="ctr"/>
        <c:lblOffset val="100"/>
        <c:noMultiLvlLbl val="0"/>
      </c:catAx>
      <c:valAx>
        <c:axId val="15508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420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1'!$A$122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1'!$A$123:$A$134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07A0-460B-BA41-B4D407CBBED3}"/>
            </c:ext>
          </c:extLst>
        </c:ser>
        <c:ser>
          <c:idx val="1"/>
          <c:order val="1"/>
          <c:tx>
            <c:strRef>
              <c:f>'DATOS 1'!$B$122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'DATOS 1'!$B$123:$B$134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07A0-460B-BA41-B4D407CBBED3}"/>
            </c:ext>
          </c:extLst>
        </c:ser>
        <c:ser>
          <c:idx val="2"/>
          <c:order val="2"/>
          <c:tx>
            <c:strRef>
              <c:f>'DATOS 1'!$C$122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'DATOS 1'!$C$123:$C$134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07A0-460B-BA41-B4D407CBBED3}"/>
            </c:ext>
          </c:extLst>
        </c:ser>
        <c:ser>
          <c:idx val="3"/>
          <c:order val="3"/>
          <c:tx>
            <c:strRef>
              <c:f>'DATOS 1'!$D$122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'DATOS 1'!$D$123:$D$134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07A0-460B-BA41-B4D407CBBED3}"/>
            </c:ext>
          </c:extLst>
        </c:ser>
        <c:ser>
          <c:idx val="4"/>
          <c:order val="4"/>
          <c:tx>
            <c:strRef>
              <c:f>'DATOS 1'!$E$122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'DATOS 1'!$E$123:$E$134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07A0-460B-BA41-B4D407CBB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811584"/>
        <c:axId val="1541810624"/>
      </c:barChart>
      <c:catAx>
        <c:axId val="1541811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1810624"/>
        <c:crosses val="autoZero"/>
        <c:auto val="1"/>
        <c:lblAlgn val="ctr"/>
        <c:lblOffset val="100"/>
        <c:noMultiLvlLbl val="0"/>
      </c:catAx>
      <c:valAx>
        <c:axId val="154181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181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[PLANEACIÓN POSTMORTEM.xlsx]DATOS 1!TablaDinámica4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1'!$B$52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1'!$B$53:$B$59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E-4071-9EB9-24C65C6AC1E1}"/>
            </c:ext>
          </c:extLst>
        </c:ser>
        <c:ser>
          <c:idx val="1"/>
          <c:order val="1"/>
          <c:tx>
            <c:strRef>
              <c:f>'DATOS 1'!$C$52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1'!$C$53:$C$59</c:f>
              <c:numCache>
                <c:formatCode>General</c:formatCode>
                <c:ptCount val="6"/>
                <c:pt idx="0">
                  <c:v>120</c:v>
                </c:pt>
                <c:pt idx="1">
                  <c:v>30</c:v>
                </c:pt>
                <c:pt idx="2">
                  <c:v>120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FE-4071-9EB9-24C65C6AC1E1}"/>
            </c:ext>
          </c:extLst>
        </c:ser>
        <c:ser>
          <c:idx val="2"/>
          <c:order val="2"/>
          <c:tx>
            <c:strRef>
              <c:f>'DATOS 1'!$D$52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1'!$D$53:$D$59</c:f>
              <c:numCache>
                <c:formatCode>0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FE-4071-9EB9-24C65C6AC1E1}"/>
            </c:ext>
          </c:extLst>
        </c:ser>
        <c:ser>
          <c:idx val="3"/>
          <c:order val="3"/>
          <c:tx>
            <c:strRef>
              <c:f>'DATOS 1'!$E$52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1'!$E$53:$E$59</c:f>
              <c:numCache>
                <c:formatCode>0</c:formatCode>
                <c:ptCount val="6"/>
                <c:pt idx="0">
                  <c:v>60</c:v>
                </c:pt>
                <c:pt idx="1">
                  <c:v>25</c:v>
                </c:pt>
                <c:pt idx="2">
                  <c:v>60</c:v>
                </c:pt>
                <c:pt idx="3">
                  <c:v>60</c:v>
                </c:pt>
                <c:pt idx="4">
                  <c:v>120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FE-4071-9EB9-24C65C6AC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833312"/>
        <c:axId val="1048824672"/>
      </c:barChart>
      <c:catAx>
        <c:axId val="104883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824672"/>
        <c:crosses val="autoZero"/>
        <c:auto val="1"/>
        <c:lblAlgn val="ctr"/>
        <c:lblOffset val="100"/>
        <c:noMultiLvlLbl val="0"/>
      </c:catAx>
      <c:valAx>
        <c:axId val="10488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83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[PLANEACIÓN POSTMORTEM.xlsx]DATOS 2!TablaDinámica3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2'!$B$69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2'!$B$70:$B$76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12</c:v>
                </c:pt>
                <c:pt idx="3">
                  <c:v>7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C-478A-B804-04E1750DBAB4}"/>
            </c:ext>
          </c:extLst>
        </c:ser>
        <c:ser>
          <c:idx val="1"/>
          <c:order val="1"/>
          <c:tx>
            <c:strRef>
              <c:f>'DATOS 2'!$C$69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2'!$C$70:$C$76</c:f>
              <c:numCache>
                <c:formatCode>General</c:formatCode>
                <c:ptCount val="6"/>
                <c:pt idx="0">
                  <c:v>160</c:v>
                </c:pt>
                <c:pt idx="1">
                  <c:v>20</c:v>
                </c:pt>
                <c:pt idx="2">
                  <c:v>345</c:v>
                </c:pt>
                <c:pt idx="3">
                  <c:v>270</c:v>
                </c:pt>
                <c:pt idx="4">
                  <c:v>435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DC-478A-B804-04E1750DBAB4}"/>
            </c:ext>
          </c:extLst>
        </c:ser>
        <c:ser>
          <c:idx val="2"/>
          <c:order val="2"/>
          <c:tx>
            <c:strRef>
              <c:f>'DATOS 2'!$D$69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2'!$D$70:$D$76</c:f>
              <c:numCache>
                <c:formatCode>0</c:formatCode>
                <c:ptCount val="6"/>
                <c:pt idx="0">
                  <c:v>153</c:v>
                </c:pt>
                <c:pt idx="1">
                  <c:v>20</c:v>
                </c:pt>
                <c:pt idx="2">
                  <c:v>316</c:v>
                </c:pt>
                <c:pt idx="3">
                  <c:v>193</c:v>
                </c:pt>
                <c:pt idx="4">
                  <c:v>364</c:v>
                </c:pt>
                <c:pt idx="5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DC-478A-B804-04E1750DBAB4}"/>
            </c:ext>
          </c:extLst>
        </c:ser>
        <c:ser>
          <c:idx val="3"/>
          <c:order val="3"/>
          <c:tx>
            <c:strRef>
              <c:f>'DATOS 2'!$E$69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2'!$E$70:$E$76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15</c:v>
                </c:pt>
                <c:pt idx="3">
                  <c:v>7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DC-478A-B804-04E1750DBA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3078656"/>
        <c:axId val="1534883904"/>
      </c:barChart>
      <c:catAx>
        <c:axId val="15330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883904"/>
        <c:crosses val="autoZero"/>
        <c:auto val="1"/>
        <c:lblAlgn val="ctr"/>
        <c:lblOffset val="100"/>
        <c:noMultiLvlLbl val="0"/>
      </c:catAx>
      <c:valAx>
        <c:axId val="15348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30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3'!$Q$105:$T$105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6-41F1-939B-B4EE3BECF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[PLANEACIÓN POSTMORTEM.xlsx]DATOS 3!TablaDinámica1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y Tamaño de Líderes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3'!$I$63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3'!$I$64:$I$70</c:f>
              <c:numCache>
                <c:formatCode>0</c:formatCode>
                <c:ptCount val="6"/>
                <c:pt idx="0">
                  <c:v>329</c:v>
                </c:pt>
                <c:pt idx="1">
                  <c:v>283</c:v>
                </c:pt>
                <c:pt idx="2">
                  <c:v>350</c:v>
                </c:pt>
                <c:pt idx="3">
                  <c:v>183</c:v>
                </c:pt>
                <c:pt idx="4">
                  <c:v>187</c:v>
                </c:pt>
                <c:pt idx="5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2-47CF-AD5C-DB4183B0D4B5}"/>
            </c:ext>
          </c:extLst>
        </c:ser>
        <c:ser>
          <c:idx val="1"/>
          <c:order val="1"/>
          <c:tx>
            <c:strRef>
              <c:f>'DATOS 3'!$J$63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3'!$J$64:$J$70</c:f>
              <c:numCache>
                <c:formatCode>0</c:formatCode>
                <c:ptCount val="6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2-47CF-AD5C-DB4183B0D4B5}"/>
            </c:ext>
          </c:extLst>
        </c:ser>
        <c:ser>
          <c:idx val="2"/>
          <c:order val="2"/>
          <c:tx>
            <c:strRef>
              <c:f>'DATOS 3'!$K$63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3'!$K$64:$K$70</c:f>
              <c:numCache>
                <c:formatCode>0</c:formatCode>
                <c:ptCount val="6"/>
                <c:pt idx="0">
                  <c:v>355</c:v>
                </c:pt>
                <c:pt idx="1">
                  <c:v>340</c:v>
                </c:pt>
                <c:pt idx="2">
                  <c:v>435</c:v>
                </c:pt>
                <c:pt idx="3">
                  <c:v>255</c:v>
                </c:pt>
                <c:pt idx="4">
                  <c:v>240</c:v>
                </c:pt>
                <c:pt idx="5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D2-47CF-AD5C-DB4183B0D4B5}"/>
            </c:ext>
          </c:extLst>
        </c:ser>
        <c:ser>
          <c:idx val="3"/>
          <c:order val="3"/>
          <c:tx>
            <c:strRef>
              <c:f>'DATOS 3'!$L$63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3'!$L$64:$L$70</c:f>
              <c:numCache>
                <c:formatCode>0</c:formatCode>
                <c:ptCount val="6"/>
                <c:pt idx="0">
                  <c:v>11</c:v>
                </c:pt>
                <c:pt idx="1">
                  <c:v>13</c:v>
                </c:pt>
                <c:pt idx="2">
                  <c:v>14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D2-47CF-AD5C-DB4183B0D4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7130544"/>
        <c:axId val="1417135344"/>
      </c:barChart>
      <c:catAx>
        <c:axId val="141713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135344"/>
        <c:crosses val="autoZero"/>
        <c:auto val="1"/>
        <c:lblAlgn val="ctr"/>
        <c:lblOffset val="100"/>
        <c:noMultiLvlLbl val="0"/>
      </c:catAx>
      <c:valAx>
        <c:axId val="141713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13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4'!$Q$123:$T$123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0-4425-AEFF-5CED5AB07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[PLANEACIÓN POSTMORTEM.xlsx]DATOS 4!TablaDinámica4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4'!$B$99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4'!$B$100:$B$106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22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3-4511-99AF-C6334A112A11}"/>
            </c:ext>
          </c:extLst>
        </c:ser>
        <c:ser>
          <c:idx val="1"/>
          <c:order val="1"/>
          <c:tx>
            <c:strRef>
              <c:f>'DATOS 4'!$C$99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4'!$C$100:$C$106</c:f>
              <c:numCache>
                <c:formatCode>General</c:formatCode>
                <c:ptCount val="6"/>
                <c:pt idx="0">
                  <c:v>550</c:v>
                </c:pt>
                <c:pt idx="1">
                  <c:v>370</c:v>
                </c:pt>
                <c:pt idx="2">
                  <c:v>730</c:v>
                </c:pt>
                <c:pt idx="3">
                  <c:v>565</c:v>
                </c:pt>
                <c:pt idx="4">
                  <c:v>395</c:v>
                </c:pt>
                <c:pt idx="5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33-4511-99AF-C6334A112A11}"/>
            </c:ext>
          </c:extLst>
        </c:ser>
        <c:ser>
          <c:idx val="2"/>
          <c:order val="2"/>
          <c:tx>
            <c:strRef>
              <c:f>'DATOS 4'!$D$99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4'!$D$100:$D$106</c:f>
              <c:numCache>
                <c:formatCode>General</c:formatCode>
                <c:ptCount val="6"/>
                <c:pt idx="0">
                  <c:v>535</c:v>
                </c:pt>
                <c:pt idx="1">
                  <c:v>296</c:v>
                </c:pt>
                <c:pt idx="2">
                  <c:v>555</c:v>
                </c:pt>
                <c:pt idx="3">
                  <c:v>402</c:v>
                </c:pt>
                <c:pt idx="4">
                  <c:v>342</c:v>
                </c:pt>
                <c:pt idx="5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33-4511-99AF-C6334A112A11}"/>
            </c:ext>
          </c:extLst>
        </c:ser>
        <c:ser>
          <c:idx val="3"/>
          <c:order val="3"/>
          <c:tx>
            <c:strRef>
              <c:f>'DATOS 4'!$E$99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4'!$E$100:$E$106</c:f>
              <c:numCache>
                <c:formatCode>General</c:formatCode>
                <c:ptCount val="6"/>
                <c:pt idx="0">
                  <c:v>25</c:v>
                </c:pt>
                <c:pt idx="1">
                  <c:v>18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33-4511-99AF-C6334A112A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349039"/>
        <c:axId val="272356239"/>
      </c:barChart>
      <c:catAx>
        <c:axId val="27234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356239"/>
        <c:crosses val="autoZero"/>
        <c:auto val="1"/>
        <c:lblAlgn val="ctr"/>
        <c:lblOffset val="100"/>
        <c:noMultiLvlLbl val="0"/>
      </c:catAx>
      <c:valAx>
        <c:axId val="27235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34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[PLANEACIÓN POSTMORTEM.xlsx]DATOS 4!TablaDinámica5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4'!$B$125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4'!$A$126:$A$132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4'!$B$126:$B$132</c:f>
              <c:numCache>
                <c:formatCode>General</c:formatCode>
                <c:ptCount val="6"/>
                <c:pt idx="0">
                  <c:v>25</c:v>
                </c:pt>
                <c:pt idx="1">
                  <c:v>18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6-456F-BD02-B90AD0152CD2}"/>
            </c:ext>
          </c:extLst>
        </c:ser>
        <c:ser>
          <c:idx val="1"/>
          <c:order val="1"/>
          <c:tx>
            <c:strRef>
              <c:f>'DATOS 4'!$C$125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4'!$A$126:$A$132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4'!$C$126:$C$132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22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46-456F-BD02-B90AD0152C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2263455"/>
        <c:axId val="542262495"/>
      </c:barChart>
      <c:catAx>
        <c:axId val="54226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262495"/>
        <c:crosses val="autoZero"/>
        <c:auto val="1"/>
        <c:lblAlgn val="ctr"/>
        <c:lblOffset val="100"/>
        <c:noMultiLvlLbl val="0"/>
      </c:catAx>
      <c:valAx>
        <c:axId val="54226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26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5'!$Q$123:$T$123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7-4614-93FE-1F5F170FD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[PLANEACIÓN POSTMORTEM.xlsx]DATOS 5!TablaDinámica3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5'!$B$58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5'!$B$59:$B$65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4-4337-85B0-2C1D5D99D79B}"/>
            </c:ext>
          </c:extLst>
        </c:ser>
        <c:ser>
          <c:idx val="1"/>
          <c:order val="1"/>
          <c:tx>
            <c:strRef>
              <c:f>'DATOS 5'!$C$58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5'!$C$59:$C$65</c:f>
              <c:numCache>
                <c:formatCode>General</c:formatCode>
                <c:ptCount val="6"/>
                <c:pt idx="0">
                  <c:v>395</c:v>
                </c:pt>
                <c:pt idx="1">
                  <c:v>320</c:v>
                </c:pt>
                <c:pt idx="2">
                  <c:v>465</c:v>
                </c:pt>
                <c:pt idx="3">
                  <c:v>270</c:v>
                </c:pt>
                <c:pt idx="4">
                  <c:v>240</c:v>
                </c:pt>
                <c:pt idx="5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64-4337-85B0-2C1D5D99D79B}"/>
            </c:ext>
          </c:extLst>
        </c:ser>
        <c:ser>
          <c:idx val="2"/>
          <c:order val="2"/>
          <c:tx>
            <c:strRef>
              <c:f>'DATOS 5'!$D$58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5'!$D$59:$D$65</c:f>
              <c:numCache>
                <c:formatCode>General</c:formatCode>
                <c:ptCount val="6"/>
                <c:pt idx="0">
                  <c:v>372</c:v>
                </c:pt>
                <c:pt idx="1">
                  <c:v>259</c:v>
                </c:pt>
                <c:pt idx="2">
                  <c:v>387</c:v>
                </c:pt>
                <c:pt idx="3">
                  <c:v>210</c:v>
                </c:pt>
                <c:pt idx="4">
                  <c:v>181</c:v>
                </c:pt>
                <c:pt idx="5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64-4337-85B0-2C1D5D99D79B}"/>
            </c:ext>
          </c:extLst>
        </c:ser>
        <c:ser>
          <c:idx val="3"/>
          <c:order val="3"/>
          <c:tx>
            <c:strRef>
              <c:f>'DATOS 5'!$E$58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5'!$E$59:$E$65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8</c:v>
                </c:pt>
                <c:pt idx="4">
                  <c:v>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64-4337-85B0-2C1D5D99D7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3437632"/>
        <c:axId val="573438592"/>
      </c:barChart>
      <c:catAx>
        <c:axId val="57343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438592"/>
        <c:crosses val="autoZero"/>
        <c:auto val="1"/>
        <c:lblAlgn val="ctr"/>
        <c:lblOffset val="100"/>
        <c:noMultiLvlLbl val="0"/>
      </c:catAx>
      <c:valAx>
        <c:axId val="5734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4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[PLANEACIÓN POSTMORTEM.xlsx]DATOS 5!TablaDinámica5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5'!$B$79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5'!$A$80:$A$86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5'!$B$80:$B$86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C-49A6-9158-DE8DEC9A454E}"/>
            </c:ext>
          </c:extLst>
        </c:ser>
        <c:ser>
          <c:idx val="1"/>
          <c:order val="1"/>
          <c:tx>
            <c:strRef>
              <c:f>'DATOS 5'!$C$79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5'!$A$80:$A$86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5'!$C$80:$C$86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8</c:v>
                </c:pt>
                <c:pt idx="4">
                  <c:v>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1C-49A6-9158-DE8DEC9A45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1054384"/>
        <c:axId val="591055344"/>
      </c:barChart>
      <c:catAx>
        <c:axId val="59105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055344"/>
        <c:crosses val="autoZero"/>
        <c:auto val="1"/>
        <c:lblAlgn val="ctr"/>
        <c:lblOffset val="100"/>
        <c:noMultiLvlLbl val="0"/>
      </c:catAx>
      <c:valAx>
        <c:axId val="59105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05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6 y 7 '!$Q$126:$T$126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0-4600-9AD7-CA70AFD0D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[PLANEACIÓN POSTMORTEM.xlsx]DATOS 6 y 7 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6 y 7 '!$B$67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'!$B$68:$B$74</c:f>
              <c:numCache>
                <c:formatCode>General</c:formatCode>
                <c:ptCount val="6"/>
                <c:pt idx="0">
                  <c:v>9</c:v>
                </c:pt>
                <c:pt idx="1">
                  <c:v>23</c:v>
                </c:pt>
                <c:pt idx="2">
                  <c:v>25</c:v>
                </c:pt>
                <c:pt idx="3">
                  <c:v>5</c:v>
                </c:pt>
                <c:pt idx="4">
                  <c:v>9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3-4871-A6D3-DBE4E102B2FD}"/>
            </c:ext>
          </c:extLst>
        </c:ser>
        <c:ser>
          <c:idx val="1"/>
          <c:order val="1"/>
          <c:tx>
            <c:strRef>
              <c:f>'DATOS 6 y 7 '!$C$67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'!$C$68:$C$74</c:f>
              <c:numCache>
                <c:formatCode>General</c:formatCode>
                <c:ptCount val="6"/>
                <c:pt idx="0">
                  <c:v>365</c:v>
                </c:pt>
                <c:pt idx="1">
                  <c:v>620</c:v>
                </c:pt>
                <c:pt idx="2">
                  <c:v>795</c:v>
                </c:pt>
                <c:pt idx="3">
                  <c:v>210</c:v>
                </c:pt>
                <c:pt idx="4">
                  <c:v>330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83-4871-A6D3-DBE4E102B2FD}"/>
            </c:ext>
          </c:extLst>
        </c:ser>
        <c:ser>
          <c:idx val="2"/>
          <c:order val="2"/>
          <c:tx>
            <c:strRef>
              <c:f>'DATOS 6 y 7 '!$D$67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'!$D$68:$D$74</c:f>
              <c:numCache>
                <c:formatCode>General</c:formatCode>
                <c:ptCount val="6"/>
                <c:pt idx="0">
                  <c:v>9</c:v>
                </c:pt>
                <c:pt idx="1">
                  <c:v>27</c:v>
                </c:pt>
                <c:pt idx="2">
                  <c:v>30</c:v>
                </c:pt>
                <c:pt idx="3">
                  <c:v>4</c:v>
                </c:pt>
                <c:pt idx="4">
                  <c:v>9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83-4871-A6D3-DBE4E102B2FD}"/>
            </c:ext>
          </c:extLst>
        </c:ser>
        <c:ser>
          <c:idx val="3"/>
          <c:order val="3"/>
          <c:tx>
            <c:strRef>
              <c:f>'DATOS 6 y 7 '!$E$67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'!$E$68:$E$74</c:f>
              <c:numCache>
                <c:formatCode>General</c:formatCode>
                <c:ptCount val="6"/>
                <c:pt idx="0">
                  <c:v>341</c:v>
                </c:pt>
                <c:pt idx="1">
                  <c:v>561</c:v>
                </c:pt>
                <c:pt idx="2">
                  <c:v>721</c:v>
                </c:pt>
                <c:pt idx="3">
                  <c:v>157</c:v>
                </c:pt>
                <c:pt idx="4">
                  <c:v>267</c:v>
                </c:pt>
                <c:pt idx="5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83-4871-A6D3-DBE4E102B2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6366655"/>
        <c:axId val="2086367135"/>
      </c:barChart>
      <c:catAx>
        <c:axId val="208636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6367135"/>
        <c:crosses val="autoZero"/>
        <c:auto val="1"/>
        <c:lblAlgn val="ctr"/>
        <c:lblOffset val="100"/>
        <c:noMultiLvlLbl val="0"/>
      </c:catAx>
      <c:valAx>
        <c:axId val="208636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636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8'!$Q$130:$T$130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B-467A-A87F-74FDAC333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[PLANEACIÓN POSTMORTEM.xlsx]DATOS 8!TablaDinámica1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8'!$B$90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8'!$B$91:$B$97</c:f>
              <c:numCache>
                <c:formatCode>General</c:formatCode>
                <c:ptCount val="6"/>
                <c:pt idx="0">
                  <c:v>18</c:v>
                </c:pt>
                <c:pt idx="1">
                  <c:v>16</c:v>
                </c:pt>
                <c:pt idx="2">
                  <c:v>17</c:v>
                </c:pt>
                <c:pt idx="3">
                  <c:v>10</c:v>
                </c:pt>
                <c:pt idx="4">
                  <c:v>14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A-401C-BA7B-8DE0ABD2253D}"/>
            </c:ext>
          </c:extLst>
        </c:ser>
        <c:ser>
          <c:idx val="1"/>
          <c:order val="1"/>
          <c:tx>
            <c:strRef>
              <c:f>'DATOS 8'!$C$90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8'!$C$91:$C$97</c:f>
              <c:numCache>
                <c:formatCode>General</c:formatCode>
                <c:ptCount val="6"/>
                <c:pt idx="0">
                  <c:v>515</c:v>
                </c:pt>
                <c:pt idx="1">
                  <c:v>410</c:v>
                </c:pt>
                <c:pt idx="2">
                  <c:v>525</c:v>
                </c:pt>
                <c:pt idx="3">
                  <c:v>330</c:v>
                </c:pt>
                <c:pt idx="4">
                  <c:v>450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9A-401C-BA7B-8DE0ABD2253D}"/>
            </c:ext>
          </c:extLst>
        </c:ser>
        <c:ser>
          <c:idx val="2"/>
          <c:order val="2"/>
          <c:tx>
            <c:strRef>
              <c:f>'DATOS 8'!$D$90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8'!$D$91:$D$97</c:f>
              <c:numCache>
                <c:formatCode>General</c:formatCode>
                <c:ptCount val="6"/>
                <c:pt idx="0">
                  <c:v>17</c:v>
                </c:pt>
                <c:pt idx="1">
                  <c:v>17</c:v>
                </c:pt>
                <c:pt idx="2">
                  <c:v>18</c:v>
                </c:pt>
                <c:pt idx="3">
                  <c:v>11</c:v>
                </c:pt>
                <c:pt idx="4">
                  <c:v>16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9A-401C-BA7B-8DE0ABD2253D}"/>
            </c:ext>
          </c:extLst>
        </c:ser>
        <c:ser>
          <c:idx val="3"/>
          <c:order val="3"/>
          <c:tx>
            <c:strRef>
              <c:f>'DATOS 8'!$E$90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8'!$E$91:$E$97</c:f>
              <c:numCache>
                <c:formatCode>General</c:formatCode>
                <c:ptCount val="6"/>
                <c:pt idx="0">
                  <c:v>477</c:v>
                </c:pt>
                <c:pt idx="1">
                  <c:v>352</c:v>
                </c:pt>
                <c:pt idx="2">
                  <c:v>456</c:v>
                </c:pt>
                <c:pt idx="3">
                  <c:v>260</c:v>
                </c:pt>
                <c:pt idx="4">
                  <c:v>395</c:v>
                </c:pt>
                <c:pt idx="5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9A-401C-BA7B-8DE0ABD225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5729360"/>
        <c:axId val="1135737040"/>
      </c:barChart>
      <c:catAx>
        <c:axId val="11357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5737040"/>
        <c:crosses val="autoZero"/>
        <c:auto val="1"/>
        <c:lblAlgn val="ctr"/>
        <c:lblOffset val="100"/>
        <c:noMultiLvlLbl val="0"/>
      </c:catAx>
      <c:valAx>
        <c:axId val="113573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57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9'!$Q$133:$T$133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F-4357-AD42-DCA3D3B68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[PLANEACIÓN POSTMORTEM.xlsx]DATOS 9!TablaDinámica1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9'!$B$93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9'!$B$94:$B$100</c:f>
              <c:numCache>
                <c:formatCode>General</c:formatCode>
                <c:ptCount val="6"/>
                <c:pt idx="0">
                  <c:v>19</c:v>
                </c:pt>
                <c:pt idx="1">
                  <c:v>16</c:v>
                </c:pt>
                <c:pt idx="2">
                  <c:v>18</c:v>
                </c:pt>
                <c:pt idx="3">
                  <c:v>11</c:v>
                </c:pt>
                <c:pt idx="4">
                  <c:v>13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B-4A1D-9FA2-837E083FBB52}"/>
            </c:ext>
          </c:extLst>
        </c:ser>
        <c:ser>
          <c:idx val="1"/>
          <c:order val="1"/>
          <c:tx>
            <c:strRef>
              <c:f>'DATOS 9'!$C$93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9'!$C$94:$C$100</c:f>
              <c:numCache>
                <c:formatCode>General</c:formatCode>
                <c:ptCount val="6"/>
                <c:pt idx="0">
                  <c:v>605</c:v>
                </c:pt>
                <c:pt idx="1">
                  <c:v>410</c:v>
                </c:pt>
                <c:pt idx="2">
                  <c:v>555</c:v>
                </c:pt>
                <c:pt idx="3">
                  <c:v>360</c:v>
                </c:pt>
                <c:pt idx="4">
                  <c:v>420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AB-4A1D-9FA2-837E083FBB52}"/>
            </c:ext>
          </c:extLst>
        </c:ser>
        <c:ser>
          <c:idx val="2"/>
          <c:order val="2"/>
          <c:tx>
            <c:strRef>
              <c:f>'DATOS 9'!$D$93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9'!$D$94:$D$100</c:f>
              <c:numCache>
                <c:formatCode>General</c:formatCode>
                <c:ptCount val="6"/>
                <c:pt idx="0">
                  <c:v>566</c:v>
                </c:pt>
                <c:pt idx="1">
                  <c:v>340</c:v>
                </c:pt>
                <c:pt idx="2">
                  <c:v>480</c:v>
                </c:pt>
                <c:pt idx="3">
                  <c:v>300</c:v>
                </c:pt>
                <c:pt idx="4">
                  <c:v>352</c:v>
                </c:pt>
                <c:pt idx="5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AB-4A1D-9FA2-837E083FBB52}"/>
            </c:ext>
          </c:extLst>
        </c:ser>
        <c:ser>
          <c:idx val="3"/>
          <c:order val="3"/>
          <c:tx>
            <c:strRef>
              <c:f>'DATOS 9'!$E$93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9'!$E$94:$E$100</c:f>
              <c:numCache>
                <c:formatCode>General</c:formatCode>
                <c:ptCount val="6"/>
                <c:pt idx="0">
                  <c:v>21</c:v>
                </c:pt>
                <c:pt idx="1">
                  <c:v>19</c:v>
                </c:pt>
                <c:pt idx="2">
                  <c:v>27</c:v>
                </c:pt>
                <c:pt idx="3">
                  <c:v>14</c:v>
                </c:pt>
                <c:pt idx="4">
                  <c:v>15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AB-4A1D-9FA2-837E083FBB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9151455"/>
        <c:axId val="1149168255"/>
      </c:barChart>
      <c:catAx>
        <c:axId val="114915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68255"/>
        <c:crosses val="autoZero"/>
        <c:auto val="1"/>
        <c:lblAlgn val="ctr"/>
        <c:lblOffset val="100"/>
        <c:noMultiLvlLbl val="0"/>
      </c:catAx>
      <c:valAx>
        <c:axId val="114916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5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CONSOLIDADO!$Q$109:$T$109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B-47EB-8AAD-CEE3F8280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[PLANEACIÓN POSTMORTEM.xlsx]CONSOLIDADO!TablaDinámica6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CONSOLIDADO!$B$526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CONSOLIDADO!$A$527:$A$533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CONSOLIDADO!$B$527:$B$533</c:f>
              <c:numCache>
                <c:formatCode>General</c:formatCode>
                <c:ptCount val="6"/>
                <c:pt idx="0">
                  <c:v>117</c:v>
                </c:pt>
                <c:pt idx="1">
                  <c:v>112</c:v>
                </c:pt>
                <c:pt idx="2">
                  <c:v>134</c:v>
                </c:pt>
                <c:pt idx="3">
                  <c:v>75</c:v>
                </c:pt>
                <c:pt idx="4">
                  <c:v>84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F-40FF-9F6B-DDC72EB8607D}"/>
            </c:ext>
          </c:extLst>
        </c:ser>
        <c:ser>
          <c:idx val="1"/>
          <c:order val="1"/>
          <c:tx>
            <c:strRef>
              <c:f>CONSOLIDADO!$C$526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CONSOLIDADO!$A$527:$A$533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CONSOLIDADO!$C$527:$C$533</c:f>
              <c:numCache>
                <c:formatCode>General</c:formatCode>
                <c:ptCount val="6"/>
                <c:pt idx="0">
                  <c:v>3755</c:v>
                </c:pt>
                <c:pt idx="1">
                  <c:v>3160</c:v>
                </c:pt>
                <c:pt idx="2">
                  <c:v>4490</c:v>
                </c:pt>
                <c:pt idx="3">
                  <c:v>2560</c:v>
                </c:pt>
                <c:pt idx="4">
                  <c:v>2685</c:v>
                </c:pt>
                <c:pt idx="5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DF-40FF-9F6B-DDC72EB8607D}"/>
            </c:ext>
          </c:extLst>
        </c:ser>
        <c:ser>
          <c:idx val="2"/>
          <c:order val="2"/>
          <c:tx>
            <c:strRef>
              <c:f>CONSOLIDADO!$D$526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CONSOLIDADO!$A$527:$A$533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CONSOLIDADO!$D$527:$D$533</c:f>
              <c:numCache>
                <c:formatCode>General</c:formatCode>
                <c:ptCount val="6"/>
                <c:pt idx="0">
                  <c:v>3647</c:v>
                </c:pt>
                <c:pt idx="1">
                  <c:v>2645</c:v>
                </c:pt>
                <c:pt idx="2">
                  <c:v>3814</c:v>
                </c:pt>
                <c:pt idx="3">
                  <c:v>2057</c:v>
                </c:pt>
                <c:pt idx="4">
                  <c:v>2436</c:v>
                </c:pt>
                <c:pt idx="5">
                  <c:v>2063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DF-40FF-9F6B-DDC72EB8607D}"/>
            </c:ext>
          </c:extLst>
        </c:ser>
        <c:ser>
          <c:idx val="3"/>
          <c:order val="3"/>
          <c:tx>
            <c:strRef>
              <c:f>CONSOLIDADO!$E$526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CONSOLIDADO!$A$527:$A$533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CONSOLIDADO!$E$527:$E$533</c:f>
              <c:numCache>
                <c:formatCode>General</c:formatCode>
                <c:ptCount val="6"/>
                <c:pt idx="0">
                  <c:v>134</c:v>
                </c:pt>
                <c:pt idx="1">
                  <c:v>122</c:v>
                </c:pt>
                <c:pt idx="2">
                  <c:v>152</c:v>
                </c:pt>
                <c:pt idx="3">
                  <c:v>76</c:v>
                </c:pt>
                <c:pt idx="4">
                  <c:v>90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DF-40FF-9F6B-DDC72EB860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8886591"/>
        <c:axId val="1088886111"/>
      </c:barChart>
      <c:catAx>
        <c:axId val="108888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886111"/>
        <c:crosses val="autoZero"/>
        <c:auto val="1"/>
        <c:lblAlgn val="ctr"/>
        <c:lblOffset val="100"/>
        <c:noMultiLvlLbl val="0"/>
      </c:catAx>
      <c:valAx>
        <c:axId val="108888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88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image" Target="../media/image1.jpeg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image" Target="../media/image1.jpeg"/><Relationship Id="rId4" Type="http://schemas.openxmlformats.org/officeDocument/2006/relationships/chart" Target="../charts/chart23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image" Target="../media/image1.jpeg"/><Relationship Id="rId4" Type="http://schemas.openxmlformats.org/officeDocument/2006/relationships/chart" Target="../charts/chart26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B380723C-8E38-4A18-BFEF-B1A7A5B826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A72D84-72B7-400F-9B18-A88C24B90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552D9D9-1541-D8A9-6FEA-964D468C4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F5E726DE-64E1-4271-BFEA-0DF7536E5E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9E1211-E47C-4EF3-8AC9-C71524CA6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D3D7A647-0E31-4862-9148-3A7632F399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1459AD-24EA-47C1-A526-F1E218B9E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100A50FC-FF30-4E1A-8477-6EA6EEC6C0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97510A-0C36-4215-9B7F-63D10053A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6DC0B09-48EC-4C4E-A18F-502106C2DDE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39E4F3-9CF2-439A-9248-A55C97FF9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EDC65EED-8AF7-4C5F-B659-FA84D3C8B6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119</xdr:row>
      <xdr:rowOff>249918</xdr:rowOff>
    </xdr:from>
    <xdr:to>
      <xdr:col>26</xdr:col>
      <xdr:colOff>534080</xdr:colOff>
      <xdr:row>136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6FE5142-8C1D-4865-9A99-0B4BA6DF3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E68092A1-84B4-4EF6-8D27-6A0BE7A37E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123</xdr:row>
      <xdr:rowOff>249918</xdr:rowOff>
    </xdr:from>
    <xdr:to>
      <xdr:col>26</xdr:col>
      <xdr:colOff>534080</xdr:colOff>
      <xdr:row>140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1E539DE-1250-457C-8AFC-81F72B481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BA505E84-9C86-4DE3-8BC5-36E1114EE90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127</xdr:row>
      <xdr:rowOff>249918</xdr:rowOff>
    </xdr:from>
    <xdr:to>
      <xdr:col>26</xdr:col>
      <xdr:colOff>534080</xdr:colOff>
      <xdr:row>144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9B66D9A-E785-411A-A6D4-A33124371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248329</xdr:colOff>
      <xdr:row>102</xdr:row>
      <xdr:rowOff>68489</xdr:rowOff>
    </xdr:from>
    <xdr:to>
      <xdr:col>4</xdr:col>
      <xdr:colOff>351517</xdr:colOff>
      <xdr:row>128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712811B-AFA6-412D-B0A5-1722C3741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3EEC0AB9-4A43-4687-B462-50FF92D76F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828721-AC36-43F1-922A-ABEA2F981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1801813</xdr:colOff>
      <xdr:row>79</xdr:row>
      <xdr:rowOff>147865</xdr:rowOff>
    </xdr:from>
    <xdr:to>
      <xdr:col>4</xdr:col>
      <xdr:colOff>1134</xdr:colOff>
      <xdr:row>81</xdr:row>
      <xdr:rowOff>101600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4595EF8-5951-4B78-A9D1-9E750281A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2017258</xdr:colOff>
      <xdr:row>88</xdr:row>
      <xdr:rowOff>34018</xdr:rowOff>
    </xdr:from>
    <xdr:to>
      <xdr:col>4</xdr:col>
      <xdr:colOff>-1</xdr:colOff>
      <xdr:row>90</xdr:row>
      <xdr:rowOff>112940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3670ACF-72D8-4B8E-B8CB-0D53F47C7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1387929</xdr:colOff>
      <xdr:row>95</xdr:row>
      <xdr:rowOff>147863</xdr:rowOff>
    </xdr:from>
    <xdr:to>
      <xdr:col>3</xdr:col>
      <xdr:colOff>771071</xdr:colOff>
      <xdr:row>96</xdr:row>
      <xdr:rowOff>3106964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75BD966-E47E-4E69-AC30-3571F67C4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2147661</xdr:colOff>
      <xdr:row>102</xdr:row>
      <xdr:rowOff>91167</xdr:rowOff>
    </xdr:from>
    <xdr:to>
      <xdr:col>4</xdr:col>
      <xdr:colOff>278947</xdr:colOff>
      <xdr:row>116</xdr:row>
      <xdr:rowOff>67581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090198E-215F-4C50-ABCF-1221B0F04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44222</xdr:colOff>
      <xdr:row>135</xdr:row>
      <xdr:rowOff>34471</xdr:rowOff>
    </xdr:from>
    <xdr:to>
      <xdr:col>6</xdr:col>
      <xdr:colOff>34017</xdr:colOff>
      <xdr:row>161</xdr:row>
      <xdr:rowOff>45357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030EB65-651F-51C5-2959-191489CD6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59</xdr:row>
      <xdr:rowOff>113846</xdr:rowOff>
    </xdr:from>
    <xdr:to>
      <xdr:col>5</xdr:col>
      <xdr:colOff>11340</xdr:colOff>
      <xdr:row>72</xdr:row>
      <xdr:rowOff>68034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43460AA-7BC1-DC6F-5638-4CA057F3C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B0DBF80-8570-4A35-9893-E3EBE4087FC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0</xdr:col>
      <xdr:colOff>55562</xdr:colOff>
      <xdr:row>77</xdr:row>
      <xdr:rowOff>68489</xdr:rowOff>
    </xdr:from>
    <xdr:to>
      <xdr:col>4</xdr:col>
      <xdr:colOff>238125</xdr:colOff>
      <xdr:row>103</xdr:row>
      <xdr:rowOff>113393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B7386A-F77D-2E52-108B-BAB493196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B508607-8B46-409E-A94D-EB3E30EF12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99</xdr:row>
      <xdr:rowOff>249918</xdr:rowOff>
    </xdr:from>
    <xdr:to>
      <xdr:col>26</xdr:col>
      <xdr:colOff>534080</xdr:colOff>
      <xdr:row>116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C5A79B-33B7-44D6-AB1A-690418EA0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418418</xdr:colOff>
      <xdr:row>62</xdr:row>
      <xdr:rowOff>0</xdr:rowOff>
    </xdr:from>
    <xdr:to>
      <xdr:col>6</xdr:col>
      <xdr:colOff>158750</xdr:colOff>
      <xdr:row>71</xdr:row>
      <xdr:rowOff>317500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33B99611-312A-A0F5-12F9-F1D3F0522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79C0D65F-0144-494D-9DCB-CE914D1AE0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3B1637-58D7-4103-8624-18E50F401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238127</xdr:colOff>
      <xdr:row>98</xdr:row>
      <xdr:rowOff>79827</xdr:rowOff>
    </xdr:from>
    <xdr:to>
      <xdr:col>12</xdr:col>
      <xdr:colOff>2313215</xdr:colOff>
      <xdr:row>119</xdr:row>
      <xdr:rowOff>68035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88122BF-9B9A-FFCA-AF2C-DEB0B4331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293688</xdr:colOff>
      <xdr:row>124</xdr:row>
      <xdr:rowOff>57150</xdr:rowOff>
    </xdr:from>
    <xdr:to>
      <xdr:col>7</xdr:col>
      <xdr:colOff>579438</xdr:colOff>
      <xdr:row>131</xdr:row>
      <xdr:rowOff>112939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84E10F4-C070-86DA-2BAA-04ADFEF2C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7CFE36D-8425-4C19-AAE0-9F7F2955063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F5FACE-3C24-44D2-BD8B-013F9E739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66</xdr:row>
      <xdr:rowOff>23130</xdr:rowOff>
    </xdr:from>
    <xdr:to>
      <xdr:col>4</xdr:col>
      <xdr:colOff>1428749</xdr:colOff>
      <xdr:row>77</xdr:row>
      <xdr:rowOff>170090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2DF852F-1949-19DD-75B1-B15F58950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87</xdr:row>
      <xdr:rowOff>454</xdr:rowOff>
    </xdr:from>
    <xdr:to>
      <xdr:col>2</xdr:col>
      <xdr:colOff>1428749</xdr:colOff>
      <xdr:row>107</xdr:row>
      <xdr:rowOff>124732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008B1A-1F82-A451-53F3-F37B375C3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89F72A72-BD5C-436F-91C5-CB4E57F0420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120</xdr:row>
      <xdr:rowOff>249918</xdr:rowOff>
    </xdr:from>
    <xdr:to>
      <xdr:col>26</xdr:col>
      <xdr:colOff>534080</xdr:colOff>
      <xdr:row>137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925FA6-862A-4186-90EF-5A1A53C59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66901</xdr:colOff>
      <xdr:row>75</xdr:row>
      <xdr:rowOff>23132</xdr:rowOff>
    </xdr:from>
    <xdr:to>
      <xdr:col>3</xdr:col>
      <xdr:colOff>147411</xdr:colOff>
      <xdr:row>84</xdr:row>
      <xdr:rowOff>68036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01D222D-34F2-C9CB-D3DA-DA392975C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7672B910-AA87-4662-AD2C-414CD0A0A7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124</xdr:row>
      <xdr:rowOff>249918</xdr:rowOff>
    </xdr:from>
    <xdr:to>
      <xdr:col>26</xdr:col>
      <xdr:colOff>534080</xdr:colOff>
      <xdr:row>141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3B1DCF-1141-44DC-B2BC-B53D94845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89580</xdr:colOff>
      <xdr:row>98</xdr:row>
      <xdr:rowOff>79828</xdr:rowOff>
    </xdr:from>
    <xdr:to>
      <xdr:col>3</xdr:col>
      <xdr:colOff>476250</xdr:colOff>
      <xdr:row>119</xdr:row>
      <xdr:rowOff>147409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36D74FC-7BE7-B27E-6D48-20C02EF31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0B9CA4A-5F9F-43F4-A855-D0A68B04655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127</xdr:row>
      <xdr:rowOff>249918</xdr:rowOff>
    </xdr:from>
    <xdr:to>
      <xdr:col>26</xdr:col>
      <xdr:colOff>534080</xdr:colOff>
      <xdr:row>144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652175-7C21-4731-A024-C65802CDA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248329</xdr:colOff>
      <xdr:row>102</xdr:row>
      <xdr:rowOff>68489</xdr:rowOff>
    </xdr:from>
    <xdr:to>
      <xdr:col>4</xdr:col>
      <xdr:colOff>351517</xdr:colOff>
      <xdr:row>128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A8B43FE-6838-5A59-1F6D-C6EC23FB6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13FA9174-FD7F-4E5A-B0C2-34BF17FC2CD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DF35362-22F4-4C57-927F-11F48C477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235323</xdr:colOff>
      <xdr:row>534</xdr:row>
      <xdr:rowOff>148195</xdr:rowOff>
    </xdr:from>
    <xdr:to>
      <xdr:col>4</xdr:col>
      <xdr:colOff>616322</xdr:colOff>
      <xdr:row>567</xdr:row>
      <xdr:rowOff>140073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86C0AE3-6B32-E9C8-7735-E99EFFD49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619524305555" createdVersion="8" refreshedVersion="8" minRefreshableVersion="3" recordCount="53" xr:uid="{B798989F-2A3D-4E7D-A6A2-CD813201DA9B}">
  <cacheSource type="worksheet">
    <worksheetSource ref="B7:L61" sheet="DATOS 3"/>
  </cacheSource>
  <cacheFields count="11">
    <cacheField name="Responsable" numFmtId="165">
      <sharedItems count="8">
        <s v="Santiago Herrada"/>
        <s v="Kerlon Sanchez"/>
        <s v="Leidy Giraldo"/>
        <s v="Matias Marín"/>
        <s v="Esteban Prieto"/>
        <s v="Nicolas Cubillos"/>
        <s v="   Esteban Prieto"/>
        <s v=" Nicolas Cubillos"/>
      </sharedItems>
    </cacheField>
    <cacheField name="Rol que recibe" numFmtId="165">
      <sharedItems/>
    </cacheField>
    <cacheField name="Tamaño estimado (hojas, secciones)" numFmtId="1">
      <sharedItems containsSemiMixedTypes="0" containsString="0" containsNumber="1" containsInteger="1" minValue="1" maxValue="5"/>
    </cacheField>
    <cacheField name="Tiempo estimado (minutos)" numFmtId="1">
      <sharedItems containsSemiMixedTypes="0" containsString="0" containsNumber="1" containsInteger="1" minValue="20" maxValue="60"/>
    </cacheField>
    <cacheField name="Fecha Acordada Entrega" numFmtId="165">
      <sharedItems containsSemiMixedTypes="0" containsNonDate="0" containsDate="1" containsString="0" minDate="2025-09-03T00:00:00" maxDate="2025-09-04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165">
      <sharedItems containsSemiMixedTypes="0" containsNonDate="0" containsDate="1" containsString="0" minDate="2025-08-30T00:00:00" maxDate="2025-09-04T00:00:00"/>
    </cacheField>
    <cacheField name="Hora Entrega" numFmtId="164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1">
      <sharedItems containsSemiMixedTypes="0" containsString="0" containsNumber="1" containsInteger="1" minValue="1" maxValue="5"/>
    </cacheField>
    <cacheField name="Tiempo real" numFmtId="1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759358101852" createdVersion="8" refreshedVersion="8" minRefreshableVersion="3" recordCount="59" xr:uid="{2988C780-3F94-4CE6-9B5B-A8A3C5C32E16}">
  <cacheSource type="worksheet">
    <worksheetSource ref="B7:L66" sheet="DATOS 2"/>
  </cacheSource>
  <cacheFields count="11">
    <cacheField name="Responsable" numFmtId="165">
      <sharedItems count="9">
        <s v="Leidy Giraldo "/>
        <s v=" Matias Marín"/>
        <s v="Santiago Herrada"/>
        <s v="Leidy Giraldo"/>
        <s v="Matias Marín"/>
        <s v="Kerlon Sanchez"/>
        <s v="Esteban Prieto"/>
        <s v="Nicolas Cubillos"/>
        <s v=" Nicolas Cubillos"/>
      </sharedItems>
    </cacheField>
    <cacheField name="Rol que recibe" numFmtId="165">
      <sharedItems/>
    </cacheField>
    <cacheField name="Tamaño estimado (hojas, secciones)" numFmtId="0">
      <sharedItems containsSemiMixedTypes="0" containsString="0" containsNumber="1" containsInteger="1" minValue="1" maxValue="3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165">
      <sharedItems containsSemiMixedTypes="0" containsNonDate="0" containsDate="1" containsString="0" minDate="2025-08-13T00:00:00" maxDate="2025-08-28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165">
      <sharedItems containsSemiMixedTypes="0" containsNonDate="0" containsDate="1" containsString="0" minDate="2025-08-21T00:00:00" maxDate="2025-08-27T00:00:00"/>
    </cacheField>
    <cacheField name="Hora Entrega" numFmtId="164">
      <sharedItems containsSemiMixedTypes="0" containsNonDate="0" containsDate="1" containsString="0" minDate="1899-12-30T14:00:00" maxDate="1899-12-30T22:30:00"/>
    </cacheField>
    <cacheField name="Diferencia" numFmtId="1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4"/>
    </cacheField>
    <cacheField name="Tiempo real" numFmtId="1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766130208336" createdVersion="8" refreshedVersion="8" minRefreshableVersion="3" recordCount="42" xr:uid="{D384B80A-377E-44B1-9F5A-9FEAE7E1430F}">
  <cacheSource type="worksheet">
    <worksheetSource ref="B7:L50" sheet="DATOS 1"/>
  </cacheSource>
  <cacheFields count="11">
    <cacheField name="Responsable" numFmtId="0">
      <sharedItems count="18">
        <s v="Leidy Giraldo"/>
        <s v=" Santiago Herrada"/>
        <s v="Matias Marín"/>
        <s v=" Esteban Prieto"/>
        <s v="Nicolas Cubillos"/>
        <s v=" Kerlon Sanchez"/>
        <s v="      Leidy Giraldo"/>
        <s v="Santiago Herrada"/>
        <s v="Matias Marin"/>
        <s v="Esteban Prieto"/>
        <s v="Kerlon Sanchez"/>
        <s v="       Leidy Giraldo"/>
        <s v="    Kerlon Sanchez"/>
        <s v="    Santiago Herrada"/>
        <s v="    Matias Marin"/>
        <s v="    Nicolas Cubillos"/>
        <s v="    Esteban Prieto"/>
        <s v="   Esteban Prieto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1"/>
    </cacheField>
    <cacheField name="Tiempo estimado (minutos)" numFmtId="0">
      <sharedItems containsSemiMixedTypes="0" containsString="0" containsNumber="1" containsInteger="1" minValue="20" maxValue="120"/>
    </cacheField>
    <cacheField name="Fecha Acordada Entrega" numFmtId="165">
      <sharedItems containsSemiMixedTypes="0" containsNonDate="0" containsDate="1" containsString="0" minDate="2025-08-13T00:00:00" maxDate="2025-08-14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8-08T00:00:00" maxDate="2025-08-12T00:00:00"/>
    </cacheField>
    <cacheField name="Hora Entrega" numFmtId="164">
      <sharedItems containsSemiMixedTypes="0" containsNonDate="0" containsDate="1" containsString="0" minDate="1899-12-30T01:00:00" maxDate="1899-12-30T23:00:00"/>
    </cacheField>
    <cacheField name="Diferencia" numFmtId="1">
      <sharedItems containsSemiMixedTypes="0" containsString="0" containsNumber="1" containsInteger="1" minValue="-90" maxValue="60"/>
    </cacheField>
    <cacheField name="Tamaño real" numFmtId="1">
      <sharedItems containsSemiMixedTypes="0" containsString="0" containsNumber="1" containsInteger="1" minValue="1" maxValue="1"/>
    </cacheField>
    <cacheField name="Tiempo real" numFmtId="1">
      <sharedItems containsSemiMixedTypes="0" containsString="0" containsNumber="1" containsInteger="1" minValue="2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7.633245023149" createdVersion="8" refreshedVersion="8" minRefreshableVersion="3" recordCount="89" xr:uid="{62211EED-E4BE-4D27-B64D-D874E04FF633}">
  <cacheSource type="worksheet">
    <worksheetSource ref="B7:L97" sheet="DATOS 4"/>
  </cacheSource>
  <cacheFields count="11">
    <cacheField name="Responsable" numFmtId="0">
      <sharedItems count="7">
        <s v="Santiago Herrada"/>
        <s v="Esteban Prieto"/>
        <s v="Nicolas Cubillos"/>
        <s v="Leidy Giraldo"/>
        <s v="Matias Marín"/>
        <s v="Kerlon Sanchez"/>
        <s v=" Nicolas Cubillos"/>
      </sharedItems>
    </cacheField>
    <cacheField name="Rol que recibe" numFmtId="0">
      <sharedItems count="12">
        <s v="LP"/>
        <s v="LC"/>
        <s v="LS"/>
        <s v="LE"/>
        <s v="LA"/>
        <s v="LD"/>
        <s v=" LP"/>
        <s v="           LS"/>
        <s v="           LE"/>
        <s v="           LA"/>
        <s v="           LC"/>
        <s v="           LD"/>
      </sharedItems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10" maxValue="60"/>
    </cacheField>
    <cacheField name="Fecha Acordada Entrega" numFmtId="0">
      <sharedItems containsSemiMixedTypes="0" containsNonDate="0" containsDate="1" containsString="0" minDate="2025-09-09T00:00:00" maxDate="2025-09-1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05T00:00:00" maxDate="2025-09-09T00:00:00"/>
    </cacheField>
    <cacheField name="Hora Entrega" numFmtId="0">
      <sharedItems containsSemiMixedTypes="0" containsNonDate="0" containsDate="1" containsString="0" minDate="1899-12-30T08:3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16.760135416669" createdVersion="8" refreshedVersion="8" minRefreshableVersion="3" recordCount="48" xr:uid="{A7C452B0-2C30-4BED-B589-9CD5F2AAF243}">
  <cacheSource type="worksheet">
    <worksheetSource ref="A7:M56" sheet="DATOS 5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Leidy Giraldo"/>
        <s v="Matias Marín"/>
        <s v="Nicolas Cubillos"/>
        <s v="Kerlon Sanchez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09-17T00:00:00" maxDate="2025-09-18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15T00:00:00" maxDate="2025-09-18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31.043379745373" createdVersion="8" refreshedVersion="8" minRefreshableVersion="3" recordCount="56" xr:uid="{898F8AFA-7795-4591-B12C-AE38597D3566}">
  <cacheSource type="worksheet">
    <worksheetSource ref="A7:M65" sheet="DATOS 6 y 7 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Leidy Giraldo"/>
        <s v="Nicolas Cubillos"/>
        <s v="Matias Marín"/>
        <s v="Kerlon Sanchez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01T00:00:00" maxDate="2025-10-02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22T00:00:00" maxDate="2025-10-02T00:00:00"/>
    </cacheField>
    <cacheField name="Hora Entrega" numFmtId="0">
      <sharedItems containsSemiMixedTypes="0" containsNonDate="0" containsDate="1" containsString="0" minDate="1899-12-30T08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37.840571759261" createdVersion="8" refreshedVersion="8" minRefreshableVersion="3" recordCount="79" xr:uid="{9590F6AB-5CC0-49FA-BD6E-D10D8245565D}">
  <cacheSource type="worksheet">
    <worksheetSource ref="A7:M87" sheet="DATOS 8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Nicolas Cubillos"/>
        <s v="Leidy Giraldo"/>
        <s v="Kerlon Sanchez"/>
        <s v="Matias Marín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08T00:00:00" maxDate="2025-10-09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10-04T00:00:00" maxDate="2025-10-09T00:00:00"/>
    </cacheField>
    <cacheField name="Hora Entrega" numFmtId="0">
      <sharedItems containsSemiMixedTypes="0" containsNonDate="0" containsDate="1" containsString="0" minDate="1899-12-30T08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43.030615856478" createdVersion="8" refreshedVersion="8" minRefreshableVersion="3" recordCount="83" xr:uid="{4E111653-FA38-4E02-9991-65F815A148D7}">
  <cacheSource type="worksheet">
    <worksheetSource ref="A7:M90" sheet="DATOS 9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Nicolas Cubillos"/>
        <s v="Kerlon Sanchez"/>
        <s v="Leidy Giraldo"/>
        <s v="Matias Marín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08T00:00:00" maxDate="2025-10-16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10-13T00:00:00" maxDate="2025-10-16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7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43.674499305554" createdVersion="8" refreshedVersion="8" minRefreshableVersion="3" recordCount="516" xr:uid="{0E265944-9207-4431-B8B3-5BD9BDA52D5E}">
  <cacheSource type="worksheet">
    <worksheetSource ref="A7:M523" sheet="CONSOLIDADO"/>
  </cacheSource>
  <cacheFields count="13">
    <cacheField name="0" numFmtId="0">
      <sharedItems/>
    </cacheField>
    <cacheField name="Responsable" numFmtId="0">
      <sharedItems count="8">
        <s v="Leidy Giraldo"/>
        <s v="Santiago Herrada"/>
        <s v="Matias Marín"/>
        <s v="Esteban Prieto"/>
        <s v="Nicolas Cubillos"/>
        <s v="Kerlon Sanchez"/>
        <s v="Leidy Giraldo 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10" maxValue="120"/>
    </cacheField>
    <cacheField name="Fecha Acordada Entrega" numFmtId="0">
      <sharedItems containsSemiMixedTypes="0" containsNonDate="0" containsDate="1" containsString="0" minDate="2025-08-13T00:00:00" maxDate="2025-10-16T00:00:00"/>
    </cacheField>
    <cacheField name="Hora Acordada entrega" numFmtId="0">
      <sharedItems containsDate="1" containsMixedTypes="1" minDate="1899-12-30T09:00:00" maxDate="1899-12-30T09:00:00"/>
    </cacheField>
    <cacheField name="Fecha Entregada" numFmtId="0">
      <sharedItems containsSemiMixedTypes="0" containsNonDate="0" containsDate="1" containsString="0" minDate="2025-08-08T00:00:00" maxDate="2025-10-16T00:00:00"/>
    </cacheField>
    <cacheField name="Hora Entrega" numFmtId="0">
      <sharedItems containsSemiMixedTypes="0" containsNonDate="0" containsDate="1" containsString="0" minDate="1899-12-30T01:00:00" maxDate="1899-12-30T23:00:00"/>
    </cacheField>
    <cacheField name="Diferencia" numFmtId="0">
      <sharedItems containsSemiMixedTypes="0" containsString="0" containsNumber="1" containsInteger="1" minValue="-90" maxValue="60"/>
    </cacheField>
    <cacheField name="Tamaño real" numFmtId="0">
      <sharedItems containsSemiMixedTypes="0" containsString="0" containsNumber="1" containsInteger="1" minValue="1" maxValue="7"/>
    </cacheField>
    <cacheField name="Tiempo real" numFmtId="0">
      <sharedItems containsSemiMixedTypes="0" containsString="0" containsNumber="1" containsInteger="1" minValue="10" maxValue="12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LP"/>
    <n v="2"/>
    <n v="50"/>
    <d v="2025-09-03T00:00:00"/>
    <d v="1899-12-30T09:00:00"/>
    <d v="2025-09-02T00:00:00"/>
    <d v="1899-12-30T16:00:00"/>
    <n v="0"/>
    <n v="1"/>
    <n v="50"/>
  </r>
  <r>
    <x v="1"/>
    <s v="LD"/>
    <n v="2"/>
    <n v="50"/>
    <d v="2025-09-03T00:00:00"/>
    <d v="1899-12-30T09:00:00"/>
    <d v="2025-09-02T00:00:00"/>
    <d v="1899-12-30T16:00:00"/>
    <n v="0"/>
    <n v="1"/>
    <n v="50"/>
  </r>
  <r>
    <x v="2"/>
    <s v="LE"/>
    <n v="2"/>
    <n v="50"/>
    <d v="2025-09-03T00:00:00"/>
    <d v="1899-12-30T09:00:00"/>
    <d v="2025-09-02T00:00:00"/>
    <d v="1899-12-30T16:00:00"/>
    <n v="0"/>
    <n v="1"/>
    <n v="50"/>
  </r>
  <r>
    <x v="3"/>
    <s v="LA"/>
    <n v="2"/>
    <n v="50"/>
    <d v="2025-09-03T00:00:00"/>
    <d v="1899-12-30T09:00:00"/>
    <d v="2025-09-02T00:00:00"/>
    <d v="1899-12-30T16:00:00"/>
    <n v="0"/>
    <n v="1"/>
    <n v="50"/>
  </r>
  <r>
    <x v="4"/>
    <s v="LC"/>
    <n v="2"/>
    <n v="50"/>
    <d v="2025-09-03T00:00:00"/>
    <d v="1899-12-30T09:00:00"/>
    <d v="2025-09-02T00:00:00"/>
    <d v="1899-12-30T16:00:00"/>
    <n v="0"/>
    <n v="1"/>
    <n v="50"/>
  </r>
  <r>
    <x v="5"/>
    <s v="LS"/>
    <n v="2"/>
    <n v="50"/>
    <d v="2025-09-03T00:00:00"/>
    <d v="1899-12-30T09:00:00"/>
    <d v="2025-09-02T00:00:00"/>
    <d v="1899-12-30T16:00:00"/>
    <n v="0"/>
    <n v="1"/>
    <n v="50"/>
  </r>
  <r>
    <x v="0"/>
    <s v="LP"/>
    <n v="1"/>
    <n v="30"/>
    <d v="2025-09-03T00:00:00"/>
    <d v="1899-12-30T09:00:00"/>
    <d v="2025-08-30T00:00:00"/>
    <d v="1899-12-30T19:00:00"/>
    <n v="0"/>
    <n v="1"/>
    <n v="30"/>
  </r>
  <r>
    <x v="6"/>
    <s v=" LC"/>
    <n v="1"/>
    <n v="30"/>
    <d v="2025-09-03T00:00:00"/>
    <d v="1899-12-30T09:00:00"/>
    <d v="2025-08-30T00:00:00"/>
    <d v="1899-12-30T19:00:00"/>
    <n v="0"/>
    <n v="1"/>
    <n v="30"/>
  </r>
  <r>
    <x v="4"/>
    <s v="LC"/>
    <n v="1"/>
    <n v="20"/>
    <d v="2025-09-03T00:00:00"/>
    <d v="1899-12-30T09:00:00"/>
    <d v="2025-09-02T00:00:00"/>
    <d v="1899-12-30T19:20:00"/>
    <n v="0"/>
    <n v="1"/>
    <n v="20"/>
  </r>
  <r>
    <x v="7"/>
    <s v="LS"/>
    <n v="1"/>
    <n v="20"/>
    <d v="2025-09-03T00:00:00"/>
    <d v="1899-12-30T09:00:00"/>
    <d v="2025-09-02T00:00:00"/>
    <d v="1899-12-30T19:20:00"/>
    <n v="0"/>
    <n v="1"/>
    <n v="20"/>
  </r>
  <r>
    <x v="1"/>
    <s v="LD"/>
    <n v="1"/>
    <n v="30"/>
    <d v="2025-09-03T00:00:00"/>
    <d v="1899-12-30T09:00:00"/>
    <d v="2025-09-02T00:00:00"/>
    <d v="1899-12-30T19:30:00"/>
    <n v="2"/>
    <n v="2"/>
    <n v="28"/>
  </r>
  <r>
    <x v="2"/>
    <s v="LE"/>
    <n v="1"/>
    <n v="30"/>
    <d v="2025-09-03T00:00:00"/>
    <d v="1899-12-30T09:00:00"/>
    <d v="2025-09-02T00:00:00"/>
    <d v="1899-12-30T19:30:00"/>
    <n v="0"/>
    <n v="2"/>
    <n v="30"/>
  </r>
  <r>
    <x v="0"/>
    <s v="LP"/>
    <n v="1"/>
    <n v="30"/>
    <d v="2025-09-03T00:00:00"/>
    <d v="1899-12-30T09:00:00"/>
    <d v="2025-09-02T00:00:00"/>
    <d v="1899-12-30T19:30:00"/>
    <n v="3"/>
    <n v="1"/>
    <n v="27"/>
  </r>
  <r>
    <x v="0"/>
    <s v="LP"/>
    <n v="1"/>
    <n v="30"/>
    <d v="2025-09-03T00:00:00"/>
    <d v="1899-12-30T09:00:00"/>
    <d v="2025-09-02T00:00:00"/>
    <d v="1899-12-30T20:00:00"/>
    <n v="2"/>
    <n v="1"/>
    <n v="28"/>
  </r>
  <r>
    <x v="0"/>
    <s v="LP"/>
    <n v="1"/>
    <n v="30"/>
    <d v="2025-09-03T00:00:00"/>
    <d v="1899-12-30T09:00:00"/>
    <d v="2025-09-02T00:00:00"/>
    <d v="1899-12-30T20:30:00"/>
    <n v="10"/>
    <n v="2"/>
    <n v="20"/>
  </r>
  <r>
    <x v="5"/>
    <s v="LS"/>
    <n v="1"/>
    <n v="30"/>
    <d v="2025-09-03T00:00:00"/>
    <d v="1899-12-30T09:00:00"/>
    <d v="2025-08-31T00:00:00"/>
    <d v="1899-12-30T19:00:00"/>
    <n v="5"/>
    <n v="2"/>
    <n v="25"/>
  </r>
  <r>
    <x v="3"/>
    <s v="LA"/>
    <n v="1"/>
    <n v="30"/>
    <d v="2025-09-03T00:00:00"/>
    <d v="1899-12-30T09:00:00"/>
    <d v="2025-08-31T00:00:00"/>
    <d v="1899-12-30T19:00:00"/>
    <n v="4"/>
    <n v="1"/>
    <n v="26"/>
  </r>
  <r>
    <x v="4"/>
    <s v="LC"/>
    <n v="1"/>
    <n v="30"/>
    <d v="2025-09-03T00:00:00"/>
    <d v="1899-12-30T09:00:00"/>
    <d v="2025-08-30T00:00:00"/>
    <d v="1899-12-30T19:00:00"/>
    <n v="0"/>
    <n v="1"/>
    <n v="30"/>
  </r>
  <r>
    <x v="4"/>
    <s v="LC"/>
    <n v="1"/>
    <n v="30"/>
    <d v="2025-09-03T00:00:00"/>
    <d v="1899-12-30T09:00:00"/>
    <d v="2025-08-30T00:00:00"/>
    <d v="1899-12-30T19:30:00"/>
    <n v="2"/>
    <n v="1"/>
    <n v="28"/>
  </r>
  <r>
    <x v="4"/>
    <s v="LC"/>
    <n v="1"/>
    <n v="30"/>
    <d v="2025-09-03T00:00:00"/>
    <d v="1899-12-30T09:00:00"/>
    <d v="2025-08-30T00:00:00"/>
    <d v="1899-12-30T20:00:00"/>
    <n v="6"/>
    <n v="1"/>
    <n v="24"/>
  </r>
  <r>
    <x v="1"/>
    <s v="LD"/>
    <n v="1"/>
    <n v="30"/>
    <d v="2025-09-03T00:00:00"/>
    <d v="1899-12-30T09:00:00"/>
    <d v="2025-09-02T00:00:00"/>
    <d v="1899-12-30T20:00:00"/>
    <n v="0"/>
    <n v="1"/>
    <n v="30"/>
  </r>
  <r>
    <x v="1"/>
    <s v="LD"/>
    <n v="5"/>
    <n v="50"/>
    <d v="2025-09-03T00:00:00"/>
    <d v="1899-12-30T09:00:00"/>
    <d v="2025-09-02T00:00:00"/>
    <d v="1899-12-30T20:50:00"/>
    <n v="5"/>
    <n v="5"/>
    <n v="45"/>
  </r>
  <r>
    <x v="3"/>
    <s v="LA"/>
    <n v="1"/>
    <n v="30"/>
    <d v="2025-09-03T00:00:00"/>
    <d v="1899-12-30T09:00:00"/>
    <d v="2025-08-31T00:00:00"/>
    <d v="1899-12-30T19:30:00"/>
    <n v="8"/>
    <n v="1"/>
    <n v="22"/>
  </r>
  <r>
    <x v="2"/>
    <s v="LE"/>
    <n v="1"/>
    <n v="30"/>
    <d v="2025-09-03T00:00:00"/>
    <d v="1899-12-30T09:00:00"/>
    <d v="2025-09-02T00:00:00"/>
    <d v="1899-12-30T20:00:00"/>
    <n v="7"/>
    <n v="1"/>
    <n v="23"/>
  </r>
  <r>
    <x v="2"/>
    <s v="LE"/>
    <n v="1"/>
    <n v="40"/>
    <d v="2025-09-03T00:00:00"/>
    <d v="1899-12-30T09:00:00"/>
    <d v="2025-09-02T00:00:00"/>
    <d v="1899-12-30T20:40:00"/>
    <n v="9"/>
    <n v="2"/>
    <n v="31"/>
  </r>
  <r>
    <x v="3"/>
    <s v="LA"/>
    <n v="1"/>
    <n v="25"/>
    <d v="2025-09-03T00:00:00"/>
    <d v="1899-12-30T09:00:00"/>
    <d v="2025-08-31T00:00:00"/>
    <d v="1899-12-30T19:55:00"/>
    <n v="5"/>
    <n v="2"/>
    <n v="20"/>
  </r>
  <r>
    <x v="5"/>
    <s v="LS"/>
    <n v="1"/>
    <n v="20"/>
    <d v="2025-09-03T00:00:00"/>
    <d v="1899-12-30T09:00:00"/>
    <d v="2025-08-31T00:00:00"/>
    <d v="1899-12-30T19:20:00"/>
    <n v="0"/>
    <n v="1"/>
    <n v="20"/>
  </r>
  <r>
    <x v="5"/>
    <s v="LS"/>
    <n v="1"/>
    <n v="20"/>
    <d v="2025-09-03T00:00:00"/>
    <d v="1899-12-30T09:00:00"/>
    <d v="2025-08-31T00:00:00"/>
    <d v="1899-12-30T19:40:00"/>
    <n v="0"/>
    <n v="1"/>
    <n v="20"/>
  </r>
  <r>
    <x v="0"/>
    <s v="LP"/>
    <n v="1"/>
    <n v="30"/>
    <d v="2025-09-03T00:00:00"/>
    <d v="1899-12-30T09:00:00"/>
    <d v="2025-09-02T00:00:00"/>
    <d v="1899-12-30T21:00:00"/>
    <n v="5"/>
    <n v="1"/>
    <n v="25"/>
  </r>
  <r>
    <x v="5"/>
    <s v="LS"/>
    <n v="1"/>
    <n v="30"/>
    <d v="2025-09-03T00:00:00"/>
    <d v="1899-12-30T09:00:00"/>
    <d v="2025-08-31T00:00:00"/>
    <d v="1899-12-30T20:10:00"/>
    <n v="0"/>
    <n v="1"/>
    <n v="30"/>
  </r>
  <r>
    <x v="4"/>
    <s v="LC"/>
    <n v="1"/>
    <n v="30"/>
    <d v="2025-09-03T00:00:00"/>
    <d v="1899-12-30T09:00:00"/>
    <d v="2025-08-30T00:00:00"/>
    <d v="1899-12-30T20:30:00"/>
    <n v="5"/>
    <n v="1"/>
    <n v="25"/>
  </r>
  <r>
    <x v="2"/>
    <s v="LE"/>
    <n v="1"/>
    <n v="30"/>
    <d v="2025-09-03T00:00:00"/>
    <d v="1899-12-30T09:00:00"/>
    <d v="2025-09-02T00:00:00"/>
    <d v="1899-12-30T21:10:00"/>
    <n v="6"/>
    <n v="1"/>
    <n v="24"/>
  </r>
  <r>
    <x v="3"/>
    <s v="LA"/>
    <n v="1"/>
    <n v="30"/>
    <d v="2025-09-03T00:00:00"/>
    <d v="1899-12-30T09:00:00"/>
    <d v="2025-08-31T00:00:00"/>
    <d v="1899-12-30T20:25:00"/>
    <n v="7"/>
    <n v="1"/>
    <n v="23"/>
  </r>
  <r>
    <x v="1"/>
    <s v="LD"/>
    <n v="1"/>
    <n v="30"/>
    <d v="2025-09-03T00:00:00"/>
    <d v="1899-12-30T09:00:00"/>
    <d v="2025-09-02T00:00:00"/>
    <d v="1899-12-30T21:20:00"/>
    <n v="4"/>
    <n v="1"/>
    <n v="26"/>
  </r>
  <r>
    <x v="1"/>
    <s v="LD"/>
    <n v="1"/>
    <n v="60"/>
    <d v="2025-09-03T00:00:00"/>
    <d v="1899-12-30T09:00:00"/>
    <d v="2025-09-02T00:00:00"/>
    <d v="1899-12-30T22:20:00"/>
    <n v="-2"/>
    <n v="1"/>
    <n v="62"/>
  </r>
  <r>
    <x v="0"/>
    <s v=" LP"/>
    <n v="1"/>
    <n v="60"/>
    <d v="2025-09-03T00:00:00"/>
    <d v="1899-12-30T09:00:00"/>
    <d v="2025-09-02T00:00:00"/>
    <d v="1899-12-30T22:00:00"/>
    <n v="50"/>
    <n v="1"/>
    <n v="10"/>
  </r>
  <r>
    <x v="5"/>
    <s v="           LS"/>
    <n v="1"/>
    <n v="60"/>
    <d v="2025-09-03T00:00:00"/>
    <d v="1899-12-30T09:00:00"/>
    <d v="2025-09-02T00:00:00"/>
    <d v="1899-12-30T22:00:00"/>
    <n v="50"/>
    <n v="1"/>
    <n v="10"/>
  </r>
  <r>
    <x v="2"/>
    <s v="LE"/>
    <n v="1"/>
    <n v="60"/>
    <d v="2025-09-03T00:00:00"/>
    <d v="1899-12-30T09:00:00"/>
    <d v="2025-09-02T00:00:00"/>
    <d v="1899-12-30T22:00:00"/>
    <n v="50"/>
    <n v="1"/>
    <n v="10"/>
  </r>
  <r>
    <x v="3"/>
    <s v="           LA"/>
    <n v="1"/>
    <n v="60"/>
    <d v="2025-09-03T00:00:00"/>
    <d v="1899-12-30T09:00:00"/>
    <d v="2025-09-02T00:00:00"/>
    <d v="1899-12-30T22:00:00"/>
    <n v="50"/>
    <n v="1"/>
    <n v="10"/>
  </r>
  <r>
    <x v="4"/>
    <s v="           LC"/>
    <n v="1"/>
    <n v="60"/>
    <d v="2025-09-03T00:00:00"/>
    <d v="1899-12-30T09:00:00"/>
    <d v="2025-09-02T00:00:00"/>
    <d v="1899-12-30T22:00:00"/>
    <n v="50"/>
    <n v="1"/>
    <n v="10"/>
  </r>
  <r>
    <x v="1"/>
    <s v="           LD"/>
    <n v="1"/>
    <n v="60"/>
    <d v="2025-09-03T00:00:00"/>
    <d v="1899-12-30T09:00:00"/>
    <d v="2025-09-02T00:00:00"/>
    <d v="1899-12-30T22:00:00"/>
    <n v="50"/>
    <n v="1"/>
    <n v="10"/>
  </r>
  <r>
    <x v="2"/>
    <s v="LE"/>
    <n v="1"/>
    <n v="30"/>
    <d v="2025-09-03T00:00:00"/>
    <d v="1899-12-30T09:00:00"/>
    <d v="2025-09-02T00:00:00"/>
    <d v="1899-12-30T22:00:00"/>
    <n v="0"/>
    <n v="1"/>
    <n v="30"/>
  </r>
  <r>
    <x v="4"/>
    <s v="LC"/>
    <n v="1"/>
    <n v="30"/>
    <d v="2025-09-03T00:00:00"/>
    <d v="1899-12-30T09:00:00"/>
    <d v="2025-09-02T00:00:00"/>
    <d v="1899-12-30T22:00:00"/>
    <n v="0"/>
    <n v="1"/>
    <n v="30"/>
  </r>
  <r>
    <x v="4"/>
    <s v="LC"/>
    <n v="1"/>
    <n v="45"/>
    <d v="2025-09-03T00:00:00"/>
    <d v="1899-12-30T09:00:00"/>
    <d v="2025-09-02T00:00:00"/>
    <d v="1899-12-30T22:30:00"/>
    <n v="-35"/>
    <n v="1"/>
    <n v="80"/>
  </r>
  <r>
    <x v="2"/>
    <s v="LE"/>
    <n v="1"/>
    <n v="60"/>
    <d v="2025-09-03T00:00:00"/>
    <d v="1899-12-30T09:00:00"/>
    <d v="2025-09-02T00:00:00"/>
    <d v="1899-12-30T22:30:00"/>
    <n v="10"/>
    <n v="1"/>
    <n v="50"/>
  </r>
  <r>
    <x v="2"/>
    <s v="LE"/>
    <n v="1"/>
    <n v="55"/>
    <d v="2025-09-03T00:00:00"/>
    <d v="1899-12-30T09:00:00"/>
    <d v="2025-09-02T00:00:00"/>
    <d v="1899-12-30T22:30:00"/>
    <n v="0"/>
    <n v="1"/>
    <n v="55"/>
  </r>
  <r>
    <x v="4"/>
    <s v="LC"/>
    <n v="1"/>
    <n v="30"/>
    <d v="2025-09-03T00:00:00"/>
    <d v="1899-12-30T09:00:00"/>
    <d v="2025-09-02T00:00:00"/>
    <d v="1899-12-30T22:30:00"/>
    <n v="-2"/>
    <n v="1"/>
    <n v="32"/>
  </r>
  <r>
    <x v="5"/>
    <s v="LS"/>
    <n v="1"/>
    <n v="30"/>
    <d v="2025-09-03T00:00:00"/>
    <d v="1899-12-30T09:00:00"/>
    <d v="2025-09-02T00:00:00"/>
    <d v="1899-12-30T22:30:00"/>
    <n v="-2"/>
    <n v="1"/>
    <n v="32"/>
  </r>
  <r>
    <x v="0"/>
    <s v="LP"/>
    <n v="1"/>
    <n v="30"/>
    <d v="2025-09-03T00:00:00"/>
    <d v="1899-12-30T09:00:00"/>
    <d v="2025-09-02T00:00:00"/>
    <d v="1899-12-30T22:30:00"/>
    <n v="-2"/>
    <n v="1"/>
    <n v="32"/>
  </r>
  <r>
    <x v="2"/>
    <s v="LE"/>
    <n v="1"/>
    <n v="30"/>
    <d v="2025-09-03T00:00:00"/>
    <d v="1899-12-30T09:00:00"/>
    <d v="2025-09-02T00:00:00"/>
    <d v="1899-12-30T22:30:00"/>
    <n v="-2"/>
    <n v="1"/>
    <n v="32"/>
  </r>
  <r>
    <x v="3"/>
    <s v="LA"/>
    <n v="1"/>
    <n v="30"/>
    <d v="2025-09-03T00:00:00"/>
    <d v="1899-12-30T09:00:00"/>
    <d v="2025-09-02T00:00:00"/>
    <d v="1899-12-30T22:30:00"/>
    <n v="-2"/>
    <n v="1"/>
    <n v="32"/>
  </r>
  <r>
    <x v="1"/>
    <s v="LD"/>
    <n v="1"/>
    <n v="30"/>
    <d v="2025-09-03T00:00:00"/>
    <d v="1899-12-30T09:00:00"/>
    <d v="2025-09-02T00:00:00"/>
    <d v="1899-12-30T22:30:00"/>
    <n v="-2"/>
    <n v="1"/>
    <n v="32"/>
  </r>
  <r>
    <x v="2"/>
    <s v="LE"/>
    <n v="3"/>
    <n v="20"/>
    <d v="2025-09-03T00:00:00"/>
    <d v="1899-12-30T09:00:00"/>
    <d v="2025-09-03T00:00:00"/>
    <d v="1899-12-30T09:00:00"/>
    <n v="5"/>
    <n v="3"/>
    <n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s v="LE"/>
    <n v="1"/>
    <n v="30"/>
    <d v="2025-08-27T00:00:00"/>
    <d v="1899-12-30T09:00:00"/>
    <d v="2025-08-21T00:00:00"/>
    <d v="1899-12-30T19:30:00"/>
    <n v="5"/>
    <n v="1"/>
    <n v="25"/>
  </r>
  <r>
    <x v="1"/>
    <s v="LA"/>
    <n v="1"/>
    <n v="30"/>
    <d v="2025-08-27T00:00:00"/>
    <d v="1899-12-30T09:00:00"/>
    <d v="2025-08-21T00:00:00"/>
    <d v="1899-12-30T19:30:00"/>
    <n v="5"/>
    <n v="1"/>
    <n v="25"/>
  </r>
  <r>
    <x v="2"/>
    <s v="LP"/>
    <n v="1"/>
    <n v="30"/>
    <d v="2025-08-13T00:00:00"/>
    <d v="1899-12-30T09:00:00"/>
    <d v="2025-08-21T00:00:00"/>
    <d v="1899-12-30T20:00:00"/>
    <n v="0"/>
    <n v="1"/>
    <n v="30"/>
  </r>
  <r>
    <x v="1"/>
    <s v="LA"/>
    <n v="3"/>
    <n v="60"/>
    <d v="2025-08-27T00:00:00"/>
    <d v="1899-12-30T09:00:00"/>
    <d v="2025-08-21T00:00:00"/>
    <d v="1899-12-30T20:30:00"/>
    <n v="0"/>
    <n v="3"/>
    <n v="60"/>
  </r>
  <r>
    <x v="3"/>
    <s v="LE"/>
    <n v="3"/>
    <n v="60"/>
    <d v="2025-08-27T00:00:00"/>
    <d v="1899-12-30T09:00:00"/>
    <d v="2025-08-21T00:00:00"/>
    <d v="1899-12-30T20:30:00"/>
    <n v="0"/>
    <n v="3"/>
    <n v="60"/>
  </r>
  <r>
    <x v="3"/>
    <s v="LE"/>
    <n v="1"/>
    <n v="30"/>
    <d v="2025-08-27T00:00:00"/>
    <d v="1899-12-30T09:00:00"/>
    <d v="2025-08-21T00:00:00"/>
    <d v="1899-12-30T21:00:00"/>
    <n v="0"/>
    <n v="1"/>
    <n v="30"/>
  </r>
  <r>
    <x v="1"/>
    <s v="LA"/>
    <n v="1"/>
    <n v="30"/>
    <d v="2025-08-27T00:00:00"/>
    <d v="1899-12-30T09:00:00"/>
    <d v="2025-08-21T00:00:00"/>
    <d v="1899-12-30T21:00:00"/>
    <n v="0"/>
    <n v="1"/>
    <n v="30"/>
  </r>
  <r>
    <x v="3"/>
    <s v="LE"/>
    <n v="1"/>
    <n v="20"/>
    <d v="2025-08-27T00:00:00"/>
    <d v="1899-12-30T09:00:00"/>
    <d v="2025-08-21T00:00:00"/>
    <d v="1899-12-30T21:20:00"/>
    <n v="0"/>
    <n v="1"/>
    <n v="20"/>
  </r>
  <r>
    <x v="1"/>
    <s v="LA"/>
    <n v="1"/>
    <n v="20"/>
    <d v="2025-08-27T00:00:00"/>
    <d v="1899-12-30T09:00:00"/>
    <d v="2025-08-21T00:00:00"/>
    <d v="1899-12-30T21:20:00"/>
    <n v="0"/>
    <n v="1"/>
    <n v="20"/>
  </r>
  <r>
    <x v="3"/>
    <s v="LE"/>
    <n v="1"/>
    <n v="20"/>
    <d v="2025-08-27T00:00:00"/>
    <d v="1899-12-30T09:00:00"/>
    <d v="2025-08-21T00:00:00"/>
    <d v="1899-12-30T21:40:00"/>
    <n v="2"/>
    <n v="1"/>
    <n v="18"/>
  </r>
  <r>
    <x v="1"/>
    <s v="LA"/>
    <n v="1"/>
    <n v="20"/>
    <d v="2025-08-27T00:00:00"/>
    <d v="1899-12-30T09:00:00"/>
    <d v="2025-08-21T00:00:00"/>
    <d v="1899-12-30T21:40:00"/>
    <n v="2"/>
    <n v="1"/>
    <n v="18"/>
  </r>
  <r>
    <x v="3"/>
    <s v="LE"/>
    <n v="1"/>
    <n v="20"/>
    <d v="2025-08-27T00:00:00"/>
    <d v="1899-12-30T09:00:00"/>
    <d v="2025-08-21T00:00:00"/>
    <d v="1899-12-30T22:00:00"/>
    <n v="1"/>
    <n v="1"/>
    <n v="19"/>
  </r>
  <r>
    <x v="4"/>
    <s v="LA"/>
    <n v="1"/>
    <n v="20"/>
    <d v="2025-08-27T00:00:00"/>
    <d v="1899-12-30T09:00:00"/>
    <d v="2025-08-21T00:00:00"/>
    <d v="1899-12-30T22:00:00"/>
    <n v="1"/>
    <n v="1"/>
    <n v="19"/>
  </r>
  <r>
    <x v="3"/>
    <s v="LE"/>
    <n v="1"/>
    <n v="30"/>
    <d v="2025-08-27T00:00:00"/>
    <d v="1899-12-30T09:00:00"/>
    <d v="2025-08-21T00:00:00"/>
    <d v="1899-12-30T22:30:00"/>
    <n v="5"/>
    <n v="1"/>
    <n v="25"/>
  </r>
  <r>
    <x v="4"/>
    <s v="LA"/>
    <n v="1"/>
    <n v="30"/>
    <d v="2025-08-27T00:00:00"/>
    <d v="1899-12-30T09:00:00"/>
    <d v="2025-08-21T00:00:00"/>
    <d v="1899-12-30T22:30:00"/>
    <n v="5"/>
    <n v="1"/>
    <n v="25"/>
  </r>
  <r>
    <x v="2"/>
    <s v="LP"/>
    <n v="1"/>
    <n v="30"/>
    <d v="2025-08-27T00:00:00"/>
    <d v="1899-12-30T09:00:00"/>
    <d v="2025-08-21T00:00:00"/>
    <d v="1899-12-30T19:30:00"/>
    <n v="6"/>
    <n v="1"/>
    <n v="24"/>
  </r>
  <r>
    <x v="5"/>
    <s v="LD"/>
    <n v="1"/>
    <n v="30"/>
    <d v="2025-08-27T00:00:00"/>
    <d v="1899-12-30T09:00:00"/>
    <d v="2025-08-21T00:00:00"/>
    <d v="1899-12-30T19:30:00"/>
    <n v="6"/>
    <n v="1"/>
    <n v="24"/>
  </r>
  <r>
    <x v="2"/>
    <s v="LP"/>
    <n v="1"/>
    <n v="60"/>
    <d v="2025-08-27T00:00:00"/>
    <d v="1899-12-30T09:00:00"/>
    <d v="2025-08-21T00:00:00"/>
    <d v="1899-12-30T20:30:00"/>
    <n v="15"/>
    <n v="1"/>
    <n v="45"/>
  </r>
  <r>
    <x v="5"/>
    <s v="LD"/>
    <n v="1"/>
    <n v="60"/>
    <d v="2025-08-27T00:00:00"/>
    <d v="1899-12-30T09:00:00"/>
    <d v="2025-08-21T00:00:00"/>
    <d v="1899-12-30T20:30:00"/>
    <n v="15"/>
    <n v="1"/>
    <n v="45"/>
  </r>
  <r>
    <x v="2"/>
    <s v="LP"/>
    <n v="1"/>
    <n v="30"/>
    <d v="2025-08-27T00:00:00"/>
    <d v="1899-12-30T09:00:00"/>
    <d v="2025-08-21T00:00:00"/>
    <d v="1899-12-30T21:00:00"/>
    <n v="10"/>
    <n v="1"/>
    <n v="20"/>
  </r>
  <r>
    <x v="5"/>
    <s v="LD"/>
    <n v="1"/>
    <n v="30"/>
    <d v="2025-08-27T00:00:00"/>
    <d v="1899-12-30T09:00:00"/>
    <d v="2025-08-21T00:00:00"/>
    <d v="1899-12-30T21:00:00"/>
    <n v="10"/>
    <n v="1"/>
    <n v="20"/>
  </r>
  <r>
    <x v="5"/>
    <s v=" LD"/>
    <n v="1"/>
    <n v="30"/>
    <d v="2025-08-27T00:00:00"/>
    <d v="1899-12-30T09:00:00"/>
    <d v="2025-08-21T00:00:00"/>
    <d v="1899-12-30T21:30:00"/>
    <n v="0"/>
    <n v="1"/>
    <n v="30"/>
  </r>
  <r>
    <x v="2"/>
    <s v="LP"/>
    <n v="1"/>
    <n v="30"/>
    <d v="2025-08-27T00:00:00"/>
    <d v="1899-12-30T09:00:00"/>
    <d v="2025-08-21T00:00:00"/>
    <d v="1899-12-30T21:30:00"/>
    <n v="0"/>
    <n v="1"/>
    <n v="30"/>
  </r>
  <r>
    <x v="2"/>
    <s v="LP"/>
    <n v="1"/>
    <n v="30"/>
    <d v="2025-08-27T00:00:00"/>
    <d v="1899-12-30T09:00:00"/>
    <d v="2025-08-21T00:00:00"/>
    <d v="1899-12-30T22:00:00"/>
    <n v="-2"/>
    <n v="1"/>
    <n v="32"/>
  </r>
  <r>
    <x v="5"/>
    <s v="LD"/>
    <n v="1"/>
    <n v="30"/>
    <d v="2025-08-27T00:00:00"/>
    <d v="1899-12-30T09:00:00"/>
    <d v="2025-08-21T00:00:00"/>
    <d v="1899-12-30T22:00:00"/>
    <n v="-2"/>
    <n v="1"/>
    <n v="32"/>
  </r>
  <r>
    <x v="6"/>
    <s v="LC"/>
    <n v="1"/>
    <n v="20"/>
    <d v="2025-08-27T00:00:00"/>
    <d v="1899-12-30T09:00:00"/>
    <d v="2025-08-21T00:00:00"/>
    <d v="1899-12-30T19:20:00"/>
    <n v="0"/>
    <n v="1"/>
    <n v="20"/>
  </r>
  <r>
    <x v="7"/>
    <s v="LS"/>
    <n v="1"/>
    <n v="20"/>
    <d v="2025-08-27T00:00:00"/>
    <d v="1899-12-30T09:00:00"/>
    <d v="2025-08-21T00:00:00"/>
    <d v="1899-12-30T19:20:00"/>
    <n v="0"/>
    <n v="1"/>
    <n v="20"/>
  </r>
  <r>
    <x v="6"/>
    <s v="LC"/>
    <n v="1"/>
    <n v="20"/>
    <d v="2025-08-27T00:00:00"/>
    <d v="1899-12-30T09:00:00"/>
    <d v="2025-08-21T00:00:00"/>
    <d v="1899-12-30T19:40:00"/>
    <n v="0"/>
    <n v="1"/>
    <n v="20"/>
  </r>
  <r>
    <x v="7"/>
    <s v="LS"/>
    <n v="1"/>
    <n v="20"/>
    <d v="2025-08-27T00:00:00"/>
    <d v="1899-12-30T09:00:00"/>
    <d v="2025-08-21T00:00:00"/>
    <d v="1899-12-30T19:40:00"/>
    <n v="0"/>
    <n v="1"/>
    <n v="20"/>
  </r>
  <r>
    <x v="6"/>
    <s v="LC"/>
    <n v="1"/>
    <n v="20"/>
    <d v="2025-08-27T00:00:00"/>
    <d v="1899-12-30T09:00:00"/>
    <d v="2025-08-21T00:00:00"/>
    <d v="1899-12-30T20:00:00"/>
    <n v="0"/>
    <n v="4"/>
    <n v="20"/>
  </r>
  <r>
    <x v="7"/>
    <s v="LS"/>
    <n v="1"/>
    <n v="20"/>
    <d v="2025-08-27T00:00:00"/>
    <d v="1899-12-30T09:00:00"/>
    <d v="2025-08-21T00:00:00"/>
    <d v="1899-12-30T20:00:00"/>
    <n v="0"/>
    <n v="1"/>
    <n v="20"/>
  </r>
  <r>
    <x v="6"/>
    <s v="LC"/>
    <n v="1"/>
    <n v="20"/>
    <d v="2025-08-27T00:00:00"/>
    <d v="1899-12-30T09:00:00"/>
    <d v="2025-08-21T00:00:00"/>
    <d v="1899-12-30T20:20:00"/>
    <n v="2"/>
    <n v="1"/>
    <n v="18"/>
  </r>
  <r>
    <x v="7"/>
    <s v="LS"/>
    <n v="1"/>
    <n v="20"/>
    <d v="2025-08-27T00:00:00"/>
    <d v="1899-12-30T09:00:00"/>
    <d v="2025-08-21T00:00:00"/>
    <d v="1899-12-30T20:20:00"/>
    <n v="2"/>
    <n v="1"/>
    <n v="18"/>
  </r>
  <r>
    <x v="6"/>
    <s v="LC"/>
    <n v="1"/>
    <n v="20"/>
    <d v="2025-08-27T00:00:00"/>
    <d v="1899-12-30T09:00:00"/>
    <d v="2025-08-21T00:00:00"/>
    <d v="1899-12-30T20:40:00"/>
    <n v="0"/>
    <n v="1"/>
    <n v="20"/>
  </r>
  <r>
    <x v="8"/>
    <s v="LS"/>
    <n v="1"/>
    <n v="20"/>
    <d v="2025-08-27T00:00:00"/>
    <d v="1899-12-30T09:00:00"/>
    <d v="2025-08-21T00:00:00"/>
    <d v="1899-12-30T20:40:00"/>
    <n v="0"/>
    <n v="1"/>
    <n v="20"/>
  </r>
  <r>
    <x v="6"/>
    <s v="LC"/>
    <n v="1"/>
    <n v="20"/>
    <d v="2025-08-27T00:00:00"/>
    <d v="1899-12-30T09:00:00"/>
    <d v="2025-08-21T00:00:00"/>
    <d v="1899-12-30T21:00:00"/>
    <n v="-1"/>
    <n v="1"/>
    <n v="21"/>
  </r>
  <r>
    <x v="7"/>
    <s v="LS"/>
    <n v="1"/>
    <n v="20"/>
    <d v="2025-08-27T00:00:00"/>
    <d v="1899-12-30T09:00:00"/>
    <d v="2025-08-21T00:00:00"/>
    <d v="1899-12-30T21:00:00"/>
    <n v="-1"/>
    <n v="1"/>
    <n v="21"/>
  </r>
  <r>
    <x v="6"/>
    <s v="LC"/>
    <n v="1"/>
    <n v="30"/>
    <d v="2025-08-27T00:00:00"/>
    <d v="1899-12-30T09:00:00"/>
    <d v="2025-08-21T00:00:00"/>
    <d v="1899-12-30T21:30:00"/>
    <n v="5"/>
    <n v="1"/>
    <n v="25"/>
  </r>
  <r>
    <x v="7"/>
    <s v="LS"/>
    <n v="1"/>
    <n v="30"/>
    <d v="2025-08-27T00:00:00"/>
    <d v="1899-12-30T09:00:00"/>
    <d v="2025-08-21T00:00:00"/>
    <d v="1899-12-30T21:30:00"/>
    <n v="5"/>
    <n v="1"/>
    <n v="25"/>
  </r>
  <r>
    <x v="6"/>
    <s v="LC"/>
    <n v="1"/>
    <n v="30"/>
    <d v="2025-08-27T00:00:00"/>
    <d v="1899-12-30T09:00:00"/>
    <d v="2025-08-21T00:00:00"/>
    <d v="1899-12-30T22:00:00"/>
    <n v="10"/>
    <n v="1"/>
    <n v="20"/>
  </r>
  <r>
    <x v="7"/>
    <s v="LS"/>
    <n v="1"/>
    <n v="30"/>
    <d v="2025-08-27T00:00:00"/>
    <d v="1899-12-30T09:00:00"/>
    <d v="2025-08-21T00:00:00"/>
    <d v="1899-12-30T22:00:00"/>
    <n v="10"/>
    <n v="1"/>
    <n v="20"/>
  </r>
  <r>
    <x v="2"/>
    <s v="           LP"/>
    <n v="1"/>
    <n v="60"/>
    <d v="2025-08-27T00:00:00"/>
    <d v="1899-12-30T09:00:00"/>
    <d v="2025-08-21T00:00:00"/>
    <d v="1899-12-30T22:00:00"/>
    <n v="50"/>
    <n v="1"/>
    <n v="10"/>
  </r>
  <r>
    <x v="7"/>
    <s v="           LS"/>
    <n v="1"/>
    <n v="60"/>
    <d v="2025-08-27T00:00:00"/>
    <d v="1899-12-30T09:00:00"/>
    <d v="2025-08-21T00:00:00"/>
    <d v="1899-12-30T22:00:00"/>
    <n v="50"/>
    <n v="2"/>
    <n v="10"/>
  </r>
  <r>
    <x v="3"/>
    <s v="           LE"/>
    <n v="1"/>
    <n v="60"/>
    <d v="2025-08-27T00:00:00"/>
    <d v="1899-12-30T09:00:00"/>
    <d v="2025-08-21T00:00:00"/>
    <d v="1899-12-30T22:00:00"/>
    <n v="50"/>
    <n v="1"/>
    <n v="10"/>
  </r>
  <r>
    <x v="4"/>
    <s v="           LA"/>
    <n v="1"/>
    <n v="60"/>
    <d v="2025-08-27T00:00:00"/>
    <d v="1899-12-30T09:00:00"/>
    <d v="2025-08-21T00:00:00"/>
    <d v="1899-12-30T22:00:00"/>
    <n v="50"/>
    <n v="1"/>
    <n v="10"/>
  </r>
  <r>
    <x v="6"/>
    <s v="           LC"/>
    <n v="1"/>
    <n v="60"/>
    <d v="2025-08-13T00:00:00"/>
    <d v="1899-12-30T09:00:00"/>
    <d v="2025-08-21T00:00:00"/>
    <d v="1899-12-30T22:00:00"/>
    <n v="50"/>
    <n v="1"/>
    <n v="10"/>
  </r>
  <r>
    <x v="5"/>
    <s v="           LD"/>
    <n v="1"/>
    <n v="60"/>
    <d v="2025-08-27T00:00:00"/>
    <d v="1899-12-30T09:00:00"/>
    <d v="2025-08-21T00:00:00"/>
    <d v="1899-12-30T22:00:00"/>
    <n v="50"/>
    <n v="1"/>
    <n v="10"/>
  </r>
  <r>
    <x v="3"/>
    <s v="LE"/>
    <n v="1"/>
    <n v="30"/>
    <d v="2025-08-27T00:00:00"/>
    <d v="1899-12-30T09:00:00"/>
    <d v="2025-08-21T00:00:00"/>
    <d v="1899-12-30T22:00:00"/>
    <n v="0"/>
    <n v="1"/>
    <n v="30"/>
  </r>
  <r>
    <x v="6"/>
    <s v="LC"/>
    <n v="1"/>
    <n v="30"/>
    <d v="2025-08-27T00:00:00"/>
    <d v="1899-12-30T09:00:00"/>
    <d v="2025-08-21T00:00:00"/>
    <d v="1899-12-30T22:00:00"/>
    <n v="0"/>
    <n v="1"/>
    <n v="30"/>
  </r>
  <r>
    <x v="6"/>
    <s v="           LC"/>
    <n v="1"/>
    <n v="45"/>
    <d v="2025-08-27T00:00:00"/>
    <d v="1899-12-30T09:00:00"/>
    <d v="2025-08-21T00:00:00"/>
    <d v="1899-12-30T22:30:00"/>
    <n v="-35"/>
    <n v="1"/>
    <n v="80"/>
  </r>
  <r>
    <x v="3"/>
    <s v="           LE"/>
    <n v="1"/>
    <n v="60"/>
    <d v="2025-08-27T00:00:00"/>
    <d v="1899-12-30T09:00:00"/>
    <d v="2025-08-21T00:00:00"/>
    <d v="1899-12-30T22:30:00"/>
    <n v="10"/>
    <n v="1"/>
    <n v="50"/>
  </r>
  <r>
    <x v="3"/>
    <s v="           LE"/>
    <n v="1"/>
    <n v="55"/>
    <d v="2025-08-27T00:00:00"/>
    <d v="1899-12-30T09:00:00"/>
    <d v="2025-08-21T00:00:00"/>
    <d v="1899-12-30T22:30:00"/>
    <n v="0"/>
    <n v="1"/>
    <n v="55"/>
  </r>
  <r>
    <x v="6"/>
    <s v="LC"/>
    <n v="1"/>
    <n v="30"/>
    <d v="2025-08-27T00:00:00"/>
    <d v="1899-12-30T09:00:00"/>
    <d v="2025-08-25T00:00:00"/>
    <d v="1899-12-30T22:30:00"/>
    <n v="-2"/>
    <n v="1"/>
    <n v="32"/>
  </r>
  <r>
    <x v="7"/>
    <s v="LS"/>
    <n v="1"/>
    <n v="30"/>
    <d v="2025-08-27T00:00:00"/>
    <d v="1899-12-30T09:00:00"/>
    <d v="2025-08-25T00:00:00"/>
    <d v="1899-12-30T22:30:00"/>
    <n v="-2"/>
    <n v="1"/>
    <n v="32"/>
  </r>
  <r>
    <x v="2"/>
    <s v="LP"/>
    <n v="1"/>
    <n v="30"/>
    <d v="2025-08-27T00:00:00"/>
    <d v="1899-12-30T09:00:00"/>
    <d v="2025-08-25T00:00:00"/>
    <d v="1899-12-30T22:30:00"/>
    <n v="-2"/>
    <n v="1"/>
    <n v="32"/>
  </r>
  <r>
    <x v="3"/>
    <s v="LE"/>
    <n v="1"/>
    <n v="30"/>
    <d v="2025-08-27T00:00:00"/>
    <d v="1899-12-30T09:00:00"/>
    <d v="2025-08-25T00:00:00"/>
    <d v="1899-12-30T22:30:00"/>
    <n v="-2"/>
    <n v="1"/>
    <n v="32"/>
  </r>
  <r>
    <x v="4"/>
    <s v="LA"/>
    <n v="1"/>
    <n v="30"/>
    <d v="2025-08-27T00:00:00"/>
    <d v="1899-12-30T09:00:00"/>
    <d v="2025-08-25T00:00:00"/>
    <d v="1899-12-30T22:30:00"/>
    <n v="-2"/>
    <n v="1"/>
    <n v="32"/>
  </r>
  <r>
    <x v="5"/>
    <s v="LD"/>
    <n v="1"/>
    <n v="30"/>
    <d v="2025-08-27T00:00:00"/>
    <d v="1899-12-30T09:00:00"/>
    <d v="2025-08-25T00:00:00"/>
    <d v="1899-12-30T22:30:00"/>
    <n v="-2"/>
    <n v="1"/>
    <n v="32"/>
  </r>
  <r>
    <x v="3"/>
    <s v="LE"/>
    <n v="3"/>
    <n v="20"/>
    <d v="2025-08-27T00:00:00"/>
    <d v="1899-12-30T09:00:00"/>
    <d v="2025-08-26T00:00:00"/>
    <d v="1899-12-30T14:00:00"/>
    <n v="5"/>
    <n v="3"/>
    <n v="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s v="LE"/>
    <n v="1"/>
    <n v="45"/>
    <d v="2025-08-13T00:00:00"/>
    <d v="1899-12-30T09:00:00"/>
    <d v="2025-08-08T00:00:00"/>
    <d v="1899-12-30T10:30:00"/>
    <n v="-15"/>
    <n v="1"/>
    <n v="60"/>
  </r>
  <r>
    <x v="0"/>
    <s v="LE"/>
    <n v="1"/>
    <n v="60"/>
    <d v="2025-08-13T00:00:00"/>
    <d v="1899-12-30T09:00:00"/>
    <d v="2025-08-08T00:00:00"/>
    <d v="1899-12-30T10:30:00"/>
    <n v="0"/>
    <n v="1"/>
    <n v="60"/>
  </r>
  <r>
    <x v="1"/>
    <s v="LP"/>
    <n v="1"/>
    <n v="60"/>
    <d v="2025-08-13T00:00:00"/>
    <d v="1899-12-30T09:00:00"/>
    <d v="2025-08-08T00:00:00"/>
    <d v="1899-12-30T10:30:00"/>
    <n v="0"/>
    <n v="1"/>
    <n v="60"/>
  </r>
  <r>
    <x v="2"/>
    <s v="LA"/>
    <n v="1"/>
    <n v="60"/>
    <d v="2025-08-13T00:00:00"/>
    <d v="1899-12-30T09:00:00"/>
    <d v="2025-08-08T00:00:00"/>
    <d v="1899-12-30T10:30:00"/>
    <n v="0"/>
    <n v="1"/>
    <n v="60"/>
  </r>
  <r>
    <x v="3"/>
    <s v="LC"/>
    <n v="1"/>
    <n v="60"/>
    <d v="2025-08-13T00:00:00"/>
    <d v="1899-12-30T09:00:00"/>
    <d v="2025-08-08T00:00:00"/>
    <d v="1899-12-30T10:30:00"/>
    <n v="0"/>
    <n v="1"/>
    <n v="60"/>
  </r>
  <r>
    <x v="4"/>
    <s v="LS"/>
    <n v="1"/>
    <n v="60"/>
    <d v="2025-08-13T00:00:00"/>
    <d v="1899-12-30T09:00:00"/>
    <d v="2025-08-08T00:00:00"/>
    <d v="1899-12-30T10:30:00"/>
    <n v="0"/>
    <n v="1"/>
    <n v="60"/>
  </r>
  <r>
    <x v="5"/>
    <s v="LD"/>
    <n v="1"/>
    <n v="60"/>
    <d v="2025-08-13T00:00:00"/>
    <d v="1899-12-30T09:00:00"/>
    <d v="2025-08-08T00:00:00"/>
    <d v="1899-12-30T10:30:00"/>
    <n v="0"/>
    <n v="1"/>
    <n v="60"/>
  </r>
  <r>
    <x v="6"/>
    <s v="            LE"/>
    <n v="1"/>
    <n v="50"/>
    <d v="2025-08-13T00:00:00"/>
    <d v="1899-12-30T09:00:00"/>
    <d v="2025-08-08T00:00:00"/>
    <d v="1899-12-30T11:00:00"/>
    <n v="-10"/>
    <n v="1"/>
    <n v="60"/>
  </r>
  <r>
    <x v="7"/>
    <s v="LP"/>
    <n v="1"/>
    <n v="50"/>
    <d v="2025-08-13T00:00:00"/>
    <d v="1899-12-30T09:00:00"/>
    <d v="2025-08-08T00:00:00"/>
    <d v="1899-12-30T11:00:00"/>
    <n v="-10"/>
    <n v="1"/>
    <n v="60"/>
  </r>
  <r>
    <x v="8"/>
    <s v="LA"/>
    <n v="1"/>
    <n v="50"/>
    <d v="2025-08-13T00:00:00"/>
    <d v="1899-12-30T09:00:00"/>
    <d v="2025-08-08T00:00:00"/>
    <d v="1899-12-30T11:00:00"/>
    <n v="-10"/>
    <n v="1"/>
    <n v="60"/>
  </r>
  <r>
    <x v="9"/>
    <s v="LC"/>
    <n v="1"/>
    <n v="50"/>
    <d v="2025-08-13T00:00:00"/>
    <d v="1899-12-30T09:00:00"/>
    <d v="2025-08-08T00:00:00"/>
    <d v="1899-12-30T11:00:00"/>
    <n v="-10"/>
    <n v="1"/>
    <n v="60"/>
  </r>
  <r>
    <x v="10"/>
    <s v="LD"/>
    <n v="1"/>
    <n v="50"/>
    <d v="2025-08-13T00:00:00"/>
    <d v="1899-12-30T09:00:00"/>
    <d v="2025-08-08T00:00:00"/>
    <d v="1899-12-30T11:00:00"/>
    <n v="-10"/>
    <n v="1"/>
    <n v="60"/>
  </r>
  <r>
    <x v="4"/>
    <s v="LS"/>
    <n v="1"/>
    <n v="50"/>
    <d v="2025-08-13T00:00:00"/>
    <d v="1899-12-30T09:00:00"/>
    <d v="2025-08-08T00:00:00"/>
    <d v="1899-12-30T11:00:00"/>
    <n v="-10"/>
    <n v="1"/>
    <n v="60"/>
  </r>
  <r>
    <x v="0"/>
    <s v="LE"/>
    <n v="1"/>
    <n v="70"/>
    <d v="2025-08-13T00:00:00"/>
    <d v="1899-12-30T09:00:00"/>
    <d v="2025-08-08T00:00:00"/>
    <d v="1899-12-30T12:00:00"/>
    <n v="10"/>
    <n v="1"/>
    <n v="60"/>
  </r>
  <r>
    <x v="7"/>
    <s v="LP"/>
    <n v="1"/>
    <n v="70"/>
    <d v="2025-08-13T00:00:00"/>
    <d v="1899-12-30T09:00:00"/>
    <d v="2025-08-08T00:00:00"/>
    <d v="1899-12-30T12:00:00"/>
    <n v="10"/>
    <n v="1"/>
    <n v="60"/>
  </r>
  <r>
    <x v="8"/>
    <s v="LA"/>
    <n v="1"/>
    <n v="70"/>
    <d v="2025-08-13T00:00:00"/>
    <d v="1899-12-30T09:00:00"/>
    <d v="2025-08-08T00:00:00"/>
    <d v="1899-12-30T12:00:00"/>
    <n v="10"/>
    <n v="1"/>
    <n v="60"/>
  </r>
  <r>
    <x v="9"/>
    <s v="LC"/>
    <n v="1"/>
    <n v="70"/>
    <d v="2025-08-13T00:00:00"/>
    <d v="1899-12-30T09:00:00"/>
    <d v="2025-08-08T00:00:00"/>
    <d v="1899-12-30T12:00:00"/>
    <n v="10"/>
    <n v="1"/>
    <n v="60"/>
  </r>
  <r>
    <x v="10"/>
    <s v="LD"/>
    <n v="1"/>
    <n v="70"/>
    <d v="2025-08-13T00:00:00"/>
    <d v="1899-12-30T09:00:00"/>
    <d v="2025-08-08T00:00:00"/>
    <d v="1899-12-30T12:00:00"/>
    <n v="10"/>
    <n v="1"/>
    <n v="60"/>
  </r>
  <r>
    <x v="4"/>
    <s v="LS"/>
    <n v="1"/>
    <n v="70"/>
    <d v="2025-08-13T00:00:00"/>
    <d v="1899-12-30T09:00:00"/>
    <d v="2025-08-08T00:00:00"/>
    <d v="1899-12-30T12:00:00"/>
    <n v="10"/>
    <n v="1"/>
    <n v="60"/>
  </r>
  <r>
    <x v="0"/>
    <s v="LE"/>
    <n v="1"/>
    <n v="30"/>
    <d v="2025-08-13T00:00:00"/>
    <d v="1899-12-30T09:00:00"/>
    <d v="2025-08-08T00:00:00"/>
    <d v="1899-12-30T01:00:00"/>
    <n v="0"/>
    <n v="1"/>
    <n v="30"/>
  </r>
  <r>
    <x v="9"/>
    <s v="LC"/>
    <n v="1"/>
    <n v="30"/>
    <d v="2025-08-13T00:00:00"/>
    <d v="1899-12-30T09:00:00"/>
    <d v="2025-08-08T00:00:00"/>
    <d v="1899-12-30T01:00:00"/>
    <n v="0"/>
    <n v="1"/>
    <n v="30"/>
  </r>
  <r>
    <x v="7"/>
    <s v="LP"/>
    <n v="1"/>
    <n v="30"/>
    <d v="2025-08-13T00:00:00"/>
    <d v="1899-12-30T09:00:00"/>
    <d v="2025-08-08T00:00:00"/>
    <d v="1899-12-30T01:00:00"/>
    <n v="0"/>
    <n v="1"/>
    <n v="30"/>
  </r>
  <r>
    <x v="11"/>
    <s v="            LE"/>
    <n v="1"/>
    <n v="120"/>
    <d v="2025-08-13T00:00:00"/>
    <d v="1899-12-30T09:00:00"/>
    <d v="2025-08-10T00:00:00"/>
    <d v="1899-12-30T22:00:00"/>
    <n v="60"/>
    <n v="1"/>
    <n v="60"/>
  </r>
  <r>
    <x v="12"/>
    <s v="            LD"/>
    <n v="1"/>
    <n v="120"/>
    <d v="2025-08-13T00:00:00"/>
    <d v="1899-12-30T09:00:00"/>
    <d v="2025-08-10T00:00:00"/>
    <d v="1899-12-30T22:00:00"/>
    <n v="60"/>
    <n v="1"/>
    <n v="60"/>
  </r>
  <r>
    <x v="13"/>
    <s v="            LP"/>
    <n v="1"/>
    <n v="30"/>
    <d v="2025-08-13T00:00:00"/>
    <d v="1899-12-30T09:00:00"/>
    <d v="2025-08-10T00:00:00"/>
    <d v="1899-12-30T22:00:00"/>
    <n v="-30"/>
    <n v="1"/>
    <n v="60"/>
  </r>
  <r>
    <x v="14"/>
    <s v="            LA"/>
    <n v="1"/>
    <n v="30"/>
    <d v="2025-08-13T00:00:00"/>
    <d v="1899-12-30T09:00:00"/>
    <d v="2025-08-10T00:00:00"/>
    <d v="1899-12-30T21:00:00"/>
    <n v="-30"/>
    <n v="1"/>
    <n v="60"/>
  </r>
  <r>
    <x v="15"/>
    <s v="            LS"/>
    <n v="1"/>
    <n v="30"/>
    <d v="2025-08-13T00:00:00"/>
    <d v="1899-12-30T09:00:00"/>
    <d v="2025-08-10T00:00:00"/>
    <d v="1899-12-30T22:00:00"/>
    <n v="-90"/>
    <n v="1"/>
    <n v="120"/>
  </r>
  <r>
    <x v="16"/>
    <s v="            LC"/>
    <n v="1"/>
    <n v="30"/>
    <d v="2025-08-13T00:00:00"/>
    <d v="1899-12-30T09:00:00"/>
    <d v="2025-08-10T00:00:00"/>
    <d v="1899-12-30T11:10:00"/>
    <n v="5"/>
    <n v="1"/>
    <n v="25"/>
  </r>
  <r>
    <x v="17"/>
    <s v="            LC"/>
    <n v="1"/>
    <n v="70"/>
    <d v="2025-08-13T00:00:00"/>
    <d v="1899-12-30T09:00:00"/>
    <d v="2025-08-11T00:00:00"/>
    <d v="1899-12-30T20:00:00"/>
    <n v="-50"/>
    <n v="1"/>
    <n v="120"/>
  </r>
  <r>
    <x v="4"/>
    <s v="           LS"/>
    <n v="1"/>
    <n v="50"/>
    <d v="2025-08-13T00:00:00"/>
    <d v="1899-12-30T09:00:00"/>
    <d v="2025-08-11T00:00:00"/>
    <d v="1899-12-30T22:00:00"/>
    <n v="-70"/>
    <n v="1"/>
    <n v="120"/>
  </r>
  <r>
    <x v="9"/>
    <s v="           LC"/>
    <n v="1"/>
    <n v="45"/>
    <d v="2025-08-13T00:00:00"/>
    <d v="1899-12-30T09:00:00"/>
    <d v="2025-08-11T00:00:00"/>
    <d v="1899-12-30T22:30:00"/>
    <n v="-35"/>
    <n v="1"/>
    <n v="80"/>
  </r>
  <r>
    <x v="7"/>
    <s v="           LP"/>
    <n v="1"/>
    <n v="50"/>
    <d v="2025-08-13T00:00:00"/>
    <d v="1899-12-30T09:00:00"/>
    <d v="2025-08-11T00:00:00"/>
    <d v="1899-12-30T23:00:00"/>
    <n v="-4"/>
    <n v="1"/>
    <n v="54"/>
  </r>
  <r>
    <x v="0"/>
    <s v="           LE"/>
    <n v="1"/>
    <n v="60"/>
    <d v="2025-08-13T00:00:00"/>
    <d v="1899-12-30T09:00:00"/>
    <d v="2025-08-11T00:00:00"/>
    <d v="1899-12-30T23:00:00"/>
    <n v="10"/>
    <n v="1"/>
    <n v="50"/>
  </r>
  <r>
    <x v="0"/>
    <s v="           LE"/>
    <n v="1"/>
    <n v="55"/>
    <d v="2025-08-13T00:00:00"/>
    <d v="1899-12-30T09:00:00"/>
    <d v="2025-08-11T00:00:00"/>
    <d v="1899-12-30T23:00:00"/>
    <n v="0"/>
    <n v="1"/>
    <n v="55"/>
  </r>
  <r>
    <x v="7"/>
    <s v="           LP"/>
    <n v="1"/>
    <n v="60"/>
    <d v="2025-08-13T00:00:00"/>
    <d v="1899-12-30T09:00:00"/>
    <d v="2025-08-11T00:00:00"/>
    <d v="1899-12-30T21:00:00"/>
    <n v="-6"/>
    <n v="1"/>
    <n v="66"/>
  </r>
  <r>
    <x v="0"/>
    <s v="           LE"/>
    <n v="1"/>
    <n v="60"/>
    <d v="2025-08-13T00:00:00"/>
    <d v="1899-12-30T09:00:00"/>
    <d v="2025-08-11T00:00:00"/>
    <d v="1899-12-30T21:00:00"/>
    <n v="-6"/>
    <n v="1"/>
    <n v="66"/>
  </r>
  <r>
    <x v="10"/>
    <s v="           LD"/>
    <n v="1"/>
    <n v="60"/>
    <d v="2025-08-13T00:00:00"/>
    <d v="1899-12-30T09:00:00"/>
    <d v="2025-08-11T00:00:00"/>
    <d v="1899-12-30T21:00:00"/>
    <n v="-6"/>
    <n v="1"/>
    <n v="66"/>
  </r>
  <r>
    <x v="2"/>
    <s v="           LA"/>
    <n v="1"/>
    <n v="60"/>
    <d v="2025-08-13T00:00:00"/>
    <d v="1899-12-30T09:00:00"/>
    <d v="2025-08-11T00:00:00"/>
    <d v="1899-12-30T21:00:00"/>
    <n v="-6"/>
    <n v="1"/>
    <n v="66"/>
  </r>
  <r>
    <x v="4"/>
    <s v="           LS"/>
    <n v="1"/>
    <n v="60"/>
    <d v="2025-08-13T00:00:00"/>
    <d v="1899-12-30T09:00:00"/>
    <d v="2025-08-11T00:00:00"/>
    <d v="1899-12-30T21:00:00"/>
    <n v="-6"/>
    <n v="1"/>
    <n v="66"/>
  </r>
  <r>
    <x v="9"/>
    <s v="           LC"/>
    <n v="1"/>
    <n v="60"/>
    <d v="2025-08-13T00:00:00"/>
    <d v="1899-12-30T09:00:00"/>
    <d v="2025-08-11T00:00:00"/>
    <d v="1899-12-30T21:00:00"/>
    <n v="-6"/>
    <n v="1"/>
    <n v="66"/>
  </r>
  <r>
    <x v="7"/>
    <s v="           LP"/>
    <n v="1"/>
    <n v="30"/>
    <d v="2025-08-13T00:00:00"/>
    <d v="1899-12-30T09:00:00"/>
    <d v="2025-08-11T00:00:00"/>
    <d v="1899-12-30T23:00:00"/>
    <n v="5"/>
    <n v="1"/>
    <n v="25"/>
  </r>
  <r>
    <x v="4"/>
    <s v="           LS"/>
    <n v="1"/>
    <n v="20"/>
    <d v="2025-08-13T00:00:00"/>
    <d v="1899-12-30T09:00:00"/>
    <d v="2025-08-11T00:00:00"/>
    <d v="1899-12-30T23:00:00"/>
    <n v="0"/>
    <n v="1"/>
    <n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x v="0"/>
    <n v="1"/>
    <n v="30"/>
    <d v="2025-09-09T00:00:00"/>
    <d v="1899-12-30T09:00:00"/>
    <d v="2025-09-05T00:00:00"/>
    <d v="1899-12-30T11:00:00"/>
    <n v="0"/>
    <n v="1"/>
    <n v="30"/>
  </r>
  <r>
    <x v="1"/>
    <x v="1"/>
    <n v="1"/>
    <n v="30"/>
    <d v="2025-09-09T00:00:00"/>
    <d v="1899-12-30T09:00:00"/>
    <d v="2025-09-05T00:00:00"/>
    <d v="1899-12-30T19:00:00"/>
    <n v="0"/>
    <n v="1"/>
    <n v="30"/>
  </r>
  <r>
    <x v="1"/>
    <x v="1"/>
    <n v="2"/>
    <n v="30"/>
    <d v="2025-09-09T00:00:00"/>
    <d v="1899-12-30T09:00:00"/>
    <d v="2025-09-07T00:00:00"/>
    <d v="1899-12-30T12:30:00"/>
    <n v="0"/>
    <n v="2"/>
    <n v="30"/>
  </r>
  <r>
    <x v="2"/>
    <x v="2"/>
    <n v="2"/>
    <n v="30"/>
    <d v="2025-09-09T00:00:00"/>
    <d v="1899-12-30T09:00:00"/>
    <d v="2025-09-07T00:00:00"/>
    <d v="1899-12-30T13:00:00"/>
    <n v="0"/>
    <n v="2"/>
    <n v="30"/>
  </r>
  <r>
    <x v="1"/>
    <x v="1"/>
    <n v="1"/>
    <n v="30"/>
    <d v="2025-09-09T00:00:00"/>
    <d v="1899-12-30T09:00:00"/>
    <d v="2025-09-07T00:00:00"/>
    <d v="1899-12-30T13:30:00"/>
    <n v="0"/>
    <n v="1"/>
    <n v="30"/>
  </r>
  <r>
    <x v="2"/>
    <x v="2"/>
    <n v="1"/>
    <n v="30"/>
    <d v="2025-09-09T00:00:00"/>
    <d v="1899-12-30T09:00:00"/>
    <d v="2025-09-07T00:00:00"/>
    <d v="1899-12-30T14:00:00"/>
    <n v="0"/>
    <n v="2"/>
    <n v="30"/>
  </r>
  <r>
    <x v="1"/>
    <x v="1"/>
    <n v="2"/>
    <n v="30"/>
    <d v="2025-09-09T00:00:00"/>
    <d v="1899-12-30T09:00:00"/>
    <d v="2025-09-07T00:00:00"/>
    <d v="1899-12-30T14:00:00"/>
    <n v="0"/>
    <n v="2"/>
    <n v="30"/>
  </r>
  <r>
    <x v="2"/>
    <x v="2"/>
    <n v="2"/>
    <n v="30"/>
    <d v="2025-09-09T00:00:00"/>
    <d v="1899-12-30T09:00:00"/>
    <d v="2025-09-07T00:00:00"/>
    <d v="1899-12-30T14:00:00"/>
    <n v="0"/>
    <n v="2"/>
    <n v="30"/>
  </r>
  <r>
    <x v="1"/>
    <x v="1"/>
    <n v="2"/>
    <n v="30"/>
    <d v="2025-09-09T00:00:00"/>
    <d v="1899-12-30T09:00:00"/>
    <d v="2025-09-07T00:00:00"/>
    <d v="1899-12-30T14:00:00"/>
    <n v="0"/>
    <n v="1"/>
    <n v="30"/>
  </r>
  <r>
    <x v="2"/>
    <x v="2"/>
    <n v="2"/>
    <n v="30"/>
    <d v="2025-09-09T00:00:00"/>
    <d v="1899-12-30T09:00:00"/>
    <d v="2025-09-07T00:00:00"/>
    <d v="1899-12-30T14:00:00"/>
    <n v="0"/>
    <n v="1"/>
    <n v="30"/>
  </r>
  <r>
    <x v="1"/>
    <x v="1"/>
    <n v="1"/>
    <n v="30"/>
    <d v="2025-09-09T00:00:00"/>
    <d v="1899-12-30T09:00:00"/>
    <d v="2025-09-07T00:00:00"/>
    <d v="1899-12-30T14:00:00"/>
    <n v="0"/>
    <n v="3"/>
    <n v="30"/>
  </r>
  <r>
    <x v="2"/>
    <x v="2"/>
    <n v="1"/>
    <n v="30"/>
    <d v="2025-09-09T00:00:00"/>
    <d v="1899-12-30T09:00:00"/>
    <d v="2025-09-07T00:00:00"/>
    <d v="1899-12-30T14:00:00"/>
    <n v="0"/>
    <n v="2"/>
    <n v="30"/>
  </r>
  <r>
    <x v="1"/>
    <x v="1"/>
    <n v="1"/>
    <n v="30"/>
    <d v="2025-09-09T00:00:00"/>
    <d v="1899-12-30T09:00:00"/>
    <d v="2025-09-07T00:00:00"/>
    <d v="1899-12-30T14:00:00"/>
    <n v="0"/>
    <n v="2"/>
    <n v="30"/>
  </r>
  <r>
    <x v="2"/>
    <x v="2"/>
    <n v="1"/>
    <n v="30"/>
    <d v="2025-09-09T00:00:00"/>
    <d v="1899-12-30T09:00:00"/>
    <d v="2025-09-07T00:00:00"/>
    <d v="1899-12-30T14:00:00"/>
    <n v="0"/>
    <n v="1"/>
    <n v="30"/>
  </r>
  <r>
    <x v="1"/>
    <x v="1"/>
    <n v="1"/>
    <n v="30"/>
    <d v="2025-09-09T00:00:00"/>
    <d v="1899-12-30T09:00:00"/>
    <d v="2025-09-07T00:00:00"/>
    <d v="1899-12-30T14:00:00"/>
    <n v="0"/>
    <n v="1"/>
    <n v="30"/>
  </r>
  <r>
    <x v="2"/>
    <x v="2"/>
    <n v="1"/>
    <n v="30"/>
    <d v="2025-09-09T00:00:00"/>
    <d v="1899-12-30T09:00:00"/>
    <d v="2025-09-07T00:00:00"/>
    <d v="1899-12-30T14:00:00"/>
    <n v="0"/>
    <n v="1"/>
    <n v="30"/>
  </r>
  <r>
    <x v="1"/>
    <x v="1"/>
    <n v="1"/>
    <n v="20"/>
    <d v="2025-09-09T00:00:00"/>
    <d v="1899-12-30T09:00:00"/>
    <d v="2025-09-07T00:00:00"/>
    <d v="1899-12-30T14:00:00"/>
    <n v="-10"/>
    <n v="1"/>
    <n v="30"/>
  </r>
  <r>
    <x v="2"/>
    <x v="2"/>
    <n v="1"/>
    <n v="20"/>
    <d v="2025-09-09T00:00:00"/>
    <d v="1899-12-30T09:00:00"/>
    <d v="2025-09-07T00:00:00"/>
    <d v="1899-12-30T14:00:00"/>
    <n v="-10"/>
    <n v="1"/>
    <n v="30"/>
  </r>
  <r>
    <x v="1"/>
    <x v="1"/>
    <n v="1"/>
    <n v="20"/>
    <d v="2025-09-09T00:00:00"/>
    <d v="1899-12-30T09:00:00"/>
    <d v="2025-09-07T00:00:00"/>
    <d v="1899-12-30T14:00:00"/>
    <n v="-10"/>
    <n v="1"/>
    <n v="30"/>
  </r>
  <r>
    <x v="2"/>
    <x v="2"/>
    <n v="1"/>
    <n v="20"/>
    <d v="2025-09-09T00:00:00"/>
    <d v="1899-12-30T09:00:00"/>
    <d v="2025-09-07T00:00:00"/>
    <d v="1899-12-30T14:00:00"/>
    <n v="0"/>
    <n v="1"/>
    <n v="20"/>
  </r>
  <r>
    <x v="1"/>
    <x v="1"/>
    <n v="1"/>
    <n v="20"/>
    <d v="2025-09-09T00:00:00"/>
    <d v="1899-12-30T09:00:00"/>
    <d v="2025-09-07T00:00:00"/>
    <d v="1899-12-30T14:00:00"/>
    <n v="1"/>
    <n v="2"/>
    <n v="19"/>
  </r>
  <r>
    <x v="2"/>
    <x v="2"/>
    <n v="1"/>
    <n v="20"/>
    <d v="2025-09-09T00:00:00"/>
    <d v="1899-12-30T09:00:00"/>
    <d v="2025-09-07T00:00:00"/>
    <d v="1899-12-30T14:00:00"/>
    <n v="0"/>
    <n v="2"/>
    <n v="20"/>
  </r>
  <r>
    <x v="1"/>
    <x v="1"/>
    <n v="1"/>
    <n v="15"/>
    <d v="2025-09-09T00:00:00"/>
    <d v="1899-12-30T09:00:00"/>
    <d v="2025-09-07T00:00:00"/>
    <d v="1899-12-30T14:00:00"/>
    <n v="5"/>
    <n v="1"/>
    <n v="10"/>
  </r>
  <r>
    <x v="2"/>
    <x v="2"/>
    <n v="1"/>
    <n v="15"/>
    <d v="2025-09-09T00:00:00"/>
    <d v="1899-12-30T09:00:00"/>
    <d v="2025-09-07T00:00:00"/>
    <d v="1899-12-30T14:00:00"/>
    <n v="5"/>
    <n v="1"/>
    <n v="10"/>
  </r>
  <r>
    <x v="1"/>
    <x v="1"/>
    <n v="1"/>
    <n v="20"/>
    <d v="2025-09-09T00:00:00"/>
    <d v="1899-12-30T09:00:00"/>
    <d v="2025-09-07T00:00:00"/>
    <d v="1899-12-30T14:00:00"/>
    <n v="10"/>
    <n v="1"/>
    <n v="10"/>
  </r>
  <r>
    <x v="2"/>
    <x v="2"/>
    <n v="1"/>
    <n v="20"/>
    <d v="2025-09-09T00:00:00"/>
    <d v="1899-12-30T09:00:00"/>
    <d v="2025-09-07T00:00:00"/>
    <d v="1899-12-30T14:00:00"/>
    <n v="10"/>
    <n v="1"/>
    <n v="10"/>
  </r>
  <r>
    <x v="3"/>
    <x v="3"/>
    <n v="1"/>
    <n v="55"/>
    <d v="2025-09-09T00:00:00"/>
    <d v="1899-12-30T09:00:00"/>
    <d v="2025-09-06T00:00:00"/>
    <d v="1899-12-30T08:30:00"/>
    <n v="-5"/>
    <n v="2"/>
    <n v="60"/>
  </r>
  <r>
    <x v="4"/>
    <x v="4"/>
    <n v="1"/>
    <n v="55"/>
    <d v="2025-09-09T00:00:00"/>
    <d v="1899-12-30T09:00:00"/>
    <d v="2025-09-06T00:00:00"/>
    <d v="1899-12-30T09:30:00"/>
    <n v="-5"/>
    <n v="1"/>
    <n v="60"/>
  </r>
  <r>
    <x v="3"/>
    <x v="3"/>
    <n v="1"/>
    <n v="60"/>
    <d v="2025-09-09T00:00:00"/>
    <d v="1899-12-30T09:00:00"/>
    <d v="2025-09-06T00:00:00"/>
    <d v="1899-12-30T10:30:00"/>
    <n v="0"/>
    <n v="3"/>
    <n v="60"/>
  </r>
  <r>
    <x v="4"/>
    <x v="4"/>
    <n v="1"/>
    <n v="60"/>
    <d v="2025-09-09T00:00:00"/>
    <d v="1899-12-30T09:00:00"/>
    <d v="2025-09-06T00:00:00"/>
    <d v="1899-12-30T11:30:00"/>
    <n v="0"/>
    <n v="1"/>
    <n v="60"/>
  </r>
  <r>
    <x v="3"/>
    <x v="3"/>
    <n v="1"/>
    <n v="30"/>
    <d v="2025-09-09T00:00:00"/>
    <d v="1899-12-30T09:00:00"/>
    <d v="2025-09-06T00:00:00"/>
    <d v="1899-12-30T12:00:00"/>
    <n v="0"/>
    <n v="1"/>
    <n v="30"/>
  </r>
  <r>
    <x v="4"/>
    <x v="4"/>
    <n v="1"/>
    <n v="30"/>
    <d v="2025-09-09T00:00:00"/>
    <d v="1899-12-30T09:00:00"/>
    <d v="2025-09-06T00:00:00"/>
    <d v="1899-12-30T12:30:00"/>
    <n v="2"/>
    <n v="1"/>
    <n v="28"/>
  </r>
  <r>
    <x v="3"/>
    <x v="3"/>
    <n v="1"/>
    <n v="30"/>
    <d v="2025-09-09T00:00:00"/>
    <d v="1899-12-30T09:00:00"/>
    <d v="2025-09-06T00:00:00"/>
    <d v="1899-12-30T13:00:00"/>
    <n v="0"/>
    <n v="1"/>
    <n v="30"/>
  </r>
  <r>
    <x v="4"/>
    <x v="4"/>
    <n v="1"/>
    <n v="30"/>
    <d v="2025-09-09T00:00:00"/>
    <d v="1899-12-30T09:00:00"/>
    <d v="2025-09-06T00:00:00"/>
    <d v="1899-12-30T13:30:00"/>
    <n v="1"/>
    <n v="1"/>
    <n v="29"/>
  </r>
  <r>
    <x v="3"/>
    <x v="3"/>
    <n v="1"/>
    <n v="30"/>
    <d v="2025-09-09T00:00:00"/>
    <d v="1899-12-30T09:00:00"/>
    <d v="2025-09-06T00:00:00"/>
    <d v="1899-12-30T14:00:00"/>
    <n v="0"/>
    <n v="1"/>
    <n v="30"/>
  </r>
  <r>
    <x v="4"/>
    <x v="4"/>
    <n v="1"/>
    <n v="30"/>
    <d v="2025-09-09T00:00:00"/>
    <d v="1899-12-30T09:00:00"/>
    <d v="2025-09-06T00:00:00"/>
    <d v="1899-12-30T14:00:00"/>
    <n v="0"/>
    <n v="1"/>
    <n v="30"/>
  </r>
  <r>
    <x v="3"/>
    <x v="3"/>
    <n v="1"/>
    <n v="30"/>
    <d v="2025-09-09T00:00:00"/>
    <d v="1899-12-30T09:00:00"/>
    <d v="2025-09-06T00:00:00"/>
    <d v="1899-12-30T14:30:00"/>
    <n v="0"/>
    <n v="1"/>
    <n v="30"/>
  </r>
  <r>
    <x v="4"/>
    <x v="4"/>
    <n v="1"/>
    <n v="30"/>
    <d v="2025-09-09T00:00:00"/>
    <d v="1899-12-30T09:00:00"/>
    <d v="2025-09-06T00:00:00"/>
    <d v="1899-12-30T14:30:00"/>
    <n v="5"/>
    <n v="1"/>
    <n v="25"/>
  </r>
  <r>
    <x v="3"/>
    <x v="3"/>
    <n v="1"/>
    <n v="30"/>
    <d v="2025-09-09T00:00:00"/>
    <d v="1899-12-30T09:00:00"/>
    <d v="2025-09-06T00:00:00"/>
    <d v="1899-12-30T15:00:00"/>
    <n v="5"/>
    <n v="1"/>
    <n v="25"/>
  </r>
  <r>
    <x v="4"/>
    <x v="4"/>
    <n v="1"/>
    <n v="30"/>
    <d v="2025-09-09T00:00:00"/>
    <d v="1899-12-30T09:00:00"/>
    <d v="2025-09-06T00:00:00"/>
    <d v="1899-12-30T15:00:00"/>
    <n v="0"/>
    <n v="1"/>
    <n v="30"/>
  </r>
  <r>
    <x v="3"/>
    <x v="3"/>
    <n v="1"/>
    <n v="30"/>
    <d v="2025-09-09T00:00:00"/>
    <d v="1899-12-30T09:00:00"/>
    <d v="2025-09-06T00:00:00"/>
    <d v="1899-12-30T15:30:00"/>
    <n v="0"/>
    <n v="1"/>
    <n v="30"/>
  </r>
  <r>
    <x v="4"/>
    <x v="4"/>
    <n v="1"/>
    <n v="30"/>
    <d v="2025-09-09T00:00:00"/>
    <d v="1899-12-30T09:00:00"/>
    <d v="2025-09-06T00:00:00"/>
    <d v="1899-12-30T15:30:00"/>
    <n v="0"/>
    <n v="1"/>
    <n v="30"/>
  </r>
  <r>
    <x v="3"/>
    <x v="3"/>
    <n v="2"/>
    <n v="60"/>
    <d v="2025-09-09T00:00:00"/>
    <d v="1899-12-30T09:00:00"/>
    <d v="2025-09-06T00:00:00"/>
    <d v="1899-12-30T16:00:00"/>
    <n v="35"/>
    <n v="1"/>
    <n v="25"/>
  </r>
  <r>
    <x v="4"/>
    <x v="4"/>
    <n v="2"/>
    <n v="60"/>
    <d v="2025-09-09T00:00:00"/>
    <d v="1899-12-30T09:00:00"/>
    <d v="2025-09-06T00:00:00"/>
    <d v="1899-12-30T16:00:00"/>
    <n v="35"/>
    <n v="1"/>
    <n v="25"/>
  </r>
  <r>
    <x v="3"/>
    <x v="3"/>
    <n v="2"/>
    <n v="60"/>
    <d v="2025-09-09T00:00:00"/>
    <d v="1899-12-30T09:00:00"/>
    <d v="2025-09-06T00:00:00"/>
    <d v="1899-12-30T17:00:00"/>
    <n v="38"/>
    <n v="1"/>
    <n v="22"/>
  </r>
  <r>
    <x v="4"/>
    <x v="4"/>
    <n v="2"/>
    <n v="60"/>
    <d v="2025-09-09T00:00:00"/>
    <d v="1899-12-30T09:00:00"/>
    <d v="2025-09-06T00:00:00"/>
    <d v="1899-12-30T18:00:00"/>
    <n v="38"/>
    <n v="2"/>
    <n v="22"/>
  </r>
  <r>
    <x v="3"/>
    <x v="3"/>
    <n v="2"/>
    <n v="60"/>
    <d v="2025-09-09T00:00:00"/>
    <d v="1899-12-30T09:00:00"/>
    <d v="2025-09-06T00:00:00"/>
    <d v="1899-12-30T19:00:00"/>
    <n v="39"/>
    <n v="2"/>
    <n v="21"/>
  </r>
  <r>
    <x v="4"/>
    <x v="4"/>
    <n v="2"/>
    <n v="60"/>
    <d v="2025-09-09T00:00:00"/>
    <d v="1899-12-30T09:00:00"/>
    <d v="2025-09-06T00:00:00"/>
    <d v="1899-12-30T20:00:00"/>
    <n v="39"/>
    <n v="2"/>
    <n v="21"/>
  </r>
  <r>
    <x v="0"/>
    <x v="0"/>
    <n v="1"/>
    <n v="30"/>
    <d v="2025-09-09T00:00:00"/>
    <d v="1899-12-30T09:00:00"/>
    <d v="2025-09-07T00:00:00"/>
    <d v="1899-12-30T12:00:00"/>
    <n v="0"/>
    <n v="2"/>
    <n v="30"/>
  </r>
  <r>
    <x v="5"/>
    <x v="5"/>
    <n v="1"/>
    <n v="30"/>
    <d v="2025-09-09T00:00:00"/>
    <d v="1899-12-30T09:00:00"/>
    <d v="2025-09-07T00:00:00"/>
    <d v="1899-12-30T12:30:00"/>
    <n v="0"/>
    <n v="2"/>
    <n v="30"/>
  </r>
  <r>
    <x v="0"/>
    <x v="0"/>
    <n v="1"/>
    <n v="30"/>
    <d v="2025-09-09T00:00:00"/>
    <d v="1899-12-30T09:00:00"/>
    <d v="2025-09-07T00:00:00"/>
    <d v="1899-12-30T13:00:00"/>
    <n v="0"/>
    <n v="2"/>
    <n v="30"/>
  </r>
  <r>
    <x v="5"/>
    <x v="5"/>
    <n v="1"/>
    <n v="30"/>
    <d v="2025-09-09T00:00:00"/>
    <d v="1899-12-30T09:00:00"/>
    <d v="2025-09-07T00:00:00"/>
    <d v="1899-12-30T13:30:00"/>
    <n v="0"/>
    <n v="1"/>
    <n v="30"/>
  </r>
  <r>
    <x v="0"/>
    <x v="0"/>
    <n v="1"/>
    <n v="30"/>
    <d v="2025-09-09T00:00:00"/>
    <d v="1899-12-30T09:00:00"/>
    <d v="2025-09-07T00:00:00"/>
    <d v="1899-12-30T14:00:00"/>
    <n v="-5"/>
    <n v="1"/>
    <n v="35"/>
  </r>
  <r>
    <x v="5"/>
    <x v="5"/>
    <n v="1"/>
    <n v="30"/>
    <d v="2025-09-09T00:00:00"/>
    <d v="1899-12-30T09:00:00"/>
    <d v="2025-09-07T00:00:00"/>
    <d v="1899-12-30T14:30:00"/>
    <n v="6"/>
    <n v="1"/>
    <n v="24"/>
  </r>
  <r>
    <x v="0"/>
    <x v="0"/>
    <n v="2"/>
    <n v="20"/>
    <d v="2025-09-09T00:00:00"/>
    <d v="1899-12-30T09:00:00"/>
    <d v="2025-09-07T00:00:00"/>
    <d v="1899-12-30T15:00:00"/>
    <n v="0"/>
    <n v="1"/>
    <n v="20"/>
  </r>
  <r>
    <x v="5"/>
    <x v="5"/>
    <n v="2"/>
    <n v="20"/>
    <d v="2025-09-09T00:00:00"/>
    <d v="1899-12-30T09:00:00"/>
    <d v="2025-09-07T00:00:00"/>
    <d v="1899-12-30T15:20:00"/>
    <n v="0"/>
    <n v="1"/>
    <n v="20"/>
  </r>
  <r>
    <x v="0"/>
    <x v="0"/>
    <n v="1"/>
    <n v="20"/>
    <d v="2025-09-09T00:00:00"/>
    <d v="1899-12-30T09:00:00"/>
    <d v="2025-09-07T00:00:00"/>
    <d v="1899-12-30T15:40:00"/>
    <n v="0"/>
    <n v="1"/>
    <n v="20"/>
  </r>
  <r>
    <x v="5"/>
    <x v="5"/>
    <n v="1"/>
    <n v="20"/>
    <d v="2025-09-09T00:00:00"/>
    <d v="1899-12-30T09:00:00"/>
    <d v="2025-09-07T00:00:00"/>
    <d v="1899-12-30T16:00:00"/>
    <n v="-5"/>
    <n v="1"/>
    <n v="25"/>
  </r>
  <r>
    <x v="0"/>
    <x v="0"/>
    <n v="1"/>
    <n v="20"/>
    <d v="2025-09-09T00:00:00"/>
    <d v="1899-12-30T09:00:00"/>
    <d v="2025-09-07T00:00:00"/>
    <d v="1899-12-30T16:20:00"/>
    <n v="-5"/>
    <n v="1"/>
    <n v="25"/>
  </r>
  <r>
    <x v="5"/>
    <x v="5"/>
    <n v="1"/>
    <n v="20"/>
    <d v="2025-09-09T00:00:00"/>
    <d v="1899-12-30T09:00:00"/>
    <d v="2025-09-07T00:00:00"/>
    <d v="1899-12-30T16:40:00"/>
    <n v="5"/>
    <n v="1"/>
    <n v="15"/>
  </r>
  <r>
    <x v="0"/>
    <x v="0"/>
    <n v="1"/>
    <n v="20"/>
    <d v="2025-09-09T00:00:00"/>
    <d v="1899-12-30T09:00:00"/>
    <d v="2025-09-07T00:00:00"/>
    <d v="1899-12-30T17:00:00"/>
    <n v="10"/>
    <n v="1"/>
    <n v="10"/>
  </r>
  <r>
    <x v="5"/>
    <x v="5"/>
    <n v="1"/>
    <n v="20"/>
    <d v="2025-09-09T00:00:00"/>
    <d v="1899-12-30T09:00:00"/>
    <d v="2025-09-07T00:00:00"/>
    <d v="1899-12-30T17:20:00"/>
    <n v="10"/>
    <n v="1"/>
    <n v="10"/>
  </r>
  <r>
    <x v="0"/>
    <x v="0"/>
    <n v="1"/>
    <n v="20"/>
    <d v="2025-09-09T00:00:00"/>
    <d v="1899-12-30T09:00:00"/>
    <d v="2025-09-07T00:00:00"/>
    <d v="1899-12-30T17:40:00"/>
    <n v="10"/>
    <n v="1"/>
    <n v="10"/>
  </r>
  <r>
    <x v="5"/>
    <x v="5"/>
    <n v="1"/>
    <n v="20"/>
    <d v="2025-09-09T00:00:00"/>
    <d v="1899-12-30T09:00:00"/>
    <d v="2025-09-07T00:00:00"/>
    <d v="1899-12-30T18:00:00"/>
    <n v="5"/>
    <n v="1"/>
    <n v="15"/>
  </r>
  <r>
    <x v="0"/>
    <x v="0"/>
    <n v="1"/>
    <n v="10"/>
    <d v="2025-09-09T00:00:00"/>
    <d v="1899-12-30T09:00:00"/>
    <d v="2025-09-07T00:00:00"/>
    <d v="1899-12-30T18:10:00"/>
    <n v="0"/>
    <n v="1"/>
    <n v="10"/>
  </r>
  <r>
    <x v="5"/>
    <x v="5"/>
    <n v="1"/>
    <n v="10"/>
    <d v="2025-09-09T00:00:00"/>
    <d v="1899-12-30T09:00:00"/>
    <d v="2025-09-07T00:00:00"/>
    <d v="1899-12-30T18:20:00"/>
    <n v="0"/>
    <n v="1"/>
    <n v="10"/>
  </r>
  <r>
    <x v="1"/>
    <x v="1"/>
    <n v="1"/>
    <n v="20"/>
    <d v="2025-09-09T00:00:00"/>
    <d v="1899-12-30T09:00:00"/>
    <d v="2025-09-07T00:00:00"/>
    <d v="1899-12-30T19:20:00"/>
    <n v="0"/>
    <n v="1"/>
    <n v="20"/>
  </r>
  <r>
    <x v="6"/>
    <x v="2"/>
    <n v="1"/>
    <n v="20"/>
    <d v="2025-09-09T00:00:00"/>
    <d v="1899-12-30T09:00:00"/>
    <d v="2025-09-07T00:00:00"/>
    <d v="1899-12-30T19:20:00"/>
    <n v="0"/>
    <n v="1"/>
    <n v="20"/>
  </r>
  <r>
    <x v="1"/>
    <x v="1"/>
    <n v="1"/>
    <n v="30"/>
    <d v="2025-09-09T00:00:00"/>
    <d v="1899-12-30T09:00:00"/>
    <d v="2025-09-07T00:00:00"/>
    <d v="1899-12-30T20:00:00"/>
    <n v="6"/>
    <n v="1"/>
    <n v="24"/>
  </r>
  <r>
    <x v="5"/>
    <x v="5"/>
    <n v="1"/>
    <n v="30"/>
    <d v="2025-09-09T00:00:00"/>
    <d v="1899-12-30T09:00:00"/>
    <d v="2025-09-07T00:00:00"/>
    <d v="1899-12-30T20:00:00"/>
    <n v="0"/>
    <n v="1"/>
    <n v="30"/>
  </r>
  <r>
    <x v="5"/>
    <x v="5"/>
    <n v="5"/>
    <n v="50"/>
    <d v="2025-09-09T00:00:00"/>
    <d v="1899-12-30T09:00:00"/>
    <d v="2025-09-07T00:00:00"/>
    <d v="1899-12-30T20:50:00"/>
    <n v="5"/>
    <n v="5"/>
    <n v="45"/>
  </r>
  <r>
    <x v="0"/>
    <x v="6"/>
    <n v="1"/>
    <n v="60"/>
    <d v="2025-09-09T00:00:00"/>
    <d v="1899-12-30T09:00:00"/>
    <d v="2025-09-07T00:00:00"/>
    <d v="1899-12-30T22:00:00"/>
    <n v="50"/>
    <n v="1"/>
    <n v="10"/>
  </r>
  <r>
    <x v="2"/>
    <x v="7"/>
    <n v="1"/>
    <n v="60"/>
    <d v="2025-09-09T00:00:00"/>
    <d v="1899-12-30T09:00:00"/>
    <d v="2025-09-07T00:00:00"/>
    <d v="1899-12-30T22:00:00"/>
    <n v="50"/>
    <n v="1"/>
    <n v="10"/>
  </r>
  <r>
    <x v="3"/>
    <x v="8"/>
    <n v="1"/>
    <n v="60"/>
    <d v="2025-09-09T00:00:00"/>
    <d v="1899-12-30T09:00:00"/>
    <d v="2025-09-07T00:00:00"/>
    <d v="1899-12-30T22:00:00"/>
    <n v="50"/>
    <n v="1"/>
    <n v="10"/>
  </r>
  <r>
    <x v="4"/>
    <x v="9"/>
    <n v="1"/>
    <n v="60"/>
    <d v="2025-09-09T00:00:00"/>
    <d v="1899-12-30T09:00:00"/>
    <d v="2025-09-07T00:00:00"/>
    <d v="1899-12-30T22:00:00"/>
    <n v="50"/>
    <n v="1"/>
    <n v="10"/>
  </r>
  <r>
    <x v="1"/>
    <x v="10"/>
    <n v="1"/>
    <n v="60"/>
    <d v="2025-09-09T00:00:00"/>
    <d v="1899-12-30T09:00:00"/>
    <d v="2025-09-07T00:00:00"/>
    <d v="1899-12-30T22:00:00"/>
    <n v="50"/>
    <n v="1"/>
    <n v="10"/>
  </r>
  <r>
    <x v="5"/>
    <x v="11"/>
    <n v="1"/>
    <n v="60"/>
    <d v="2025-09-09T00:00:00"/>
    <d v="1899-12-30T09:00:00"/>
    <d v="2025-09-07T00:00:00"/>
    <d v="1899-12-30T22:00:00"/>
    <n v="50"/>
    <n v="1"/>
    <n v="10"/>
  </r>
  <r>
    <x v="3"/>
    <x v="3"/>
    <n v="1"/>
    <n v="30"/>
    <d v="2025-09-09T00:00:00"/>
    <d v="1899-12-30T09:00:00"/>
    <d v="2025-09-07T00:00:00"/>
    <d v="1899-12-30T22:00:00"/>
    <n v="0"/>
    <n v="1"/>
    <n v="30"/>
  </r>
  <r>
    <x v="1"/>
    <x v="1"/>
    <n v="1"/>
    <n v="30"/>
    <d v="2025-09-09T00:00:00"/>
    <d v="1899-12-30T09:00:00"/>
    <d v="2025-09-07T00:00:00"/>
    <d v="1899-12-30T22:00:00"/>
    <n v="0"/>
    <n v="1"/>
    <n v="30"/>
  </r>
  <r>
    <x v="1"/>
    <x v="1"/>
    <n v="1"/>
    <n v="45"/>
    <d v="2025-09-09T00:00:00"/>
    <d v="1899-12-30T09:00:00"/>
    <d v="2025-09-07T00:00:00"/>
    <d v="1899-12-30T22:30:00"/>
    <n v="-35"/>
    <n v="1"/>
    <n v="80"/>
  </r>
  <r>
    <x v="3"/>
    <x v="3"/>
    <n v="1"/>
    <n v="60"/>
    <d v="2025-09-09T00:00:00"/>
    <d v="1899-12-30T09:00:00"/>
    <d v="2025-09-07T00:00:00"/>
    <d v="1899-12-30T22:30:00"/>
    <n v="10"/>
    <n v="1"/>
    <n v="50"/>
  </r>
  <r>
    <x v="3"/>
    <x v="3"/>
    <n v="1"/>
    <n v="55"/>
    <d v="2025-09-09T00:00:00"/>
    <d v="1899-12-30T09:00:00"/>
    <d v="2025-09-07T00:00:00"/>
    <d v="1899-12-30T22:30:00"/>
    <n v="0"/>
    <n v="1"/>
    <n v="55"/>
  </r>
  <r>
    <x v="1"/>
    <x v="1"/>
    <n v="1"/>
    <n v="30"/>
    <d v="2025-09-09T00:00:00"/>
    <d v="1899-12-30T09:00:00"/>
    <d v="2025-09-07T00:00:00"/>
    <d v="1899-12-30T22:30:00"/>
    <n v="-2"/>
    <n v="1"/>
    <n v="32"/>
  </r>
  <r>
    <x v="2"/>
    <x v="2"/>
    <n v="1"/>
    <n v="30"/>
    <d v="2025-09-09T00:00:00"/>
    <d v="1899-12-30T09:00:00"/>
    <d v="2025-09-07T00:00:00"/>
    <d v="1899-12-30T22:30:00"/>
    <n v="-2"/>
    <n v="1"/>
    <n v="32"/>
  </r>
  <r>
    <x v="0"/>
    <x v="0"/>
    <n v="1"/>
    <n v="30"/>
    <d v="2025-09-09T00:00:00"/>
    <d v="1899-12-30T09:00:00"/>
    <d v="2025-09-07T00:00:00"/>
    <d v="1899-12-30T22:30:00"/>
    <n v="-2"/>
    <n v="1"/>
    <n v="32"/>
  </r>
  <r>
    <x v="3"/>
    <x v="3"/>
    <n v="1"/>
    <n v="30"/>
    <d v="2025-09-09T00:00:00"/>
    <d v="1899-12-30T09:00:00"/>
    <d v="2025-09-07T00:00:00"/>
    <d v="1899-12-30T22:30:00"/>
    <n v="-2"/>
    <n v="1"/>
    <n v="32"/>
  </r>
  <r>
    <x v="4"/>
    <x v="4"/>
    <n v="1"/>
    <n v="30"/>
    <d v="2025-09-09T00:00:00"/>
    <d v="1899-12-30T09:00:00"/>
    <d v="2025-09-07T00:00:00"/>
    <d v="1899-12-30T22:30:00"/>
    <n v="-2"/>
    <n v="1"/>
    <n v="32"/>
  </r>
  <r>
    <x v="5"/>
    <x v="5"/>
    <n v="1"/>
    <n v="30"/>
    <d v="2025-09-09T00:00:00"/>
    <d v="1899-12-30T09:00:00"/>
    <d v="2025-09-07T00:00:00"/>
    <d v="1899-12-30T22:30:00"/>
    <n v="-2"/>
    <n v="1"/>
    <n v="32"/>
  </r>
  <r>
    <x v="3"/>
    <x v="3"/>
    <n v="3"/>
    <n v="20"/>
    <d v="2025-09-09T00:00:00"/>
    <d v="1899-12-30T09:00:00"/>
    <d v="2025-09-08T00:00:00"/>
    <d v="1899-12-30T09:00:00"/>
    <n v="5"/>
    <n v="3"/>
    <n v="1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Script de definición de procesos(DISEÑO)"/>
    <x v="0"/>
    <s v="LC"/>
    <n v="1"/>
    <n v="30"/>
    <d v="2025-09-17T00:00:00"/>
    <d v="1899-12-30T09:00:00"/>
    <d v="2025-09-15T00:00:00"/>
    <d v="1899-12-30T19:00:00"/>
    <n v="0"/>
    <n v="1"/>
    <n v="30"/>
    <s v="Diligenciar el formato correspondiente al script de definición de procesos"/>
  </r>
  <r>
    <s v="Script de definición de procesos(PLANEACIÓN)"/>
    <x v="1"/>
    <s v="LC"/>
    <n v="1"/>
    <n v="30"/>
    <d v="2025-09-17T00:00:00"/>
    <d v="1899-12-30T09:00:00"/>
    <d v="2025-09-15T00:00:00"/>
    <d v="1899-12-30T19:00:00"/>
    <n v="0"/>
    <n v="1"/>
    <n v="30"/>
    <s v="Se realizo el llenado del control de asignaciones para asi terminar con éxito la fase 3  de Requerimientos y para que los demas lideres llenen sus bitácoras"/>
  </r>
  <r>
    <s v="Definir objetivo_x000a_del documento"/>
    <x v="2"/>
    <s v="LE"/>
    <n v="1"/>
    <n v="30"/>
    <d v="2025-09-17T00:00:00"/>
    <d v="1899-12-30T09:00:00"/>
    <d v="2025-09-16T00:00:00"/>
    <d v="1899-12-30T13:00:00"/>
    <n v="0"/>
    <n v="1"/>
    <n v="30"/>
    <s v="Establecer el propósito del SDS y su_x000a_importancia para el proyecto DashKPI."/>
  </r>
  <r>
    <s v="Identificar audiencia del documento"/>
    <x v="1"/>
    <s v="LP"/>
    <n v="2"/>
    <n v="30"/>
    <d v="2025-09-17T00:00:00"/>
    <d v="1899-12-30T09:00:00"/>
    <d v="2025-09-16T00:00:00"/>
    <d v="1899-12-30T13:00:00"/>
    <n v="2"/>
    <n v="2"/>
    <n v="28"/>
    <s v="Determinar a quién va dirigido el SDS_x000a_(usuarios, desarrolladores, directivos)."/>
  </r>
  <r>
    <s v="Definir acrónimos "/>
    <x v="1"/>
    <s v="LP"/>
    <n v="1"/>
    <n v="30"/>
    <d v="2025-09-17T00:00:00"/>
    <d v="1899-12-30T09:00:00"/>
    <d v="2025-09-16T00:00:00"/>
    <d v="1899-12-30T13:30:00"/>
    <n v="0"/>
    <n v="2"/>
    <n v="30"/>
    <s v="Listar acrónimos y abreviaciones_x000a_utilizadas en el proyecto."/>
  </r>
  <r>
    <s v="Descripción_x000a_del problema"/>
    <x v="3"/>
    <s v="LA"/>
    <n v="2"/>
    <n v="30"/>
    <d v="2025-09-17T00:00:00"/>
    <d v="1899-12-30T09:00:00"/>
    <d v="2025-09-16T00:00:00"/>
    <d v="1899-12-30T13:00:00"/>
    <n v="0"/>
    <n v="2"/>
    <n v="30"/>
    <s v="Redactar el problema que resuelve_x000a_DashKPI"/>
  </r>
  <r>
    <s v="Establecer objetivos de la aplicación"/>
    <x v="3"/>
    <s v="LA"/>
    <n v="2"/>
    <n v="30"/>
    <d v="2025-09-17T00:00:00"/>
    <d v="1899-12-30T09:00:00"/>
    <d v="2025-09-16T00:00:00"/>
    <d v="1899-12-30T13:30:00"/>
    <n v="7"/>
    <n v="1"/>
    <n v="23"/>
    <s v="Documentar los objetivos que cumplirá la_x000a_plataforma DashKPI."/>
  </r>
  <r>
    <s v="Definir restricciones"/>
    <x v="3"/>
    <s v="LA"/>
    <n v="1"/>
    <n v="30"/>
    <d v="2025-09-17T00:00:00"/>
    <d v="1899-12-30T09:00:00"/>
    <d v="2025-09-16T00:00:00"/>
    <d v="1899-12-30T14:00:00"/>
    <n v="0"/>
    <n v="1"/>
    <n v="30"/>
    <s v="Identificar limitaciones técnicas, de_x000a_tiempo o recursos."/>
  </r>
  <r>
    <s v="Seleccionar estilo de arquitectura"/>
    <x v="2"/>
    <s v="LE"/>
    <n v="1"/>
    <n v="30"/>
    <d v="2025-09-17T00:00:00"/>
    <d v="1899-12-30T09:00:00"/>
    <d v="2025-09-16T00:00:00"/>
    <d v="1899-12-30T13:30:00"/>
    <n v="5"/>
    <n v="2"/>
    <n v="25"/>
    <s v="Definir si será cliente-servidor, multicapa,_x000a_etc."/>
  </r>
  <r>
    <s v="Vista de contexto (UML casos de uso)"/>
    <x v="1"/>
    <s v="LP"/>
    <n v="1"/>
    <n v="60"/>
    <d v="2025-09-17T00:00:00"/>
    <d v="1899-12-30T09:00:00"/>
    <d v="2025-09-16T00:00:00"/>
    <d v="1899-12-30T14:30:00"/>
    <n v="-5"/>
    <n v="1"/>
    <n v="65"/>
    <s v="Diseñar el diagrama de casos de uso."/>
  </r>
  <r>
    <s v="Vista funcional (UML de componentes)"/>
    <x v="3"/>
    <s v="LA"/>
    <n v="1"/>
    <n v="60"/>
    <d v="2025-09-17T00:00:00"/>
    <d v="1899-12-30T09:00:00"/>
    <d v="2025-09-16T00:00:00"/>
    <d v="1899-12-30T15:00:00"/>
    <n v="0"/>
    <n v="1"/>
    <n v="60"/>
    <s v="Modelar los principales componentes del_x000a_sistema."/>
  </r>
  <r>
    <s v="Vista de información(Entidad Relación, ciclo de vida)"/>
    <x v="2"/>
    <s v="LE"/>
    <n v="1"/>
    <n v="60"/>
    <d v="2025-09-17T00:00:00"/>
    <d v="1899-12-30T09:00:00"/>
    <d v="2025-09-16T00:00:00"/>
    <d v="1899-12-30T14:30:00"/>
    <n v="5"/>
    <n v="1"/>
    <n v="55"/>
    <s v="Definir el modelo entidad–relación y su_x000a_ciclo de vida."/>
  </r>
  <r>
    <s v="Vista de despliegue (UML de despliegue)"/>
    <x v="0"/>
    <s v="LC"/>
    <n v="1"/>
    <n v="60"/>
    <d v="2025-09-17T00:00:00"/>
    <d v="1899-12-30T09:00:00"/>
    <d v="2025-09-16T00:00:00"/>
    <d v="1899-12-30T14:00:00"/>
    <n v="0"/>
    <n v="1"/>
    <n v="60"/>
    <s v="Representar la distribución física del_x000a_sistema."/>
  </r>
  <r>
    <s v="Vista de desarrollo(UML de paquetes)"/>
    <x v="4"/>
    <s v="LS"/>
    <n v="1"/>
    <n v="60"/>
    <d v="2025-09-17T00:00:00"/>
    <d v="1899-12-30T09:00:00"/>
    <d v="2025-09-16T00:00:00"/>
    <d v="1899-12-30T14:00:00"/>
    <n v="6"/>
    <n v="1"/>
    <n v="54"/>
    <s v="Organizar el sistema en paquetes o_x000a_módulos."/>
  </r>
  <r>
    <s v="Vista de concurrencia (UML de procesos)"/>
    <x v="5"/>
    <s v="LD"/>
    <n v="1"/>
    <n v="60"/>
    <d v="2025-09-17T00:00:00"/>
    <d v="1899-12-30T09:00:00"/>
    <d v="2025-09-16T00:00:00"/>
    <d v="1899-12-30T14:00:00"/>
    <n v="0"/>
    <n v="1"/>
    <n v="60"/>
    <s v="Modelar procesos concurrentes y flujos_x000a_de ejecución."/>
  </r>
  <r>
    <s v="Vista operacional (Ad hoc o descripciones textuales)"/>
    <x v="2"/>
    <s v="LE"/>
    <n v="1"/>
    <n v="60"/>
    <d v="2025-09-17T00:00:00"/>
    <d v="1899-12-30T09:00:00"/>
    <d v="2025-09-16T00:00:00"/>
    <d v="1899-12-30T15:30:00"/>
    <n v="0"/>
    <n v="1"/>
    <n v="60"/>
    <s v="Documentar procesos operativos del_x000a_sistema de forma textual."/>
  </r>
  <r>
    <s v="Especificación de interfaz de usuario"/>
    <x v="0"/>
    <s v="LC"/>
    <n v="2"/>
    <n v="60"/>
    <d v="2025-09-17T00:00:00"/>
    <d v="1899-12-30T09:00:00"/>
    <d v="2025-09-16T00:00:00"/>
    <d v="1899-12-30T15:00:00"/>
    <n v="-1"/>
    <n v="1"/>
    <n v="61"/>
    <s v="Definir pantallas, prototipos y flujo de_x000a_navegación."/>
  </r>
  <r>
    <s v="Modelo de datos (Entidad–Relación)"/>
    <x v="4"/>
    <s v="LS"/>
    <n v="2"/>
    <n v="60"/>
    <d v="2025-09-17T00:00:00"/>
    <d v="1899-12-30T09:00:00"/>
    <d v="2025-09-16T00:00:00"/>
    <d v="1899-12-30T16:00:00"/>
    <n v="0"/>
    <n v="1"/>
    <n v="60"/>
    <s v="Crear el modelo de datos definitivo."/>
  </r>
  <r>
    <s v="Modelo de clases"/>
    <x v="5"/>
    <s v="LD"/>
    <n v="2"/>
    <n v="60"/>
    <d v="2025-09-17T00:00:00"/>
    <d v="1899-12-30T09:00:00"/>
    <d v="2025-09-16T00:00:00"/>
    <d v="1899-12-30T17:00:00"/>
    <n v="3"/>
    <n v="1"/>
    <n v="57"/>
    <s v="Definir el modelo de clases UML."/>
  </r>
  <r>
    <s v="Revisión del documento SDS"/>
    <x v="1"/>
    <s v="LP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2"/>
    <s v="LE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0"/>
    <s v="LC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3"/>
    <s v="LA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5"/>
    <s v="LD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4"/>
    <s v="LS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Control de _x000a_cambios "/>
    <x v="0"/>
    <s v="LC"/>
    <n v="1"/>
    <n v="20"/>
    <d v="2025-09-17T00:00:00"/>
    <d v="1899-12-30T09:00:00"/>
    <d v="2025-09-16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09-17T00:00:00"/>
    <d v="1899-12-30T09:00:00"/>
    <d v="2025-09-16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09-17T00:00:00"/>
    <d v="1899-12-30T09:00:00"/>
    <d v="2025-09-16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09-17T00:00:00"/>
    <d v="1899-12-30T09:00:00"/>
    <d v="2025-09-16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09-17T00:00:00"/>
    <d v="1899-12-30T09:00:00"/>
    <d v="2025-09-16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S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E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A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D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2"/>
    <s v="LE"/>
    <n v="1"/>
    <n v="30"/>
    <d v="2025-09-17T00:00:00"/>
    <d v="1899-12-30T09:00:00"/>
    <d v="2025-09-16T00:00:00"/>
    <d v="1899-12-30T22:00:00"/>
    <n v="0"/>
    <n v="1"/>
    <n v="30"/>
    <s v="No comentarios"/>
  </r>
  <r>
    <s v="Llenado de log de defectos"/>
    <x v="0"/>
    <s v="LC"/>
    <n v="1"/>
    <n v="30"/>
    <d v="2025-09-17T00:00:00"/>
    <d v="1899-12-30T09:00:00"/>
    <d v="2025-09-16T00:00:00"/>
    <d v="1899-12-30T22:00:00"/>
    <n v="0"/>
    <n v="1"/>
    <n v="30"/>
    <s v="No comentarios"/>
  </r>
  <r>
    <s v="Acta de reunión"/>
    <x v="0"/>
    <s v="LC"/>
    <n v="1"/>
    <n v="45"/>
    <d v="2025-09-17T00:00:00"/>
    <d v="1899-12-30T09:00:00"/>
    <d v="2025-09-16T00:00:00"/>
    <d v="1899-12-30T22:30:00"/>
    <n v="-35"/>
    <n v="1"/>
    <n v="80"/>
    <s v="Ordenar en grupo todos los documentos asignados para la primera entrega"/>
  </r>
  <r>
    <s v="Elaboración de diapositivas(Informe final)"/>
    <x v="2"/>
    <s v="LE"/>
    <n v="1"/>
    <n v="60"/>
    <d v="2025-09-17T00:00:00"/>
    <d v="1899-12-30T09:00:00"/>
    <d v="2025-09-16T00:00:00"/>
    <d v="1899-12-30T22:30:00"/>
    <n v="10"/>
    <n v="1"/>
    <n v="50"/>
    <s v="Diapositivas con los documentos hechos "/>
  </r>
  <r>
    <s v="Maestro de documentos"/>
    <x v="2"/>
    <s v="LE"/>
    <n v="1"/>
    <n v="55"/>
    <d v="2025-09-17T00:00:00"/>
    <d v="1899-12-30T09:00:00"/>
    <d v="2025-09-16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S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E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A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2"/>
    <s v="LE"/>
    <n v="3"/>
    <n v="20"/>
    <d v="2025-09-17T00:00:00"/>
    <d v="1899-12-30T09:00:00"/>
    <d v="2025-09-17T00:00:00"/>
    <d v="1899-12-30T09:00:00"/>
    <n v="5"/>
    <n v="3"/>
    <n v="15"/>
    <s v="Todos los documentos subidos _x000a_y actualizados en la pagina 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Script de definición de procesos(DISEÑO)"/>
    <x v="0"/>
    <s v="LC"/>
    <n v="1"/>
    <n v="30"/>
    <d v="2025-10-01T00:00:00"/>
    <d v="1899-12-30T09:00:00"/>
    <d v="2025-09-22T00:00:00"/>
    <d v="1899-12-30T19:00:00"/>
    <n v="0"/>
    <n v="1"/>
    <n v="30"/>
    <s v="Diligenciar el formato correspondiente al script de definición de procesos"/>
  </r>
  <r>
    <s v="Script de definición de procesos(IMPLEMENTACIÓN)"/>
    <x v="1"/>
    <s v="LP"/>
    <n v="1"/>
    <n v="30"/>
    <d v="2025-10-01T00:00:00"/>
    <d v="1899-12-30T09:00:00"/>
    <d v="2025-09-22T00:00:00"/>
    <d v="1899-12-30T19:00:00"/>
    <n v="0"/>
    <n v="1"/>
    <n v="30"/>
    <s v="Se realizo el llenado del control de asignaciones para asi terminar con éxito la fase 3  de Requerimientos y para que los demas lideres llenen sus bitácoras"/>
  </r>
  <r>
    <s v="Configurar base del proyecto"/>
    <x v="2"/>
    <s v="LE"/>
    <n v="1"/>
    <n v="30"/>
    <d v="2025-10-01T00:00:00"/>
    <d v="1899-12-30T09:00:00"/>
    <d v="2025-09-23T00:00:00"/>
    <d v="1899-12-30T08:00:00"/>
    <n v="0"/>
    <n v="1"/>
    <n v="30"/>
    <s v="Inicializar app React, routing protegido,_x000a_manejo de estado, cliente HTTP,_x000a_variables de entorno."/>
  </r>
  <r>
    <s v="Módulo: Login"/>
    <x v="3"/>
    <s v="LS"/>
    <n v="2"/>
    <n v="60"/>
    <d v="2025-10-01T00:00:00"/>
    <d v="1899-12-30T09:00:00"/>
    <d v="2025-09-23T00:00:00"/>
    <d v="1899-12-30T16:05:00"/>
    <n v="-5"/>
    <n v="2"/>
    <n v="65"/>
    <s v="Formulario con validaciones; consumo_x000a_de endpoint de login; manejo de_x000a_sesión/token; feedback de errores."/>
  </r>
  <r>
    <s v="Módulo: Registro"/>
    <x v="3"/>
    <s v="LS"/>
    <n v="2"/>
    <n v="60"/>
    <d v="2025-10-01T00:00:00"/>
    <d v="1899-12-30T09:00:00"/>
    <d v="2025-09-23T00:00:00"/>
    <d v="1899-12-30T17:00:00"/>
    <n v="5"/>
    <n v="2"/>
    <n v="55"/>
    <s v="Formulario de registro con validaciones;_x000a_consumo de endpoint de register;_x000a_confirmación visual."/>
  </r>
  <r>
    <s v="Módulo: Olvidé contraseña (UI)"/>
    <x v="3"/>
    <s v="LS"/>
    <n v="2"/>
    <n v="60"/>
    <d v="2025-10-01T00:00:00"/>
    <d v="1899-12-30T09:00:00"/>
    <d v="2025-09-23T00:00:00"/>
    <d v="1899-12-30T18:00:00"/>
    <n v="10"/>
    <n v="2"/>
    <n v="50"/>
    <s v="Pantallas y flujo UI (solicitud y_x000a_confirmación). Nota: backend del reset_x000a_completo se programará en fase_x000a_siguiente."/>
  </r>
  <r>
    <s v="Dashboard_x000a_inicial"/>
    <x v="4"/>
    <s v="LA"/>
    <n v="2"/>
    <n v="60"/>
    <d v="2025-10-01T00:00:00"/>
    <d v="1899-12-30T09:00:00"/>
    <d v="2025-09-24T00:00:00"/>
    <d v="1899-12-30T18:00:00"/>
    <n v="0"/>
    <n v="1"/>
    <n v="60"/>
    <s v="Vista con tarjetas/resumen; placeholders_x000a_para KPIs y reportes; enlaces a_x000a_Proyectos/Tareas"/>
  </r>
  <r>
    <s v="Módulo:_x000a_Proyectos (UI)"/>
    <x v="2"/>
    <s v="LE"/>
    <n v="2"/>
    <n v="60"/>
    <d v="2025-10-01T00:00:00"/>
    <d v="1899-12-30T09:00:00"/>
    <d v="2025-09-23T00:00:00"/>
    <d v="1899-12-30T09:00:00"/>
    <n v="0"/>
    <n v="2"/>
    <n v="60"/>
    <s v="Listado, creación/edición, detalle y_x000a_eliminación; formularios con_x000a_validaciones."/>
  </r>
  <r>
    <s v="Módulo:_x000a_Tareas (UI)"/>
    <x v="2"/>
    <s v="LE"/>
    <n v="1"/>
    <n v="60"/>
    <d v="2025-10-01T00:00:00"/>
    <d v="1899-12-30T09:00:00"/>
    <d v="2025-09-23T00:00:00"/>
    <d v="1899-12-30T10:00:00"/>
    <n v="5"/>
    <n v="2"/>
    <n v="55"/>
    <s v="Listado filtrable, creación, asignación a_x000a_usuario, registro de tiempo, marcar_x000a_completada."/>
  </r>
  <r>
    <s v="Configuración_x000a_de usuario"/>
    <x v="1"/>
    <s v="LP"/>
    <n v="1"/>
    <n v="60"/>
    <d v="2025-10-01T00:00:00"/>
    <d v="1899-12-30T09:00:00"/>
    <d v="2025-09-25T00:00:00"/>
    <d v="1899-12-30T12:00:00"/>
    <n v="0"/>
    <n v="2"/>
    <n v="60"/>
    <s v="Pantalla para ver/editar datos básicos del_x000a_usuario logueado."/>
  </r>
  <r>
    <s v="Reportes_x000a_(vista inicial)"/>
    <x v="0"/>
    <s v="LC"/>
    <n v="1"/>
    <n v="60"/>
    <d v="2025-10-01T00:00:00"/>
    <d v="1899-12-30T09:00:00"/>
    <d v="2025-09-23T00:00:00"/>
    <d v="1899-12-30T21:00:00"/>
    <n v="0"/>
    <n v="1"/>
    <n v="60"/>
    <s v="Vista base con tablas/gráficas_x000a_placeholder conectadas a datos_x000a_disponibles."/>
  </r>
  <r>
    <s v="Modulo KPI"/>
    <x v="5"/>
    <s v="LD"/>
    <n v="2"/>
    <n v="60"/>
    <d v="2025-10-01T00:00:00"/>
    <d v="1899-12-30T09:00:00"/>
    <d v="2025-09-24T00:00:00"/>
    <d v="1899-12-30T12:00:00"/>
    <n v="0"/>
    <n v="2"/>
    <n v="60"/>
    <s v="Vista a base de las KPIs relacionada al_x000a_proyecto y a los usuarios"/>
  </r>
  <r>
    <s v="Configurar_x000a_proyecto y_x000a_conexión a BD"/>
    <x v="2"/>
    <s v="LE"/>
    <n v="2"/>
    <n v="60"/>
    <d v="2025-10-01T00:00:00"/>
    <d v="1899-12-30T09:00:00"/>
    <d v="2025-09-23T00:00:00"/>
    <d v="1899-12-30T11:00:00"/>
    <n v="0"/>
    <n v="2"/>
    <n v="60"/>
    <s v="Proyecto Django; settings por entorno;_x000a_conexión a Azure SQL Server;_x000a_migraciones iniciales."/>
  </r>
  <r>
    <s v="Configurar_x000a_proyecto y_x000a_conexión a BD"/>
    <x v="5"/>
    <s v="LD"/>
    <n v="2"/>
    <n v="60"/>
    <d v="2025-10-01T00:00:00"/>
    <d v="1899-12-30T09:00:00"/>
    <d v="2025-09-24T00:00:00"/>
    <d v="1899-12-30T13:00:00"/>
    <n v="0"/>
    <n v="2"/>
    <n v="60"/>
    <s v="Proyecto Django; settings por entorno;_x000a_conexión a Azure SQL Server;_x000a_migraciones iniciales."/>
  </r>
  <r>
    <s v="Autenticación:_x000a_Login/Register"/>
    <x v="2"/>
    <s v="LE"/>
    <n v="2"/>
    <n v="60"/>
    <d v="2025-10-01T00:00:00"/>
    <d v="1899-12-30T09:00:00"/>
    <d v="2025-09-23T00:00:00"/>
    <d v="1899-12-30T12:00:00"/>
    <n v="0"/>
    <n v="2"/>
    <n v="60"/>
    <s v="Endpoints para autenticación y creación_x000a_de usuario; emisión/validación de_x000a_sesión/token"/>
  </r>
  <r>
    <s v="Autenticación:_x000a_Login/Register"/>
    <x v="5"/>
    <s v="LD"/>
    <n v="2"/>
    <n v="60"/>
    <d v="2025-10-01T00:00:00"/>
    <d v="1899-12-30T09:00:00"/>
    <d v="2025-09-24T00:00:00"/>
    <d v="1899-12-30T14:00:00"/>
    <n v="0"/>
    <n v="2"/>
    <n v="60"/>
    <s v="Endpoints para autenticación y creación_x000a_de usuario; emisión/validación de_x000a_sesión/token"/>
  </r>
  <r>
    <s v="API Proyectos_x000a_(CRUD)"/>
    <x v="2"/>
    <s v="LE"/>
    <n v="2"/>
    <n v="60"/>
    <d v="2025-10-01T00:00:00"/>
    <d v="1899-12-30T09:00:00"/>
    <d v="2025-09-29T00:00:00"/>
    <d v="1899-12-30T13:00:00"/>
    <n v="0"/>
    <n v="2"/>
    <n v="60"/>
    <s v="Endpoints: listar, crear, obtener,_x000a_actualizar, eliminar; permisos por_x000a_usuario; validaciones."/>
  </r>
  <r>
    <s v="API Proyectos_x000a_(CRUD)"/>
    <x v="5"/>
    <s v="LD"/>
    <n v="2"/>
    <n v="60"/>
    <d v="2025-10-01T00:00:00"/>
    <d v="1899-12-30T09:00:00"/>
    <d v="2025-09-29T00:00:00"/>
    <d v="1899-12-30T15:00:00"/>
    <n v="0"/>
    <n v="2"/>
    <n v="60"/>
    <s v="Endpoints: listar, crear, obtener,_x000a_actualizar, eliminar; permisos por_x000a_usuario; validaciones."/>
  </r>
  <r>
    <s v="API Tareas_x000a_(CRUD + flujo)"/>
    <x v="2"/>
    <s v="LE"/>
    <n v="2"/>
    <n v="60"/>
    <d v="2025-10-01T00:00:00"/>
    <d v="1899-12-30T09:00:00"/>
    <d v="2025-09-29T00:00:00"/>
    <d v="1899-12-30T14:00:00"/>
    <n v="0"/>
    <n v="2"/>
    <n v="60"/>
    <s v="Endpoints: listar/filtrar, crear, asignar_x000a_usuario, registrar tiempo, marcar_x000a_completada."/>
  </r>
  <r>
    <s v="API Tareas_x000a_(CRUD + flujo)"/>
    <x v="5"/>
    <s v="LD"/>
    <n v="2"/>
    <n v="60"/>
    <d v="2025-10-01T00:00:00"/>
    <d v="1899-12-30T09:00:00"/>
    <d v="2025-09-29T00:00:00"/>
    <d v="1899-12-30T16:00:00"/>
    <n v="0"/>
    <n v="2"/>
    <n v="60"/>
    <s v="Endpoints: listar/filtrar, crear, asignar_x000a_usuario, registrar tiempo, marcar_x000a_completada."/>
  </r>
  <r>
    <s v="Serializadores_x000a_y validaciones"/>
    <x v="2"/>
    <s v="LE"/>
    <n v="1"/>
    <n v="30"/>
    <d v="2025-10-01T00:00:00"/>
    <d v="1899-12-30T09:00:00"/>
    <d v="2025-09-29T00:00:00"/>
    <d v="1899-12-30T14:30:00"/>
    <n v="-4"/>
    <n v="1"/>
    <n v="34"/>
    <s v="Validación de payloads; mensajes de_x000a_error consistentes; manejo de estados."/>
  </r>
  <r>
    <s v="Serializadores_x000a_y validaciones"/>
    <x v="5"/>
    <s v="LD"/>
    <n v="1"/>
    <n v="30"/>
    <d v="2025-10-01T00:00:00"/>
    <d v="1899-12-30T09:00:00"/>
    <d v="2025-09-29T00:00:00"/>
    <d v="1899-12-30T16:30:00"/>
    <n v="-4"/>
    <n v="1"/>
    <n v="34"/>
    <s v="Validación de payloads; mensajes de_x000a_error consistentes; manejo de estados."/>
  </r>
  <r>
    <s v="Pruebas unitarias negocio"/>
    <x v="0"/>
    <s v="LC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Pruebas unitarias negocio"/>
    <x v="3"/>
    <s v="LS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Pruebas unitarias negocio"/>
    <x v="4"/>
    <s v="LA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Documentación API"/>
    <x v="2"/>
    <s v="LE"/>
    <n v="1"/>
    <n v="30"/>
    <d v="2025-10-01T00:00:00"/>
    <d v="1899-12-30T09:00:00"/>
    <d v="2025-09-30T00:00:00"/>
    <d v="1899-12-30T14:00:00"/>
    <n v="5"/>
    <n v="2"/>
    <n v="25"/>
    <s v="Auto-doc (Swagger/Redoc) o colección_x000a_Postman exportada."/>
  </r>
  <r>
    <s v="Documentación API"/>
    <x v="5"/>
    <s v="LD"/>
    <n v="1"/>
    <n v="30"/>
    <d v="2025-10-01T00:00:00"/>
    <d v="1899-12-30T09:00:00"/>
    <d v="2025-09-30T00:00:00"/>
    <d v="1899-12-30T14:00:00"/>
    <n v="5"/>
    <n v="2"/>
    <n v="25"/>
    <s v="Auto-doc (Swagger/Redoc) o colección_x000a_Postman exportada."/>
  </r>
  <r>
    <s v="Estandarización"/>
    <x v="2"/>
    <s v="LE"/>
    <n v="1"/>
    <n v="30"/>
    <d v="2025-10-01T00:00:00"/>
    <d v="1899-12-30T09:00:00"/>
    <d v="2025-09-30T00:00:00"/>
    <d v="1899-12-30T14:30:00"/>
    <n v="0"/>
    <n v="2"/>
    <n v="30"/>
    <s v="Aplicar PEP8, ESLint/Prettier,_x000a_convenciones de ramas (feat/fix/chore),_x000a_mensajes tipo"/>
  </r>
  <r>
    <s v="Estandarización"/>
    <x v="5"/>
    <s v="LD"/>
    <n v="1"/>
    <n v="30"/>
    <d v="2025-10-01T00:00:00"/>
    <d v="1899-12-30T09:00:00"/>
    <d v="2025-09-30T00:00:00"/>
    <d v="1899-12-30T14:30:00"/>
    <n v="0"/>
    <n v="2"/>
    <n v="30"/>
    <s v="Aplicar PEP8, ESLint/Prettier,_x000a_convenciones de ramas (feat/fix/chore),_x000a_mensajes tipo"/>
  </r>
  <r>
    <s v="Revisiones e_x000a_inspecciones"/>
    <x v="2"/>
    <s v="LE"/>
    <n v="1"/>
    <n v="30"/>
    <d v="2025-10-01T00:00:00"/>
    <d v="1899-12-30T09:00:00"/>
    <d v="2025-09-30T00:00:00"/>
    <d v="1899-12-30T15:00:00"/>
    <n v="0"/>
    <n v="2"/>
    <n v="30"/>
    <s v="Pull requests con checklist (seguridad,_x000a_validación, pruebas)"/>
  </r>
  <r>
    <s v="Revisiones e_x000a_inspecciones"/>
    <x v="5"/>
    <s v="LD"/>
    <n v="1"/>
    <n v="30"/>
    <d v="2025-10-01T00:00:00"/>
    <d v="1899-12-30T09:00:00"/>
    <d v="2025-09-30T00:00:00"/>
    <d v="1899-12-30T15:00:00"/>
    <n v="0"/>
    <n v="2"/>
    <n v="30"/>
    <s v="Pull requests con checklist (seguridad,_x000a_validación, pruebas)"/>
  </r>
  <r>
    <s v="Evidencias"/>
    <x v="2"/>
    <s v="LE"/>
    <n v="1"/>
    <n v="30"/>
    <d v="2025-10-01T00:00:00"/>
    <d v="1899-12-30T09:00:00"/>
    <d v="2025-09-30T00:00:00"/>
    <d v="1899-12-30T15:30:00"/>
    <n v="5"/>
    <n v="2"/>
    <n v="25"/>
    <s v="Capturas/gifs de flujos, colección_x000a_Postman, scripts de BD, instructivo de_x000a_arranque local."/>
  </r>
  <r>
    <s v="Evidencias"/>
    <x v="5"/>
    <s v="LD"/>
    <n v="1"/>
    <n v="30"/>
    <d v="2025-10-01T00:00:00"/>
    <d v="1899-12-30T09:00:00"/>
    <d v="2025-09-30T00:00:00"/>
    <d v="1899-12-30T15:30:00"/>
    <n v="5"/>
    <n v="2"/>
    <n v="25"/>
    <s v="Capturas/gifs de flujos, colección_x000a_Postman, scripts de BD, instructivo de_x000a_arranque local."/>
  </r>
  <r>
    <s v="Control de _x000a_cambios "/>
    <x v="0"/>
    <s v="LC"/>
    <n v="1"/>
    <n v="20"/>
    <d v="2025-10-01T00:00:00"/>
    <d v="1899-12-30T09:00:00"/>
    <d v="2025-09-30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10-01T00:00:00"/>
    <d v="1899-12-30T09:00:00"/>
    <d v="2025-09-30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01T00:00:00"/>
    <d v="1899-12-30T09:00:00"/>
    <d v="2025-09-30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10-01T00:00:00"/>
    <d v="1899-12-30T09:00:00"/>
    <d v="2025-09-30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10-01T00:00:00"/>
    <d v="1899-12-30T09:00:00"/>
    <d v="2025-09-30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S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E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A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D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2"/>
    <s v="LE"/>
    <n v="1"/>
    <n v="30"/>
    <d v="2025-10-01T00:00:00"/>
    <d v="1899-12-30T09:00:00"/>
    <d v="2025-09-30T00:00:00"/>
    <d v="1899-12-30T22:00:00"/>
    <n v="0"/>
    <n v="1"/>
    <n v="30"/>
    <s v="No comentarios"/>
  </r>
  <r>
    <s v="Llenado de log de defectos"/>
    <x v="0"/>
    <s v="LC"/>
    <n v="1"/>
    <n v="30"/>
    <d v="2025-10-01T00:00:00"/>
    <d v="1899-12-30T09:00:00"/>
    <d v="2025-09-30T00:00:00"/>
    <d v="1899-12-30T22:00:00"/>
    <n v="0"/>
    <n v="1"/>
    <n v="30"/>
    <s v="No comentarios"/>
  </r>
  <r>
    <s v="Acta de reunión"/>
    <x v="0"/>
    <s v="LC"/>
    <n v="1"/>
    <n v="45"/>
    <d v="2025-10-01T00:00:00"/>
    <d v="1899-12-30T09:00:00"/>
    <d v="2025-09-30T00:00:00"/>
    <d v="1899-12-30T22:30:00"/>
    <n v="-35"/>
    <n v="1"/>
    <n v="80"/>
    <s v="Ordenar en grupo todos los documentos asignados para la primera entrega"/>
  </r>
  <r>
    <s v="Elaboración de diapositivas(Informe final)"/>
    <x v="2"/>
    <s v="LE"/>
    <n v="1"/>
    <n v="60"/>
    <d v="2025-10-01T00:00:00"/>
    <d v="1899-12-30T09:00:00"/>
    <d v="2025-09-30T00:00:00"/>
    <d v="1899-12-30T22:30:00"/>
    <n v="10"/>
    <n v="1"/>
    <n v="50"/>
    <s v="Diapositivas con los documentos hechos "/>
  </r>
  <r>
    <s v="Maestro de documentos"/>
    <x v="2"/>
    <s v="LE"/>
    <n v="1"/>
    <n v="55"/>
    <d v="2025-10-01T00:00:00"/>
    <d v="1899-12-30T09:00:00"/>
    <d v="2025-09-30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S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E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A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2"/>
    <s v="LE"/>
    <n v="3"/>
    <n v="20"/>
    <d v="2025-10-01T00:00:00"/>
    <d v="1899-12-30T09:00:00"/>
    <d v="2025-10-01T00:00:00"/>
    <d v="1899-12-30T09:00:00"/>
    <n v="5"/>
    <n v="3"/>
    <n v="15"/>
    <s v="Todos los documentos subidos _x000a_y actualizados en la pagina 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Script de definición de procesos(PRUEBAS)"/>
    <x v="0"/>
    <s v="LC"/>
    <n v="1"/>
    <n v="30"/>
    <d v="2025-10-08T00:00:00"/>
    <d v="1899-12-30T09:00:00"/>
    <d v="2025-10-04T00:00:00"/>
    <d v="1899-12-30T19:00:00"/>
    <n v="0"/>
    <n v="1"/>
    <n v="30"/>
    <s v="Diligenciar el formato correspondiente al script de definición de procesos"/>
  </r>
  <r>
    <s v="Script de definición de procesos(PRUEBAS)"/>
    <x v="1"/>
    <s v="LP"/>
    <n v="1"/>
    <n v="30"/>
    <d v="2025-10-08T00:00:00"/>
    <d v="1899-12-30T09:00:00"/>
    <d v="2025-10-04T00:00:00"/>
    <d v="1899-12-30T19:00:00"/>
    <n v="0"/>
    <n v="1"/>
    <n v="30"/>
    <s v="Se realizo el llenado del control de asignaciones para asi terminar con éxito la fase 8 de PRUEBAS y para que los demas lideres llenen sus bitácoras"/>
  </r>
  <r>
    <s v="Introducción "/>
    <x v="2"/>
    <s v="LS"/>
    <n v="1"/>
    <n v="30"/>
    <d v="2025-10-08T00:00:00"/>
    <d v="1899-12-30T09:00:00"/>
    <d v="2025-10-06T00:00:00"/>
    <d v="1899-12-30T13:00:00"/>
    <n v="0"/>
    <n v="1"/>
    <n v="30"/>
    <s v="Configurar FE/BE/BD, migraciones,_x000a_datos semilla y conectividad."/>
  </r>
  <r>
    <s v="Objetivo"/>
    <x v="2"/>
    <s v="LS"/>
    <n v="1"/>
    <n v="30"/>
    <d v="2025-10-08T00:00:00"/>
    <d v="1899-12-30T09:00:00"/>
    <d v="2025-10-06T00:00:00"/>
    <d v="1899-12-30T13:30:00"/>
    <n v="2"/>
    <n v="1"/>
    <n v="28"/>
    <s v="Redactar fichas PI-01…PI-18 (ID,_x000a_pasos, datos, esperado)."/>
  </r>
  <r>
    <s v="Alcance "/>
    <x v="2"/>
    <s v="LS"/>
    <n v="1"/>
    <n v="30"/>
    <d v="2025-10-08T00:00:00"/>
    <d v="1899-12-30T09:00:00"/>
    <d v="2025-10-06T00:00:00"/>
    <d v="1899-12-30T14:00:00"/>
    <n v="0"/>
    <n v="1"/>
    <n v="30"/>
    <s v="Definir orden, ventanas, RACI y_x000a_criterios de severidad/prioridad."/>
  </r>
  <r>
    <s v="Definiciones_x000a_y_x000a_Abreviaturas"/>
    <x v="2"/>
    <s v="LS"/>
    <n v="1"/>
    <n v="30"/>
    <d v="2025-10-08T00:00:00"/>
    <d v="1899-12-30T09:00:00"/>
    <d v="2025-10-06T00:00:00"/>
    <d v="1899-12-30T14:30:00"/>
    <n v="7"/>
    <n v="2"/>
    <n v="23"/>
    <s v="Registrar y dar seguimiento en Log_x000a_(ID, severidad, estado)."/>
  </r>
  <r>
    <s v="Plan de_x000a_pruebas"/>
    <x v="2"/>
    <s v="LS"/>
    <n v="1"/>
    <n v="30"/>
    <d v="2025-10-08T00:00:00"/>
    <d v="1899-12-30T09:00:00"/>
    <d v="2025-10-07T00:00:00"/>
    <d v="1899-12-30T10:00:00"/>
    <n v="-2"/>
    <n v="2"/>
    <n v="32"/>
    <s v="Reprobar PIs afectados tras_x000a_correcciones"/>
  </r>
  <r>
    <s v="Plan de_x000a_pruebas"/>
    <x v="1"/>
    <s v="LP"/>
    <n v="1"/>
    <n v="30"/>
    <d v="2025-10-08T00:00:00"/>
    <d v="1899-12-30T09:00:00"/>
    <d v="2025-10-07T00:00:00"/>
    <d v="1899-12-30T10:00:00"/>
    <n v="0"/>
    <n v="2"/>
    <n v="30"/>
    <s v="Reprobar PIs afectados tras correcciones"/>
  </r>
  <r>
    <s v="Plan de pruebas"/>
    <x v="3"/>
    <s v="LE"/>
    <n v="1"/>
    <n v="30"/>
    <d v="2025-10-08T00:00:00"/>
    <d v="1899-12-30T09:00:00"/>
    <d v="2025-10-06T00:00:00"/>
    <d v="1899-12-30T12:00:00"/>
    <n v="6"/>
    <n v="2"/>
    <n v="24"/>
    <s v="Reprobar PIs afectados tras correcciones"/>
  </r>
  <r>
    <s v="Plan de pruebas"/>
    <x v="4"/>
    <s v="LD"/>
    <n v="1"/>
    <n v="30"/>
    <d v="2025-10-08T00:00:00"/>
    <d v="1899-12-30T09:00:00"/>
    <d v="2025-10-07T00:00:00"/>
    <d v="1899-12-30T10:00:00"/>
    <n v="5"/>
    <n v="2"/>
    <n v="25"/>
    <s v="Reprobar PIs afectados tras correcciones"/>
  </r>
  <r>
    <s v="Plan de pruebas"/>
    <x v="0"/>
    <s v="LC"/>
    <n v="2"/>
    <n v="30"/>
    <d v="2025-10-08T00:00:00"/>
    <d v="1899-12-30T09:00:00"/>
    <d v="2025-10-07T00:00:00"/>
    <d v="1899-12-30T10:00:00"/>
    <n v="5"/>
    <n v="2"/>
    <n v="25"/>
    <s v="Reprobar PIs afectados tras correcciones"/>
  </r>
  <r>
    <s v="Plan de pruebas"/>
    <x v="5"/>
    <s v="LA"/>
    <n v="1"/>
    <n v="30"/>
    <d v="2025-10-08T00:00:00"/>
    <d v="1899-12-30T09:00:00"/>
    <d v="2025-10-07T00:00:00"/>
    <d v="1899-12-30T10:00:00"/>
    <n v="4"/>
    <n v="2"/>
    <n v="26"/>
    <s v="Reprobar PIs afectados tras correcciones"/>
  </r>
  <r>
    <s v="Ejecutar PI01 – UC-01_x000a_Crear tarea"/>
    <x v="1"/>
    <s v="LP"/>
    <n v="2"/>
    <n v="30"/>
    <d v="2025-10-08T00:00:00"/>
    <d v="1899-12-30T09:00:00"/>
    <d v="2025-10-07T00:00:00"/>
    <d v="1899-12-30T10:30:00"/>
    <n v="4"/>
    <n v="1"/>
    <n v="26"/>
    <s v="Crear tarea y verificar_x000a_persistencia/visualización."/>
  </r>
  <r>
    <s v="Ejecutar PI02 – UC-02_x000a_Asignar tarea"/>
    <x v="1"/>
    <s v="LP"/>
    <n v="1"/>
    <n v="30"/>
    <d v="2025-10-08T00:00:00"/>
    <d v="1899-12-30T09:00:00"/>
    <d v="2025-10-07T00:00:00"/>
    <d v="1899-12-30T11:00:00"/>
    <n v="4"/>
    <n v="2"/>
    <n v="26"/>
    <s v="Asignar responsable y validar en_x000a_lista/detalle."/>
  </r>
  <r>
    <s v="Ejecutar PI03 – UC-03_x000a_Cambiar_x000a_fecha límite"/>
    <x v="1"/>
    <s v="LP"/>
    <n v="1"/>
    <n v="30"/>
    <d v="2025-10-08T00:00:00"/>
    <d v="1899-12-30T09:00:00"/>
    <d v="2025-10-07T00:00:00"/>
    <d v="1899-12-30T11:30:00"/>
    <n v="0"/>
    <n v="2"/>
    <n v="30"/>
    <s v="Modificar vencimiento y reflejo en_x000a_UI/BD."/>
  </r>
  <r>
    <s v="Ejecutar PI04 – UC-04_x000a_Registrar_x000a_tiempo"/>
    <x v="0"/>
    <s v="LC"/>
    <n v="2"/>
    <n v="30"/>
    <d v="2025-10-08T00:00:00"/>
    <d v="1899-12-30T09:00:00"/>
    <d v="2025-10-07T00:00:00"/>
    <d v="1899-12-30T11:00:00"/>
    <n v="4"/>
    <n v="1"/>
    <n v="26"/>
    <s v="Registrar horas y actualizar_x000a_progreso"/>
  </r>
  <r>
    <s v="Ejecutar PI05 – UC-05_x000a_Completar_x000a_tarea"/>
    <x v="0"/>
    <s v="LC"/>
    <n v="1"/>
    <n v="30"/>
    <d v="2025-10-08T00:00:00"/>
    <d v="1899-12-30T09:00:00"/>
    <d v="2025-10-07T00:00:00"/>
    <d v="1899-12-30T11:30:00"/>
    <n v="4"/>
    <n v="1"/>
    <n v="26"/>
    <s v="Cambiar estado a “Completada” con_x000a_validaciones."/>
  </r>
  <r>
    <s v="Ejecutar PI06 – UC-06_x000a_Crear KPI"/>
    <x v="0"/>
    <s v="LC"/>
    <n v="1"/>
    <n v="30"/>
    <d v="2025-10-08T00:00:00"/>
    <d v="1899-12-30T09:00:00"/>
    <d v="2025-10-07T00:00:00"/>
    <d v="1899-12-30T12:00:00"/>
    <n v="4"/>
    <n v="1"/>
    <n v="26"/>
    <s v="Crear KPI (nombre/fórmula/objetivo)_x000a_para dashboard/reporte."/>
  </r>
  <r>
    <s v="Ejecutar PI07 – UC-07_x000a_Ver_x000a_dashboard"/>
    <x v="5"/>
    <s v="LA"/>
    <n v="1"/>
    <n v="30"/>
    <d v="2025-10-08T00:00:00"/>
    <d v="1899-12-30T09:00:00"/>
    <d v="2025-10-07T00:00:00"/>
    <d v="1899-12-30T08:00:00"/>
    <n v="4"/>
    <n v="1"/>
    <n v="26"/>
    <s v="Visualizar KPIs y tareas integradas."/>
  </r>
  <r>
    <s v="Ejecutar PI08 – UC-08_x000a_Generar_x000a_reporte"/>
    <x v="5"/>
    <s v="LA"/>
    <n v="1"/>
    <n v="30"/>
    <d v="2025-10-08T00:00:00"/>
    <d v="1899-12-30T09:00:00"/>
    <d v="2025-10-07T00:00:00"/>
    <d v="1899-12-30T08:30:00"/>
    <n v="4"/>
    <n v="1"/>
    <n v="26"/>
    <s v="Descargar PDF/Excel con filtros y_x000a_validar consistencia."/>
  </r>
  <r>
    <s v="Ejecutar PI09 – UC-09_x000a_Visualizar_x000a_KPI"/>
    <x v="3"/>
    <s v="LE"/>
    <n v="1"/>
    <n v="30"/>
    <d v="2025-10-08T00:00:00"/>
    <d v="1899-12-30T09:00:00"/>
    <d v="2025-10-06T00:00:00"/>
    <d v="1899-12-30T12:30:00"/>
    <n v="0"/>
    <n v="1"/>
    <n v="30"/>
    <s v="Ver valor/gráfica y contrastar con_x000a_BD."/>
  </r>
  <r>
    <s v="Ejecutar PI10 – UC-10_x000a_Ver lista de_x000a_tareas"/>
    <x v="4"/>
    <s v="LD"/>
    <n v="1"/>
    <n v="30"/>
    <d v="2025-10-08T00:00:00"/>
    <d v="1899-12-30T09:00:00"/>
    <d v="2025-10-07T00:00:00"/>
    <d v="1899-12-30T11:00:00"/>
    <n v="0"/>
    <n v="1"/>
    <n v="30"/>
    <s v="Listar tareas con estado y_x000a_responsable."/>
  </r>
  <r>
    <s v="Ejecutar PI11 – UC-11_x000a_Tarea→Proy_x000a_ecto"/>
    <x v="4"/>
    <s v="LD"/>
    <n v="1"/>
    <n v="30"/>
    <d v="2025-10-08T00:00:00"/>
    <d v="1899-12-30T09:00:00"/>
    <d v="2025-10-07T00:00:00"/>
    <d v="1899-12-30T11:30:00"/>
    <n v="0"/>
    <n v="1"/>
    <n v="30"/>
    <s v="Vincular tarea a proyecto y validar_x000a_relación."/>
  </r>
  <r>
    <s v="Ejecutar PI12 – UC-12_x000a_Editar tarea"/>
    <x v="5"/>
    <s v="LA"/>
    <n v="1"/>
    <n v="30"/>
    <d v="2025-10-08T00:00:00"/>
    <d v="1899-12-30T09:00:00"/>
    <d v="2025-10-07T00:00:00"/>
    <d v="1899-12-30T09:00:00"/>
    <n v="0"/>
    <n v="1"/>
    <n v="30"/>
    <s v="Modificar campos y verificar_x000a_integridad."/>
  </r>
  <r>
    <s v="Ejecutar PI13 – UC-13_x000a_Filtrar tareas"/>
    <x v="3"/>
    <s v="LE"/>
    <n v="1"/>
    <n v="30"/>
    <d v="2025-10-08T00:00:00"/>
    <d v="1899-12-30T09:00:00"/>
    <d v="2025-10-06T00:00:00"/>
    <d v="1899-12-30T13:00:00"/>
    <n v="0"/>
    <n v="1"/>
    <n v="30"/>
    <s v="Aplicar filtros por_x000a_fecha/estado/usuario"/>
  </r>
  <r>
    <s v="Ejecutar PI14 – UC-14_x000a_Ver progreso"/>
    <x v="2"/>
    <s v="LS"/>
    <n v="1"/>
    <n v="30"/>
    <d v="2025-10-08T00:00:00"/>
    <d v="1899-12-30T09:00:00"/>
    <d v="2025-10-07T00:00:00"/>
    <d v="1899-12-30T11:00:00"/>
    <n v="0"/>
    <n v="1"/>
    <n v="30"/>
    <s v="Visualizar %/horas vs. registros de_x000a_tiempo."/>
  </r>
  <r>
    <s v="Ejecutar PI15 – UC-15_x000a_Ver_x000a_notificaciones"/>
    <x v="2"/>
    <s v="LS"/>
    <n v="1"/>
    <n v="30"/>
    <d v="2025-10-08T00:00:00"/>
    <d v="1899-12-30T09:00:00"/>
    <d v="2025-10-07T00:00:00"/>
    <d v="1899-12-30T11:30:00"/>
    <n v="0"/>
    <n v="1"/>
    <n v="30"/>
    <s v="Listar notificaciones generadas por_x000a_eventos."/>
  </r>
  <r>
    <s v="Ejecutar PI16 – UC-16_x000a_Marcar_x000a_notificación_x000a_leída"/>
    <x v="2"/>
    <s v="LS"/>
    <n v="1"/>
    <n v="30"/>
    <d v="2025-10-08T00:00:00"/>
    <d v="1899-12-30T09:00:00"/>
    <d v="2025-10-07T00:00:00"/>
    <d v="1899-12-30T12:00:00"/>
    <n v="0"/>
    <n v="1"/>
    <n v="30"/>
    <s v="Cambiar estado y persistir cambio"/>
  </r>
  <r>
    <s v="Ejecutar PI17 – UC-17_x000a_Detalle de_x000a_tarea"/>
    <x v="3"/>
    <s v="LE"/>
    <n v="1"/>
    <n v="30"/>
    <d v="2025-10-08T00:00:00"/>
    <d v="1899-12-30T09:00:00"/>
    <d v="2025-10-06T00:00:00"/>
    <d v="1899-12-30T13:30:00"/>
    <n v="0"/>
    <n v="1"/>
    <n v="30"/>
    <s v="Mostrar ficha completa (desc.,_x000a_vencimiento, responsable, horas)."/>
  </r>
  <r>
    <s v="Ejecutar PI18 – UC-18_x000a_Eliminar_x000a_tarea"/>
    <x v="4"/>
    <s v="LD"/>
    <n v="1"/>
    <n v="30"/>
    <d v="2025-10-08T00:00:00"/>
    <d v="1899-12-30T09:00:00"/>
    <d v="2025-10-07T00:00:00"/>
    <d v="1899-12-30T12:00:00"/>
    <n v="0"/>
    <n v="1"/>
    <n v="30"/>
    <s v="Borrar tarea y validar_x000a_integridad/ocultamiento."/>
  </r>
  <r>
    <s v="Ejecutar PI-019 Crear proyecto"/>
    <x v="3"/>
    <s v="LE"/>
    <n v="1"/>
    <n v="30"/>
    <d v="2025-10-08T00:00:00"/>
    <d v="1899-12-30T09:00:00"/>
    <d v="2025-10-06T00:00:00"/>
    <d v="1899-12-30T14:00:00"/>
    <n v="0"/>
    <n v="1"/>
    <n v="30"/>
    <s v="Crear un nuevo proyecto con las especificaciones dichas"/>
  </r>
  <r>
    <s v="Ejecutar PI-020 Editar proyecto"/>
    <x v="0"/>
    <s v="LC"/>
    <n v="1"/>
    <n v="30"/>
    <d v="2025-10-08T00:00:00"/>
    <d v="1899-12-30T09:00:00"/>
    <d v="2025-10-07T00:00:00"/>
    <d v="1899-12-30T12:00:00"/>
    <n v="0"/>
    <n v="1"/>
    <n v="30"/>
    <s v="No comentarios"/>
  </r>
  <r>
    <s v="Ejecutar PI-021 Eliminar proyecto"/>
    <x v="4"/>
    <s v="LD"/>
    <n v="1"/>
    <n v="30"/>
    <d v="2025-10-08T00:00:00"/>
    <d v="1899-12-30T09:00:00"/>
    <d v="2025-10-07T00:00:00"/>
    <d v="1899-12-30T12:30:00"/>
    <n v="0"/>
    <n v="1"/>
    <n v="30"/>
    <s v="No comentarios"/>
  </r>
  <r>
    <s v="Ejecutar PI-022 Filtrar proyecto"/>
    <x v="2"/>
    <s v="LS"/>
    <n v="1"/>
    <n v="30"/>
    <d v="2025-10-08T00:00:00"/>
    <d v="1899-12-30T09:00:00"/>
    <d v="2025-10-07T00:00:00"/>
    <d v="1899-12-30T12:30:00"/>
    <n v="0"/>
    <n v="1"/>
    <n v="30"/>
    <s v="Con la programación del filtro permita ver, lo que el usuario necesita."/>
  </r>
  <r>
    <s v="Ejecutar PI-023 Ver proyecto"/>
    <x v="1"/>
    <s v="LP"/>
    <n v="1"/>
    <n v="30"/>
    <d v="2025-10-08T00:00:00"/>
    <d v="1899-12-30T09:00:00"/>
    <d v="2025-10-07T00:00:00"/>
    <d v="1899-12-30T12:00:00"/>
    <n v="0"/>
    <n v="1"/>
    <n v="30"/>
    <s v="La opción despliegue el menu para ver las tareas"/>
  </r>
  <r>
    <s v="Ejecutar PI-024 Cambiar fecha proyecto"/>
    <x v="5"/>
    <s v="LA"/>
    <n v="1"/>
    <n v="30"/>
    <d v="2025-10-08T00:00:00"/>
    <d v="1899-12-30T09:00:00"/>
    <d v="2025-10-07T00:00:00"/>
    <d v="1899-12-30T09:30:00"/>
    <n v="0"/>
    <n v="1"/>
    <n v="30"/>
    <s v="Habilite la opción para Cambiar la fecha de vencimiento."/>
  </r>
  <r>
    <s v="Informe de Pruebas"/>
    <x v="3"/>
    <s v="LE"/>
    <n v="1"/>
    <n v="30"/>
    <d v="2025-10-08T00:00:00"/>
    <d v="1899-12-30T09:00:00"/>
    <d v="2025-10-06T00:00:00"/>
    <d v="1899-12-30T14:30:00"/>
    <n v="0"/>
    <n v="1"/>
    <n v="30"/>
    <s v="Dentro del &quot;PLAN DE PRUEBAS&quot;agregamos las evidencias para incluir este informe."/>
  </r>
  <r>
    <s v="Informe de Pruebas"/>
    <x v="1"/>
    <s v="LP"/>
    <n v="1"/>
    <n v="30"/>
    <d v="2025-10-08T00:00:00"/>
    <d v="1899-12-30T09:00:00"/>
    <d v="2025-10-07T00:00:00"/>
    <d v="1899-12-30T12:30:00"/>
    <n v="0"/>
    <n v="1"/>
    <n v="30"/>
    <s v="Dentro del &quot;PLAN DE PRUEBAS&quot;agregamos las evidencias para incluir este informe."/>
  </r>
  <r>
    <s v="Informe de Pruebas"/>
    <x v="5"/>
    <s v="LA"/>
    <n v="1"/>
    <n v="30"/>
    <d v="2025-10-08T00:00:00"/>
    <d v="1899-12-30T09:00:00"/>
    <d v="2025-10-07T00:00:00"/>
    <d v="1899-12-30T10:00:00"/>
    <n v="0"/>
    <n v="1"/>
    <n v="30"/>
    <s v="Dentro del &quot;PLAN DE PRUEBAS&quot;agregamos las evidencias para incluir este informe."/>
  </r>
  <r>
    <s v="Informe de Pruebas"/>
    <x v="2"/>
    <s v="LS"/>
    <n v="1"/>
    <n v="30"/>
    <d v="2025-10-08T00:00:00"/>
    <d v="1899-12-30T09:00:00"/>
    <d v="2025-10-07T00:00:00"/>
    <d v="1899-12-30T13:00:00"/>
    <n v="0"/>
    <n v="1"/>
    <n v="30"/>
    <s v="Dentro del &quot;PLAN DE PRUEBAS&quot;agregamos las evidencias para incluir este informe."/>
  </r>
  <r>
    <s v="Informe de Pruebas"/>
    <x v="4"/>
    <s v="LD"/>
    <n v="1"/>
    <n v="30"/>
    <d v="2025-10-08T00:00:00"/>
    <d v="1899-12-30T09:00:00"/>
    <d v="2025-10-07T00:00:00"/>
    <d v="1899-12-30T13:00:00"/>
    <n v="0"/>
    <n v="1"/>
    <n v="30"/>
    <s v="Dentro del &quot;PLAN DE PRUEBAS&quot;agregamos las evidencias para incluir este informe."/>
  </r>
  <r>
    <s v="Informe de Pruebas"/>
    <x v="0"/>
    <s v="LC"/>
    <n v="1"/>
    <n v="30"/>
    <d v="2025-10-08T00:00:00"/>
    <d v="1899-12-30T09:00:00"/>
    <d v="2025-10-07T00:00:00"/>
    <d v="1899-12-30T12:30:00"/>
    <n v="0"/>
    <n v="1"/>
    <n v="30"/>
    <s v="Dentro del &quot;PLAN DE PRUEBAS&quot;agregamos las evidencias para incluir este informe."/>
  </r>
  <r>
    <s v="Informe_x000a_Consolidado_x000a_del Ciclo"/>
    <x v="3"/>
    <s v="LE"/>
    <n v="1"/>
    <n v="30"/>
    <d v="2025-10-08T00:00:00"/>
    <d v="1899-12-30T09:00:00"/>
    <d v="2025-10-07T00:00:00"/>
    <d v="1899-12-30T15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1"/>
    <s v="LP"/>
    <n v="1"/>
    <n v="30"/>
    <d v="2025-10-08T00:00:00"/>
    <d v="1899-12-30T09:00:00"/>
    <d v="2025-10-07T00:00:00"/>
    <d v="1899-12-30T13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2"/>
    <s v="LS"/>
    <n v="1"/>
    <n v="30"/>
    <d v="2025-10-08T00:00:00"/>
    <d v="1899-12-30T09:00:00"/>
    <d v="2025-10-07T00:00:00"/>
    <d v="1899-12-30T13:3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5"/>
    <s v="LA"/>
    <n v="1"/>
    <n v="30"/>
    <d v="2025-10-08T00:00:00"/>
    <d v="1899-12-30T09:00:00"/>
    <d v="2025-10-07T00:00:00"/>
    <d v="1899-12-30T10:3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0"/>
    <s v="LC"/>
    <n v="1"/>
    <n v="30"/>
    <d v="2025-10-08T00:00:00"/>
    <d v="1899-12-30T09:00:00"/>
    <d v="2025-10-07T00:00:00"/>
    <d v="1899-12-30T13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4"/>
    <s v="LD"/>
    <n v="1"/>
    <n v="30"/>
    <d v="2025-10-08T00:00:00"/>
    <d v="1899-12-30T09:00:00"/>
    <d v="2025-10-07T00:00:00"/>
    <d v="1899-12-30T13:30:00"/>
    <n v="0"/>
    <n v="1"/>
    <n v="30"/>
    <s v="Resumen global de PIs_x000a_(aprobados/fallidos), métricas,_x000a_defectos por severidad/prioridad y_x000a_conclusión de aptitud para UAT."/>
  </r>
  <r>
    <s v="Revisión y_x000a_Firma del_x000a_Informe_x000a_Consolidado"/>
    <x v="3"/>
    <s v="LE"/>
    <n v="1"/>
    <n v="30"/>
    <d v="2025-10-08T00:00:00"/>
    <d v="1899-12-30T09:00:00"/>
    <d v="2025-10-07T00:00:00"/>
    <d v="1899-12-30T15:30:00"/>
    <n v="0"/>
    <n v="1"/>
    <n v="30"/>
    <s v="Revisión de hallazgos, aceptación y_x000a_firma del cierre de ciclo. "/>
  </r>
  <r>
    <s v="Revisión y_x000a_Firma del_x000a_Informe_x000a_Consolidado"/>
    <x v="1"/>
    <s v="LP"/>
    <n v="1"/>
    <n v="30"/>
    <d v="2025-10-08T00:00:00"/>
    <d v="1899-12-30T09:00:00"/>
    <d v="2025-10-07T00:00:00"/>
    <d v="1899-12-30T13:30:00"/>
    <n v="0"/>
    <n v="1"/>
    <n v="30"/>
    <s v="Revisión de hallazgos, aceptación y_x000a_firma del cierre de ciclo. "/>
  </r>
  <r>
    <s v="Revisión y_x000a_Firma del_x000a_Informe_x000a_Consolidado"/>
    <x v="4"/>
    <s v="LD"/>
    <n v="1"/>
    <n v="30"/>
    <d v="2025-10-08T00:00:00"/>
    <d v="1899-12-30T09:00:00"/>
    <d v="2025-10-07T00:00:00"/>
    <d v="1899-12-30T14:00:00"/>
    <n v="0"/>
    <n v="1"/>
    <n v="30"/>
    <s v="Revisión de hallazgos, aceptación y_x000a_firma del cierre de ciclo. "/>
  </r>
  <r>
    <s v="Revisión y_x000a_Firma del_x000a_Informe_x000a_Consolidado"/>
    <x v="2"/>
    <s v="LS"/>
    <n v="1"/>
    <n v="30"/>
    <d v="2025-10-08T00:00:00"/>
    <d v="1899-12-30T09:00:00"/>
    <d v="2025-10-07T00:00:00"/>
    <d v="1899-12-30T14:00:00"/>
    <n v="0"/>
    <n v="1"/>
    <n v="30"/>
    <s v="Revisión de hallazgos, aceptación y_x000a_firma del cierre de ciclo. "/>
  </r>
  <r>
    <s v="Revisión y_x000a_Firma del_x000a_Informe_x000a_Consolidado"/>
    <x v="0"/>
    <s v="LC"/>
    <n v="1"/>
    <n v="30"/>
    <d v="2025-10-08T00:00:00"/>
    <d v="1899-12-30T09:00:00"/>
    <d v="2025-10-07T00:00:00"/>
    <d v="1899-12-30T13:30:00"/>
    <n v="2"/>
    <n v="1"/>
    <n v="28"/>
    <s v="Revisión de hallazgos, aceptación y_x000a_firma del cierre de ciclo. "/>
  </r>
  <r>
    <s v="Revisión y_x000a_Firma del_x000a_Informe_x000a_Consolidado"/>
    <x v="5"/>
    <s v="LA"/>
    <n v="1"/>
    <n v="30"/>
    <d v="2025-10-08T00:00:00"/>
    <d v="1899-12-30T09:00:00"/>
    <d v="2025-10-07T00:00:00"/>
    <d v="1899-12-30T11:00:00"/>
    <n v="10"/>
    <n v="1"/>
    <n v="20"/>
    <s v="Revisión de hallazgos, aceptación y_x000a_firma del cierre de ciclo. "/>
  </r>
  <r>
    <s v="Archivo y_x000a_Distribución_x000a_de Informes"/>
    <x v="3"/>
    <s v="LE"/>
    <n v="1"/>
    <n v="30"/>
    <d v="2025-10-08T00:00:00"/>
    <d v="1899-12-30T09:00:00"/>
    <d v="2025-10-07T00:00:00"/>
    <d v="1899-12-30T16:30:00"/>
    <n v="0"/>
    <n v="1"/>
    <n v="30"/>
    <s v="Publicar informes (carpeta PI y_x000a_consolidado), notificar a interesados. "/>
  </r>
  <r>
    <s v="Corrección de informe de pruebas y planes"/>
    <x v="0"/>
    <s v="LC"/>
    <n v="1"/>
    <n v="30"/>
    <d v="2025-10-08T00:00:00"/>
    <d v="1899-12-30T09:00:00"/>
    <d v="2025-10-07T00:00:00"/>
    <d v="1899-12-30T16:30:00"/>
    <n v="0"/>
    <n v="1"/>
    <n v="30"/>
    <s v="Corrección ortografica o lógica de los documentos de esta fase."/>
  </r>
  <r>
    <s v="Control de _x000a_cambios "/>
    <x v="0"/>
    <s v="LC"/>
    <n v="1"/>
    <n v="20"/>
    <d v="2025-10-08T00:00:00"/>
    <d v="1899-12-30T09:00:00"/>
    <d v="2025-10-07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10-08T00:00:00"/>
    <d v="1899-12-30T09:00:00"/>
    <d v="2025-10-07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08T00:00:00"/>
    <d v="1899-12-30T09:00:00"/>
    <d v="2025-10-07T00:00:00"/>
    <d v="1899-12-30T20:00:00"/>
    <n v="6"/>
    <n v="1"/>
    <n v="24"/>
    <s v="Identificar, clasificar y dar seguimiento a_x000a_riesgos del proyecto."/>
  </r>
  <r>
    <s v="Log de defectos(apertura,seguimiento y cierre)"/>
    <x v="4"/>
    <s v="LD"/>
    <n v="1"/>
    <n v="30"/>
    <d v="2025-10-08T00:00:00"/>
    <d v="1899-12-30T09:00:00"/>
    <d v="2025-10-07T00:00:00"/>
    <d v="1899-12-30T20:00:00"/>
    <n v="0"/>
    <n v="1"/>
    <n v="30"/>
    <s v="Registrar incidencias y defectos, dar_x000a_seguimiento y cerrar tras validación."/>
  </r>
  <r>
    <s v="Bitácoras y actas"/>
    <x v="4"/>
    <s v="LD"/>
    <n v="5"/>
    <n v="50"/>
    <d v="2025-10-08T00:00:00"/>
    <d v="1899-12-30T09:00:00"/>
    <d v="2025-10-07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S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E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A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D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3"/>
    <s v="LE"/>
    <n v="1"/>
    <n v="30"/>
    <d v="2025-10-08T00:00:00"/>
    <d v="1899-12-30T09:00:00"/>
    <d v="2025-10-07T00:00:00"/>
    <d v="1899-12-30T22:00:00"/>
    <n v="0"/>
    <n v="1"/>
    <n v="30"/>
    <s v="No comentarios"/>
  </r>
  <r>
    <s v="Llenado de log de defectos"/>
    <x v="0"/>
    <s v="LC"/>
    <n v="1"/>
    <n v="30"/>
    <d v="2025-10-08T00:00:00"/>
    <d v="1899-12-30T09:00:00"/>
    <d v="2025-10-07T00:00:00"/>
    <d v="1899-12-30T22:00:00"/>
    <n v="0"/>
    <n v="1"/>
    <n v="30"/>
    <s v="No comentarios"/>
  </r>
  <r>
    <s v="Acta de reunión"/>
    <x v="0"/>
    <s v="LC"/>
    <n v="1"/>
    <n v="45"/>
    <d v="2025-10-08T00:00:00"/>
    <d v="1899-12-30T09:00:00"/>
    <d v="2025-10-07T00:00:00"/>
    <d v="1899-12-30T22:30:00"/>
    <n v="-35"/>
    <n v="1"/>
    <n v="80"/>
    <s v="Ordenar en grupo todos los documentos asignados para la primera entrega"/>
  </r>
  <r>
    <s v="Elaboración de diapositivas(Informe final)"/>
    <x v="3"/>
    <s v="LE"/>
    <n v="1"/>
    <n v="60"/>
    <d v="2025-10-08T00:00:00"/>
    <d v="1899-12-30T09:00:00"/>
    <d v="2025-10-07T00:00:00"/>
    <d v="1899-12-30T22:30:00"/>
    <n v="10"/>
    <n v="1"/>
    <n v="50"/>
    <s v="Diapositivas con los documentos hechos "/>
  </r>
  <r>
    <s v="Maestro de documentos"/>
    <x v="3"/>
    <s v="LE"/>
    <n v="1"/>
    <n v="55"/>
    <d v="2025-10-08T00:00:00"/>
    <d v="1899-12-30T09:00:00"/>
    <d v="2025-10-07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S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E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A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D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3"/>
    <s v="LE"/>
    <n v="3"/>
    <n v="20"/>
    <d v="2025-10-08T00:00:00"/>
    <d v="1899-12-30T09:00:00"/>
    <d v="2025-10-08T00:00:00"/>
    <d v="1899-12-30T09:00:00"/>
    <n v="5"/>
    <n v="3"/>
    <n v="15"/>
    <s v="Todos los documentos subidos _x000a_y actualizados en la pagina 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Script de definición de procesos(POST-MORTEM)"/>
    <x v="0"/>
    <s v="LC"/>
    <n v="1"/>
    <n v="30"/>
    <d v="2025-10-15T00:00:00"/>
    <d v="1899-12-30T09:00:00"/>
    <d v="2025-10-13T00:00:00"/>
    <d v="1899-12-30T19:00:00"/>
    <n v="0"/>
    <n v="1"/>
    <n v="30"/>
    <s v="Diligenciar el formato correspondiente al script de definición de procesos"/>
  </r>
  <r>
    <s v="Script de definición de procesos(POST-MORTEM)"/>
    <x v="1"/>
    <s v="LP"/>
    <n v="1"/>
    <n v="30"/>
    <d v="2025-10-15T00:00:00"/>
    <d v="1899-12-30T09:00:00"/>
    <d v="2025-10-13T00:00:00"/>
    <d v="1899-12-30T19:00:00"/>
    <n v="0"/>
    <n v="1"/>
    <n v="30"/>
    <s v="Se realizo el llenado del control de asignaciones para asi terminar con éxito la fase 9 de POST-MORTEM y para que los demas lideres llenen sus bitácoras"/>
  </r>
  <r>
    <s v="Recolección de_x000a_métricas_x000a_del ciclo"/>
    <x v="0"/>
    <s v="LC"/>
    <n v="1"/>
    <n v="30"/>
    <d v="2025-10-15T00:00:00"/>
    <d v="1899-12-30T09:00:00"/>
    <d v="2025-10-13T00:00:00"/>
    <d v="1899-12-30T10:00:00"/>
    <n v="2"/>
    <n v="1"/>
    <n v="28"/>
    <s v="Se recopilan los datos de_x000a_desempeño registrados en las_x000a_bitácoras, logs de defectos,_x000a_control de tareas y plan de_x000a_calidad. Se consolidan métricas_x000a_por equipo, integrante y rol."/>
  </r>
  <r>
    <s v="Recolección de_x000a_métricas_x000a_del ciclo"/>
    <x v="2"/>
    <s v="LS"/>
    <n v="1"/>
    <n v="30"/>
    <d v="2025-10-15T00:00:00"/>
    <d v="1899-12-30T09:00:00"/>
    <d v="2025-10-13T00:00:00"/>
    <d v="1899-12-30T10:00:00"/>
    <n v="2"/>
    <n v="1"/>
    <n v="28"/>
    <s v="Se recopilan los datos de_x000a_desempeño registrados en las_x000a_bitácoras, logs de defectos,_x000a_control de tareas y plan de_x000a_calidad. Se consolidan métricas_x000a_por equipo, integrante y rol."/>
  </r>
  <r>
    <s v="Análisis de_x000a_métricas_x000a_del_x000a_proyecto"/>
    <x v="0"/>
    <s v="LC"/>
    <n v="1"/>
    <n v="30"/>
    <d v="2025-10-15T00:00:00"/>
    <d v="1899-12-30T09:00:00"/>
    <d v="2025-10-13T00:00:00"/>
    <d v="1899-12-30T10:30:00"/>
    <n v="1"/>
    <n v="1"/>
    <n v="29"/>
    <s v="Se comparan los valores_x000a_estimados vs reales en tiempo,_x000a_esfuerzo y cumplimiento de_x000a_tareas. Se calcula el nivel de_x000a_desviación y porcentaje de_x000a_cumplimiento por fase y rol."/>
  </r>
  <r>
    <s v="Análisis de_x000a_métricas_x000a_del_x000a_proyecto"/>
    <x v="2"/>
    <s v="LS"/>
    <n v="1"/>
    <n v="30"/>
    <d v="2025-10-15T00:00:00"/>
    <d v="1899-12-30T09:00:00"/>
    <d v="2025-10-13T00:00:00"/>
    <d v="1899-12-30T10:30:00"/>
    <n v="1"/>
    <n v="1"/>
    <n v="29"/>
    <s v="Se comparan los valores_x000a_estimados vs reales en tiempo,_x000a_esfuerzo y cumplimiento de_x000a_tareas. Se calcula el nivel de_x000a_desviación y porcentaje de_x000a_cumplimiento por fase y rol."/>
  </r>
  <r>
    <s v="Seguimiento de tareas no planeadas"/>
    <x v="1"/>
    <s v="LP"/>
    <n v="1"/>
    <n v="30"/>
    <d v="2025-10-15T00:00:00"/>
    <d v="1899-12-30T09:00:00"/>
    <d v="2025-10-13T00:00:00"/>
    <d v="1899-12-30T10:00:00"/>
    <n v="3"/>
    <n v="2"/>
    <n v="27"/>
    <s v="Se identifican las tareas que_x000a_surgieron durante la ejecución y_x000a_no estaban previstas en la planificación inicial, evaluando_x000a_su impacto en tiempo y esfuerzo."/>
  </r>
  <r>
    <s v="Seguimiento de tareas no planeadas"/>
    <x v="3"/>
    <s v="LD"/>
    <n v="1"/>
    <n v="30"/>
    <d v="2025-10-15T00:00:00"/>
    <d v="1899-12-30T09:00:00"/>
    <d v="2025-10-13T00:00:00"/>
    <d v="1899-12-30T10:00:00"/>
    <n v="3"/>
    <n v="2"/>
    <n v="27"/>
    <s v="Se identifican las tareas que_x000a_surgieron durante la ejecución y_x000a_no estaban previstas en la planificación inicial, evaluando_x000a_su impacto en tiempo y esfuerzo."/>
  </r>
  <r>
    <s v="Evaluación_x000a_del plan de_x000a_calidad"/>
    <x v="4"/>
    <s v="LE"/>
    <n v="1"/>
    <n v="30"/>
    <d v="2025-10-15T00:00:00"/>
    <d v="1899-12-30T09:00:00"/>
    <d v="2025-10-13T00:00:00"/>
    <d v="1899-12-30T10:00:00"/>
    <n v="0"/>
    <n v="2"/>
    <n v="30"/>
    <s v="Se revisan los resultados de las_x000a_métricas de calidad: porcentaje_x000a_libre de defectos, efectividad de_x000a_revisiones, comparación de_x000a_tiempos de desarrollo y revisión,_x000a_y líneas de código (LOC)_x000a_analizadas."/>
  </r>
  <r>
    <s v="Evaluación_x000a_del plan de_x000a_calidad"/>
    <x v="5"/>
    <s v="LA"/>
    <n v="1"/>
    <n v="30"/>
    <d v="2025-10-15T00:00:00"/>
    <d v="1899-12-30T09:00:00"/>
    <d v="2025-10-13T00:00:00"/>
    <d v="1899-12-30T10:00:00"/>
    <n v="0"/>
    <n v="2"/>
    <n v="30"/>
    <s v="Se revisan los resultados de las_x000a_métricas de calidad: porcentaje_x000a_libre de defectos, efectividad de_x000a_revisiones, comparación de_x000a_tiempos de desarrollo y revisión,_x000a_y líneas de código (LOC)_x000a_analizadas."/>
  </r>
  <r>
    <s v="Gestión de_x000a_defectos e_x000a_incidencias"/>
    <x v="4"/>
    <s v="LE"/>
    <n v="1"/>
    <n v="30"/>
    <d v="2025-10-15T00:00:00"/>
    <d v="1899-12-30T09:00:00"/>
    <d v="2025-10-13T00:00:00"/>
    <d v="1899-12-30T10:30:00"/>
    <n v="4"/>
    <n v="1"/>
    <n v="26"/>
    <s v="Se realiza un análisis de_x000a_defectos por fase, tipo y_x000a_responsable. Se mide la_x000a_efectividad en la detección,_x000a_remoción y control de errores."/>
  </r>
  <r>
    <s v="Gestión de_x000a_defectos e_x000a_incidencias"/>
    <x v="5"/>
    <s v="LA"/>
    <n v="1"/>
    <n v="30"/>
    <d v="2025-10-15T00:00:00"/>
    <d v="1899-12-30T09:00:00"/>
    <d v="2025-10-13T00:00:00"/>
    <d v="1899-12-30T10:30:00"/>
    <n v="4"/>
    <n v="1"/>
    <n v="26"/>
    <s v="Se realiza un análisis de_x000a_defectos por fase, tipo y_x000a_responsable. Se mide la_x000a_efectividad en la detección,_x000a_remoción y control de errores."/>
  </r>
  <r>
    <s v="Comparación de_x000a_tiempos y_x000a_esfuerzo"/>
    <x v="4"/>
    <s v="LE"/>
    <n v="1"/>
    <n v="30"/>
    <d v="2025-10-15T00:00:00"/>
    <d v="1899-12-30T09:00:00"/>
    <d v="2025-10-13T00:00:00"/>
    <d v="1899-12-30T11:00:00"/>
    <n v="0"/>
    <n v="1"/>
    <n v="30"/>
    <s v="Se contrastan los tiempos_x000a_dedicados a documentación,_x000a_revisión e implementación para_x000a_evaluar la eficiencia del equipo y_x000a_el equilibrio de carga de trabajo."/>
  </r>
  <r>
    <s v="Comparación de_x000a_tiempos y_x000a_esfuerzo"/>
    <x v="5"/>
    <s v="LA"/>
    <n v="1"/>
    <n v="30"/>
    <d v="2025-10-15T00:00:00"/>
    <d v="1899-12-30T09:00:00"/>
    <d v="2025-10-13T00:00:00"/>
    <d v="1899-12-30T11:00:00"/>
    <n v="0"/>
    <n v="1"/>
    <n v="30"/>
    <s v="Se contrastan los tiempos_x000a_dedicados a documentación,_x000a_revisión e implementación para_x000a_evaluar la eficiencia del equipo y_x000a_el equilibrio de carga de trabajo."/>
  </r>
  <r>
    <s v="Evaluación_x000a_de_x000a_requerimientos_x000a_implementados"/>
    <x v="0"/>
    <s v="LC"/>
    <n v="1"/>
    <n v="30"/>
    <d v="2025-10-15T00:00:00"/>
    <d v="1899-12-30T09:00:00"/>
    <d v="2025-10-13T00:00:00"/>
    <d v="1899-12-30T11:00:00"/>
    <n v="2"/>
    <n v="1"/>
    <n v="28"/>
    <s v="Se revisan los requerimientos_x000a_planeados en el acta de_x000a_lanzamiento versus los_x000a_efectivamente implementados y_x000a_probados."/>
  </r>
  <r>
    <s v="Evaluación_x000a_de_x000a_requerimientos_x000a_implementados"/>
    <x v="2"/>
    <s v="LS"/>
    <n v="1"/>
    <n v="30"/>
    <d v="2025-10-15T00:00:00"/>
    <d v="1899-12-30T09:00:00"/>
    <d v="2025-10-13T00:00:00"/>
    <d v="1899-12-30T11:00:00"/>
    <n v="2"/>
    <n v="1"/>
    <n v="28"/>
    <s v="Se revisan los requerimientos_x000a_planeados en el acta de_x000a_lanzamiento versus los_x000a_efectivamente implementados y_x000a_probados."/>
  </r>
  <r>
    <s v="Consolidación de_x000a_documentos y_x000a_plantillas_x000a_revisadas"/>
    <x v="0"/>
    <s v="LC"/>
    <n v="1"/>
    <n v="30"/>
    <d v="2025-10-15T00:00:00"/>
    <d v="1899-12-30T09:00:00"/>
    <d v="2025-10-13T00:00:00"/>
    <d v="1899-12-30T11:30:00"/>
    <n v="2"/>
    <n v="1"/>
    <n v="28"/>
    <s v="Se verifican las plantillas_x000a_elaboradas, documentos_x000a_actualizados y revisiones_x000a_realizadas en cada fase del ciclo."/>
  </r>
  <r>
    <s v="Consolidación de_x000a_documentos y_x000a_plantillas_x000a_revisadas"/>
    <x v="2"/>
    <s v="LS"/>
    <n v="1"/>
    <n v="30"/>
    <d v="2025-10-15T00:00:00"/>
    <d v="1899-12-30T09:00:00"/>
    <d v="2025-10-13T00:00:00"/>
    <d v="1899-12-30T11:30:00"/>
    <n v="2"/>
    <n v="1"/>
    <n v="28"/>
    <s v="Se verifican las plantillas_x000a_elaboradas, documentos_x000a_actualizados y revisiones_x000a_realizadas en cada fase del ciclo."/>
  </r>
  <r>
    <s v="Análisis_x000a_DOFA del_x000a_ciclo"/>
    <x v="4"/>
    <s v="LE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1"/>
    <s v="LP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5"/>
    <s v="LA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3"/>
    <s v="LD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0"/>
    <s v="LC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2"/>
    <s v="LS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Elaboración del_x000a_Informe_x000a_Postmortem"/>
    <x v="4"/>
    <s v="LE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1"/>
    <s v="LP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5"/>
    <s v="LA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3"/>
    <s v="LD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0"/>
    <s v="LC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2"/>
    <s v="LS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Preparación de_x000a_informe_x000a_individual_x000a_por rol"/>
    <x v="0"/>
    <s v="LC"/>
    <n v="1"/>
    <n v="30"/>
    <d v="2025-10-15T00:00:00"/>
    <d v="1899-12-30T09:00:00"/>
    <d v="2025-10-13T00:00:00"/>
    <d v="1899-12-30T12:00:00"/>
    <n v="5"/>
    <n v="1"/>
    <n v="25"/>
    <s v="Cada integrante elabora su parte_x000a_de la presentación, detallando lo_x000a_realizado durante el ciclo,_x000a_sustentado en métricas y_x000a_entregas."/>
  </r>
  <r>
    <s v="Preparación de_x000a_informe_x000a_individual_x000a_por rol"/>
    <x v="2"/>
    <s v="LS"/>
    <n v="1"/>
    <n v="30"/>
    <d v="2025-10-15T00:00:00"/>
    <d v="1899-12-30T09:00:00"/>
    <d v="2025-10-13T00:00:00"/>
    <d v="1899-12-30T12:00:00"/>
    <n v="5"/>
    <n v="1"/>
    <n v="25"/>
    <s v="Cada integrante elabora su parte_x000a_de la presentación, detallando lo_x000a_realizado durante el ciclo,_x000a_sustentado en métricas y_x000a_entregas."/>
  </r>
  <r>
    <s v="Identificación de_x000a_aspectos_x000a_positivos y_x000a_negativos"/>
    <x v="4"/>
    <s v="LS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1"/>
    <s v="LP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5"/>
    <s v="LA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3"/>
    <s v="LD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0"/>
    <s v="LC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2"/>
    <s v="LS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Formulación de_x000a_propuestas de_x000a_mejora_x000a_(problema solución)"/>
    <x v="4"/>
    <s v="LE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1"/>
    <s v="LP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5"/>
    <s v="LA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3"/>
    <s v="LD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0"/>
    <s v="LC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2"/>
    <s v="LS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Reporte de_x000a_ciclo_x000a_(análisis de proceso,_x000a_esfuerzo y_x000a_producto)"/>
    <x v="1"/>
    <s v="LP"/>
    <n v="1"/>
    <n v="30"/>
    <d v="2025-10-15T00:00:00"/>
    <d v="1899-12-30T09:00:00"/>
    <d v="2025-10-13T00:00:00"/>
    <d v="1899-12-30T10:30:00"/>
    <n v="6"/>
    <n v="1"/>
    <n v="24"/>
    <s v="Se consolidan los resultados del_x000a_equipo respecto al proceso_x000a_seguido, el esfuerzo invertido y la_x000a_calidad del producto entregado."/>
  </r>
  <r>
    <s v="Reporte de_x000a_ciclo_x000a_(análisis de proceso,_x000a_esfuerzo y_x000a_producto)"/>
    <x v="3"/>
    <s v="LD"/>
    <n v="1"/>
    <n v="30"/>
    <d v="2025-10-15T00:00:00"/>
    <d v="1899-12-30T09:00:00"/>
    <d v="2025-10-13T00:00:00"/>
    <d v="1899-12-30T10:30:00"/>
    <n v="6"/>
    <n v="1"/>
    <n v="24"/>
    <s v="Se consolidan los resultados del_x000a_equipo respecto al proceso_x000a_seguido, el esfuerzo invertido y la_x000a_calidad del producto entregado."/>
  </r>
  <r>
    <s v="Diseño y_x000a_consolidación de la_x000a_presentación final"/>
    <x v="4"/>
    <s v="LE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1"/>
    <s v="LP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5"/>
    <s v="LA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3"/>
    <s v="LD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0"/>
    <s v="LC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2"/>
    <s v="LS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Revisión y_x000a_validación_x000a_final de_x000a_entregables"/>
    <x v="4"/>
    <s v="LE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1"/>
    <s v="LP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5"/>
    <s v="LA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3"/>
    <s v="LD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0"/>
    <s v="LC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2"/>
    <s v="LS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Entrega y_x000a_exposición_x000a_del_x000a_Postmortem"/>
    <x v="4"/>
    <s v="LE"/>
    <n v="1"/>
    <n v="30"/>
    <d v="2025-10-15T00:00:00"/>
    <d v="1899-12-30T09:00:00"/>
    <d v="2025-10-13T00:00:00"/>
    <d v="1899-12-30T19:30:00"/>
    <n v="0"/>
    <n v="7"/>
    <n v="30"/>
    <s v="Se entrega el documento final y_x000a_se realiza la exposición ante el_x000a_docente. Cada integrante_x000a_sustenta sus resultados y la_x000a_propuesta de mejora."/>
  </r>
  <r>
    <s v="Corrección de DOCUMENTOS POSTMORTEM"/>
    <x v="0"/>
    <s v="LC"/>
    <n v="1"/>
    <n v="30"/>
    <d v="2025-10-08T00:00:00"/>
    <d v="1899-12-30T09:00:00"/>
    <d v="2025-10-13T00:00:00"/>
    <d v="1899-12-30T16:30:00"/>
    <n v="0"/>
    <n v="1"/>
    <n v="30"/>
    <s v="Corrección ortografica o lógica de los documentos de esta fase."/>
  </r>
  <r>
    <s v="Control de _x000a_cambios "/>
    <x v="0"/>
    <s v="LC"/>
    <n v="1"/>
    <n v="20"/>
    <d v="2025-10-15T00:00:00"/>
    <d v="1899-12-30T09:00:00"/>
    <d v="2025-10-13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10-15T00:00:00"/>
    <d v="1899-12-30T09:00:00"/>
    <d v="2025-10-13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15T00:00:00"/>
    <d v="1899-12-30T09:00:00"/>
    <d v="2025-10-13T00:00:00"/>
    <d v="1899-12-30T20:00:00"/>
    <n v="6"/>
    <n v="1"/>
    <n v="24"/>
    <s v="Identificar, clasificar y dar seguimiento a_x000a_riesgos del proyecto."/>
  </r>
  <r>
    <s v="Log de defectos(apertura,seguimiento y cierre)"/>
    <x v="3"/>
    <s v="LD"/>
    <n v="1"/>
    <n v="30"/>
    <d v="2025-10-15T00:00:00"/>
    <d v="1899-12-30T09:00:00"/>
    <d v="2025-10-13T00:00:00"/>
    <d v="1899-12-30T20:00:00"/>
    <n v="0"/>
    <n v="1"/>
    <n v="30"/>
    <s v="Registrar incidencias y defectos, dar_x000a_seguimiento y cerrar tras validación."/>
  </r>
  <r>
    <s v="Bitácoras y actas"/>
    <x v="3"/>
    <s v="LD"/>
    <n v="5"/>
    <n v="50"/>
    <d v="2025-10-15T00:00:00"/>
    <d v="1899-12-30T09:00:00"/>
    <d v="2025-10-13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LP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LS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LE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LA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LC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LD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4"/>
    <s v="LE"/>
    <n v="1"/>
    <n v="30"/>
    <d v="2025-10-15T00:00:00"/>
    <d v="1899-12-30T09:00:00"/>
    <d v="2025-10-13T00:00:00"/>
    <d v="1899-12-30T22:00:00"/>
    <n v="0"/>
    <n v="1"/>
    <n v="30"/>
    <s v="No comentarios"/>
  </r>
  <r>
    <s v="Llenado de log de defectos"/>
    <x v="0"/>
    <s v="LC"/>
    <n v="1"/>
    <n v="30"/>
    <d v="2025-10-15T00:00:00"/>
    <d v="1899-12-30T09:00:00"/>
    <d v="2025-10-13T00:00:00"/>
    <d v="1899-12-30T22:00:00"/>
    <n v="0"/>
    <n v="1"/>
    <n v="30"/>
    <s v="No comentarios"/>
  </r>
  <r>
    <s v="Acta de reunión"/>
    <x v="0"/>
    <s v="LC"/>
    <n v="1"/>
    <n v="45"/>
    <d v="2025-10-15T00:00:00"/>
    <d v="1899-12-30T09:00:00"/>
    <d v="2025-10-13T00:00:00"/>
    <d v="1899-12-30T22:30:00"/>
    <n v="-35"/>
    <n v="1"/>
    <n v="80"/>
    <s v="Ordenar en grupo todos los documentos asignados para la primera entrega"/>
  </r>
  <r>
    <s v="Elaboración de diapositivas(Informe final)"/>
    <x v="4"/>
    <s v="LE"/>
    <n v="1"/>
    <n v="60"/>
    <d v="2025-10-15T00:00:00"/>
    <d v="1899-12-30T09:00:00"/>
    <d v="2025-10-13T00:00:00"/>
    <d v="1899-12-30T22:30:00"/>
    <n v="10"/>
    <n v="1"/>
    <n v="50"/>
    <s v="Diapositivas con los documentos hechos "/>
  </r>
  <r>
    <s v="Maestro de documentos"/>
    <x v="4"/>
    <s v="LE"/>
    <n v="1"/>
    <n v="55"/>
    <d v="2025-10-15T00:00:00"/>
    <d v="1899-12-30T09:00:00"/>
    <d v="2025-10-13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S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E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A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D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4"/>
    <s v="LE"/>
    <n v="3"/>
    <n v="20"/>
    <d v="2025-10-15T00:00:00"/>
    <d v="1899-12-30T09:00:00"/>
    <d v="2025-10-15T00:00:00"/>
    <d v="1899-12-30T09:00:00"/>
    <n v="5"/>
    <n v="3"/>
    <n v="15"/>
    <s v="Todos los documentos subidos _x000a_y actualizados en la pagina 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6">
  <r>
    <s v="Conformación del equipo (Nombre, Logo, Integrantes)"/>
    <x v="0"/>
    <s v="LE"/>
    <n v="1"/>
    <n v="45"/>
    <d v="2025-08-13T00:00:00"/>
    <d v="1899-12-30T09:00:00"/>
    <d v="2025-08-08T00:00:00"/>
    <d v="1899-12-30T10:30:00"/>
    <n v="-15"/>
    <n v="1"/>
    <n v="60"/>
    <s v="Realizamos la la elección de los integrantes del grupo e implementamos ideas para el logo y el nombre del grupo."/>
  </r>
  <r>
    <s v="Asignación de roles"/>
    <x v="0"/>
    <s v="LE"/>
    <n v="1"/>
    <n v="60"/>
    <d v="2025-08-13T00:00:00"/>
    <d v="1899-12-30T09:00:00"/>
    <d v="2025-08-08T00:00:00"/>
    <d v="1899-12-30T10:30:00"/>
    <n v="0"/>
    <n v="1"/>
    <n v="60"/>
    <s v="Se escogió minusiosamente la eleción de roles para cada actividad, se realizo mediante experiencias en anteriores proyectos."/>
  </r>
  <r>
    <s v="Asignación de roles"/>
    <x v="1"/>
    <s v="LP"/>
    <n v="1"/>
    <n v="60"/>
    <d v="2025-08-13T00:00:00"/>
    <d v="1899-12-30T09:00:00"/>
    <d v="2025-08-08T00:00:00"/>
    <d v="1899-12-30T10:30:00"/>
    <n v="0"/>
    <n v="1"/>
    <n v="60"/>
    <s v="Se escogió minusiosamente la eleción de roles para cada actividad, se realizo mediante experiencias en anteriores proyectos."/>
  </r>
  <r>
    <s v="Asignación de roles"/>
    <x v="2"/>
    <s v="LA"/>
    <n v="1"/>
    <n v="60"/>
    <d v="2025-08-13T00:00:00"/>
    <d v="1899-12-30T09:00:00"/>
    <d v="2025-08-08T00:00:00"/>
    <d v="1899-12-30T10:30:00"/>
    <n v="0"/>
    <n v="1"/>
    <n v="60"/>
    <s v="Se escogió minusiosamente la eleción de roles para cada actividad, se realizo mediante experiencias en anteriores proyectos."/>
  </r>
  <r>
    <s v="Asignación de roles"/>
    <x v="3"/>
    <s v="LC"/>
    <n v="1"/>
    <n v="60"/>
    <d v="2025-08-13T00:00:00"/>
    <d v="1899-12-30T09:00:00"/>
    <d v="2025-08-08T00:00:00"/>
    <d v="1899-12-30T10:30:00"/>
    <n v="0"/>
    <n v="1"/>
    <n v="60"/>
    <s v="Se escogió minusiosamente la eleción de roles para cada actividad, se realizo mediante experiencias en anteriores proyectos."/>
  </r>
  <r>
    <s v="Asignación de roles"/>
    <x v="4"/>
    <s v="LS"/>
    <n v="1"/>
    <n v="60"/>
    <d v="2025-08-13T00:00:00"/>
    <d v="1899-12-30T09:00:00"/>
    <d v="2025-08-08T00:00:00"/>
    <d v="1899-12-30T10:30:00"/>
    <n v="0"/>
    <n v="1"/>
    <n v="60"/>
    <s v="Se escogió minusiosamente la eleción de roles para cada actividad, se realizo mediante experiencias en anteriores proyectos."/>
  </r>
  <r>
    <s v="Asignación de roles"/>
    <x v="5"/>
    <s v="LD"/>
    <n v="1"/>
    <n v="60"/>
    <d v="2025-08-13T00:00:00"/>
    <d v="1899-12-30T09:00:00"/>
    <d v="2025-08-08T00:00:00"/>
    <d v="1899-12-30T10:30:00"/>
    <n v="0"/>
    <n v="1"/>
    <n v="60"/>
    <s v="Se escogió minusiosamente la eleción de roles para cada actividad, se realizo mediante experiencias en anteriores proyectos."/>
  </r>
  <r>
    <s v="Planificación del proyecto"/>
    <x v="0"/>
    <s v=" LE"/>
    <n v="1"/>
    <n v="50"/>
    <d v="2025-08-13T00:00:00"/>
    <d v="1899-12-30T09:00:00"/>
    <d v="2025-08-08T00:00:00"/>
    <d v="1899-12-30T11:00:00"/>
    <n v="-10"/>
    <n v="1"/>
    <n v="60"/>
    <s v="Reunión inicial de equipo donde la lider propuso con el lider de planeación las actividades y planeación del proyecto"/>
  </r>
  <r>
    <s v="Planificación del proyecto"/>
    <x v="1"/>
    <s v="LP"/>
    <n v="1"/>
    <n v="50"/>
    <d v="2025-08-13T00:00:00"/>
    <d v="1899-12-30T09:00:00"/>
    <d v="2025-08-08T00:00:00"/>
    <d v="1899-12-30T11:00:00"/>
    <n v="-10"/>
    <n v="1"/>
    <n v="60"/>
    <s v="Reunión inicial donde me correspondió el rol de planeación asigne al líder de calidad el llenado del script de definición de procesos"/>
  </r>
  <r>
    <s v="Planificación del proyecto"/>
    <x v="2"/>
    <s v="LA"/>
    <n v="1"/>
    <n v="50"/>
    <d v="2025-08-13T00:00:00"/>
    <d v="1899-12-30T09:00:00"/>
    <d v="2025-08-08T00:00:00"/>
    <d v="1899-12-30T11:00:00"/>
    <n v="-10"/>
    <n v="1"/>
    <n v="60"/>
    <s v="Reunión Inicial donde gestionamos papeles responsabilidades, objetivos y del proyecto DashKPI."/>
  </r>
  <r>
    <s v="Planificación del proyecto"/>
    <x v="3"/>
    <s v="LC"/>
    <n v="1"/>
    <n v="50"/>
    <d v="2025-08-13T00:00:00"/>
    <d v="1899-12-30T09:00:00"/>
    <d v="2025-08-08T00:00:00"/>
    <d v="1899-12-30T11:00:00"/>
    <n v="-10"/>
    <n v="1"/>
    <n v="60"/>
    <s v="Reunión inicial de equipo para revisar roles y definir objetivos generales y específicos del proyecto KPITrack"/>
  </r>
  <r>
    <s v="Planificación del proyecto"/>
    <x v="5"/>
    <s v="LD"/>
    <n v="1"/>
    <n v="50"/>
    <d v="2025-08-13T00:00:00"/>
    <d v="1899-12-30T09:00:00"/>
    <d v="2025-08-08T00:00:00"/>
    <d v="1899-12-30T11:00:00"/>
    <n v="-10"/>
    <n v="1"/>
    <n v="60"/>
    <s v="Reunión inicial de equipo para revisar los roles, definir los objetivos generales y específicos del proyecto"/>
  </r>
  <r>
    <s v="Planificación del proyecto"/>
    <x v="4"/>
    <s v="LS"/>
    <n v="1"/>
    <n v="50"/>
    <d v="2025-08-13T00:00:00"/>
    <d v="1899-12-30T09:00:00"/>
    <d v="2025-08-08T00:00:00"/>
    <d v="1899-12-30T11:00:00"/>
    <n v="-10"/>
    <n v="1"/>
    <n v="60"/>
    <s v="Iniciamos la primera reunión del grupo donde distribuimos los roles "/>
  </r>
  <r>
    <s v="Elaboración del acta de iniciación"/>
    <x v="0"/>
    <s v="LE"/>
    <n v="1"/>
    <n v="70"/>
    <d v="2025-08-13T00:00:00"/>
    <d v="1899-12-30T09:00:00"/>
    <d v="2025-08-08T00:00:00"/>
    <d v="1899-12-30T12:00:00"/>
    <n v="10"/>
    <n v="1"/>
    <n v="60"/>
    <s v="Elaboración con mi equipo el acta de iniciación, objetivos, metas y proyecciones"/>
  </r>
  <r>
    <s v="Elaboración del acta de iniciación"/>
    <x v="1"/>
    <s v="LP"/>
    <n v="1"/>
    <n v="70"/>
    <d v="2025-08-13T00:00:00"/>
    <d v="1899-12-30T09:00:00"/>
    <d v="2025-08-08T00:00:00"/>
    <d v="1899-12-30T12:00:00"/>
    <n v="10"/>
    <n v="1"/>
    <n v="60"/>
    <s v="Asigne a cada rol el llenado de sus bitácoras, además la planificación y elaboración del acta de iniciación"/>
  </r>
  <r>
    <s v="Elaboración del acta de iniciación"/>
    <x v="2"/>
    <s v="LA"/>
    <n v="1"/>
    <n v="70"/>
    <d v="2025-08-13T00:00:00"/>
    <d v="1899-12-30T09:00:00"/>
    <d v="2025-08-08T00:00:00"/>
    <d v="1899-12-30T12:00:00"/>
    <n v="10"/>
    <n v="1"/>
    <n v="60"/>
    <s v="Elaboración del alcance, metas y restricciones para el acta de iniciación del proyecto, realizando una lluvia de ideas que complementaba la participación de todos los actores en el mismo."/>
  </r>
  <r>
    <s v="Elaboración del acta de iniciación"/>
    <x v="3"/>
    <s v="LC"/>
    <n v="1"/>
    <n v="70"/>
    <d v="2025-08-13T00:00:00"/>
    <d v="1899-12-30T09:00:00"/>
    <d v="2025-08-08T00:00:00"/>
    <d v="1899-12-30T12:00:00"/>
    <n v="10"/>
    <n v="1"/>
    <n v="60"/>
    <s v="elaboración del alcance metas y restricciones para el acta de iniciación del proyecto"/>
  </r>
  <r>
    <s v="Elaboración del acta de iniciación"/>
    <x v="5"/>
    <s v="LD"/>
    <n v="1"/>
    <n v="70"/>
    <d v="2025-08-13T00:00:00"/>
    <d v="1899-12-30T09:00:00"/>
    <d v="2025-08-08T00:00:00"/>
    <d v="1899-12-30T12:00:00"/>
    <n v="10"/>
    <n v="1"/>
    <n v="60"/>
    <s v="Elaboración del alcance, metas y restricciones para el acta de iniciación"/>
  </r>
  <r>
    <s v="Elaboración del acta de iniciación"/>
    <x v="4"/>
    <s v="LS"/>
    <n v="1"/>
    <n v="70"/>
    <d v="2025-08-13T00:00:00"/>
    <d v="1899-12-30T09:00:00"/>
    <d v="2025-08-08T00:00:00"/>
    <d v="1899-12-30T12:00:00"/>
    <n v="10"/>
    <n v="1"/>
    <n v="60"/>
    <s v="Empecé a crear el alcance metas y restricciones para el acta de iniciación del proyecto"/>
  </r>
  <r>
    <s v="Evaluación de log de defectos"/>
    <x v="0"/>
    <s v="LE"/>
    <n v="1"/>
    <n v="30"/>
    <d v="2025-08-13T00:00:00"/>
    <d v="1899-12-30T09:00:00"/>
    <d v="2025-08-08T00:00:00"/>
    <d v="1899-12-30T01:00:00"/>
    <n v="0"/>
    <n v="1"/>
    <n v="30"/>
    <s v="No comentarios"/>
  </r>
  <r>
    <s v="Evaluación de log de defectos"/>
    <x v="3"/>
    <s v="LC"/>
    <n v="1"/>
    <n v="30"/>
    <d v="2025-08-13T00:00:00"/>
    <d v="1899-12-30T09:00:00"/>
    <d v="2025-08-08T00:00:00"/>
    <d v="1899-12-30T01:00:00"/>
    <n v="0"/>
    <n v="1"/>
    <n v="30"/>
    <s v="No comentarios"/>
  </r>
  <r>
    <s v="Corrección de Documentos"/>
    <x v="3"/>
    <s v="LC"/>
    <n v="1"/>
    <n v="30"/>
    <d v="2025-08-13T00:00:00"/>
    <d v="1899-12-30T09:00:00"/>
    <d v="2025-08-08T00:00:00"/>
    <d v="1899-12-30T19:00:00"/>
    <n v="0"/>
    <n v="3"/>
    <n v="30"/>
    <s v="correción ortografica, orden y normas de los Documentos"/>
  </r>
  <r>
    <s v="Realización del control de asignaciones"/>
    <x v="1"/>
    <s v="LP"/>
    <n v="1"/>
    <n v="30"/>
    <d v="2025-08-13T00:00:00"/>
    <d v="1899-12-30T09:00:00"/>
    <d v="2025-08-08T00:00:00"/>
    <d v="1899-12-30T01:00:00"/>
    <n v="0"/>
    <n v="1"/>
    <n v="30"/>
    <s v="Se realizo el llenado del control de asignaciones para asi terminar con éxito la fase 1  de iniciación y para que los demas lideres llenen sus bitácoras"/>
  </r>
  <r>
    <s v="Desarrollo de la página web"/>
    <x v="0"/>
    <s v="LE"/>
    <n v="1"/>
    <n v="120"/>
    <d v="2025-08-13T00:00:00"/>
    <d v="1899-12-30T09:00:00"/>
    <d v="2025-08-10T00:00:00"/>
    <d v="1899-12-30T22:00:00"/>
    <n v="60"/>
    <n v="1"/>
    <n v="60"/>
    <s v="Tras la propuesta y acuerdo del grupo empezamos a realizar y a programar la pagina web junto con el lider de desarrollo"/>
  </r>
  <r>
    <s v="Desarrollo de la página web"/>
    <x v="5"/>
    <s v="LD"/>
    <n v="1"/>
    <n v="120"/>
    <d v="2025-08-13T00:00:00"/>
    <d v="1899-12-30T09:00:00"/>
    <d v="2025-08-10T00:00:00"/>
    <d v="1899-12-30T22:00:00"/>
    <n v="60"/>
    <n v="1"/>
    <n v="60"/>
    <s v="Tras la propuesta general e implementación de este, supervise y colabore en la subida de la página del proyecto"/>
  </r>
  <r>
    <s v="Revisión de la página web"/>
    <x v="1"/>
    <s v="LP"/>
    <n v="1"/>
    <n v="30"/>
    <d v="2025-08-13T00:00:00"/>
    <d v="1899-12-30T09:00:00"/>
    <d v="2025-08-10T00:00:00"/>
    <d v="1899-12-30T22:00:00"/>
    <n v="-30"/>
    <n v="1"/>
    <n v="60"/>
    <s v="Planee que en este lapso se revisara la finalización y prueba de la página web"/>
  </r>
  <r>
    <s v="Revisión de la página web"/>
    <x v="2"/>
    <s v="LA"/>
    <n v="1"/>
    <n v="30"/>
    <d v="2025-08-13T00:00:00"/>
    <d v="1899-12-30T09:00:00"/>
    <d v="2025-08-10T00:00:00"/>
    <d v="1899-12-30T21:00:00"/>
    <n v="-30"/>
    <n v="1"/>
    <n v="60"/>
    <s v="Se revisaron y corrigieron pequeños Bugs que involucraban al correcto funcionamiento de la web, decoración y ajustes básicos del Front"/>
  </r>
  <r>
    <s v="Revisión de la página web"/>
    <x v="4"/>
    <s v="LS"/>
    <n v="1"/>
    <n v="30"/>
    <d v="2025-08-13T00:00:00"/>
    <d v="1899-12-30T09:00:00"/>
    <d v="2025-08-10T00:00:00"/>
    <d v="1899-12-30T22:00:00"/>
    <n v="-90"/>
    <n v="1"/>
    <n v="120"/>
    <s v="Realice la revisión y aplique en los documentos con cambios significativos y mejoras en las plantaciones anteriormente"/>
  </r>
  <r>
    <s v="Revisión de la página web"/>
    <x v="3"/>
    <s v="LC"/>
    <n v="1"/>
    <n v="30"/>
    <d v="2025-08-13T00:00:00"/>
    <d v="1899-12-30T09:00:00"/>
    <d v="2025-08-10T00:00:00"/>
    <d v="1899-12-30T11:10:00"/>
    <n v="5"/>
    <n v="1"/>
    <n v="25"/>
    <s v="Revise el resultado final de la pagina que presentaremos los primeros avances al trabajo en grupo "/>
  </r>
  <r>
    <s v="Script de definición de procesos"/>
    <x v="3"/>
    <s v="LC"/>
    <n v="1"/>
    <n v="70"/>
    <d v="2025-08-13T00:00:00"/>
    <d v="1899-12-30T09:00:00"/>
    <d v="2025-08-11T00:00:00"/>
    <d v="1899-12-30T20:00:00"/>
    <n v="-50"/>
    <n v="1"/>
    <n v="120"/>
    <s v="Diligenciar el formato correspondiente al script de definición de procesos"/>
  </r>
  <r>
    <s v="Formas elaboradas"/>
    <x v="4"/>
    <s v="LS"/>
    <n v="1"/>
    <n v="50"/>
    <d v="2025-08-13T00:00:00"/>
    <d v="1899-12-30T09:00:00"/>
    <d v="2025-08-11T00:00:00"/>
    <d v="1899-12-30T22:00:00"/>
    <n v="-70"/>
    <n v="1"/>
    <n v="120"/>
    <s v="Se realizo la documentos e información que creíamos necesaria de momento para ir avanzando con el proyecto"/>
  </r>
  <r>
    <s v="Acta de reunión"/>
    <x v="3"/>
    <s v=" LC"/>
    <n v="1"/>
    <n v="45"/>
    <d v="2025-08-13T00:00:00"/>
    <d v="1899-12-30T09:00:00"/>
    <d v="2025-08-11T00:00:00"/>
    <d v="1899-12-30T22:30:00"/>
    <n v="-35"/>
    <n v="1"/>
    <n v="80"/>
    <s v="Ordenar en grupo todos los documentos asignados para la primera entrega"/>
  </r>
  <r>
    <s v="Planeación de Reuniones"/>
    <x v="1"/>
    <s v="LP"/>
    <n v="1"/>
    <n v="50"/>
    <d v="2025-08-13T00:00:00"/>
    <d v="1899-12-30T09:00:00"/>
    <d v="2025-08-11T00:00:00"/>
    <d v="1899-12-30T23:00:00"/>
    <n v="-4"/>
    <n v="1"/>
    <n v="54"/>
    <s v="Finalizamos los documentos faltantes e asigne a cada uno la finalización del mismo, después planeamos el trabajo para la fase 2"/>
  </r>
  <r>
    <s v="Elaboración de diapositivas(Informe final)"/>
    <x v="0"/>
    <s v="LE"/>
    <n v="1"/>
    <n v="60"/>
    <d v="2025-08-13T00:00:00"/>
    <d v="1899-12-30T09:00:00"/>
    <d v="2025-08-11T00:00:00"/>
    <d v="1899-12-30T23:00:00"/>
    <n v="10"/>
    <n v="1"/>
    <n v="50"/>
    <s v="Diapositivas con los documentos hechos "/>
  </r>
  <r>
    <s v="Maestro de documentos"/>
    <x v="0"/>
    <s v="LE"/>
    <n v="1"/>
    <n v="55"/>
    <d v="2025-08-13T00:00:00"/>
    <d v="1899-12-30T09:00:00"/>
    <d v="2025-08-11T00:00:00"/>
    <d v="1899-12-30T23:00:00"/>
    <n v="0"/>
    <n v="1"/>
    <n v="55"/>
    <s v="Realización de un excel con los documentos hechos "/>
  </r>
  <r>
    <s v="Elaboración de las bitácoras"/>
    <x v="1"/>
    <s v="LP"/>
    <n v="1"/>
    <n v="60"/>
    <d v="2025-08-13T00:00:00"/>
    <d v="1899-12-30T09:00:00"/>
    <d v="2025-08-11T00:00:00"/>
    <d v="1899-12-30T21:00:00"/>
    <n v="-6"/>
    <n v="1"/>
    <n v="66"/>
    <s v="Con las bitácoras llenamos cada espacio con las actividaes correspondientes según el control de asignaciones"/>
  </r>
  <r>
    <s v="Elaboración de las bitácoras"/>
    <x v="0"/>
    <s v="LE"/>
    <n v="1"/>
    <n v="60"/>
    <d v="2025-08-13T00:00:00"/>
    <d v="1899-12-30T09:00:00"/>
    <d v="2025-08-11T00:00:00"/>
    <d v="1899-12-30T21:00:00"/>
    <n v="-6"/>
    <n v="1"/>
    <n v="66"/>
    <s v="Con las bitácoras llenamos cada espacio con las actividaes correspondientes según el control de asignaciones"/>
  </r>
  <r>
    <s v="Elaboración de las bitácoras"/>
    <x v="5"/>
    <s v="LD"/>
    <n v="1"/>
    <n v="60"/>
    <d v="2025-08-13T00:00:00"/>
    <d v="1899-12-30T09:00:00"/>
    <d v="2025-08-11T00:00:00"/>
    <d v="1899-12-30T21:00:00"/>
    <n v="-6"/>
    <n v="1"/>
    <n v="66"/>
    <s v="Con las bitácoras llenamos cada espacio con las actividaes correspondientes según el control de asignaciones"/>
  </r>
  <r>
    <s v="Elaboración de las bitácoras"/>
    <x v="2"/>
    <s v="LA"/>
    <n v="1"/>
    <n v="60"/>
    <d v="2025-08-13T00:00:00"/>
    <d v="1899-12-30T09:00:00"/>
    <d v="2025-08-11T00:00:00"/>
    <d v="1899-12-30T21:00:00"/>
    <n v="-6"/>
    <n v="1"/>
    <n v="66"/>
    <s v="Con las bitácoras llenamos cada espacio con las actividaes correspondientes según el control de asignaciones"/>
  </r>
  <r>
    <s v="Elaboración de las bitácoras"/>
    <x v="4"/>
    <s v="LS"/>
    <n v="1"/>
    <n v="60"/>
    <d v="2025-08-13T00:00:00"/>
    <d v="1899-12-30T09:00:00"/>
    <d v="2025-08-11T00:00:00"/>
    <d v="1899-12-30T21:00:00"/>
    <n v="-6"/>
    <n v="1"/>
    <n v="66"/>
    <s v="Con las bitácoras llenamos cada espacio con las actividaes correspondientes según el control de asignaciones"/>
  </r>
  <r>
    <s v="Elaboración de las bitácoras"/>
    <x v="3"/>
    <s v="LC"/>
    <n v="1"/>
    <n v="60"/>
    <d v="2025-08-13T00:00:00"/>
    <d v="1899-12-30T09:00:00"/>
    <d v="2025-08-11T00:00:00"/>
    <d v="1899-12-30T21:00:00"/>
    <n v="-6"/>
    <n v="1"/>
    <n v="66"/>
    <s v="Con las bitácoras llenamos cada espacio con las actividaes correspondientes según el control de asignaciones"/>
  </r>
  <r>
    <s v="Revisión de las bitácoras"/>
    <x v="1"/>
    <s v="LP"/>
    <n v="1"/>
    <n v="30"/>
    <d v="2025-08-13T00:00:00"/>
    <d v="1899-12-30T09:00:00"/>
    <d v="2025-08-11T00:00:00"/>
    <d v="1899-12-30T23:00:00"/>
    <n v="5"/>
    <n v="1"/>
    <n v="25"/>
    <s v="Con las bitácoras ya en mi poder, empecé a Revisar que las mismasestuviesen acordes con la tabla de control de asignaciones"/>
  </r>
  <r>
    <s v="Publicación de documentos"/>
    <x v="4"/>
    <s v="LS"/>
    <n v="1"/>
    <n v="20"/>
    <d v="2025-08-13T00:00:00"/>
    <d v="1899-12-30T09:00:00"/>
    <d v="2025-08-11T00:00:00"/>
    <d v="1899-12-30T23:00:00"/>
    <n v="0"/>
    <n v="1"/>
    <n v="20"/>
    <s v="subir todos los archivos a la pagina web"/>
  </r>
  <r>
    <s v=" Lineamiento estratégico "/>
    <x v="6"/>
    <s v="LE"/>
    <n v="1"/>
    <n v="30"/>
    <d v="2025-08-27T00:00:00"/>
    <d v="1899-12-30T09:00:00"/>
    <d v="2025-08-21T00:00:00"/>
    <d v="1899-12-30T19:30:00"/>
    <n v="5"/>
    <n v="1"/>
    <n v="25"/>
    <s v="Plantear la ruta general del proyecto y principios de _x000a_trabajo. "/>
  </r>
  <r>
    <s v=" Lineamiento estratégico "/>
    <x v="2"/>
    <s v="LA"/>
    <n v="1"/>
    <n v="30"/>
    <d v="2025-08-27T00:00:00"/>
    <d v="1899-12-30T09:00:00"/>
    <d v="2025-08-21T00:00:00"/>
    <d v="1899-12-30T19:30:00"/>
    <n v="5"/>
    <n v="1"/>
    <n v="25"/>
    <s v="Plantear la ruta general del proyecto y principios de _x000a_trabajo. "/>
  </r>
  <r>
    <s v="Realización del control de asignaciones"/>
    <x v="1"/>
    <s v="LP"/>
    <n v="1"/>
    <n v="30"/>
    <d v="2025-08-13T00:00:00"/>
    <d v="1899-12-30T09:00:00"/>
    <d v="2025-08-21T00:00:00"/>
    <d v="1899-12-30T20:00:00"/>
    <n v="0"/>
    <n v="1"/>
    <n v="30"/>
    <s v="Se realizo el llenado del control de asignaciones para asi terminar con éxito la fase 2  de Estratégias y para que los demas lideres llenen sus bitácoras"/>
  </r>
  <r>
    <s v="Criterios de la estrategia "/>
    <x v="2"/>
    <s v="LA"/>
    <n v="3"/>
    <n v="60"/>
    <d v="2025-08-27T00:00:00"/>
    <d v="1899-12-30T09:00:00"/>
    <d v="2025-08-21T00:00:00"/>
    <d v="1899-12-30T20:30:00"/>
    <n v="0"/>
    <n v="3"/>
    <n v="60"/>
    <s v="Identificar los criterios que guiarán decisiones y prioridades. "/>
  </r>
  <r>
    <s v="Criterios de la estrategia "/>
    <x v="0"/>
    <s v="LE"/>
    <n v="3"/>
    <n v="60"/>
    <d v="2025-08-27T00:00:00"/>
    <d v="1899-12-30T09:00:00"/>
    <d v="2025-08-21T00:00:00"/>
    <d v="1899-12-30T20:30:00"/>
    <n v="0"/>
    <n v="3"/>
    <n v="60"/>
    <s v="Identificar los criterios que guiarán decisiones y prioridades. "/>
  </r>
  <r>
    <s v="Estrategia general "/>
    <x v="0"/>
    <s v="LE"/>
    <n v="1"/>
    <n v="30"/>
    <d v="2025-08-27T00:00:00"/>
    <d v="1899-12-30T09:00:00"/>
    <d v="2025-08-21T00:00:00"/>
    <d v="1899-12-30T21:00:00"/>
    <n v="0"/>
    <n v="1"/>
    <n v="30"/>
    <s v="Describir la orientación metodológica y técnica del proyecto. "/>
  </r>
  <r>
    <s v="Estrategia general "/>
    <x v="2"/>
    <s v="LA"/>
    <n v="1"/>
    <n v="30"/>
    <d v="2025-08-27T00:00:00"/>
    <d v="1899-12-30T09:00:00"/>
    <d v="2025-08-21T00:00:00"/>
    <d v="1899-12-30T21:00:00"/>
    <n v="0"/>
    <n v="1"/>
    <n v="30"/>
    <s v="Describir la orientación metodológica y técnica del proyecto. "/>
  </r>
  <r>
    <s v="Diseño conceptual "/>
    <x v="0"/>
    <s v="LE"/>
    <n v="1"/>
    <n v="20"/>
    <d v="2025-08-27T00:00:00"/>
    <d v="1899-12-30T09:00:00"/>
    <d v="2025-08-21T00:00:00"/>
    <d v="1899-12-30T21:20:00"/>
    <n v="0"/>
    <n v="1"/>
    <n v="20"/>
    <s v="Representar la visión y estructura general de la plataforma. "/>
  </r>
  <r>
    <s v="Diseño conceptual "/>
    <x v="2"/>
    <s v="LA"/>
    <n v="1"/>
    <n v="20"/>
    <d v="2025-08-27T00:00:00"/>
    <d v="1899-12-30T09:00:00"/>
    <d v="2025-08-21T00:00:00"/>
    <d v="1899-12-30T21:20:00"/>
    <n v="0"/>
    <n v="1"/>
    <n v="20"/>
    <s v="Representar la visión y estructura general de la plataforma. "/>
  </r>
  <r>
    <s v="Identificación de módulos "/>
    <x v="0"/>
    <s v="LE"/>
    <n v="1"/>
    <n v="20"/>
    <d v="2025-08-27T00:00:00"/>
    <d v="1899-12-30T09:00:00"/>
    <d v="2025-08-21T00:00:00"/>
    <d v="1899-12-30T21:40:00"/>
    <n v="2"/>
    <n v="1"/>
    <n v="18"/>
    <s v="Determinar las áreas funcionales que compondrán el sistema. "/>
  </r>
  <r>
    <s v="Identificación de módulos "/>
    <x v="2"/>
    <s v="LA"/>
    <n v="1"/>
    <n v="20"/>
    <d v="2025-08-27T00:00:00"/>
    <d v="1899-12-30T09:00:00"/>
    <d v="2025-08-21T00:00:00"/>
    <d v="1899-12-30T21:40:00"/>
    <n v="2"/>
    <n v="1"/>
    <n v="18"/>
    <s v="Determinar las áreas funcionales que compondrán el sistema. "/>
  </r>
  <r>
    <s v="Funcionalidades asociadas "/>
    <x v="0"/>
    <s v="LE"/>
    <n v="1"/>
    <n v="20"/>
    <d v="2025-08-27T00:00:00"/>
    <d v="1899-12-30T09:00:00"/>
    <d v="2025-08-21T00:00:00"/>
    <d v="1899-12-30T22:00:00"/>
    <n v="1"/>
    <n v="1"/>
    <n v="19"/>
    <s v="Lista consolidada de funcionalidades clave vinculadas a cada módulo, con trazabilidad hacia los objetivos y KPIs definidos. "/>
  </r>
  <r>
    <s v="Funcionalidades asociadas "/>
    <x v="2"/>
    <s v="LA"/>
    <n v="1"/>
    <n v="20"/>
    <d v="2025-08-27T00:00:00"/>
    <d v="1899-12-30T09:00:00"/>
    <d v="2025-08-21T00:00:00"/>
    <d v="1899-12-30T22:00:00"/>
    <n v="1"/>
    <n v="1"/>
    <n v="19"/>
    <s v="Lista consolidada de funcionalidades clave vinculadas a cada módulo, con trazabilidad hacia los objetivos y KPIs definidos. "/>
  </r>
  <r>
    <s v="Estimación preliminar del documento "/>
    <x v="0"/>
    <s v="LE"/>
    <n v="1"/>
    <n v="30"/>
    <d v="2025-08-27T00:00:00"/>
    <d v="1899-12-30T09:00:00"/>
    <d v="2025-08-21T00:00:00"/>
    <d v="1899-12-30T22:30:00"/>
    <n v="5"/>
    <n v="1"/>
    <n v="25"/>
    <s v="Estimación preliminar validada que incluye esfuerzo, cronograma tentativo, costos de recursos y supuestos de _x000a_planificación."/>
  </r>
  <r>
    <s v="Estimación preliminar del documento "/>
    <x v="2"/>
    <s v="LA"/>
    <n v="1"/>
    <n v="30"/>
    <d v="2025-08-27T00:00:00"/>
    <d v="1899-12-30T09:00:00"/>
    <d v="2025-08-21T00:00:00"/>
    <d v="1899-12-30T22:30:00"/>
    <n v="5"/>
    <n v="1"/>
    <n v="25"/>
    <s v="Estimación preliminar validada que incluye esfuerzo, cronograma tentativo, costos de recursos y supuestos de _x000a_planificación."/>
  </r>
  <r>
    <s v="Identificación y criterios de valoración "/>
    <x v="1"/>
    <s v="LP"/>
    <n v="1"/>
    <n v="30"/>
    <d v="2025-08-27T00:00:00"/>
    <d v="1899-12-30T09:00:00"/>
    <d v="2025-08-21T00:00:00"/>
    <d v="1899-12-30T19:30:00"/>
    <n v="6"/>
    <n v="1"/>
    <n v="24"/>
    <s v="Definir criterios de probabilidad, impacto y costo de retiro, y aplicarlos a la identificación de riesgos. "/>
  </r>
  <r>
    <s v="Identificación y criterios de valoración "/>
    <x v="5"/>
    <s v="LD"/>
    <n v="1"/>
    <n v="30"/>
    <d v="2025-08-27T00:00:00"/>
    <d v="1899-12-30T09:00:00"/>
    <d v="2025-08-21T00:00:00"/>
    <d v="1899-12-30T19:30:00"/>
    <n v="6"/>
    <n v="1"/>
    <n v="24"/>
    <s v="Definir criterios de probabilidad, impacto y costo de retiro, y aplicarlos a la identificación de riesgos. "/>
  </r>
  <r>
    <s v="Clasificación de riesgos "/>
    <x v="1"/>
    <s v="LP"/>
    <n v="1"/>
    <n v="60"/>
    <d v="2025-08-27T00:00:00"/>
    <d v="1899-12-30T09:00:00"/>
    <d v="2025-08-21T00:00:00"/>
    <d v="1899-12-30T20:30:00"/>
    <n v="15"/>
    <n v="1"/>
    <n v="45"/>
    <s v="Registrar y categorizar riesgos en tres tipos: proyecto, producto y equipo. "/>
  </r>
  <r>
    <s v="Clasificación de riesgos "/>
    <x v="5"/>
    <s v="LD"/>
    <n v="1"/>
    <n v="60"/>
    <d v="2025-08-27T00:00:00"/>
    <d v="1899-12-30T09:00:00"/>
    <d v="2025-08-21T00:00:00"/>
    <d v="1899-12-30T20:30:00"/>
    <n v="15"/>
    <n v="1"/>
    <n v="45"/>
    <s v="Registrar y categorizar riesgos en tres tipos: proyecto, producto y equipo. "/>
  </r>
  <r>
    <s v="Valoración y priorización "/>
    <x v="1"/>
    <s v="LP"/>
    <n v="1"/>
    <n v="30"/>
    <d v="2025-08-27T00:00:00"/>
    <d v="1899-12-30T09:00:00"/>
    <d v="2025-08-21T00:00:00"/>
    <d v="1899-12-30T21:00:00"/>
    <n v="10"/>
    <n v="1"/>
    <n v="20"/>
    <s v="Evaluar cada riesgo según criterios establecidos y priorizar en función de su nivel de exposición."/>
  </r>
  <r>
    <s v="Valoración y priorización "/>
    <x v="5"/>
    <s v="LD"/>
    <n v="1"/>
    <n v="30"/>
    <d v="2025-08-27T00:00:00"/>
    <d v="1899-12-30T09:00:00"/>
    <d v="2025-08-21T00:00:00"/>
    <d v="1899-12-30T21:00:00"/>
    <n v="10"/>
    <n v="1"/>
    <n v="20"/>
    <s v="Evaluar cada riesgo según criterios establecidos y priorizar en función de su nivel de exposición."/>
  </r>
  <r>
    <s v="Plan de mitigación y contingencia"/>
    <x v="5"/>
    <s v=" LD"/>
    <n v="1"/>
    <n v="30"/>
    <d v="2025-08-27T00:00:00"/>
    <d v="1899-12-30T09:00:00"/>
    <d v="2025-08-21T00:00:00"/>
    <d v="1899-12-30T21:30:00"/>
    <n v="0"/>
    <n v="1"/>
    <n v="30"/>
    <s v="Definir acciones preventivas y de contingencia para los riesgos de mayor impacto. "/>
  </r>
  <r>
    <s v="Plan de mitigación y contingencia"/>
    <x v="1"/>
    <s v="LP"/>
    <n v="1"/>
    <n v="30"/>
    <d v="2025-08-27T00:00:00"/>
    <d v="1899-12-30T09:00:00"/>
    <d v="2025-08-21T00:00:00"/>
    <d v="1899-12-30T21:30:00"/>
    <n v="0"/>
    <n v="1"/>
    <n v="30"/>
    <s v="Definir acciones preventivas y de contingencia para los riesgos de mayor impacto. "/>
  </r>
  <r>
    <s v="Programa de seguimiento "/>
    <x v="1"/>
    <s v="LP"/>
    <n v="1"/>
    <n v="30"/>
    <d v="2025-08-27T00:00:00"/>
    <d v="1899-12-30T09:00:00"/>
    <d v="2025-08-21T00:00:00"/>
    <d v="1899-12-30T22:00:00"/>
    <n v="-2"/>
    <n v="1"/>
    <n v="32"/>
    <s v="Establecer la periodicidad de revisión y los responsables del monitoreo de riesgos. "/>
  </r>
  <r>
    <s v="Programa de seguimiento "/>
    <x v="5"/>
    <s v="LD"/>
    <n v="1"/>
    <n v="30"/>
    <d v="2025-08-27T00:00:00"/>
    <d v="1899-12-30T09:00:00"/>
    <d v="2025-08-21T00:00:00"/>
    <d v="1899-12-30T22:00:00"/>
    <n v="-2"/>
    <n v="1"/>
    <n v="32"/>
    <s v="Establecer la periodicidad de revisión y los responsables del monitoreo de riesgos. "/>
  </r>
  <r>
    <s v="Definición del objetivo "/>
    <x v="3"/>
    <s v="LC"/>
    <n v="1"/>
    <n v="20"/>
    <d v="2025-08-27T00:00:00"/>
    <d v="1899-12-30T09:00:00"/>
    <d v="2025-08-21T00:00:00"/>
    <d v="1899-12-30T19:20:00"/>
    <n v="0"/>
    <n v="1"/>
    <n v="20"/>
    <s v="Establecer el propósito de la administración de configuración en el proyecto. "/>
  </r>
  <r>
    <s v="Definición del objetivo "/>
    <x v="4"/>
    <s v="LS"/>
    <n v="1"/>
    <n v="20"/>
    <d v="2025-08-27T00:00:00"/>
    <d v="1899-12-30T09:00:00"/>
    <d v="2025-08-21T00:00:00"/>
    <d v="1899-12-30T19:20:00"/>
    <n v="0"/>
    <n v="1"/>
    <n v="20"/>
    <s v="Establecer el propósito de la administración de configuración en el proyecto. "/>
  </r>
  <r>
    <s v="Organización y roles "/>
    <x v="3"/>
    <s v="LC"/>
    <n v="1"/>
    <n v="20"/>
    <d v="2025-08-27T00:00:00"/>
    <d v="1899-12-30T09:00:00"/>
    <d v="2025-08-21T00:00:00"/>
    <d v="1899-12-30T19:40:00"/>
    <n v="0"/>
    <n v="1"/>
    <n v="20"/>
    <s v="Definir la estructura organizativa y responsabilidades (líder de soporte, líder de proyecto, equipo).  "/>
  </r>
  <r>
    <s v="Organización y roles "/>
    <x v="4"/>
    <s v="LS"/>
    <n v="1"/>
    <n v="20"/>
    <d v="2025-08-27T00:00:00"/>
    <d v="1899-12-30T09:00:00"/>
    <d v="2025-08-21T00:00:00"/>
    <d v="1899-12-30T19:40:00"/>
    <n v="0"/>
    <n v="1"/>
    <n v="20"/>
    <s v="Definir la estructura organizativa y responsabilidades (líder de soporte, líder de proyecto, equipo).  "/>
  </r>
  <r>
    <s v="Políticas y _x000a_procedimientos"/>
    <x v="3"/>
    <s v="LC"/>
    <n v="1"/>
    <n v="20"/>
    <d v="2025-08-27T00:00:00"/>
    <d v="1899-12-30T09:00:00"/>
    <d v="2025-08-21T00:00:00"/>
    <d v="1899-12-30T20:00:00"/>
    <n v="0"/>
    <n v="4"/>
    <n v="20"/>
    <s v="Establecer políticas, directivas y lineamientos que regulen la _x000a_administración de configuración. "/>
  </r>
  <r>
    <s v="Políticas y _x000a_procedimientos"/>
    <x v="4"/>
    <s v="LS"/>
    <n v="1"/>
    <n v="20"/>
    <d v="2025-08-27T00:00:00"/>
    <d v="1899-12-30T09:00:00"/>
    <d v="2025-08-21T00:00:00"/>
    <d v="1899-12-30T20:00:00"/>
    <n v="0"/>
    <n v="1"/>
    <n v="20"/>
    <s v="Establecer políticas, directivas y lineamientos que regulen la _x000a_administración de configuración. "/>
  </r>
  <r>
    <s v="Identificación_x000a_de configuraciones"/>
    <x v="3"/>
    <s v="LC"/>
    <n v="1"/>
    <n v="20"/>
    <d v="2025-08-27T00:00:00"/>
    <d v="1899-12-30T09:00:00"/>
    <d v="2025-08-21T00:00:00"/>
    <d v="1899-12-30T20:20:00"/>
    <n v="2"/>
    <n v="1"/>
    <n v="18"/>
    <s v="Determinar y nombrar los elementos de configuración que _x000a_serán controlados (código, BD, documentación). "/>
  </r>
  <r>
    <s v="Identificación_x000a_de configuraciones"/>
    <x v="4"/>
    <s v="LS"/>
    <n v="1"/>
    <n v="20"/>
    <d v="2025-08-27T00:00:00"/>
    <d v="1899-12-30T09:00:00"/>
    <d v="2025-08-21T00:00:00"/>
    <d v="1899-12-30T20:20:00"/>
    <n v="2"/>
    <n v="1"/>
    <n v="18"/>
    <s v="Determinar y nombrar los elementos de configuración que _x000a_serán controlados (código, BD, documentación). "/>
  </r>
  <r>
    <s v="Control de _x000a_cambios "/>
    <x v="3"/>
    <s v="LC"/>
    <n v="1"/>
    <n v="20"/>
    <d v="2025-08-27T00:00:00"/>
    <d v="1899-12-30T09:00:00"/>
    <d v="2025-08-21T00:00:00"/>
    <d v="1899-12-30T20:40:00"/>
    <n v="0"/>
    <n v="1"/>
    <n v="20"/>
    <s v="Gestionar solicitudes de cambios, su evaluación, aprobación/rechazo e implantación. "/>
  </r>
  <r>
    <s v="Control de _x000a_cambios "/>
    <x v="7"/>
    <s v="LS"/>
    <n v="1"/>
    <n v="20"/>
    <d v="2025-08-27T00:00:00"/>
    <d v="1899-12-30T09:00:00"/>
    <d v="2025-08-21T00:00:00"/>
    <d v="1899-12-30T20:40:00"/>
    <n v="0"/>
    <n v="1"/>
    <n v="20"/>
    <s v="Gestionar solicitudes de cambios, su evaluación, aprobación/rechazo e implantación. "/>
  </r>
  <r>
    <s v="Revisiones del _x000a_estado"/>
    <x v="3"/>
    <s v="LC"/>
    <n v="1"/>
    <n v="20"/>
    <d v="2025-08-27T00:00:00"/>
    <d v="1899-12-30T09:00:00"/>
    <d v="2025-08-21T00:00:00"/>
    <d v="1899-12-30T21:00:00"/>
    <n v="-1"/>
    <n v="1"/>
    <n v="21"/>
    <s v="Monitorear y verificar periódicamente el estado de los elementos de configuración. "/>
  </r>
  <r>
    <s v="Revisiones del _x000a_estado"/>
    <x v="4"/>
    <s v="LS"/>
    <n v="1"/>
    <n v="20"/>
    <d v="2025-08-27T00:00:00"/>
    <d v="1899-12-30T09:00:00"/>
    <d v="2025-08-21T00:00:00"/>
    <d v="1899-12-30T21:00:00"/>
    <n v="-1"/>
    <n v="1"/>
    <n v="21"/>
    <s v="Monitorear y verificar periódicamente el estado de los elementos de configuración. "/>
  </r>
  <r>
    <s v="Programas y recursos"/>
    <x v="3"/>
    <s v="LC"/>
    <n v="1"/>
    <n v="30"/>
    <d v="2025-08-27T00:00:00"/>
    <d v="1899-12-30T09:00:00"/>
    <d v="2025-08-21T00:00:00"/>
    <d v="1899-12-30T21:30:00"/>
    <n v="5"/>
    <n v="1"/>
    <n v="25"/>
    <s v="Establecer programas de soporte (herramientas, repositorios, _x000a_entornos) y recursos necesarios. "/>
  </r>
  <r>
    <s v="Programas y recursos"/>
    <x v="4"/>
    <s v="LS"/>
    <n v="1"/>
    <n v="30"/>
    <d v="2025-08-27T00:00:00"/>
    <d v="1899-12-30T09:00:00"/>
    <d v="2025-08-21T00:00:00"/>
    <d v="1899-12-30T21:30:00"/>
    <n v="5"/>
    <n v="1"/>
    <n v="25"/>
    <s v="Establecer programas de soporte (herramientas, repositorios, _x000a_entornos) y recursos necesarios. "/>
  </r>
  <r>
    <s v="Plan de _x000a_mantenimiento "/>
    <x v="3"/>
    <s v="LC"/>
    <n v="1"/>
    <n v="30"/>
    <d v="2025-08-27T00:00:00"/>
    <d v="1899-12-30T09:00:00"/>
    <d v="2025-08-21T00:00:00"/>
    <d v="1899-12-30T22:00:00"/>
    <n v="10"/>
    <n v="1"/>
    <n v="20"/>
    <s v="Definir la estrategia de mantenimiento y actualización de los _x000a_elementos de configuración. "/>
  </r>
  <r>
    <s v="Plan de _x000a_mantenimiento "/>
    <x v="4"/>
    <s v="LS"/>
    <n v="1"/>
    <n v="30"/>
    <d v="2025-08-27T00:00:00"/>
    <d v="1899-12-30T09:00:00"/>
    <d v="2025-08-21T00:00:00"/>
    <d v="1899-12-30T22:00:00"/>
    <n v="10"/>
    <n v="1"/>
    <n v="20"/>
    <s v="Definir la estrategia de mantenimiento y actualización de los _x000a_elementos de configuración. "/>
  </r>
  <r>
    <s v="Corrección de Documentos"/>
    <x v="3"/>
    <s v="LC"/>
    <n v="1"/>
    <n v="30"/>
    <d v="2025-08-27T00:00:00"/>
    <d v="1899-12-30T09:00:00"/>
    <d v="2025-08-21T00:00:00"/>
    <d v="1899-12-30T19:00:00"/>
    <n v="0"/>
    <n v="3"/>
    <n v="30"/>
    <s v="correción ortografica, orden y normas de los Documentos"/>
  </r>
  <r>
    <s v="Elaboración de las bitácoras"/>
    <x v="4"/>
    <s v="LS"/>
    <n v="1"/>
    <n v="60"/>
    <d v="2025-08-27T00:00:00"/>
    <d v="1899-12-30T09:00:00"/>
    <d v="2025-08-21T00:00:00"/>
    <d v="1899-12-30T22:00:00"/>
    <n v="50"/>
    <n v="2"/>
    <n v="10"/>
    <s v="Con las bitácoras llenamos cada espacio con las actividaes correspondientes según el control de asignaciones"/>
  </r>
  <r>
    <s v="Elaboración de las bitácoras"/>
    <x v="0"/>
    <s v="LE"/>
    <n v="1"/>
    <n v="60"/>
    <d v="2025-08-27T00:00:00"/>
    <d v="1899-12-30T09:00:00"/>
    <d v="2025-08-21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LA"/>
    <n v="1"/>
    <n v="60"/>
    <d v="2025-08-27T00:00:00"/>
    <d v="1899-12-30T09:00:00"/>
    <d v="2025-08-21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LC"/>
    <n v="1"/>
    <n v="60"/>
    <d v="2025-08-13T00:00:00"/>
    <d v="1899-12-30T09:00:00"/>
    <d v="2025-08-21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LD"/>
    <n v="1"/>
    <n v="60"/>
    <d v="2025-08-27T00:00:00"/>
    <d v="1899-12-30T09:00:00"/>
    <d v="2025-08-21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0"/>
    <s v="LE"/>
    <n v="1"/>
    <n v="30"/>
    <d v="2025-08-27T00:00:00"/>
    <d v="1899-12-30T09:00:00"/>
    <d v="2025-08-21T00:00:00"/>
    <d v="1899-12-30T22:00:00"/>
    <n v="0"/>
    <n v="1"/>
    <n v="30"/>
    <s v="No comentarios"/>
  </r>
  <r>
    <s v="Llenado de log de defectos"/>
    <x v="3"/>
    <s v="LC"/>
    <n v="1"/>
    <n v="30"/>
    <d v="2025-08-27T00:00:00"/>
    <d v="1899-12-30T09:00:00"/>
    <d v="2025-08-21T00:00:00"/>
    <d v="1899-12-30T22:00:00"/>
    <n v="0"/>
    <n v="1"/>
    <n v="30"/>
    <s v="No comentarios"/>
  </r>
  <r>
    <s v="Acta de reunión"/>
    <x v="3"/>
    <s v="LC"/>
    <n v="1"/>
    <n v="45"/>
    <d v="2025-08-27T00:00:00"/>
    <d v="1899-12-30T09:00:00"/>
    <d v="2025-08-21T00:00:00"/>
    <d v="1899-12-30T22:30:00"/>
    <n v="-35"/>
    <n v="1"/>
    <n v="80"/>
    <s v="Ordenar en grupo todos los documentos asignados para la primera entrega"/>
  </r>
  <r>
    <s v="Elaboración de diapositivas(Informe final)"/>
    <x v="0"/>
    <s v="LE"/>
    <n v="1"/>
    <n v="60"/>
    <d v="2025-08-27T00:00:00"/>
    <d v="1899-12-30T09:00:00"/>
    <d v="2025-08-21T00:00:00"/>
    <d v="1899-12-30T22:30:00"/>
    <n v="10"/>
    <n v="1"/>
    <n v="50"/>
    <s v="Diapositivas con los documentos hechos "/>
  </r>
  <r>
    <s v="Maestro de documentos"/>
    <x v="0"/>
    <s v="LE"/>
    <n v="1"/>
    <n v="55"/>
    <d v="2025-08-27T00:00:00"/>
    <d v="1899-12-30T09:00:00"/>
    <d v="2025-08-21T00:00:00"/>
    <d v="1899-12-30T22:30:00"/>
    <n v="0"/>
    <n v="1"/>
    <n v="55"/>
    <s v="Realización de un excel con los documentos hechos "/>
  </r>
  <r>
    <s v="Revisión de _x000a_documentos "/>
    <x v="3"/>
    <s v="LC"/>
    <n v="1"/>
    <n v="30"/>
    <d v="2025-08-27T00:00:00"/>
    <d v="1899-12-30T09:00:00"/>
    <d v="2025-08-25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S"/>
    <n v="1"/>
    <n v="30"/>
    <d v="2025-08-27T00:00:00"/>
    <d v="1899-12-30T09:00:00"/>
    <d v="2025-08-25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08-27T00:00:00"/>
    <d v="1899-12-30T09:00:00"/>
    <d v="2025-08-25T00:00:00"/>
    <d v="1899-12-30T22:30:00"/>
    <n v="-2"/>
    <n v="1"/>
    <n v="32"/>
    <s v="Se revisan los tres documentos realizados en grupo para consolidar los resultados y corregir errores "/>
  </r>
  <r>
    <s v="Revisión de _x000a_documentos "/>
    <x v="0"/>
    <s v="LE"/>
    <n v="1"/>
    <n v="30"/>
    <d v="2025-08-27T00:00:00"/>
    <d v="1899-12-30T09:00:00"/>
    <d v="2025-08-25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A"/>
    <n v="1"/>
    <n v="30"/>
    <d v="2025-08-27T00:00:00"/>
    <d v="1899-12-30T09:00:00"/>
    <d v="2025-08-25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08-27T00:00:00"/>
    <d v="1899-12-30T09:00:00"/>
    <d v="2025-08-25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0"/>
    <s v="LE"/>
    <n v="3"/>
    <n v="20"/>
    <d v="2025-08-27T00:00:00"/>
    <d v="1899-12-30T09:00:00"/>
    <d v="2025-08-26T00:00:00"/>
    <d v="1899-12-30T14:00:00"/>
    <n v="5"/>
    <n v="3"/>
    <n v="15"/>
    <s v="Todos los documentos subidos _x000a_y actualizados en la pagina "/>
  </r>
  <r>
    <s v="Modelo de casos de uso"/>
    <x v="1"/>
    <s v="LP"/>
    <n v="2"/>
    <n v="50"/>
    <d v="2025-09-03T00:00:00"/>
    <d v="1899-12-30T09:00:00"/>
    <d v="2025-09-02T00:00:00"/>
    <d v="1899-12-30T16:00:00"/>
    <n v="0"/>
    <n v="1"/>
    <n v="50"/>
    <s v="Elaborar el diagrama de casos de uso que represente los actores, límites del sistema yrelaciones principales."/>
  </r>
  <r>
    <s v="Modelo de casos de uso"/>
    <x v="5"/>
    <s v="LD"/>
    <n v="2"/>
    <n v="50"/>
    <d v="2025-09-03T00:00:00"/>
    <d v="1899-12-30T09:00:00"/>
    <d v="2025-09-02T00:00:00"/>
    <d v="1899-12-30T16:00:00"/>
    <n v="0"/>
    <n v="1"/>
    <n v="50"/>
    <s v="Elaborar el diagrama de casos de uso que represente los actores, límites del sistema yrelaciones principales."/>
  </r>
  <r>
    <s v="Modelo de casos de uso"/>
    <x v="0"/>
    <s v="LE"/>
    <n v="2"/>
    <n v="50"/>
    <d v="2025-09-03T00:00:00"/>
    <d v="1899-12-30T09:00:00"/>
    <d v="2025-09-02T00:00:00"/>
    <d v="1899-12-30T16:00:00"/>
    <n v="0"/>
    <n v="1"/>
    <n v="50"/>
    <s v="Elaborar el diagrama de casos de uso que represente los actores, límites del sistema yrelaciones principales."/>
  </r>
  <r>
    <s v="Modelo de casos de uso"/>
    <x v="2"/>
    <s v="LA"/>
    <n v="2"/>
    <n v="50"/>
    <d v="2025-09-03T00:00:00"/>
    <d v="1899-12-30T09:00:00"/>
    <d v="2025-09-02T00:00:00"/>
    <d v="1899-12-30T16:00:00"/>
    <n v="0"/>
    <n v="1"/>
    <n v="50"/>
    <s v="Elaborar el diagrama de casos de uso que represente los actores, límites del sistema yrelaciones principales."/>
  </r>
  <r>
    <s v="Modelo de casos de uso"/>
    <x v="3"/>
    <s v="LC"/>
    <n v="2"/>
    <n v="50"/>
    <d v="2025-09-03T00:00:00"/>
    <d v="1899-12-30T09:00:00"/>
    <d v="2025-09-02T00:00:00"/>
    <d v="1899-12-30T16:00:00"/>
    <n v="0"/>
    <n v="1"/>
    <n v="50"/>
    <s v="Elaborar el diagrama de casos de uso que represente los actores, límites del sistema yrelaciones principales."/>
  </r>
  <r>
    <s v="Modelo de casos de uso"/>
    <x v="4"/>
    <s v="LS"/>
    <n v="2"/>
    <n v="50"/>
    <d v="2025-09-03T00:00:00"/>
    <d v="1899-12-30T09:00:00"/>
    <d v="2025-09-02T00:00:00"/>
    <d v="1899-12-30T16:00:00"/>
    <n v="0"/>
    <n v="1"/>
    <n v="50"/>
    <s v="Elaborar el diagrama de casos de uso que represente los actores, límites del sistema yrelaciones principales."/>
  </r>
  <r>
    <s v="Realización del control de asignaciones"/>
    <x v="1"/>
    <s v="LP"/>
    <n v="1"/>
    <n v="30"/>
    <d v="2025-09-03T00:00:00"/>
    <d v="1899-12-30T09:00:00"/>
    <d v="2025-08-30T00:00:00"/>
    <d v="1899-12-30T19:00:00"/>
    <n v="0"/>
    <n v="1"/>
    <n v="30"/>
    <s v="Se realizo el llenado del control de asignaciones para asi terminar con éxito la fase 3  de Requerimientos y para que los demas lideres llenen sus bitácoras"/>
  </r>
  <r>
    <s v="Script de definición de procesos(REQUERIMIENTOS)"/>
    <x v="3"/>
    <s v=" LC"/>
    <n v="1"/>
    <n v="30"/>
    <d v="2025-09-03T00:00:00"/>
    <d v="1899-12-30T09:00:00"/>
    <d v="2025-08-30T00:00:00"/>
    <d v="1899-12-30T19:00:00"/>
    <n v="0"/>
    <n v="1"/>
    <n v="30"/>
    <s v="Diligenciar el formato correspondiente al script de definición de procesos"/>
  </r>
  <r>
    <s v="Control de _x000a_cambios "/>
    <x v="3"/>
    <s v="LC"/>
    <n v="1"/>
    <n v="20"/>
    <d v="2025-09-03T00:00:00"/>
    <d v="1899-12-30T09:00:00"/>
    <d v="2025-09-02T00:00:00"/>
    <d v="1899-12-30T19:20:00"/>
    <n v="0"/>
    <n v="1"/>
    <n v="20"/>
    <s v="Gestionar solicitudes de cambios, su evaluación, aprobación/rechazo e implantación. "/>
  </r>
  <r>
    <s v="Control de _x000a_cambios "/>
    <x v="4"/>
    <s v="LS"/>
    <n v="1"/>
    <n v="20"/>
    <d v="2025-09-03T00:00:00"/>
    <d v="1899-12-30T09:00:00"/>
    <d v="2025-09-02T00:00:00"/>
    <d v="1899-12-30T19:20:00"/>
    <n v="0"/>
    <n v="1"/>
    <n v="20"/>
    <s v="Gestionar solicitudes de cambios, su evaluación, aprobación/rechazo e implantación. "/>
  </r>
  <r>
    <s v="Caso 10 Ver Lista de Tareas"/>
    <x v="5"/>
    <s v="LD"/>
    <n v="1"/>
    <n v="30"/>
    <d v="2025-09-03T00:00:00"/>
    <d v="1899-12-30T09:00:00"/>
    <d v="2025-09-02T00:00:00"/>
    <d v="1899-12-30T19:30:00"/>
    <n v="2"/>
    <n v="2"/>
    <n v="28"/>
    <s v="Crear, editar y priorizar historias y tareas_x000a_vinculadas al sprint."/>
  </r>
  <r>
    <s v="Caso 13 Filtrar Tareas"/>
    <x v="0"/>
    <s v="LE"/>
    <n v="1"/>
    <n v="30"/>
    <d v="2025-09-03T00:00:00"/>
    <d v="1899-12-30T09:00:00"/>
    <d v="2025-09-02T00:00:00"/>
    <d v="1899-12-30T19:30:00"/>
    <n v="0"/>
    <n v="2"/>
    <n v="30"/>
    <s v="Definir y asegurar la verificación del registro de tareas"/>
  </r>
  <r>
    <s v="Caso 1 Crear Tarea"/>
    <x v="1"/>
    <s v="LP"/>
    <n v="1"/>
    <n v="30"/>
    <d v="2025-09-03T00:00:00"/>
    <d v="1899-12-30T09:00:00"/>
    <d v="2025-09-02T00:00:00"/>
    <d v="1899-12-30T19:30:00"/>
    <n v="3"/>
    <n v="1"/>
    <n v="27"/>
    <s v="Crear tarea: Registrar una nueva tarea en el sistema."/>
  </r>
  <r>
    <s v="Caso 2 Asignar tarea a usuario"/>
    <x v="1"/>
    <s v="LP"/>
    <n v="1"/>
    <n v="30"/>
    <d v="2025-09-03T00:00:00"/>
    <d v="1899-12-30T09:00:00"/>
    <d v="2025-09-02T00:00:00"/>
    <d v="1899-12-30T20:00:00"/>
    <n v="2"/>
    <n v="1"/>
    <n v="28"/>
    <s v="Asignar tarea a usuario: Designar un responsable para una tarea existente."/>
  </r>
  <r>
    <s v="Caso 3 Cambiar fecha límite de entrega"/>
    <x v="1"/>
    <s v="LP"/>
    <n v="1"/>
    <n v="30"/>
    <d v="2025-09-03T00:00:00"/>
    <d v="1899-12-30T09:00:00"/>
    <d v="2025-09-02T00:00:00"/>
    <d v="1899-12-30T20:30:00"/>
    <n v="10"/>
    <n v="2"/>
    <n v="20"/>
    <s v="Cambiar fecha límite de entrega: Modificar la fecha de vencimiento de una tarea."/>
  </r>
  <r>
    <s v="Caso 14 Ver progreso de tarea"/>
    <x v="4"/>
    <s v="LS"/>
    <n v="1"/>
    <n v="30"/>
    <d v="2025-09-03T00:00:00"/>
    <d v="1899-12-30T09:00:00"/>
    <d v="2025-08-31T00:00:00"/>
    <d v="1899-12-30T19:00:00"/>
    <n v="5"/>
    <n v="2"/>
    <n v="25"/>
    <s v="Ver progreso de tarea: Consultar el avance registrado de una tarea específica."/>
  </r>
  <r>
    <s v="Caso 7 Ver Dashboard del proyecto "/>
    <x v="2"/>
    <s v="LA"/>
    <n v="1"/>
    <n v="30"/>
    <d v="2025-09-03T00:00:00"/>
    <d v="1899-12-30T09:00:00"/>
    <d v="2025-08-31T00:00:00"/>
    <d v="1899-12-30T19:00:00"/>
    <n v="4"/>
    <n v="1"/>
    <n v="26"/>
    <s v="Ver Dashboard del proyecto: Visualizar el tablero general del proyecto con avances."/>
  </r>
  <r>
    <s v="Caso 4 Regsitrar tiempo a tarea"/>
    <x v="3"/>
    <s v="LC"/>
    <n v="1"/>
    <n v="30"/>
    <d v="2025-09-10T00:00:00"/>
    <d v="1899-12-30T09:00:00"/>
    <d v="2025-08-30T00:00:00"/>
    <d v="1899-12-30T19:00:00"/>
    <n v="0"/>
    <n v="1"/>
    <n v="30"/>
    <s v="Registrar tiempo a tarea: Ingresar el tiempo trabajado en una tarea."/>
  </r>
  <r>
    <s v="Caso 5 Marcar tarea como completada"/>
    <x v="3"/>
    <s v="LC"/>
    <n v="1"/>
    <n v="30"/>
    <d v="2025-09-11T00:00:00"/>
    <d v="1899-12-30T09:00:00"/>
    <d v="2025-08-30T00:00:00"/>
    <d v="1899-12-30T19:30:00"/>
    <n v="2"/>
    <n v="1"/>
    <n v="28"/>
    <s v="Marcar tarea como completada: Cambiar el estado de una tarea a finalizada."/>
  </r>
  <r>
    <s v="Caso 6 Crear KPI"/>
    <x v="3"/>
    <s v="LC"/>
    <n v="1"/>
    <n v="30"/>
    <d v="2025-09-12T00:00:00"/>
    <d v="1899-12-30T09:00:00"/>
    <d v="2025-08-30T00:00:00"/>
    <d v="1899-12-30T20:00:00"/>
    <n v="6"/>
    <n v="1"/>
    <n v="24"/>
    <s v="Crear KPI: Definir un nuevo indicador de desempeño en el proyecto."/>
  </r>
  <r>
    <s v="caso 11 Asignar tarea a proyecto"/>
    <x v="5"/>
    <s v="LD"/>
    <n v="1"/>
    <n v="30"/>
    <d v="2025-09-13T00:00:00"/>
    <d v="1899-12-30T09:00:00"/>
    <d v="2025-09-02T00:00:00"/>
    <d v="1899-12-30T20:00:00"/>
    <n v="0"/>
    <n v="1"/>
    <n v="30"/>
    <s v="Asignar tarea a proyecto: Asociar una tarea a un proyecto específico."/>
  </r>
  <r>
    <s v="Caso 18 Eliminar tarea"/>
    <x v="5"/>
    <s v="LD"/>
    <n v="5"/>
    <n v="50"/>
    <d v="2025-09-14T00:00:00"/>
    <d v="1899-12-30T09:00:00"/>
    <d v="2025-09-02T00:00:00"/>
    <d v="1899-12-30T20:50:00"/>
    <n v="5"/>
    <n v="5"/>
    <n v="45"/>
    <s v="Eliminar tarea: Borrar una tarea del sistema."/>
  </r>
  <r>
    <s v="Caso 8 Generar reporte del progreso"/>
    <x v="2"/>
    <s v="LA"/>
    <n v="1"/>
    <n v="30"/>
    <d v="2025-09-15T00:00:00"/>
    <d v="1899-12-30T09:00:00"/>
    <d v="2025-08-31T00:00:00"/>
    <d v="1899-12-30T19:30:00"/>
    <n v="8"/>
    <n v="1"/>
    <n v="22"/>
    <s v="Generar reporte del progreso: Crear un informe con el estado y evolución del proyecto."/>
  </r>
  <r>
    <s v="Caso 9 Visualizar KPI"/>
    <x v="0"/>
    <s v="LE"/>
    <n v="1"/>
    <n v="30"/>
    <d v="2025-09-16T00:00:00"/>
    <d v="1899-12-30T09:00:00"/>
    <d v="2025-09-02T00:00:00"/>
    <d v="1899-12-30T20:00:00"/>
    <n v="7"/>
    <n v="1"/>
    <n v="23"/>
    <s v="Visualizar KPI: Consultar los indicadores de desempeño creados en el sistema."/>
  </r>
  <r>
    <s v="Caso 17 Ver detalles de tarea"/>
    <x v="0"/>
    <s v="LE"/>
    <n v="1"/>
    <n v="40"/>
    <d v="2025-09-17T00:00:00"/>
    <d v="1899-12-30T09:00:00"/>
    <d v="2025-09-02T00:00:00"/>
    <d v="1899-12-30T20:40:00"/>
    <n v="9"/>
    <n v="2"/>
    <n v="31"/>
    <s v="Ver detalles de tarea: Mostrar información detallada de una tarea seleccionada."/>
  </r>
  <r>
    <s v="Caso 12 Editar tarea"/>
    <x v="2"/>
    <s v="LA"/>
    <n v="1"/>
    <n v="25"/>
    <d v="2025-09-18T00:00:00"/>
    <d v="1899-12-30T09:00:00"/>
    <d v="2025-08-31T00:00:00"/>
    <d v="1899-12-30T19:55:00"/>
    <n v="5"/>
    <n v="2"/>
    <n v="20"/>
    <s v="Editar tarea: Modificar datos de una tarea existente."/>
  </r>
  <r>
    <s v="Caso 16 Marcar Notificación como leída"/>
    <x v="4"/>
    <s v="LS"/>
    <n v="1"/>
    <n v="20"/>
    <d v="2025-09-19T00:00:00"/>
    <d v="1899-12-30T09:00:00"/>
    <d v="2025-08-31T00:00:00"/>
    <d v="1899-12-30T19:20:00"/>
    <n v="0"/>
    <n v="1"/>
    <n v="20"/>
    <s v="Marcar notificación como leída: Cambiar el estado de una notificación a revisada."/>
  </r>
  <r>
    <s v="Caso 15 ver notificaciones"/>
    <x v="4"/>
    <s v="LS"/>
    <n v="1"/>
    <n v="20"/>
    <d v="2025-09-20T00:00:00"/>
    <d v="1899-12-30T09:00:00"/>
    <d v="2025-08-31T00:00:00"/>
    <d v="1899-12-30T19:40:00"/>
    <n v="0"/>
    <n v="1"/>
    <n v="20"/>
    <s v="Ver notificaciones: Mostrar las alertas y avisos del sistema."/>
  </r>
  <r>
    <s v="Desempeño (atributo de calidad)"/>
    <x v="1"/>
    <s v="LP"/>
    <n v="1"/>
    <n v="30"/>
    <d v="2025-09-21T00:00:00"/>
    <d v="1899-12-30T09:00:00"/>
    <d v="2025-09-02T00:00:00"/>
    <d v="1899-12-30T21:00:00"/>
    <n v="5"/>
    <n v="1"/>
    <n v="25"/>
    <s v="Definir requisitos de tiempos de respuesta y_x000a_eficiencia en consultas y reportes"/>
  </r>
  <r>
    <s v="Escalabilidad(atributo de calidad)"/>
    <x v="4"/>
    <s v="LS"/>
    <n v="1"/>
    <n v="30"/>
    <d v="2025-09-22T00:00:00"/>
    <d v="1899-12-30T09:00:00"/>
    <d v="2025-08-31T00:00:00"/>
    <d v="1899-12-30T20:10:00"/>
    <n v="0"/>
    <n v="1"/>
    <n v="30"/>
    <s v="Establecer estrategias para soportar el_x000a_crecimiento de usuarios y proyectos."/>
  </r>
  <r>
    <s v="Disponibilidad(atributo de calidad)"/>
    <x v="3"/>
    <s v="LC"/>
    <n v="1"/>
    <n v="30"/>
    <d v="2025-09-23T00:00:00"/>
    <d v="1899-12-30T09:00:00"/>
    <d v="2025-08-30T00:00:00"/>
    <d v="1899-12-30T20:30:00"/>
    <n v="5"/>
    <n v="1"/>
    <n v="25"/>
    <s v="Garantizar el tiempo de servicio del sistema y_x000a_planes de recuperación ante fallos"/>
  </r>
  <r>
    <s v=" Usabilidad(atributo de calidad)"/>
    <x v="0"/>
    <s v="LE"/>
    <n v="1"/>
    <n v="30"/>
    <d v="2025-09-24T00:00:00"/>
    <d v="1899-12-30T09:00:00"/>
    <d v="2025-09-02T00:00:00"/>
    <d v="1899-12-30T21:10:00"/>
    <n v="6"/>
    <n v="1"/>
    <n v="24"/>
    <s v="Establecer criterios de interfaz amigable e_x000a_intuitiva para los usuarios."/>
  </r>
  <r>
    <s v="Seguridad(atributo de calidad)"/>
    <x v="2"/>
    <s v="LA"/>
    <n v="1"/>
    <n v="30"/>
    <d v="2025-09-25T00:00:00"/>
    <d v="1899-12-30T09:00:00"/>
    <d v="2025-08-31T00:00:00"/>
    <d v="1899-12-30T20:25:00"/>
    <n v="7"/>
    <n v="1"/>
    <n v="23"/>
    <s v="Definir políticas de seguridad, permisos y_x000a_protección de datos del sistema."/>
  </r>
  <r>
    <s v="Extensibilidad(atributode calidad)"/>
    <x v="5"/>
    <s v="LD"/>
    <n v="1"/>
    <n v="30"/>
    <d v="2025-09-26T00:00:00"/>
    <d v="1899-12-30T09:00:00"/>
    <d v="2025-09-02T00:00:00"/>
    <d v="1899-12-30T21:20:00"/>
    <n v="4"/>
    <n v="1"/>
    <n v="26"/>
    <s v="Asegurar que el sistema pueda incorporar_x000a_nuevos módulos o integraciones."/>
  </r>
  <r>
    <s v="Corrección de Documentos"/>
    <x v="3"/>
    <s v="LC"/>
    <n v="1"/>
    <n v="30"/>
    <d v="2025-09-27T00:00:00"/>
    <d v="1899-12-30T09:00:00"/>
    <d v="2025-09-02T00:00:00"/>
    <d v="1899-12-30T19:00:00"/>
    <n v="0"/>
    <n v="3"/>
    <n v="30"/>
    <s v="correción ortografica, orden y normas de los Documentos"/>
  </r>
  <r>
    <s v="Diagrama de clases (modelo de dominio)"/>
    <x v="5"/>
    <s v="LD"/>
    <n v="1"/>
    <n v="60"/>
    <d v="2025-09-27T00:00:00"/>
    <d v="1899-12-30T09:00:00"/>
    <d v="2025-09-02T00:00:00"/>
    <d v="1899-12-30T22:20:00"/>
    <n v="-2"/>
    <n v="1"/>
    <n v="62"/>
    <s v="Elaborar el diagrama UML de clases que_x000a_represente entidades y relaciones."/>
  </r>
  <r>
    <s v="Elaboración de las bitácoras"/>
    <x v="1"/>
    <s v=" LP"/>
    <n v="1"/>
    <n v="60"/>
    <d v="2025-09-03T00:00:00"/>
    <d v="1899-12-30T09:00:00"/>
    <d v="2025-09-02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LS"/>
    <n v="1"/>
    <n v="60"/>
    <d v="2025-09-03T00:00:00"/>
    <d v="1899-12-30T09:00:00"/>
    <d v="2025-09-02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LE"/>
    <n v="1"/>
    <n v="60"/>
    <d v="2025-09-03T00:00:00"/>
    <d v="1899-12-30T09:00:00"/>
    <d v="2025-09-02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LA"/>
    <n v="1"/>
    <n v="60"/>
    <d v="2025-09-03T00:00:00"/>
    <d v="1899-12-30T09:00:00"/>
    <d v="2025-09-02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LC"/>
    <n v="1"/>
    <n v="60"/>
    <d v="2025-09-03T00:00:00"/>
    <d v="1899-12-30T09:00:00"/>
    <d v="2025-09-02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LD"/>
    <n v="1"/>
    <n v="60"/>
    <d v="2025-09-03T00:00:00"/>
    <d v="1899-12-30T09:00:00"/>
    <d v="2025-09-02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0"/>
    <s v="LE"/>
    <n v="1"/>
    <n v="30"/>
    <d v="2025-09-03T00:00:00"/>
    <d v="1899-12-30T09:00:00"/>
    <d v="2025-09-02T00:00:00"/>
    <d v="1899-12-30T22:00:00"/>
    <n v="0"/>
    <n v="1"/>
    <n v="30"/>
    <s v="No comentarios"/>
  </r>
  <r>
    <s v="Llenado de log de defectos"/>
    <x v="3"/>
    <s v="LC"/>
    <n v="1"/>
    <n v="30"/>
    <d v="2025-09-03T00:00:00"/>
    <d v="1899-12-30T09:00:00"/>
    <d v="2025-09-02T00:00:00"/>
    <d v="1899-12-30T22:00:00"/>
    <n v="0"/>
    <n v="1"/>
    <n v="30"/>
    <s v="No comentarios"/>
  </r>
  <r>
    <s v="Acta de reunión"/>
    <x v="3"/>
    <s v="LC"/>
    <n v="1"/>
    <n v="45"/>
    <d v="2025-09-03T00:00:00"/>
    <d v="1899-12-30T09:00:00"/>
    <d v="2025-09-02T00:00:00"/>
    <d v="1899-12-30T22:30:00"/>
    <n v="-35"/>
    <n v="1"/>
    <n v="80"/>
    <s v="Ordenar en grupo todos los documentos asignados para la primera entrega"/>
  </r>
  <r>
    <s v="Elaboración de diapositivas(Informe final)"/>
    <x v="0"/>
    <s v="LE"/>
    <n v="1"/>
    <n v="60"/>
    <d v="2025-09-03T00:00:00"/>
    <d v="1899-12-30T09:00:00"/>
    <d v="2025-09-02T00:00:00"/>
    <d v="1899-12-30T22:30:00"/>
    <n v="10"/>
    <n v="1"/>
    <n v="50"/>
    <s v="Diapositivas con los documentos hechos "/>
  </r>
  <r>
    <s v="Maestro de documentos"/>
    <x v="0"/>
    <s v="LE"/>
    <n v="1"/>
    <n v="55"/>
    <d v="2025-09-03T00:00:00"/>
    <d v="1899-12-30T09:00:00"/>
    <d v="2025-09-02T00:00:00"/>
    <d v="1899-12-30T22:30:00"/>
    <n v="0"/>
    <n v="1"/>
    <n v="55"/>
    <s v="Realización de un excel con los documentos hechos "/>
  </r>
  <r>
    <s v="Revisión de _x000a_documentos "/>
    <x v="3"/>
    <s v="LC"/>
    <n v="1"/>
    <n v="30"/>
    <d v="2025-09-03T00:00:00"/>
    <d v="1899-12-30T09:00:00"/>
    <d v="2025-09-02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S"/>
    <n v="1"/>
    <n v="30"/>
    <d v="2025-09-03T00:00:00"/>
    <d v="1899-12-30T09:00:00"/>
    <d v="2025-09-02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09-03T00:00:00"/>
    <d v="1899-12-30T09:00:00"/>
    <d v="2025-09-02T00:00:00"/>
    <d v="1899-12-30T22:30:00"/>
    <n v="-2"/>
    <n v="1"/>
    <n v="32"/>
    <s v="Se revisan los tres documentos realizados en grupo para consolidar los resultados y corregir errores "/>
  </r>
  <r>
    <s v="Revisión de _x000a_documentos "/>
    <x v="0"/>
    <s v="LE"/>
    <n v="1"/>
    <n v="30"/>
    <d v="2025-09-03T00:00:00"/>
    <d v="1899-12-30T09:00:00"/>
    <d v="2025-09-02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A"/>
    <n v="1"/>
    <n v="30"/>
    <d v="2025-09-03T00:00:00"/>
    <d v="1899-12-30T09:00:00"/>
    <d v="2025-09-02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09-03T00:00:00"/>
    <d v="1899-12-30T09:00:00"/>
    <d v="2025-09-02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0"/>
    <s v="LE"/>
    <n v="3"/>
    <n v="20"/>
    <d v="2025-09-03T00:00:00"/>
    <d v="1899-12-30T09:00:00"/>
    <d v="2025-09-03T00:00:00"/>
    <d v="1899-12-30T09:00:00"/>
    <n v="5"/>
    <n v="3"/>
    <n v="15"/>
    <s v="Todos los documentos subidos _x000a_y actualizados en la pagina "/>
  </r>
  <r>
    <s v="Realización del control de asignaciones"/>
    <x v="1"/>
    <s v="LP"/>
    <n v="1"/>
    <n v="30"/>
    <d v="2025-09-09T00:00:00"/>
    <d v="1899-12-30T09:00:00"/>
    <d v="2025-09-05T00:00:00"/>
    <d v="1899-12-30T11:00:00"/>
    <n v="0"/>
    <n v="1"/>
    <n v="30"/>
    <s v="Se realizo el llenado del control de asignaciones para asi terminar con éxito la fase 3  de Requerimientos y para que los demas lideres llenen sus bitácoras"/>
  </r>
  <r>
    <s v="Script de definición de procesos(PLANEACIÓN)"/>
    <x v="3"/>
    <s v="LC"/>
    <n v="1"/>
    <n v="30"/>
    <d v="2025-09-09T00:00:00"/>
    <d v="1899-12-30T09:00:00"/>
    <d v="2025-09-05T00:00:00"/>
    <d v="1899-12-30T19:00:00"/>
    <n v="0"/>
    <n v="1"/>
    <n v="30"/>
    <s v="Diligenciar el formato correspondiente al script de definición de procesos"/>
  </r>
  <r>
    <s v="Definir _x000a_objetivo y _x000a_alcance"/>
    <x v="3"/>
    <s v="LC"/>
    <n v="2"/>
    <n v="30"/>
    <d v="2025-09-09T00:00:00"/>
    <d v="1899-12-30T09:00:00"/>
    <d v="2025-09-07T00:00:00"/>
    <d v="1899-12-30T12:30:00"/>
    <n v="0"/>
    <n v="2"/>
    <n v="30"/>
    <s v="Redactar por qué existe el plan, qué cubre y_x000a_qué no, y cómo se usará en el proyecto."/>
  </r>
  <r>
    <s v="Definir _x000a_objetivo y _x000a_alcance"/>
    <x v="4"/>
    <s v="LS"/>
    <n v="2"/>
    <n v="30"/>
    <d v="2025-09-09T00:00:00"/>
    <d v="1899-12-30T09:00:00"/>
    <d v="2025-09-07T00:00:00"/>
    <d v="1899-12-30T13:00:00"/>
    <n v="0"/>
    <n v="2"/>
    <n v="30"/>
    <s v="Redactar por qué existe el plan, qué cubre y_x000a_qué no, y cómo se usará en el proyecto."/>
  </r>
  <r>
    <s v="Identificar roles y recursos"/>
    <x v="3"/>
    <s v="LC"/>
    <n v="1"/>
    <n v="30"/>
    <d v="2025-09-09T00:00:00"/>
    <d v="1899-12-30T09:00:00"/>
    <d v="2025-09-07T00:00:00"/>
    <d v="1899-12-30T13:30:00"/>
    <n v="0"/>
    <n v="1"/>
    <n v="30"/>
    <s v="Listar responsables (PO/Analista/Calidad/Dev/LP) y herramientas (repo, tablero, plantillas)."/>
  </r>
  <r>
    <s v="Identificar roles y recursos"/>
    <x v="4"/>
    <s v="LS"/>
    <n v="1"/>
    <n v="30"/>
    <d v="2025-09-09T00:00:00"/>
    <d v="1899-12-30T09:00:00"/>
    <d v="2025-09-07T00:00:00"/>
    <d v="1899-12-30T14:00:00"/>
    <n v="0"/>
    <n v="2"/>
    <n v="30"/>
    <s v="Listar responsables (PO/Analista/Calidad/Dev/LP) y herramientas (repo, tablero, plantillas)."/>
  </r>
  <r>
    <s v="Configurar repositorio y URL de revisiones"/>
    <x v="3"/>
    <s v="LC"/>
    <n v="2"/>
    <n v="30"/>
    <d v="2025-09-09T00:00:00"/>
    <d v="1899-12-30T09:00:00"/>
    <d v="2025-09-07T00:00:00"/>
    <d v="1899-12-30T14:00:00"/>
    <n v="0"/>
    <n v="2"/>
    <n v="30"/>
    <s v="Crear/validar la carpeta oficial y su enlace_x000a_para revisiones y versiones."/>
  </r>
  <r>
    <s v="Configurar repositorio y URL de revisiones"/>
    <x v="4"/>
    <s v="LS"/>
    <n v="2"/>
    <n v="30"/>
    <d v="2025-09-09T00:00:00"/>
    <d v="1899-12-30T09:00:00"/>
    <d v="2025-09-07T00:00:00"/>
    <d v="1899-12-30T14:00:00"/>
    <n v="0"/>
    <n v="2"/>
    <n v="30"/>
    <s v="Crear/validar la carpeta oficial y su enlace_x000a_para revisiones y versiones."/>
  </r>
  <r>
    <s v="Diseñar plantilla de evaluación"/>
    <x v="3"/>
    <s v="LC"/>
    <n v="2"/>
    <n v="30"/>
    <d v="2025-09-09T00:00:00"/>
    <d v="1899-12-30T09:00:00"/>
    <d v="2025-09-07T00:00:00"/>
    <d v="1899-12-30T14:00:00"/>
    <n v="0"/>
    <n v="1"/>
    <n v="30"/>
    <s v="Construir el checklist con criterios:_x000a_completitud, no ambigüedad, consistencia,_x000a_trazabilidad, corrección y no redundancia."/>
  </r>
  <r>
    <s v="Diseñar plantilla de evaluación"/>
    <x v="4"/>
    <s v="LS"/>
    <n v="2"/>
    <n v="30"/>
    <d v="2025-09-09T00:00:00"/>
    <d v="1899-12-30T09:00:00"/>
    <d v="2025-09-07T00:00:00"/>
    <d v="1899-12-30T14:00:00"/>
    <n v="0"/>
    <n v="1"/>
    <n v="30"/>
    <s v="Construir el checklist con criterios:_x000a_completitud, no ambigüedad, consistencia,_x000a_trazabilidad, corrección y no redundancia."/>
  </r>
  <r>
    <s v="Capturar y normalizar requerimientos"/>
    <x v="3"/>
    <s v="LC"/>
    <n v="1"/>
    <n v="30"/>
    <d v="2025-09-09T00:00:00"/>
    <d v="1899-12-30T09:00:00"/>
    <d v="2025-09-07T00:00:00"/>
    <d v="1899-12-30T14:00:00"/>
    <n v="0"/>
    <n v="3"/>
    <n v="30"/>
    <s v="Recoger requerimientos (UC, reglas, calidad)_x000a_y asignar ID, nombre claro y formato estándar."/>
  </r>
  <r>
    <s v="Capturar y normalizar requerimientos"/>
    <x v="4"/>
    <s v="LS"/>
    <n v="1"/>
    <n v="30"/>
    <d v="2025-09-09T00:00:00"/>
    <d v="1899-12-30T09:00:00"/>
    <d v="2025-09-07T00:00:00"/>
    <d v="1899-12-30T14:00:00"/>
    <n v="0"/>
    <n v="2"/>
    <n v="30"/>
    <s v="Recoger requerimientos (UC, reglas, calidad)_x000a_y asignar ID, nombre claro y formato estándar."/>
  </r>
  <r>
    <s v="Especificar y documentar"/>
    <x v="3"/>
    <s v="LC"/>
    <n v="1"/>
    <n v="30"/>
    <d v="2025-09-09T00:00:00"/>
    <d v="1899-12-30T09:00:00"/>
    <d v="2025-09-07T00:00:00"/>
    <d v="1899-12-30T14:00:00"/>
    <n v="0"/>
    <n v="2"/>
    <n v="30"/>
    <s v="Redactar cada requerimiento con_x000a_descripción, fuente, prioridad y criterios de_x000a_aceptación."/>
  </r>
  <r>
    <s v="Especificar y documentar"/>
    <x v="4"/>
    <s v="LS"/>
    <n v="1"/>
    <n v="30"/>
    <d v="2025-09-09T00:00:00"/>
    <d v="1899-12-30T09:00:00"/>
    <d v="2025-09-07T00:00:00"/>
    <d v="1899-12-30T14:00:00"/>
    <n v="0"/>
    <n v="1"/>
    <n v="30"/>
    <s v="Redactar cada requerimiento con_x000a_descripción, fuente, prioridad y criterios de_x000a_aceptación."/>
  </r>
  <r>
    <s v="Revisar e inspeccionar requerimientos"/>
    <x v="3"/>
    <s v="LC"/>
    <n v="1"/>
    <n v="30"/>
    <d v="2025-09-09T00:00:00"/>
    <d v="1899-12-30T09:00:00"/>
    <d v="2025-09-07T00:00:00"/>
    <d v="1899-12-30T14:00:00"/>
    <n v="0"/>
    <n v="1"/>
    <n v="30"/>
    <s v="Aplicar el checklist; registrar observaciones y_x000a_correcciones."/>
  </r>
  <r>
    <s v="Revisar e inspeccionar requerimientos"/>
    <x v="4"/>
    <s v="LS"/>
    <n v="1"/>
    <n v="30"/>
    <d v="2025-09-09T00:00:00"/>
    <d v="1899-12-30T09:00:00"/>
    <d v="2025-09-07T00:00:00"/>
    <d v="1899-12-30T14:00:00"/>
    <n v="0"/>
    <n v="1"/>
    <n v="30"/>
    <s v="Aplicar el checklist; registrar observaciones y_x000a_correcciones."/>
  </r>
  <r>
    <s v="Priorizar y aprobar"/>
    <x v="3"/>
    <s v="LC"/>
    <n v="1"/>
    <n v="20"/>
    <d v="2025-09-09T00:00:00"/>
    <d v="1899-12-30T09:00:00"/>
    <d v="2025-09-07T00:00:00"/>
    <d v="1899-12-30T14:00:00"/>
    <n v="-10"/>
    <n v="1"/>
    <n v="30"/>
    <s v="Clasificar (p. ej., MoSCoW) y aprobar para_x000a_baseline con el equipo/líder de calidad."/>
  </r>
  <r>
    <s v="Priorizar y aprobar"/>
    <x v="4"/>
    <s v="LS"/>
    <n v="1"/>
    <n v="20"/>
    <d v="2025-09-09T00:00:00"/>
    <d v="1899-12-30T09:00:00"/>
    <d v="2025-09-07T00:00:00"/>
    <d v="1899-12-30T14:00:00"/>
    <n v="-10"/>
    <n v="1"/>
    <n v="30"/>
    <s v="Clasificar (p. ej., MoSCoW) y aprobar para_x000a_baseline con el equipo/líder de calidad."/>
  </r>
  <r>
    <s v="Trazabilidad"/>
    <x v="3"/>
    <s v="LC"/>
    <n v="1"/>
    <n v="20"/>
    <d v="2025-09-09T00:00:00"/>
    <d v="1899-12-30T09:00:00"/>
    <d v="2025-09-07T00:00:00"/>
    <d v="1899-12-30T14:00:00"/>
    <n v="-10"/>
    <n v="1"/>
    <n v="30"/>
    <s v="Crear/actualizar matriz Req ↔_x000a_UC/Tarea/Prueba/KPI."/>
  </r>
  <r>
    <s v="Trazabilidad"/>
    <x v="4"/>
    <s v="LS"/>
    <n v="1"/>
    <n v="20"/>
    <d v="2025-09-09T00:00:00"/>
    <d v="1899-12-30T09:00:00"/>
    <d v="2025-09-07T00:00:00"/>
    <d v="1899-12-30T14:00:00"/>
    <n v="0"/>
    <n v="1"/>
    <n v="20"/>
    <s v="Crear/actualizar matriz Req ↔_x000a_UC/Tarea/Prueba/KPI."/>
  </r>
  <r>
    <s v="Control de cambios_x000a_(RFC/CCB)"/>
    <x v="3"/>
    <s v="LC"/>
    <n v="1"/>
    <n v="20"/>
    <d v="2025-09-09T00:00:00"/>
    <d v="1899-12-30T09:00:00"/>
    <d v="2025-09-07T00:00:00"/>
    <d v="1899-12-30T14:00:00"/>
    <n v="1"/>
    <n v="2"/>
    <n v="19"/>
    <s v="Definir formato RFC, flujo de aprobación y_x000a_registro de impactos."/>
  </r>
  <r>
    <s v="Control decambios_x000a_(RFC/CCB)"/>
    <x v="4"/>
    <s v="LS"/>
    <n v="1"/>
    <n v="20"/>
    <d v="2025-09-09T00:00:00"/>
    <d v="1899-12-30T09:00:00"/>
    <d v="2025-09-07T00:00:00"/>
    <d v="1899-12-30T14:00:00"/>
    <n v="0"/>
    <n v="2"/>
    <n v="20"/>
    <s v="Definir formato RFC, flujo de aprobación y_x000a_registro de impactos."/>
  </r>
  <r>
    <s v="Versionado y publicación"/>
    <x v="3"/>
    <s v="LC"/>
    <n v="1"/>
    <n v="15"/>
    <d v="2025-09-09T00:00:00"/>
    <d v="1899-12-30T09:00:00"/>
    <d v="2025-09-07T00:00:00"/>
    <d v="1899-12-30T14:00:00"/>
    <n v="5"/>
    <n v="1"/>
    <n v="10"/>
    <s v="Versionar documentos, guardar en la carpeta_x000a_oficial y registrar enlace en maestro de_x000a_documentos."/>
  </r>
  <r>
    <s v="Versionado y publicación"/>
    <x v="4"/>
    <s v="LS"/>
    <n v="1"/>
    <n v="15"/>
    <d v="2025-09-09T00:00:00"/>
    <d v="1899-12-30T09:00:00"/>
    <d v="2025-09-07T00:00:00"/>
    <d v="1899-12-30T14:00:00"/>
    <n v="5"/>
    <n v="1"/>
    <n v="10"/>
    <s v="Versionar documentos, guardar en la carpeta_x000a_oficial y registrar enlace en maestro de_x000a_documentos."/>
  </r>
  <r>
    <s v="Seguimiento y métricas"/>
    <x v="3"/>
    <s v="LC"/>
    <n v="1"/>
    <n v="20"/>
    <d v="2025-09-09T00:00:00"/>
    <d v="1899-12-30T09:00:00"/>
    <d v="2025-09-07T00:00:00"/>
    <d v="1899-12-30T14:00:00"/>
    <n v="10"/>
    <n v="1"/>
    <n v="10"/>
    <s v="Definir frecuencia de revisión y métricas_x000a_mínimas (p. ej., % trazabilidad, % req_x000a_aprobados)."/>
  </r>
  <r>
    <s v="Seguimiento y métricas"/>
    <x v="4"/>
    <s v="LS"/>
    <n v="1"/>
    <n v="20"/>
    <d v="2025-09-09T00:00:00"/>
    <d v="1899-12-30T09:00:00"/>
    <d v="2025-09-07T00:00:00"/>
    <d v="1899-12-30T14:00:00"/>
    <n v="10"/>
    <n v="1"/>
    <n v="10"/>
    <s v="Definir frecuencia de revisión y métricas_x000a_mínimas (p. ej., % trazabilidad, % req_x000a_aprobados)."/>
  </r>
  <r>
    <s v="Definir objetivos y alcance"/>
    <x v="0"/>
    <s v="LE"/>
    <n v="1"/>
    <n v="55"/>
    <d v="2025-09-09T00:00:00"/>
    <d v="1899-12-30T09:00:00"/>
    <d v="2025-09-06T00:00:00"/>
    <d v="1899-12-30T08:30:00"/>
    <n v="-5"/>
    <n v="2"/>
    <n v="60"/>
    <s v="Qué calidad vamos a asegurar (defectos,_x000a_métricas, revisiones) y hasta dónde aplica_x000a_(por sprint)."/>
  </r>
  <r>
    <s v="Definir objetivos y alcance"/>
    <x v="2"/>
    <s v="LA"/>
    <n v="1"/>
    <n v="55"/>
    <d v="2025-09-09T00:00:00"/>
    <d v="1899-12-30T09:00:00"/>
    <d v="2025-09-06T00:00:00"/>
    <d v="1899-12-30T09:30:00"/>
    <n v="-5"/>
    <n v="1"/>
    <n v="60"/>
    <s v="Qué calidad vamos a asegurar (defectos,_x000a_métricas, revisiones) y hasta dónde aplica_x000a_(por sprint)."/>
  </r>
  <r>
    <s v="Establecer políticas de calidad"/>
    <x v="0"/>
    <s v="LE"/>
    <n v="1"/>
    <n v="60"/>
    <d v="2025-09-09T00:00:00"/>
    <d v="1899-12-30T09:00:00"/>
    <d v="2025-09-06T00:00:00"/>
    <d v="1899-12-30T10:30:00"/>
    <n v="0"/>
    <n v="3"/>
    <n v="60"/>
    <s v="Criterios y reglas: prevención &gt; detección,_x000a_severidades/prioridades, “cero críticos al_x000a_cierre”, uso de checklist."/>
  </r>
  <r>
    <s v="Establecer políticas de calidad"/>
    <x v="2"/>
    <s v="LA"/>
    <n v="1"/>
    <n v="60"/>
    <d v="2025-09-09T00:00:00"/>
    <d v="1899-12-30T09:00:00"/>
    <d v="2025-09-06T00:00:00"/>
    <d v="1899-12-30T11:30:00"/>
    <n v="0"/>
    <n v="1"/>
    <n v="60"/>
    <s v="Criterios y reglas: prevención &gt; detección,_x000a_severidades/prioridades, “cero críticos al_x000a_cierre”, uso de checklist."/>
  </r>
  <r>
    <s v="Configurar recursos y herramientas"/>
    <x v="0"/>
    <s v="LE"/>
    <n v="1"/>
    <n v="30"/>
    <d v="2025-09-09T00:00:00"/>
    <d v="1899-12-30T09:00:00"/>
    <d v="2025-09-06T00:00:00"/>
    <d v="1899-12-30T12:00:00"/>
    <n v="0"/>
    <n v="1"/>
    <n v="30"/>
    <s v="Repo/carpeta oficial, plantillas, tablero_x000a_DashKPI, espacios para evidencias."/>
  </r>
  <r>
    <s v="Configurar recursos y herramientas"/>
    <x v="2"/>
    <s v="LA"/>
    <n v="1"/>
    <n v="30"/>
    <d v="2025-09-09T00:00:00"/>
    <d v="1899-12-30T09:00:00"/>
    <d v="2025-09-06T00:00:00"/>
    <d v="1899-12-30T12:30:00"/>
    <n v="2"/>
    <n v="1"/>
    <n v="28"/>
    <s v="Repo/carpeta oficial, plantillas, tablero_x000a_DashKPI, espacios para evidencias."/>
  </r>
  <r>
    <s v="Definir roles y responsables (RACI)"/>
    <x v="0"/>
    <s v="LE"/>
    <n v="1"/>
    <n v="30"/>
    <d v="2025-09-09T00:00:00"/>
    <d v="1899-12-30T09:00:00"/>
    <d v="2025-09-06T00:00:00"/>
    <d v="1899-12-30T13:00:00"/>
    <n v="0"/>
    <n v="1"/>
    <n v="30"/>
    <s v="Líder de Calidad, QA, Líder de Desarrollo,_x000a_Dev, PO: quién revisa, quién aprueba, quién_x000a_corrige."/>
  </r>
  <r>
    <s v="Definir roles y responsables (RACI)"/>
    <x v="2"/>
    <s v="LA"/>
    <n v="1"/>
    <n v="30"/>
    <d v="2025-09-09T00:00:00"/>
    <d v="1899-12-30T09:00:00"/>
    <d v="2025-09-06T00:00:00"/>
    <d v="1899-12-30T13:30:00"/>
    <n v="1"/>
    <n v="1"/>
    <n v="29"/>
    <s v="Líder de Calidad, QA, Líder de Desarrollo,_x000a_Dev, PO: quién revisa, quién aprueba, quién_x000a_corrige."/>
  </r>
  <r>
    <s v="Diseñar métricas de calidad"/>
    <x v="0"/>
    <s v="LE"/>
    <n v="1"/>
    <n v="30"/>
    <d v="2025-09-09T00:00:00"/>
    <d v="1899-12-30T09:00:00"/>
    <d v="2025-09-06T00:00:00"/>
    <d v="1899-12-30T14:00:00"/>
    <n v="0"/>
    <n v="1"/>
    <n v="30"/>
    <s v="Definir fórmula, umbral, frecuencia, fuente y_x000a_responsable (Densidad, DRE, MTTR,_x000a_%Revisiones, %DoD)."/>
  </r>
  <r>
    <s v="Diseñar métricas de calidad"/>
    <x v="2"/>
    <s v="LA"/>
    <n v="1"/>
    <n v="30"/>
    <d v="2025-09-09T00:00:00"/>
    <d v="1899-12-30T09:00:00"/>
    <d v="2025-09-06T00:00:00"/>
    <d v="1899-12-30T14:00:00"/>
    <n v="0"/>
    <n v="1"/>
    <n v="30"/>
    <s v="Definir fórmula, umbral, frecuencia, fuente y_x000a_responsable (Densidad, DRE, MTTR,_x000a_%Revisiones, %DoD)."/>
  </r>
  <r>
    <s v="Planear revisiones e inspecciones"/>
    <x v="0"/>
    <s v="LE"/>
    <n v="1"/>
    <n v="30"/>
    <d v="2025-09-09T00:00:00"/>
    <d v="1899-12-30T09:00:00"/>
    <d v="2025-09-06T00:00:00"/>
    <d v="1899-12-30T14:30:00"/>
    <n v="0"/>
    <n v="1"/>
    <n v="30"/>
    <s v="Calendario y alcance por artefacto; checklist_x000a_de revisión; formato de acta."/>
  </r>
  <r>
    <s v="Planear revisiones e inspecciones"/>
    <x v="2"/>
    <s v="LA"/>
    <n v="1"/>
    <n v="30"/>
    <d v="2025-09-09T00:00:00"/>
    <d v="1899-12-30T09:00:00"/>
    <d v="2025-09-06T00:00:00"/>
    <d v="1899-12-30T14:30:00"/>
    <n v="5"/>
    <n v="1"/>
    <n v="25"/>
    <s v="Calendario y alcance por artefacto; checklist_x000a_de revisión; formato de acta."/>
  </r>
  <r>
    <s v="Activar log de defectos y flujo de vida"/>
    <x v="0"/>
    <s v="LE"/>
    <n v="1"/>
    <n v="30"/>
    <d v="2025-09-09T00:00:00"/>
    <d v="1899-12-30T09:00:00"/>
    <d v="2025-09-06T00:00:00"/>
    <d v="1899-12-30T15:00:00"/>
    <n v="5"/>
    <n v="1"/>
    <n v="25"/>
    <s v="Estados (Abierto→Cerrado), severidades,_x000a_SLA por severidad y categorías; reglas de_x000a_cierre."/>
  </r>
  <r>
    <s v="Activar log de defectos y flujo de vida"/>
    <x v="2"/>
    <s v="LA"/>
    <n v="1"/>
    <n v="30"/>
    <d v="2025-09-09T00:00:00"/>
    <d v="1899-12-30T09:00:00"/>
    <d v="2025-09-06T00:00:00"/>
    <d v="1899-12-30T15:00:00"/>
    <n v="0"/>
    <n v="1"/>
    <n v="30"/>
    <s v="Estados (Abierto→Cerrado), severidades,_x000a_SLA por severidad y categorías; reglas de_x000a_cierre."/>
  </r>
  <r>
    <s v="Ejecutar revisiones/inspecciones"/>
    <x v="0"/>
    <s v="LE"/>
    <n v="1"/>
    <n v="30"/>
    <d v="2025-09-09T00:00:00"/>
    <d v="1899-12-30T09:00:00"/>
    <d v="2025-09-06T00:00:00"/>
    <d v="1899-12-30T15:30:00"/>
    <n v="0"/>
    <n v="1"/>
    <n v="30"/>
    <s v="Aplicar checklist en_x000a_req/diseño/código/pruebas; registrar_x000a_hallazgos y acciones."/>
  </r>
  <r>
    <s v="Ejecutar revisiones/inspecciones"/>
    <x v="2"/>
    <s v="LA"/>
    <n v="1"/>
    <n v="30"/>
    <d v="2025-09-09T00:00:00"/>
    <d v="1899-12-30T09:00:00"/>
    <d v="2025-09-06T00:00:00"/>
    <d v="1899-12-30T15:30:00"/>
    <n v="0"/>
    <n v="1"/>
    <n v="30"/>
    <s v="Aplicar checklist en_x000a_req/diseño/código/pruebas; registrar_x000a_hallazgos y acciones."/>
  </r>
  <r>
    <s v="Recolección de_x000a_datos y evidencias"/>
    <x v="0"/>
    <s v="LE"/>
    <n v="2"/>
    <n v="60"/>
    <d v="2025-09-09T00:00:00"/>
    <d v="1899-12-30T09:00:00"/>
    <d v="2025-09-06T00:00:00"/>
    <d v="1899-12-30T16:00:00"/>
    <n v="35"/>
    <n v="1"/>
    <n v="25"/>
    <s v="Guardar capturas, commits, reportes;_x000a_vincular a defectos/métricas."/>
  </r>
  <r>
    <s v="Recolección de_x000a_datos y evidencias"/>
    <x v="2"/>
    <s v="LA"/>
    <n v="2"/>
    <n v="60"/>
    <d v="2025-09-09T00:00:00"/>
    <d v="1899-12-30T09:00:00"/>
    <d v="2025-09-06T00:00:00"/>
    <d v="1899-12-30T16:00:00"/>
    <n v="35"/>
    <n v="1"/>
    <n v="25"/>
    <s v="Guardar capturas, commits, reportes;_x000a_vincular a defectos/métricas."/>
  </r>
  <r>
    <s v="Seguimiento y reportes de calidad"/>
    <x v="0"/>
    <s v="LE"/>
    <n v="2"/>
    <n v="60"/>
    <d v="2025-09-09T00:00:00"/>
    <d v="1899-12-30T09:00:00"/>
    <d v="2025-09-06T00:00:00"/>
    <d v="1899-12-30T17:00:00"/>
    <n v="38"/>
    <n v="1"/>
    <n v="22"/>
    <s v="Reunión semanal, tablero de KPIs, alertas y_x000a_acciones correctivas/preventivas (CAPA)."/>
  </r>
  <r>
    <s v="Seguimiento y reportes de calidad"/>
    <x v="2"/>
    <s v="LA"/>
    <n v="2"/>
    <n v="60"/>
    <d v="2025-09-09T00:00:00"/>
    <d v="1899-12-30T09:00:00"/>
    <d v="2025-09-06T00:00:00"/>
    <d v="1899-12-30T18:00:00"/>
    <n v="38"/>
    <n v="2"/>
    <n v="22"/>
    <s v="Reunión semanal, tablero de KPIs, alertas y_x000a_acciones correctivas/preventivas (CAPA)."/>
  </r>
  <r>
    <s v="Mejora y cierre por sprint"/>
    <x v="0"/>
    <s v="LE"/>
    <n v="2"/>
    <n v="60"/>
    <d v="2025-09-09T00:00:00"/>
    <d v="1899-12-30T09:00:00"/>
    <d v="2025-09-06T00:00:00"/>
    <d v="1899-12-30T19:00:00"/>
    <n v="39"/>
    <n v="2"/>
    <n v="21"/>
    <s v="Lecciones aprendidas y ajustes al_x000a_plan/métricas; baseline de cierre."/>
  </r>
  <r>
    <s v="Mejora y cierre por sprint"/>
    <x v="2"/>
    <s v="LA"/>
    <n v="2"/>
    <n v="60"/>
    <d v="2025-09-09T00:00:00"/>
    <d v="1899-12-30T09:00:00"/>
    <d v="2025-09-06T00:00:00"/>
    <d v="1899-12-30T20:00:00"/>
    <n v="39"/>
    <n v="2"/>
    <n v="21"/>
    <s v="Lecciones aprendidas y ajustes al_x000a_plan/métricas; baseline de cierre."/>
  </r>
  <r>
    <s v="Inventario de entregables"/>
    <x v="1"/>
    <s v="LP"/>
    <n v="1"/>
    <n v="30"/>
    <d v="2025-09-09T00:00:00"/>
    <d v="1899-12-30T09:00:00"/>
    <d v="2025-09-07T00:00:00"/>
    <d v="1899-12-30T12:00:00"/>
    <n v="0"/>
    <n v="2"/>
    <n v="30"/>
    <s v="Listar los entregables del sprint/fase (p. ej.,_x000a_Plan de calidad v1.0, Plan de admin de reqs_x000a_v1.0, etc.)."/>
  </r>
  <r>
    <s v="Inventario de entregables"/>
    <x v="5"/>
    <s v="LD"/>
    <n v="1"/>
    <n v="30"/>
    <d v="2025-09-09T00:00:00"/>
    <d v="1899-12-30T09:00:00"/>
    <d v="2025-09-07T00:00:00"/>
    <d v="1899-12-30T12:30:00"/>
    <n v="0"/>
    <n v="2"/>
    <n v="30"/>
    <s v="Listar los entregables del sprint/fase (p. ej.,_x000a_Plan de calidad v1.0, Plan de admin de reqs_x000a_v1.0, etc.)."/>
  </r>
  <r>
    <s v="Descomposición en tareas(WBS)"/>
    <x v="1"/>
    <s v="LP"/>
    <n v="1"/>
    <n v="30"/>
    <d v="2025-09-09T00:00:00"/>
    <d v="1899-12-30T09:00:00"/>
    <d v="2025-09-07T00:00:00"/>
    <d v="1899-12-30T13:00:00"/>
    <n v="0"/>
    <n v="2"/>
    <n v="30"/>
    <s v="Partir cada entregable en tareas concretas_x000a_con nombre y descripción."/>
  </r>
  <r>
    <s v="Descomposición en tareas(WBS)"/>
    <x v="5"/>
    <s v="LD"/>
    <n v="1"/>
    <n v="30"/>
    <d v="2025-09-09T00:00:00"/>
    <d v="1899-12-30T09:00:00"/>
    <d v="2025-09-07T00:00:00"/>
    <d v="1899-12-30T13:30:00"/>
    <n v="0"/>
    <n v="1"/>
    <n v="30"/>
    <s v="Partir cada entregable en tareas concretas_x000a_con nombre y descripción."/>
  </r>
  <r>
    <s v="Secuenciación y_x000a_dependencias"/>
    <x v="1"/>
    <s v="LP"/>
    <n v="1"/>
    <n v="30"/>
    <d v="2025-09-09T00:00:00"/>
    <d v="1899-12-30T09:00:00"/>
    <d v="2025-09-07T00:00:00"/>
    <d v="1899-12-30T14:00:00"/>
    <n v="-5"/>
    <n v="1"/>
    <n v="35"/>
    <s v="Ordenar tareas y registrar_x000a_predecesoras/sucesoras."/>
  </r>
  <r>
    <s v="Secuenciación y_x000a_dependencias"/>
    <x v="5"/>
    <s v="LD"/>
    <n v="1"/>
    <n v="30"/>
    <d v="2025-09-09T00:00:00"/>
    <d v="1899-12-30T09:00:00"/>
    <d v="2025-09-07T00:00:00"/>
    <d v="1899-12-30T14:30:00"/>
    <n v="6"/>
    <n v="1"/>
    <n v="24"/>
    <s v="Ordenar tareas y registrar_x000a_predecesoras/sucesoras."/>
  </r>
  <r>
    <s v="Estimación de_x000a_esfuerzo"/>
    <x v="1"/>
    <s v="LP"/>
    <n v="2"/>
    <n v="20"/>
    <d v="2025-09-09T00:00:00"/>
    <d v="1899-12-30T09:00:00"/>
    <d v="2025-09-07T00:00:00"/>
    <d v="1899-12-30T15:00:00"/>
    <n v="0"/>
    <n v="1"/>
    <n v="20"/>
    <s v="Estimar horas por tarea (h-persona)."/>
  </r>
  <r>
    <s v="Estimación de_x000a_esfuerzo"/>
    <x v="5"/>
    <s v="LD"/>
    <n v="2"/>
    <n v="20"/>
    <d v="2025-09-09T00:00:00"/>
    <d v="1899-12-30T09:00:00"/>
    <d v="2025-09-07T00:00:00"/>
    <d v="1899-12-30T15:20:00"/>
    <n v="0"/>
    <n v="1"/>
    <n v="20"/>
    <s v="Estimar horas por tarea (h-persona)."/>
  </r>
  <r>
    <s v="Productividad/capacidad"/>
    <x v="1"/>
    <s v="LP"/>
    <n v="1"/>
    <n v="20"/>
    <d v="2025-09-09T00:00:00"/>
    <d v="1899-12-30T09:00:00"/>
    <d v="2025-09-07T00:00:00"/>
    <d v="1899-12-30T15:40:00"/>
    <n v="0"/>
    <n v="1"/>
    <n v="20"/>
    <s v="Registrar productividad del recurso (h/día) o_x000a_capacidad del equipo."/>
  </r>
  <r>
    <s v="Productividad/capacidad"/>
    <x v="5"/>
    <s v="LD"/>
    <n v="1"/>
    <n v="20"/>
    <d v="2025-09-09T00:00:00"/>
    <d v="1899-12-30T09:00:00"/>
    <d v="2025-09-07T00:00:00"/>
    <d v="1899-12-30T16:00:00"/>
    <n v="-5"/>
    <n v="1"/>
    <n v="25"/>
    <s v="Registrar productividad del recurso (h/día) o_x000a_capacidad del equipo."/>
  </r>
  <r>
    <s v="Duración y calendario"/>
    <x v="1"/>
    <s v="LP"/>
    <n v="1"/>
    <n v="20"/>
    <d v="2025-09-09T00:00:00"/>
    <d v="1899-12-30T09:00:00"/>
    <d v="2025-09-07T00:00:00"/>
    <d v="1899-12-30T16:20:00"/>
    <n v="-5"/>
    <n v="1"/>
    <n v="25"/>
    <s v="Calcular duración = esfuerzo/productividad,_x000a_fijar inicio/fin en calendario."/>
  </r>
  <r>
    <s v="Duración y calendario"/>
    <x v="5"/>
    <s v="LD"/>
    <n v="1"/>
    <n v="20"/>
    <d v="2025-09-09T00:00:00"/>
    <d v="1899-12-30T09:00:00"/>
    <d v="2025-09-07T00:00:00"/>
    <d v="1899-12-30T16:40:00"/>
    <n v="5"/>
    <n v="1"/>
    <n v="15"/>
    <s v="Calcular duración = esfuerzo/productividad,_x000a_fijar inicio/fin en calendario."/>
  </r>
  <r>
    <s v="Asignación de responsables"/>
    <x v="1"/>
    <s v="LP"/>
    <n v="1"/>
    <n v="20"/>
    <d v="2025-09-09T00:00:00"/>
    <d v="1899-12-30T09:00:00"/>
    <d v="2025-09-07T00:00:00"/>
    <d v="1899-12-30T17:00:00"/>
    <n v="10"/>
    <n v="1"/>
    <n v="10"/>
    <s v="Asignar responsable/rol y estado inicial."/>
  </r>
  <r>
    <s v="Asignación de responsables"/>
    <x v="5"/>
    <s v="LD"/>
    <n v="1"/>
    <n v="20"/>
    <d v="2025-09-09T00:00:00"/>
    <s v="Estimar horas por tarea (h-persona)."/>
    <d v="2025-09-07T00:00:00"/>
    <d v="1899-12-30T17:20:00"/>
    <n v="10"/>
    <n v="1"/>
    <n v="10"/>
    <s v="Asignar responsable/rol y estado inicial."/>
  </r>
  <r>
    <s v="Criterios de aceptación y DoD"/>
    <x v="1"/>
    <s v="LP"/>
    <n v="1"/>
    <n v="20"/>
    <d v="2025-09-09T00:00:00"/>
    <d v="1899-12-30T09:00:00"/>
    <d v="2025-09-07T00:00:00"/>
    <d v="1899-12-30T17:40:00"/>
    <n v="10"/>
    <n v="1"/>
    <n v="10"/>
    <s v="Definir criterios específicos por tarea y DoD_x000a_estándar del equipo."/>
  </r>
  <r>
    <s v="Criterios de aceptación y DoD"/>
    <x v="5"/>
    <s v="LD"/>
    <n v="1"/>
    <n v="20"/>
    <d v="2025-09-09T00:00:00"/>
    <d v="1899-12-30T09:00:00"/>
    <d v="2025-09-07T00:00:00"/>
    <d v="1899-12-30T18:00:00"/>
    <n v="5"/>
    <n v="1"/>
    <n v="15"/>
    <s v="Definir criterios específicos por tarea y DoD_x000a_estándar del equipo."/>
  </r>
  <r>
    <s v="Publicación y control"/>
    <x v="1"/>
    <s v="LP"/>
    <n v="1"/>
    <n v="10"/>
    <d v="2025-09-09T00:00:00"/>
    <d v="1899-12-30T09:00:00"/>
    <d v="2025-09-07T00:00:00"/>
    <d v="1899-12-30T18:10:00"/>
    <n v="0"/>
    <n v="1"/>
    <n v="10"/>
    <s v="Cargar todo al tablero DashKPI/hoja maestra_x000a_y versionar."/>
  </r>
  <r>
    <s v="Publicación y control"/>
    <x v="5"/>
    <s v="LD"/>
    <n v="1"/>
    <n v="10"/>
    <d v="2025-09-09T00:00:00"/>
    <d v="1899-12-30T09:00:00"/>
    <d v="2025-09-07T00:00:00"/>
    <d v="1899-12-30T18:20:00"/>
    <n v="0"/>
    <n v="1"/>
    <n v="10"/>
    <s v="Cargar todo al tablero DashKPI/hoja maestra_x000a_y versionar."/>
  </r>
  <r>
    <s v="Corrección de Documentos"/>
    <x v="3"/>
    <s v="LC"/>
    <n v="1"/>
    <n v="30"/>
    <d v="2025-09-09T00:00:00"/>
    <d v="1899-12-30T09:00:00"/>
    <d v="2025-09-30T00:00:00"/>
    <d v="1899-12-30T19:00:00"/>
    <n v="0"/>
    <n v="3"/>
    <n v="30"/>
    <s v="correción ortografica, orden y normas de los Documentos"/>
  </r>
  <r>
    <s v="Control de _x000a_cambios "/>
    <x v="3"/>
    <s v="LC"/>
    <n v="1"/>
    <n v="20"/>
    <d v="2025-09-09T00:00:00"/>
    <d v="1899-12-30T09:00:00"/>
    <d v="2025-09-07T00:00:00"/>
    <d v="1899-12-30T19:20:00"/>
    <n v="0"/>
    <n v="1"/>
    <n v="20"/>
    <s v="Gestionar solicitudes de cambios, su evaluación, aprobación/rechazo e implantación. "/>
  </r>
  <r>
    <s v="Control de _x000a_cambios "/>
    <x v="7"/>
    <s v="LS"/>
    <n v="1"/>
    <n v="20"/>
    <d v="2025-09-09T00:00:00"/>
    <d v="1899-12-30T09:00:00"/>
    <d v="2025-09-07T00:00:00"/>
    <d v="1899-12-30T19:20:00"/>
    <n v="0"/>
    <n v="1"/>
    <n v="20"/>
    <s v="Gestionar solicitudes de cambios, su evaluación, aprobación/rechazo e implantación. "/>
  </r>
  <r>
    <s v="Registrar y gestionar riesgos"/>
    <x v="3"/>
    <s v="LC"/>
    <n v="1"/>
    <n v="30"/>
    <d v="2025-09-09T00:00:00"/>
    <d v="1899-12-30T09:00:00"/>
    <d v="2025-09-07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09-09T00:00:00"/>
    <d v="1899-12-30T09:00:00"/>
    <d v="2025-09-07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09-09T00:00:00"/>
    <d v="1899-12-30T09:00:00"/>
    <d v="2025-09-07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LP"/>
    <n v="1"/>
    <n v="60"/>
    <d v="2025-09-09T00:00:00"/>
    <d v="1899-12-30T09:00:00"/>
    <d v="2025-09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LS"/>
    <n v="1"/>
    <n v="60"/>
    <d v="2025-09-09T00:00:00"/>
    <d v="1899-12-30T09:00:00"/>
    <d v="2025-09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LE"/>
    <n v="1"/>
    <n v="60"/>
    <d v="2025-09-09T00:00:00"/>
    <d v="1899-12-30T09:00:00"/>
    <d v="2025-09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LA"/>
    <n v="1"/>
    <n v="60"/>
    <d v="2025-09-09T00:00:00"/>
    <d v="1899-12-30T09:00:00"/>
    <d v="2025-09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LC"/>
    <n v="1"/>
    <n v="60"/>
    <d v="2025-09-09T00:00:00"/>
    <d v="1899-12-30T09:00:00"/>
    <d v="2025-09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LD"/>
    <n v="1"/>
    <n v="60"/>
    <d v="2025-09-09T00:00:00"/>
    <d v="1899-12-30T09:00:00"/>
    <d v="2025-09-07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0"/>
    <s v="LE"/>
    <n v="1"/>
    <n v="30"/>
    <d v="2025-09-09T00:00:00"/>
    <d v="1899-12-30T09:00:00"/>
    <d v="2025-09-07T00:00:00"/>
    <d v="1899-12-30T22:00:00"/>
    <n v="0"/>
    <n v="1"/>
    <n v="30"/>
    <s v="No comentarios"/>
  </r>
  <r>
    <s v="Llenado de log de defectos"/>
    <x v="3"/>
    <s v="LC"/>
    <n v="1"/>
    <n v="30"/>
    <d v="2025-09-09T00:00:00"/>
    <d v="1899-12-30T09:00:00"/>
    <d v="2025-09-07T00:00:00"/>
    <d v="1899-12-30T22:00:00"/>
    <n v="0"/>
    <n v="1"/>
    <n v="30"/>
    <s v="No comentarios"/>
  </r>
  <r>
    <s v="Acta de reunión"/>
    <x v="3"/>
    <s v="LC"/>
    <n v="1"/>
    <n v="45"/>
    <d v="2025-09-09T00:00:00"/>
    <d v="1899-12-30T09:00:00"/>
    <d v="2025-09-07T00:00:00"/>
    <d v="1899-12-30T22:30:00"/>
    <n v="-35"/>
    <n v="1"/>
    <n v="80"/>
    <s v="Ordenar en grupo todos los documentos asignados para la primera entrega"/>
  </r>
  <r>
    <s v="Elaboración de diapositivas(Informe final)"/>
    <x v="0"/>
    <s v="LE"/>
    <n v="1"/>
    <n v="60"/>
    <d v="2025-09-09T00:00:00"/>
    <d v="1899-12-30T09:00:00"/>
    <d v="2025-09-07T00:00:00"/>
    <d v="1899-12-30T22:30:00"/>
    <n v="10"/>
    <n v="1"/>
    <n v="50"/>
    <s v="Diapositivas con los documentos hechos "/>
  </r>
  <r>
    <s v="Maestro de documentos"/>
    <x v="0"/>
    <s v="LE"/>
    <n v="1"/>
    <n v="55"/>
    <d v="2025-09-09T00:00:00"/>
    <d v="1899-12-30T09:00:00"/>
    <d v="2025-09-07T00:00:00"/>
    <d v="1899-12-30T22:30:00"/>
    <n v="0"/>
    <n v="1"/>
    <n v="55"/>
    <s v="Realización de un excel con los documentos hechos "/>
  </r>
  <r>
    <s v="Revisión de _x000a_documentos "/>
    <x v="3"/>
    <s v="LC"/>
    <n v="1"/>
    <n v="30"/>
    <d v="2025-09-09T00:00:00"/>
    <d v="1899-12-30T09:00:00"/>
    <d v="2025-09-07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S"/>
    <n v="1"/>
    <n v="30"/>
    <d v="2025-09-09T00:00:00"/>
    <d v="1899-12-30T09:00:00"/>
    <d v="2025-09-07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09-09T00:00:00"/>
    <d v="1899-12-30T09:00:00"/>
    <d v="2025-09-07T00:00:00"/>
    <d v="1899-12-30T22:30:00"/>
    <n v="-2"/>
    <n v="1"/>
    <n v="32"/>
    <s v="Se revisan los tres documentos realizados en grupo para consolidar los resultados y corregir errores "/>
  </r>
  <r>
    <s v="Revisión de _x000a_documentos "/>
    <x v="0"/>
    <s v="LE"/>
    <n v="1"/>
    <n v="30"/>
    <d v="2025-09-09T00:00:00"/>
    <d v="1899-12-30T09:00:00"/>
    <d v="2025-09-07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A"/>
    <n v="1"/>
    <n v="30"/>
    <d v="2025-09-09T00:00:00"/>
    <d v="1899-12-30T09:00:00"/>
    <d v="2025-09-07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09-09T00:00:00"/>
    <d v="1899-12-30T09:00:00"/>
    <d v="2025-09-07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0"/>
    <s v="LE"/>
    <n v="3"/>
    <n v="20"/>
    <d v="2025-09-09T00:00:00"/>
    <d v="1899-12-30T09:00:00"/>
    <d v="2025-09-08T00:00:00"/>
    <d v="1899-12-30T09:00:00"/>
    <n v="5"/>
    <n v="3"/>
    <n v="15"/>
    <s v="Todos los documentos subidos _x000a_y actualizados en la pagina "/>
  </r>
  <r>
    <s v="Script de definición de procesos(DISEÑO)"/>
    <x v="3"/>
    <s v="LC"/>
    <n v="1"/>
    <n v="30"/>
    <d v="2025-09-17T00:00:00"/>
    <d v="1899-12-30T09:00:00"/>
    <d v="2025-09-15T00:00:00"/>
    <d v="1899-12-30T19:00:00"/>
    <n v="0"/>
    <n v="1"/>
    <n v="30"/>
    <s v="Diligenciar el formato correspondiente al script de definición de procesos"/>
  </r>
  <r>
    <s v="Script de definición de procesos(PLANEACIÓN)"/>
    <x v="1"/>
    <s v="LC"/>
    <n v="1"/>
    <n v="30"/>
    <d v="2025-09-17T00:00:00"/>
    <d v="1899-12-30T09:00:00"/>
    <d v="2025-09-15T00:00:00"/>
    <d v="1899-12-30T19:00:00"/>
    <n v="0"/>
    <n v="1"/>
    <n v="30"/>
    <s v="Se realizo el llenado del control de asignaciones para asi terminar con éxito la fase 5  de Diseño y para que los demas lideres llenen sus bitácoras"/>
  </r>
  <r>
    <s v="Definir objetivo_x000a_del documento"/>
    <x v="0"/>
    <s v="LE"/>
    <n v="1"/>
    <n v="30"/>
    <d v="2025-09-17T00:00:00"/>
    <d v="1899-12-30T09:00:00"/>
    <d v="2025-09-16T00:00:00"/>
    <d v="1899-12-30T13:00:00"/>
    <n v="0"/>
    <n v="1"/>
    <n v="30"/>
    <s v="Establecer el propósito del SDS y su_x000a_importancia para el proyecto DashKPI."/>
  </r>
  <r>
    <s v="Identificar audiencia del documento"/>
    <x v="1"/>
    <s v="LP"/>
    <n v="2"/>
    <n v="30"/>
    <d v="2025-09-17T00:00:00"/>
    <d v="1899-12-30T09:00:00"/>
    <d v="2025-09-16T00:00:00"/>
    <d v="1899-12-30T13:00:00"/>
    <n v="2"/>
    <n v="2"/>
    <n v="28"/>
    <s v="Determinar a quién va dirigido el SDS_x000a_(usuarios, desarrolladores, directivos)."/>
  </r>
  <r>
    <s v="Definir acrónimos "/>
    <x v="1"/>
    <s v="LP"/>
    <n v="1"/>
    <n v="30"/>
    <d v="2025-09-17T00:00:00"/>
    <d v="1899-12-30T09:00:00"/>
    <d v="2025-09-16T00:00:00"/>
    <d v="1899-12-30T13:30:00"/>
    <n v="0"/>
    <n v="2"/>
    <n v="30"/>
    <s v="Listar acrónimos y abreviaciones_x000a_utilizadas en el proyecto."/>
  </r>
  <r>
    <s v="Descripción_x000a_del problema"/>
    <x v="2"/>
    <s v="LA"/>
    <n v="2"/>
    <n v="30"/>
    <d v="2025-09-17T00:00:00"/>
    <d v="1899-12-30T09:00:00"/>
    <d v="2025-09-16T00:00:00"/>
    <d v="1899-12-30T13:00:00"/>
    <n v="0"/>
    <n v="2"/>
    <n v="30"/>
    <s v="Redactar el problema que resuelve_x000a_DashKPI"/>
  </r>
  <r>
    <s v="Establecer objetivos de la aplicación"/>
    <x v="2"/>
    <s v="LA"/>
    <n v="2"/>
    <n v="30"/>
    <d v="2025-09-17T00:00:00"/>
    <d v="1899-12-30T09:00:00"/>
    <d v="2025-09-16T00:00:00"/>
    <d v="1899-12-30T13:30:00"/>
    <n v="7"/>
    <n v="1"/>
    <n v="23"/>
    <s v="Documentar los objetivos que cumplirá la_x000a_plataforma DashKPI."/>
  </r>
  <r>
    <s v="Definir restricciones"/>
    <x v="2"/>
    <s v="LA"/>
    <n v="1"/>
    <n v="30"/>
    <d v="2025-09-17T00:00:00"/>
    <d v="1899-12-30T09:00:00"/>
    <d v="2025-09-16T00:00:00"/>
    <d v="1899-12-30T14:00:00"/>
    <n v="0"/>
    <n v="1"/>
    <n v="30"/>
    <s v="Identificar limitaciones técnicas, de_x000a_tiempo o recursos."/>
  </r>
  <r>
    <s v="Seleccionar estilo de arquitectura"/>
    <x v="0"/>
    <s v="LE"/>
    <n v="1"/>
    <n v="30"/>
    <d v="2025-09-17T00:00:00"/>
    <d v="1899-12-30T09:00:00"/>
    <d v="2025-09-16T00:00:00"/>
    <d v="1899-12-30T13:30:00"/>
    <n v="5"/>
    <n v="2"/>
    <n v="25"/>
    <s v="Definir si será cliente-servidor, multicapa,_x000a_etc."/>
  </r>
  <r>
    <s v="Vista de contexto (UML casos de uso)"/>
    <x v="1"/>
    <s v="LP"/>
    <n v="1"/>
    <n v="60"/>
    <d v="2025-09-17T00:00:00"/>
    <d v="1899-12-30T09:00:00"/>
    <d v="2025-09-16T00:00:00"/>
    <d v="1899-12-30T14:30:00"/>
    <n v="-5"/>
    <n v="1"/>
    <n v="65"/>
    <s v="Diseñar el diagrama de casos de uso."/>
  </r>
  <r>
    <s v="Vista funcional (UML de componentes)"/>
    <x v="2"/>
    <s v="LA"/>
    <n v="1"/>
    <n v="60"/>
    <d v="2025-09-17T00:00:00"/>
    <d v="1899-12-30T09:00:00"/>
    <d v="2025-09-16T00:00:00"/>
    <d v="1899-12-30T15:00:00"/>
    <n v="0"/>
    <n v="1"/>
    <n v="60"/>
    <s v="Modelar los principales componentes del_x000a_sistema."/>
  </r>
  <r>
    <s v="Vista de información(Entidad Relación, ciclo de vida)"/>
    <x v="0"/>
    <s v="LE"/>
    <n v="1"/>
    <n v="60"/>
    <d v="2025-09-17T00:00:00"/>
    <d v="1899-12-30T09:00:00"/>
    <d v="2025-09-16T00:00:00"/>
    <d v="1899-12-30T14:30:00"/>
    <n v="5"/>
    <n v="1"/>
    <n v="55"/>
    <s v="Definir el modelo entidad–relación y su_x000a_ciclo de vida."/>
  </r>
  <r>
    <s v="Vista de despliegue (UML de despliegue)"/>
    <x v="3"/>
    <s v="LC"/>
    <n v="1"/>
    <n v="60"/>
    <d v="2025-09-17T00:00:00"/>
    <d v="1899-12-30T09:00:00"/>
    <d v="2025-09-16T00:00:00"/>
    <d v="1899-12-30T14:00:00"/>
    <n v="0"/>
    <n v="1"/>
    <n v="60"/>
    <s v="Representar la distribución física del_x000a_sistema."/>
  </r>
  <r>
    <s v="Vista de desarrollo(UML de paquetes)"/>
    <x v="4"/>
    <s v="LS"/>
    <n v="1"/>
    <n v="60"/>
    <d v="2025-09-17T00:00:00"/>
    <d v="1899-12-30T09:00:00"/>
    <d v="2025-09-16T00:00:00"/>
    <d v="1899-12-30T14:00:00"/>
    <n v="6"/>
    <n v="1"/>
    <n v="54"/>
    <s v="Organizar el sistema en paquetes o_x000a_módulos."/>
  </r>
  <r>
    <s v="Vista de concurrencia (UML de procesos)"/>
    <x v="5"/>
    <s v="LD"/>
    <n v="1"/>
    <n v="60"/>
    <d v="2025-09-17T00:00:00"/>
    <d v="1899-12-30T09:00:00"/>
    <d v="2025-09-16T00:00:00"/>
    <d v="1899-12-30T14:00:00"/>
    <n v="0"/>
    <n v="1"/>
    <n v="60"/>
    <s v="Modelar procesos concurrentes y flujos_x000a_de ejecución."/>
  </r>
  <r>
    <s v="Vista operacional (Ad hoc o descripciones textuales)"/>
    <x v="0"/>
    <s v="LE"/>
    <n v="1"/>
    <n v="60"/>
    <d v="2025-09-17T00:00:00"/>
    <d v="1899-12-30T09:00:00"/>
    <d v="2025-09-16T00:00:00"/>
    <d v="1899-12-30T15:30:00"/>
    <n v="0"/>
    <n v="1"/>
    <n v="60"/>
    <s v="Documentar procesos operativos del_x000a_sistema de forma textual."/>
  </r>
  <r>
    <s v="Especificación de interfaz de usuario"/>
    <x v="3"/>
    <s v="LC"/>
    <n v="2"/>
    <n v="60"/>
    <d v="2025-09-17T00:00:00"/>
    <d v="1899-12-30T09:00:00"/>
    <d v="2025-09-16T00:00:00"/>
    <d v="1899-12-30T15:00:00"/>
    <n v="-1"/>
    <n v="1"/>
    <n v="61"/>
    <s v="Definir pantallas, prototipos y flujo de_x000a_navegación."/>
  </r>
  <r>
    <s v="Modelo de datos (Entidad–Relación)"/>
    <x v="4"/>
    <s v="LS"/>
    <n v="2"/>
    <n v="60"/>
    <d v="2025-09-17T00:00:00"/>
    <d v="1899-12-30T09:00:00"/>
    <d v="2025-09-16T00:00:00"/>
    <d v="1899-12-30T16:00:00"/>
    <n v="0"/>
    <n v="1"/>
    <n v="60"/>
    <s v="Crear el modelo de datos definitivo."/>
  </r>
  <r>
    <s v="Modelo de clases"/>
    <x v="5"/>
    <s v="LD"/>
    <n v="2"/>
    <n v="60"/>
    <d v="2025-09-17T00:00:00"/>
    <d v="1899-12-30T09:00:00"/>
    <d v="2025-09-16T00:00:00"/>
    <d v="1899-12-30T17:00:00"/>
    <n v="3"/>
    <n v="1"/>
    <n v="57"/>
    <s v="Definir el modelo de clases UML."/>
  </r>
  <r>
    <s v="Revisión del documento SDS"/>
    <x v="1"/>
    <s v="LP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0"/>
    <s v="LE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3"/>
    <s v="LC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2"/>
    <s v="LA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5"/>
    <s v="LD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Corrección de Documentos"/>
    <x v="3"/>
    <s v="LC"/>
    <n v="1"/>
    <n v="30"/>
    <d v="2025-09-17T00:00:00"/>
    <d v="1899-12-30T09:00:00"/>
    <d v="2025-09-30T00:00:00"/>
    <d v="1899-12-30T19:00:00"/>
    <n v="0"/>
    <n v="3"/>
    <n v="30"/>
    <s v="correción ortografica, orden y normas de los Documentos"/>
  </r>
  <r>
    <s v="Revisión del documento SDS"/>
    <x v="4"/>
    <s v="LS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Control de _x000a_cambios "/>
    <x v="3"/>
    <s v="LC"/>
    <n v="1"/>
    <n v="20"/>
    <d v="2025-09-17T00:00:00"/>
    <d v="1899-12-30T09:00:00"/>
    <d v="2025-09-16T00:00:00"/>
    <d v="1899-12-30T19:20:00"/>
    <n v="0"/>
    <n v="1"/>
    <n v="20"/>
    <s v="Gestionar solicitudes de cambios, su evaluación, aprobación/rechazo e implantación. "/>
  </r>
  <r>
    <s v="Control de _x000a_cambios "/>
    <x v="7"/>
    <s v="LS"/>
    <n v="1"/>
    <n v="20"/>
    <d v="2025-09-17T00:00:00"/>
    <d v="1899-12-30T09:00:00"/>
    <d v="2025-09-16T00:00:00"/>
    <d v="1899-12-30T19:20:00"/>
    <n v="0"/>
    <n v="1"/>
    <n v="20"/>
    <s v="Gestionar solicitudes de cambios, su evaluación, aprobación/rechazo e implantación. "/>
  </r>
  <r>
    <s v="Registrar y gestionar riesgos"/>
    <x v="3"/>
    <s v="LC"/>
    <n v="1"/>
    <n v="30"/>
    <d v="2025-09-17T00:00:00"/>
    <d v="1899-12-30T09:00:00"/>
    <d v="2025-09-16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09-17T00:00:00"/>
    <d v="1899-12-30T09:00:00"/>
    <d v="2025-09-16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09-17T00:00:00"/>
    <d v="1899-12-30T09:00:00"/>
    <d v="2025-09-16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LP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LS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LE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LA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LC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LD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0"/>
    <s v="LE"/>
    <n v="1"/>
    <n v="30"/>
    <d v="2025-09-17T00:00:00"/>
    <d v="1899-12-30T09:00:00"/>
    <d v="2025-09-16T00:00:00"/>
    <d v="1899-12-30T22:00:00"/>
    <n v="0"/>
    <n v="1"/>
    <n v="30"/>
    <s v="No comentarios"/>
  </r>
  <r>
    <s v="Llenado de log de defectos"/>
    <x v="3"/>
    <s v="LC"/>
    <n v="1"/>
    <n v="30"/>
    <d v="2025-09-17T00:00:00"/>
    <d v="1899-12-30T09:00:00"/>
    <d v="2025-09-16T00:00:00"/>
    <d v="1899-12-30T22:00:00"/>
    <n v="0"/>
    <n v="1"/>
    <n v="30"/>
    <s v="No comentarios"/>
  </r>
  <r>
    <s v="Acta de reunión"/>
    <x v="3"/>
    <s v="LC"/>
    <n v="1"/>
    <n v="45"/>
    <d v="2025-09-17T00:00:00"/>
    <d v="1899-12-30T09:00:00"/>
    <d v="2025-09-16T00:00:00"/>
    <d v="1899-12-30T22:30:00"/>
    <n v="-35"/>
    <n v="1"/>
    <n v="80"/>
    <s v="Ordenar en grupo todos los documentos asignados para la primera entrega"/>
  </r>
  <r>
    <s v="Elaboración de diapositivas(Informe final)"/>
    <x v="0"/>
    <s v="LE"/>
    <n v="1"/>
    <n v="60"/>
    <d v="2025-09-17T00:00:00"/>
    <d v="1899-12-30T09:00:00"/>
    <d v="2025-09-16T00:00:00"/>
    <d v="1899-12-30T22:30:00"/>
    <n v="10"/>
    <n v="1"/>
    <n v="50"/>
    <s v="Diapositivas con los documentos hechos "/>
  </r>
  <r>
    <s v="Maestro de documentos"/>
    <x v="0"/>
    <s v="LE"/>
    <n v="1"/>
    <n v="55"/>
    <d v="2025-09-17T00:00:00"/>
    <d v="1899-12-30T09:00:00"/>
    <d v="2025-09-16T00:00:00"/>
    <d v="1899-12-30T22:30:00"/>
    <n v="0"/>
    <n v="1"/>
    <n v="55"/>
    <s v="Realización de un excel con los documentos hechos "/>
  </r>
  <r>
    <s v="Revisión de _x000a_documentos "/>
    <x v="3"/>
    <s v="LC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S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0"/>
    <s v="LE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A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0"/>
    <s v="LE"/>
    <n v="3"/>
    <n v="20"/>
    <d v="2025-09-17T00:00:00"/>
    <d v="1899-12-30T09:00:00"/>
    <d v="2025-09-17T00:00:00"/>
    <d v="1899-12-30T09:00:00"/>
    <n v="5"/>
    <n v="3"/>
    <n v="15"/>
    <s v="Todos los documentos subidos _x000a_y actualizados en la pagina "/>
  </r>
  <r>
    <s v="Script de definición de procesos(DISEÑO)"/>
    <x v="3"/>
    <s v="LC"/>
    <n v="1"/>
    <n v="30"/>
    <d v="2025-10-01T00:00:00"/>
    <d v="1899-12-30T09:00:00"/>
    <d v="2025-09-22T00:00:00"/>
    <d v="1899-12-30T19:00:00"/>
    <n v="0"/>
    <n v="1"/>
    <n v="30"/>
    <s v="Diligenciar el formato correspondiente al script de definición de procesos"/>
  </r>
  <r>
    <s v="Script de definición de procesos(IMPLEMENTACIÓN)"/>
    <x v="1"/>
    <s v="LP"/>
    <n v="1"/>
    <n v="30"/>
    <d v="2025-10-01T00:00:00"/>
    <d v="1899-12-30T09:00:00"/>
    <d v="2025-09-22T00:00:00"/>
    <d v="1899-12-30T19:00:00"/>
    <n v="0"/>
    <n v="1"/>
    <n v="30"/>
    <s v="Se realizo el llenado del control de asignaciones para asi terminar con éxito la fase 3  de Requerimientos y para que los demas lideres llenen sus bitácoras"/>
  </r>
  <r>
    <s v="Configurar base del proyecto"/>
    <x v="0"/>
    <s v="LE"/>
    <n v="1"/>
    <n v="30"/>
    <d v="2025-10-01T00:00:00"/>
    <d v="1899-12-30T09:00:00"/>
    <d v="2025-09-23T00:00:00"/>
    <d v="1899-12-30T08:00:00"/>
    <n v="0"/>
    <n v="1"/>
    <n v="30"/>
    <s v="Inicializar app React, routing protegido,_x000a_manejo de estado, cliente HTTP,_x000a_variables de entorno."/>
  </r>
  <r>
    <s v="Módulo: Login"/>
    <x v="4"/>
    <s v="LS"/>
    <n v="2"/>
    <n v="60"/>
    <d v="2025-10-01T00:00:00"/>
    <d v="1899-12-30T09:00:00"/>
    <d v="2025-09-23T00:00:00"/>
    <d v="1899-12-30T16:05:00"/>
    <n v="-5"/>
    <n v="2"/>
    <n v="65"/>
    <s v="Formulario con validaciones; consumo_x000a_de endpoint de login; manejo de_x000a_sesión/token; feedback de errores."/>
  </r>
  <r>
    <s v="Módulo: Registro"/>
    <x v="4"/>
    <s v="LS"/>
    <n v="2"/>
    <n v="60"/>
    <d v="2025-10-01T00:00:00"/>
    <d v="1899-12-30T09:00:00"/>
    <d v="2025-09-23T00:00:00"/>
    <d v="1899-12-30T17:00:00"/>
    <n v="5"/>
    <n v="2"/>
    <n v="55"/>
    <s v="Formulario de registro con validaciones;_x000a_consumo de endpoint de register;_x000a_confirmación visual."/>
  </r>
  <r>
    <s v="Módulo: Olvidé contraseña (UI)"/>
    <x v="4"/>
    <s v="LS"/>
    <n v="2"/>
    <n v="60"/>
    <d v="2025-10-01T00:00:00"/>
    <d v="1899-12-30T09:00:00"/>
    <d v="2025-09-23T00:00:00"/>
    <d v="1899-12-30T18:00:00"/>
    <n v="10"/>
    <n v="2"/>
    <n v="50"/>
    <s v="Pantallas y flujo UI (solicitud y_x000a_confirmación). Nota: backend del reset_x000a_completo se programará en fase_x000a_siguiente."/>
  </r>
  <r>
    <s v="Dashboard_x000a_inicial"/>
    <x v="2"/>
    <s v="LA"/>
    <n v="2"/>
    <n v="60"/>
    <d v="2025-10-01T00:00:00"/>
    <d v="1899-12-30T09:00:00"/>
    <d v="2025-09-24T00:00:00"/>
    <d v="1899-12-30T18:00:00"/>
    <n v="0"/>
    <n v="1"/>
    <n v="60"/>
    <s v="Vista con tarjetas/resumen; placeholders_x000a_para KPIs y reportes; enlaces a_x000a_Proyectos/Tareas"/>
  </r>
  <r>
    <s v="Módulo:_x000a_Proyectos (UI)"/>
    <x v="0"/>
    <s v="LE"/>
    <n v="2"/>
    <n v="60"/>
    <d v="2025-10-01T00:00:00"/>
    <d v="1899-12-30T09:00:00"/>
    <d v="2025-09-23T00:00:00"/>
    <d v="1899-12-30T09:00:00"/>
    <n v="0"/>
    <n v="2"/>
    <n v="60"/>
    <s v="Listado, creación/edición, detalle y_x000a_eliminación; formularios con_x000a_validaciones."/>
  </r>
  <r>
    <s v="Módulo:_x000a_Tareas (UI)"/>
    <x v="0"/>
    <s v="LE"/>
    <n v="1"/>
    <n v="60"/>
    <d v="2025-10-01T00:00:00"/>
    <d v="1899-12-30T09:00:00"/>
    <d v="2025-09-23T00:00:00"/>
    <d v="1899-12-30T10:00:00"/>
    <n v="5"/>
    <n v="2"/>
    <n v="55"/>
    <s v="Listado filtrable, creación, asignación a_x000a_usuario, registro de tiempo, marcar_x000a_completada."/>
  </r>
  <r>
    <s v="Configuración_x000a_de usuario"/>
    <x v="1"/>
    <s v="LP"/>
    <n v="1"/>
    <n v="60"/>
    <d v="2025-10-01T00:00:00"/>
    <d v="1899-12-30T09:00:00"/>
    <d v="2025-09-25T00:00:00"/>
    <d v="1899-12-30T12:00:00"/>
    <n v="0"/>
    <n v="2"/>
    <n v="60"/>
    <s v="Pantalla para ver/editar datos básicos del_x000a_usuario logueado."/>
  </r>
  <r>
    <s v="Reportes_x000a_(vista inicial)"/>
    <x v="3"/>
    <s v="LC"/>
    <n v="1"/>
    <n v="60"/>
    <d v="2025-10-01T00:00:00"/>
    <d v="1899-12-30T09:00:00"/>
    <d v="2025-09-23T00:00:00"/>
    <d v="1899-12-30T21:00:00"/>
    <n v="0"/>
    <n v="1"/>
    <n v="60"/>
    <s v="Vista base con tablas/gráficas_x000a_placeholder conectadas a datos_x000a_disponibles."/>
  </r>
  <r>
    <s v="Modulo KPI"/>
    <x v="5"/>
    <s v="LD"/>
    <n v="2"/>
    <n v="60"/>
    <d v="2025-10-01T00:00:00"/>
    <d v="1899-12-30T09:00:00"/>
    <d v="2025-09-24T00:00:00"/>
    <d v="1899-12-30T12:00:00"/>
    <n v="0"/>
    <n v="2"/>
    <n v="60"/>
    <s v="Vista a base de las KPIs relacionada al_x000a_proyecto y a los usuarios"/>
  </r>
  <r>
    <s v="Configurar_x000a_proyecto y_x000a_conexión a BD"/>
    <x v="0"/>
    <s v="LE"/>
    <n v="2"/>
    <n v="60"/>
    <d v="2025-10-01T00:00:00"/>
    <d v="1899-12-30T09:00:00"/>
    <d v="2025-09-23T00:00:00"/>
    <d v="1899-12-30T11:00:00"/>
    <n v="0"/>
    <n v="2"/>
    <n v="60"/>
    <s v="Proyecto Django; settings por entorno;_x000a_conexión a Azure SQL Server;_x000a_migraciones iniciales."/>
  </r>
  <r>
    <s v="Configurar_x000a_proyecto y_x000a_conexión a BD"/>
    <x v="5"/>
    <s v="LD"/>
    <n v="2"/>
    <n v="60"/>
    <d v="2025-10-01T00:00:00"/>
    <d v="1899-12-30T09:00:00"/>
    <d v="2025-09-24T00:00:00"/>
    <d v="1899-12-30T13:00:00"/>
    <n v="0"/>
    <n v="2"/>
    <n v="60"/>
    <s v="Proyecto Django; settings por entorno;_x000a_conexión a Azure SQL Server;_x000a_migraciones iniciales."/>
  </r>
  <r>
    <s v="Autenticación:_x000a_Login/Register"/>
    <x v="0"/>
    <s v="LE"/>
    <n v="2"/>
    <n v="60"/>
    <d v="2025-10-01T00:00:00"/>
    <d v="1899-12-30T09:00:00"/>
    <d v="2025-09-23T00:00:00"/>
    <d v="1899-12-30T12:00:00"/>
    <n v="0"/>
    <n v="2"/>
    <n v="60"/>
    <s v="Endpoints para autenticación y creación_x000a_de usuario; emisión/validación de_x000a_sesión/token"/>
  </r>
  <r>
    <s v="Autenticación:_x000a_Login/Register"/>
    <x v="5"/>
    <s v="LD"/>
    <n v="2"/>
    <n v="60"/>
    <d v="2025-10-01T00:00:00"/>
    <d v="1899-12-30T09:00:00"/>
    <d v="2025-09-24T00:00:00"/>
    <d v="1899-12-30T14:00:00"/>
    <n v="0"/>
    <n v="2"/>
    <n v="60"/>
    <s v="Endpoints para autenticación y creación_x000a_de usuario; emisión/validación de_x000a_sesión/token"/>
  </r>
  <r>
    <s v="API Proyectos_x000a_(CRUD)"/>
    <x v="0"/>
    <s v="LE"/>
    <n v="2"/>
    <n v="60"/>
    <d v="2025-10-01T00:00:00"/>
    <d v="1899-12-30T09:00:00"/>
    <d v="2025-09-29T00:00:00"/>
    <d v="1899-12-30T13:00:00"/>
    <n v="0"/>
    <n v="2"/>
    <n v="60"/>
    <s v="Endpoints: listar, crear, obtener,_x000a_actualizar, eliminar; permisos por_x000a_usuario; validaciones."/>
  </r>
  <r>
    <s v="API Proyectos_x000a_(CRUD)"/>
    <x v="5"/>
    <s v="LD"/>
    <n v="2"/>
    <n v="60"/>
    <d v="2025-10-01T00:00:00"/>
    <d v="1899-12-30T09:00:00"/>
    <d v="2025-09-29T00:00:00"/>
    <d v="1899-12-30T15:00:00"/>
    <n v="0"/>
    <n v="2"/>
    <n v="60"/>
    <s v="Endpoints: listar, crear, obtener,_x000a_actualizar, eliminar; permisos por_x000a_usuario; validaciones."/>
  </r>
  <r>
    <s v="API Tareas_x000a_(CRUD + flujo)"/>
    <x v="0"/>
    <s v="LE"/>
    <n v="2"/>
    <n v="60"/>
    <d v="2025-10-01T00:00:00"/>
    <d v="1899-12-30T09:00:00"/>
    <d v="2025-09-29T00:00:00"/>
    <d v="1899-12-30T14:00:00"/>
    <n v="0"/>
    <n v="2"/>
    <n v="60"/>
    <s v="Endpoints: listar/filtrar, crear, asignar_x000a_usuario, registrar tiempo, marcar_x000a_completada."/>
  </r>
  <r>
    <s v="API Tareas_x000a_(CRUD + flujo)"/>
    <x v="5"/>
    <s v="LD"/>
    <n v="2"/>
    <n v="60"/>
    <d v="2025-10-01T00:00:00"/>
    <d v="1899-12-30T09:00:00"/>
    <d v="2025-09-29T00:00:00"/>
    <d v="1899-12-30T16:00:00"/>
    <n v="0"/>
    <n v="2"/>
    <n v="60"/>
    <s v="Endpoints: listar/filtrar, crear, asignar_x000a_usuario, registrar tiempo, marcar_x000a_completada."/>
  </r>
  <r>
    <s v="Serializadores_x000a_y validaciones"/>
    <x v="0"/>
    <s v="LE"/>
    <n v="1"/>
    <n v="30"/>
    <d v="2025-10-01T00:00:00"/>
    <d v="1899-12-30T09:00:00"/>
    <d v="2025-09-29T00:00:00"/>
    <d v="1899-12-30T14:30:00"/>
    <n v="-4"/>
    <n v="1"/>
    <n v="34"/>
    <s v="Validación de payloads; mensajes de_x000a_error consistentes; manejo de estados."/>
  </r>
  <r>
    <s v="Serializadores_x000a_y validaciones"/>
    <x v="5"/>
    <s v="LD"/>
    <n v="1"/>
    <n v="30"/>
    <d v="2025-10-01T00:00:00"/>
    <d v="1899-12-30T09:00:00"/>
    <d v="2025-09-29T00:00:00"/>
    <d v="1899-12-30T16:30:00"/>
    <n v="-4"/>
    <n v="1"/>
    <n v="34"/>
    <s v="Validación de payloads; mensajes de_x000a_error consistentes; manejo de estados."/>
  </r>
  <r>
    <s v="Pruebas unitarias negocio"/>
    <x v="3"/>
    <s v="LC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Pruebas unitarias negocio"/>
    <x v="4"/>
    <s v="LS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Pruebas unitarias negocio"/>
    <x v="2"/>
    <s v="LA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Documentación API"/>
    <x v="0"/>
    <s v="LE"/>
    <n v="1"/>
    <n v="30"/>
    <d v="2025-10-01T00:00:00"/>
    <d v="1899-12-30T09:00:00"/>
    <d v="2025-09-30T00:00:00"/>
    <d v="1899-12-30T14:00:00"/>
    <n v="5"/>
    <n v="2"/>
    <n v="25"/>
    <s v="Auto-doc (Swagger/Redoc) o colección_x000a_Postman exportada."/>
  </r>
  <r>
    <s v="Documentación API"/>
    <x v="5"/>
    <s v="LD"/>
    <n v="1"/>
    <n v="30"/>
    <d v="2025-10-01T00:00:00"/>
    <d v="1899-12-30T09:00:00"/>
    <d v="2025-09-30T00:00:00"/>
    <d v="1899-12-30T14:00:00"/>
    <n v="5"/>
    <n v="2"/>
    <n v="25"/>
    <s v="Auto-doc (Swagger/Redoc) o colección_x000a_Postman exportada."/>
  </r>
  <r>
    <s v="Estandarización"/>
    <x v="0"/>
    <s v="LE"/>
    <n v="1"/>
    <n v="30"/>
    <d v="2025-10-01T00:00:00"/>
    <d v="1899-12-30T09:00:00"/>
    <d v="2025-09-30T00:00:00"/>
    <d v="1899-12-30T14:30:00"/>
    <n v="0"/>
    <n v="2"/>
    <n v="30"/>
    <s v="Aplicar PEP8, ESLint/Prettier,_x000a_convenciones de ramas (feat/fix/chore),_x000a_mensajes tipo"/>
  </r>
  <r>
    <s v="Estandarización"/>
    <x v="5"/>
    <s v="LD"/>
    <n v="1"/>
    <n v="30"/>
    <d v="2025-10-01T00:00:00"/>
    <d v="1899-12-30T09:00:00"/>
    <d v="2025-09-30T00:00:00"/>
    <d v="1899-12-30T14:30:00"/>
    <n v="0"/>
    <n v="2"/>
    <n v="30"/>
    <s v="Aplicar PEP8, ESLint/Prettier,_x000a_convenciones de ramas (feat/fix/chore),_x000a_mensajes tipo"/>
  </r>
  <r>
    <s v="Revisiones e_x000a_inspecciones"/>
    <x v="0"/>
    <s v="LE"/>
    <n v="1"/>
    <n v="30"/>
    <d v="2025-10-01T00:00:00"/>
    <d v="1899-12-30T09:00:00"/>
    <d v="2025-09-30T00:00:00"/>
    <d v="1899-12-30T15:00:00"/>
    <n v="0"/>
    <n v="2"/>
    <n v="30"/>
    <s v="Pull requests con checklist (seguridad,_x000a_validación, pruebas)"/>
  </r>
  <r>
    <s v="Revisiones e_x000a_inspecciones"/>
    <x v="5"/>
    <s v="LD"/>
    <n v="1"/>
    <n v="30"/>
    <d v="2025-10-01T00:00:00"/>
    <d v="1899-12-30T09:00:00"/>
    <d v="2025-09-30T00:00:00"/>
    <d v="1899-12-30T15:00:00"/>
    <n v="0"/>
    <n v="2"/>
    <n v="30"/>
    <s v="Pull requests con checklist (seguridad,_x000a_validación, pruebas)"/>
  </r>
  <r>
    <s v="Evidencias"/>
    <x v="0"/>
    <s v="LE"/>
    <n v="1"/>
    <n v="30"/>
    <d v="2025-10-01T00:00:00"/>
    <d v="1899-12-30T09:00:00"/>
    <d v="2025-09-30T00:00:00"/>
    <d v="1899-12-30T15:30:00"/>
    <n v="5"/>
    <n v="2"/>
    <n v="25"/>
    <s v="Capturas/gifs de flujos, colección_x000a_Postman, scripts de BD, instructivo de_x000a_arranque local."/>
  </r>
  <r>
    <s v="Evidencias"/>
    <x v="5"/>
    <s v="LD"/>
    <n v="1"/>
    <n v="30"/>
    <d v="2025-10-01T00:00:00"/>
    <d v="1899-12-30T09:00:00"/>
    <d v="2025-09-30T00:00:00"/>
    <d v="1899-12-30T15:30:00"/>
    <n v="5"/>
    <n v="2"/>
    <n v="25"/>
    <s v="Capturas/gifs de flujos, colección_x000a_Postman, scripts de BD, instructivo de_x000a_arranque local."/>
  </r>
  <r>
    <s v="Corrección de Código"/>
    <x v="5"/>
    <s v="LD"/>
    <n v="1"/>
    <n v="30"/>
    <d v="2025-10-01T00:00:00"/>
    <d v="1899-12-30T09:00:00"/>
    <d v="2025-09-30T00:00:00"/>
    <d v="1899-12-30T16:30:00"/>
    <n v="5"/>
    <n v="2"/>
    <n v="25"/>
    <s v="corregir Capturas/gifs de flujos, colección_x000a_Postman, scripts de BD, instructivo de_x000a_arranque local."/>
  </r>
  <r>
    <s v="Corrección de Documentos"/>
    <x v="3"/>
    <s v="LC"/>
    <n v="1"/>
    <n v="30"/>
    <d v="2025-10-01T00:00:00"/>
    <d v="1899-12-30T09:00:00"/>
    <d v="2025-09-30T00:00:00"/>
    <d v="1899-12-30T19:00:00"/>
    <n v="0"/>
    <n v="3"/>
    <n v="30"/>
    <s v="correción ortografica, orden y normas de los Documentos"/>
  </r>
  <r>
    <s v="Control de _x000a_cambios "/>
    <x v="3"/>
    <s v="LC"/>
    <n v="1"/>
    <n v="20"/>
    <d v="2025-10-01T00:00:00"/>
    <d v="1899-12-30T09:00:00"/>
    <d v="2025-09-30T00:00:00"/>
    <d v="1899-12-30T19:20:00"/>
    <n v="0"/>
    <n v="1"/>
    <n v="20"/>
    <s v="Gestionar solicitudes de cambios, su evaluación, aprobación/rechazo e implantación. "/>
  </r>
  <r>
    <s v="Control de _x000a_cambios "/>
    <x v="7"/>
    <s v="LS"/>
    <n v="1"/>
    <n v="20"/>
    <d v="2025-10-01T00:00:00"/>
    <d v="1899-12-30T09:00:00"/>
    <d v="2025-09-30T00:00:00"/>
    <d v="1899-12-30T19:20:00"/>
    <n v="0"/>
    <n v="1"/>
    <n v="20"/>
    <s v="Gestionar solicitudes de cambios, su evaluación, aprobación/rechazo e implantación. "/>
  </r>
  <r>
    <s v="Registrar y gestionar riesgos"/>
    <x v="3"/>
    <s v="LC"/>
    <n v="1"/>
    <n v="30"/>
    <d v="2025-10-01T00:00:00"/>
    <d v="1899-12-30T09:00:00"/>
    <d v="2025-09-30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10-01T00:00:00"/>
    <d v="1899-12-30T09:00:00"/>
    <d v="2025-09-30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10-01T00:00:00"/>
    <d v="1899-12-30T09:00:00"/>
    <d v="2025-09-30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LP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LS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LE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LA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LC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LD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0"/>
    <s v="LE"/>
    <n v="1"/>
    <n v="30"/>
    <d v="2025-10-01T00:00:00"/>
    <d v="1899-12-30T09:00:00"/>
    <d v="2025-09-30T00:00:00"/>
    <d v="1899-12-30T22:00:00"/>
    <n v="0"/>
    <n v="1"/>
    <n v="30"/>
    <s v="No comentarios"/>
  </r>
  <r>
    <s v="Llenado de log de defectos"/>
    <x v="3"/>
    <s v="LC"/>
    <n v="1"/>
    <n v="30"/>
    <d v="2025-10-01T00:00:00"/>
    <d v="1899-12-30T09:00:00"/>
    <d v="2025-09-30T00:00:00"/>
    <d v="1899-12-30T22:00:00"/>
    <n v="0"/>
    <n v="1"/>
    <n v="30"/>
    <s v="No comentarios"/>
  </r>
  <r>
    <s v="Acta de reunión"/>
    <x v="3"/>
    <s v="LC"/>
    <n v="1"/>
    <n v="45"/>
    <d v="2025-10-01T00:00:00"/>
    <d v="1899-12-30T09:00:00"/>
    <d v="2025-09-30T00:00:00"/>
    <d v="1899-12-30T22:30:00"/>
    <n v="-35"/>
    <n v="1"/>
    <n v="80"/>
    <s v="Ordenar en grupo todos los documentos asignados para la primera entrega"/>
  </r>
  <r>
    <s v="Elaboración de diapositivas(Informe final)"/>
    <x v="0"/>
    <s v="LE"/>
    <n v="1"/>
    <n v="60"/>
    <d v="2025-10-01T00:00:00"/>
    <d v="1899-12-30T09:00:00"/>
    <d v="2025-09-30T00:00:00"/>
    <d v="1899-12-30T22:30:00"/>
    <n v="10"/>
    <n v="1"/>
    <n v="50"/>
    <s v="Diapositivas con los documentos hechos "/>
  </r>
  <r>
    <s v="Maestro de documentos"/>
    <x v="0"/>
    <s v="LE"/>
    <n v="1"/>
    <n v="55"/>
    <d v="2025-10-01T00:00:00"/>
    <d v="1899-12-30T09:00:00"/>
    <d v="2025-09-30T00:00:00"/>
    <d v="1899-12-30T22:30:00"/>
    <n v="0"/>
    <n v="1"/>
    <n v="55"/>
    <s v="Realización de un excel con los documentos hechos "/>
  </r>
  <r>
    <s v="Revisión de _x000a_documentos "/>
    <x v="3"/>
    <s v="LC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S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0"/>
    <s v="LE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A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0"/>
    <s v="LE"/>
    <n v="3"/>
    <n v="20"/>
    <d v="2025-10-01T00:00:00"/>
    <d v="1899-12-30T09:00:00"/>
    <d v="2025-10-01T00:00:00"/>
    <d v="1899-12-30T09:00:00"/>
    <n v="5"/>
    <n v="3"/>
    <n v="15"/>
    <s v="Todos los documentos subidos _x000a_y actualizados en la pagina "/>
  </r>
  <r>
    <s v="Script de definición de procesos(PRUEBAS)"/>
    <x v="3"/>
    <s v="LC"/>
    <n v="1"/>
    <n v="30"/>
    <d v="2025-10-08T00:00:00"/>
    <d v="1899-12-30T09:00:00"/>
    <d v="2025-10-06T00:00:00"/>
    <d v="1899-12-30T19:00:00"/>
    <n v="0"/>
    <n v="1"/>
    <n v="30"/>
    <s v="Diligenciar el formato correspondiente al script de definición de procesos"/>
  </r>
  <r>
    <s v="Script de definición de procesos(PRUEBAS)"/>
    <x v="1"/>
    <s v="LP"/>
    <n v="1"/>
    <n v="30"/>
    <d v="2025-10-08T00:00:00"/>
    <d v="1899-12-30T09:00:00"/>
    <d v="2025-10-06T00:00:00"/>
    <d v="1899-12-30T19:00:00"/>
    <n v="0"/>
    <n v="1"/>
    <n v="30"/>
    <s v="Se realizo el llenado del control de asignaciones para asi terminar con éxito la fase 8 de PRUEBAS y para que los demas lideres llenen sus bitácoras"/>
  </r>
  <r>
    <s v="Introducción "/>
    <x v="4"/>
    <s v="LS"/>
    <n v="1"/>
    <n v="30"/>
    <d v="2025-10-08T00:00:00"/>
    <d v="1899-12-30T09:00:00"/>
    <d v="2025-10-06T00:00:00"/>
    <d v="1899-12-30T13:00:00"/>
    <n v="0"/>
    <n v="1"/>
    <n v="30"/>
    <s v="Configurar FE/BE/BD, migraciones,_x000a_datos semilla y conectividad."/>
  </r>
  <r>
    <s v="Objetivo"/>
    <x v="4"/>
    <s v="LS"/>
    <n v="1"/>
    <n v="30"/>
    <d v="2025-10-08T00:00:00"/>
    <d v="1899-12-30T09:00:00"/>
    <d v="2025-10-06T00:00:00"/>
    <d v="1899-12-30T13:30:00"/>
    <n v="2"/>
    <n v="1"/>
    <n v="28"/>
    <s v="Redactar fichas PI-01…PI-18 (ID,_x000a_pasos, datos, esperado)."/>
  </r>
  <r>
    <s v="Alcance "/>
    <x v="4"/>
    <s v="LS"/>
    <n v="1"/>
    <n v="30"/>
    <d v="2025-10-08T00:00:00"/>
    <d v="1899-12-30T09:00:00"/>
    <d v="2025-10-06T00:00:00"/>
    <d v="1899-12-30T14:00:00"/>
    <n v="0"/>
    <n v="1"/>
    <n v="30"/>
    <s v="Definir orden, ventanas, RACI y_x000a_criterios de severidad/prioridad."/>
  </r>
  <r>
    <s v="Definiciones_x000a_y_x000a_Abreviaturas"/>
    <x v="4"/>
    <s v="LS"/>
    <n v="1"/>
    <n v="30"/>
    <d v="2025-10-08T00:00:00"/>
    <d v="1899-12-30T09:00:00"/>
    <d v="2025-10-06T00:00:00"/>
    <d v="1899-12-30T14:30:00"/>
    <n v="7"/>
    <n v="2"/>
    <n v="23"/>
    <s v="Registrar y dar seguimiento en Log_x000a_(ID, severidad, estado)."/>
  </r>
  <r>
    <s v="Plan de_x000a_pruebas"/>
    <x v="4"/>
    <s v="LS"/>
    <n v="1"/>
    <n v="30"/>
    <d v="2025-10-08T00:00:00"/>
    <d v="1899-12-30T09:00:00"/>
    <d v="2025-10-07T00:00:00"/>
    <d v="1899-12-30T10:00:00"/>
    <n v="-2"/>
    <n v="2"/>
    <n v="32"/>
    <s v="Reprobar PIs afectados tras_x000a_correcciones"/>
  </r>
  <r>
    <s v="Plan de_x000a_pruebas"/>
    <x v="1"/>
    <s v="LP"/>
    <n v="1"/>
    <n v="30"/>
    <d v="2025-10-08T00:00:00"/>
    <d v="1899-12-30T09:00:00"/>
    <d v="2025-10-07T00:00:00"/>
    <d v="1899-12-30T10:00:00"/>
    <n v="0"/>
    <n v="2"/>
    <n v="30"/>
    <s v="Reprobar PIs afectados tras correcciones"/>
  </r>
  <r>
    <s v="Plan de pruebas"/>
    <x v="0"/>
    <s v="LE"/>
    <n v="1"/>
    <n v="30"/>
    <d v="2025-10-08T00:00:00"/>
    <d v="1899-12-30T09:00:00"/>
    <d v="2025-10-06T00:00:00"/>
    <d v="1899-12-30T12:00:00"/>
    <n v="6"/>
    <n v="2"/>
    <n v="24"/>
    <s v="Reprobar PIs afectados tras correcciones"/>
  </r>
  <r>
    <s v="Plan de pruebas"/>
    <x v="5"/>
    <s v="LD"/>
    <n v="1"/>
    <n v="30"/>
    <d v="2025-10-08T00:00:00"/>
    <d v="1899-12-30T09:00:00"/>
    <d v="2025-10-07T00:00:00"/>
    <d v="1899-12-30T10:00:00"/>
    <n v="5"/>
    <n v="2"/>
    <n v="25"/>
    <s v="Reprobar PIs afectados tras correcciones"/>
  </r>
  <r>
    <s v="Plan de pruebas"/>
    <x v="3"/>
    <s v="LC"/>
    <n v="2"/>
    <n v="30"/>
    <d v="2025-10-08T00:00:00"/>
    <d v="1899-12-30T09:00:00"/>
    <d v="2025-10-07T00:00:00"/>
    <d v="1899-12-30T10:00:00"/>
    <n v="5"/>
    <n v="2"/>
    <n v="25"/>
    <s v="Reprobar PIs afectados tras correcciones"/>
  </r>
  <r>
    <s v="Plan de pruebas"/>
    <x v="2"/>
    <s v="LA"/>
    <n v="1"/>
    <n v="30"/>
    <d v="2025-10-08T00:00:00"/>
    <d v="1899-12-30T09:00:00"/>
    <d v="2025-10-07T00:00:00"/>
    <d v="1899-12-30T10:00:00"/>
    <n v="4"/>
    <n v="2"/>
    <n v="26"/>
    <s v="Reprobar PIs afectados tras correcciones"/>
  </r>
  <r>
    <s v="Ejecutar PI01 – UC-01_x000a_Crear tarea"/>
    <x v="1"/>
    <s v="LP"/>
    <n v="2"/>
    <n v="30"/>
    <d v="2025-10-08T00:00:00"/>
    <d v="1899-12-30T09:00:00"/>
    <d v="2025-10-07T00:00:00"/>
    <d v="1899-12-30T10:30:00"/>
    <n v="4"/>
    <n v="1"/>
    <n v="26"/>
    <s v="Crear tarea y verificar_x000a_persistencia/visualización."/>
  </r>
  <r>
    <s v="Ejecutar PI02 – UC-02_x000a_Asignar tarea"/>
    <x v="1"/>
    <s v="LP"/>
    <n v="1"/>
    <n v="30"/>
    <d v="2025-10-08T00:00:00"/>
    <d v="1899-12-30T09:00:00"/>
    <d v="2025-10-07T00:00:00"/>
    <d v="1899-12-30T11:00:00"/>
    <n v="4"/>
    <n v="2"/>
    <n v="26"/>
    <s v="Asignar responsable y validar en_x000a_lista/detalle."/>
  </r>
  <r>
    <s v="Ejecutar PI03 – UC-03_x000a_Cambiar_x000a_fecha límite"/>
    <x v="1"/>
    <s v="LP"/>
    <n v="1"/>
    <n v="30"/>
    <d v="2025-10-08T00:00:00"/>
    <d v="1899-12-30T09:00:00"/>
    <d v="2025-10-07T00:00:00"/>
    <d v="1899-12-30T11:30:00"/>
    <n v="0"/>
    <n v="2"/>
    <n v="30"/>
    <s v="Modificar vencimiento y reflejo en_x000a_UI/BD."/>
  </r>
  <r>
    <s v="Ejecutar PI04 – UC-04_x000a_Registrar_x000a_tiempo"/>
    <x v="3"/>
    <s v="LC"/>
    <n v="2"/>
    <n v="30"/>
    <d v="2025-10-08T00:00:00"/>
    <d v="1899-12-30T09:00:00"/>
    <d v="2025-10-07T00:00:00"/>
    <d v="1899-12-30T11:00:00"/>
    <n v="4"/>
    <n v="1"/>
    <n v="26"/>
    <s v="Registrar horas y actualizar_x000a_progreso"/>
  </r>
  <r>
    <s v="Ejecutar PI05 – UC-05_x000a_Completar_x000a_tarea"/>
    <x v="3"/>
    <s v="LC"/>
    <n v="1"/>
    <n v="30"/>
    <d v="2025-10-08T00:00:00"/>
    <d v="1899-12-30T09:00:00"/>
    <d v="2025-10-07T00:00:00"/>
    <d v="1899-12-30T11:30:00"/>
    <n v="4"/>
    <n v="1"/>
    <n v="26"/>
    <s v="Cambiar estado a “Completada” con_x000a_validaciones."/>
  </r>
  <r>
    <s v="Ejecutar PI06 – UC-06_x000a_Crear KPI"/>
    <x v="3"/>
    <s v="LC"/>
    <n v="1"/>
    <n v="30"/>
    <d v="2025-10-08T00:00:00"/>
    <d v="1899-12-30T09:00:00"/>
    <d v="2025-10-07T00:00:00"/>
    <d v="1899-12-30T12:00:00"/>
    <n v="4"/>
    <n v="1"/>
    <n v="26"/>
    <s v="Crear KPI (nombre/fórmula/objetivo)_x000a_para dashboard/reporte."/>
  </r>
  <r>
    <s v="Ejecutar PI07 – UC-07_x000a_Ver_x000a_dashboard"/>
    <x v="2"/>
    <s v="LA"/>
    <n v="1"/>
    <n v="30"/>
    <d v="2025-10-08T00:00:00"/>
    <d v="1899-12-30T09:00:00"/>
    <d v="2025-10-07T00:00:00"/>
    <d v="1899-12-30T08:00:00"/>
    <n v="4"/>
    <n v="1"/>
    <n v="26"/>
    <s v="Visualizar KPIs y tareas integradas."/>
  </r>
  <r>
    <s v="Ejecutar PI08 – UC-08_x000a_Generar_x000a_reporte"/>
    <x v="2"/>
    <s v="LA"/>
    <n v="1"/>
    <n v="30"/>
    <d v="2025-10-08T00:00:00"/>
    <d v="1899-12-30T09:00:00"/>
    <d v="2025-10-07T00:00:00"/>
    <d v="1899-12-30T08:30:00"/>
    <n v="4"/>
    <n v="1"/>
    <n v="26"/>
    <s v="Descargar PDF/Excel con filtros y_x000a_validar consistencia."/>
  </r>
  <r>
    <s v="Ejecutar PI09 – UC-09_x000a_Visualizar_x000a_KPI"/>
    <x v="0"/>
    <s v="LE"/>
    <n v="1"/>
    <n v="30"/>
    <d v="2025-10-08T00:00:00"/>
    <d v="1899-12-30T09:00:00"/>
    <d v="2025-10-06T00:00:00"/>
    <d v="1899-12-30T12:30:00"/>
    <n v="0"/>
    <n v="1"/>
    <n v="30"/>
    <s v="Ver valor/gráfica y contrastar con_x000a_BD."/>
  </r>
  <r>
    <s v="Ejecutar PI10 – UC-10_x000a_Ver lista de_x000a_tareas"/>
    <x v="5"/>
    <s v="LD"/>
    <n v="1"/>
    <n v="30"/>
    <d v="2025-10-08T00:00:00"/>
    <d v="1899-12-30T09:00:00"/>
    <d v="2025-10-07T00:00:00"/>
    <d v="1899-12-30T11:00:00"/>
    <n v="0"/>
    <n v="1"/>
    <n v="30"/>
    <s v="Listar tareas con estado y_x000a_responsable."/>
  </r>
  <r>
    <s v="Ejecutar PI11 – UC-11_x000a_Tarea→Proy_x000a_ecto"/>
    <x v="5"/>
    <s v="LD"/>
    <n v="1"/>
    <n v="30"/>
    <d v="2025-10-08T00:00:00"/>
    <d v="1899-12-30T09:00:00"/>
    <d v="2025-10-07T00:00:00"/>
    <d v="1899-12-30T11:30:00"/>
    <n v="0"/>
    <n v="1"/>
    <n v="30"/>
    <s v="Vincular tarea a proyecto y validar_x000a_relación."/>
  </r>
  <r>
    <s v="Ejecutar PI12 – UC-12_x000a_Editar tarea"/>
    <x v="2"/>
    <s v="LA"/>
    <n v="1"/>
    <n v="30"/>
    <d v="2025-10-08T00:00:00"/>
    <d v="1899-12-30T09:00:00"/>
    <d v="2025-10-07T00:00:00"/>
    <d v="1899-12-30T09:00:00"/>
    <n v="0"/>
    <n v="1"/>
    <n v="30"/>
    <s v="Modificar campos y verificar_x000a_integridad."/>
  </r>
  <r>
    <s v="Ejecutar PI13 – UC-13_x000a_Filtrar tareas"/>
    <x v="0"/>
    <s v="LE"/>
    <n v="1"/>
    <n v="30"/>
    <d v="2025-10-08T00:00:00"/>
    <d v="1899-12-30T09:00:00"/>
    <d v="2025-10-06T00:00:00"/>
    <d v="1899-12-30T13:00:00"/>
    <n v="0"/>
    <n v="1"/>
    <n v="30"/>
    <s v="Aplicar filtros por_x000a_fecha/estado/usuario"/>
  </r>
  <r>
    <s v="Ejecutar PI14 – UC-14_x000a_Ver progreso"/>
    <x v="4"/>
    <s v="LS"/>
    <n v="1"/>
    <n v="30"/>
    <d v="2025-10-08T00:00:00"/>
    <d v="1899-12-30T09:00:00"/>
    <d v="2025-10-07T00:00:00"/>
    <d v="1899-12-30T11:00:00"/>
    <n v="0"/>
    <n v="1"/>
    <n v="30"/>
    <s v="Visualizar %/horas vs. registros de_x000a_tiempo."/>
  </r>
  <r>
    <s v="Ejecutar PI15 – UC-15_x000a_Ver_x000a_notificaciones"/>
    <x v="4"/>
    <s v="LS"/>
    <n v="1"/>
    <n v="30"/>
    <d v="2025-10-08T00:00:00"/>
    <d v="1899-12-30T09:00:00"/>
    <d v="2025-10-07T00:00:00"/>
    <d v="1899-12-30T11:30:00"/>
    <n v="0"/>
    <n v="1"/>
    <n v="30"/>
    <s v="Listar notificaciones generadas por_x000a_eventos."/>
  </r>
  <r>
    <s v="Ejecutar PI16 – UC-16_x000a_Marcar_x000a_notificación_x000a_leída"/>
    <x v="4"/>
    <s v="LS"/>
    <n v="1"/>
    <n v="30"/>
    <d v="2025-10-08T00:00:00"/>
    <d v="1899-12-30T09:00:00"/>
    <d v="2025-10-07T00:00:00"/>
    <d v="1899-12-30T12:00:00"/>
    <n v="0"/>
    <n v="1"/>
    <n v="30"/>
    <s v="Cambiar estado y persistir cambio"/>
  </r>
  <r>
    <s v="Ejecutar PI17 – UC-17_x000a_Detalle de_x000a_tarea"/>
    <x v="0"/>
    <s v="LE"/>
    <n v="1"/>
    <n v="30"/>
    <d v="2025-10-08T00:00:00"/>
    <d v="1899-12-30T09:00:00"/>
    <d v="2025-10-06T00:00:00"/>
    <d v="1899-12-30T13:30:00"/>
    <n v="0"/>
    <n v="1"/>
    <n v="30"/>
    <s v="Mostrar ficha completa (desc.,_x000a_vencimiento, responsable, horas)."/>
  </r>
  <r>
    <s v="Ejecutar PI18 – UC-18_x000a_Eliminar_x000a_tarea"/>
    <x v="5"/>
    <s v="LD"/>
    <n v="1"/>
    <n v="30"/>
    <d v="2025-10-08T00:00:00"/>
    <d v="1899-12-30T09:00:00"/>
    <d v="2025-10-07T00:00:00"/>
    <d v="1899-12-30T12:00:00"/>
    <n v="0"/>
    <n v="1"/>
    <n v="30"/>
    <s v="Borrar tarea y validar_x000a_integridad/ocultamiento."/>
  </r>
  <r>
    <s v="Ejecutar PI-019 Crear proyecto"/>
    <x v="0"/>
    <s v="LE"/>
    <n v="1"/>
    <n v="30"/>
    <d v="2025-10-08T00:00:00"/>
    <d v="1899-12-30T09:00:00"/>
    <d v="2025-10-06T00:00:00"/>
    <d v="1899-12-30T14:00:00"/>
    <n v="0"/>
    <n v="1"/>
    <n v="30"/>
    <s v="Crear un nuevo proyecto con las especificaciones dichas"/>
  </r>
  <r>
    <s v="Ejecutar PI-020 Editar proyecto"/>
    <x v="3"/>
    <s v="LC"/>
    <n v="1"/>
    <n v="30"/>
    <d v="2025-10-08T00:00:00"/>
    <d v="1899-12-30T09:00:00"/>
    <d v="2025-10-07T00:00:00"/>
    <d v="1899-12-30T12:00:00"/>
    <n v="0"/>
    <n v="1"/>
    <n v="30"/>
    <s v="No comentarios"/>
  </r>
  <r>
    <s v="Ejecutar PI-021 Eliminar proyecto"/>
    <x v="5"/>
    <s v="LD"/>
    <n v="1"/>
    <n v="30"/>
    <d v="2025-10-08T00:00:00"/>
    <d v="1899-12-30T09:00:00"/>
    <d v="2025-10-07T00:00:00"/>
    <d v="1899-12-30T12:30:00"/>
    <n v="0"/>
    <n v="1"/>
    <n v="30"/>
    <s v="No comentarios"/>
  </r>
  <r>
    <s v="Ejecutar PI-022 Filtrar proyecto"/>
    <x v="4"/>
    <s v="LS"/>
    <n v="1"/>
    <n v="30"/>
    <d v="2025-10-08T00:00:00"/>
    <d v="1899-12-30T09:00:00"/>
    <d v="2025-10-07T00:00:00"/>
    <d v="1899-12-30T12:30:00"/>
    <n v="0"/>
    <n v="1"/>
    <n v="30"/>
    <s v="Con la programación del filtro permita ver, lo que el usuario necesita."/>
  </r>
  <r>
    <s v="Ejecutar PI-023 Ver proyecto"/>
    <x v="1"/>
    <s v="LP"/>
    <n v="1"/>
    <n v="30"/>
    <d v="2025-10-08T00:00:00"/>
    <d v="1899-12-30T09:00:00"/>
    <d v="2025-10-07T00:00:00"/>
    <d v="1899-12-30T12:00:00"/>
    <n v="0"/>
    <n v="1"/>
    <n v="30"/>
    <s v="La opción despliegue el menu para ver las tareas"/>
  </r>
  <r>
    <s v="Ejecutar PI-024 Cambiar fecha proyecto"/>
    <x v="2"/>
    <s v="LA"/>
    <n v="1"/>
    <n v="30"/>
    <d v="2025-10-08T00:00:00"/>
    <d v="1899-12-30T09:00:00"/>
    <d v="2025-10-07T00:00:00"/>
    <d v="1899-12-30T09:30:00"/>
    <n v="0"/>
    <n v="1"/>
    <n v="30"/>
    <s v="Habilite la opción para Cambiar la fecha de vencimiento."/>
  </r>
  <r>
    <s v="Informe de Pruebas"/>
    <x v="0"/>
    <s v="LE"/>
    <n v="1"/>
    <n v="30"/>
    <d v="2025-10-08T00:00:00"/>
    <d v="1899-12-30T09:00:00"/>
    <d v="2025-10-06T00:00:00"/>
    <d v="1899-12-30T14:30:00"/>
    <n v="0"/>
    <n v="1"/>
    <n v="30"/>
    <s v="Dentro del &quot;PLAN DE PRUEBAS&quot;agregamos las evidencias para incluir este informe."/>
  </r>
  <r>
    <s v="Informe de Pruebas"/>
    <x v="1"/>
    <s v="LP"/>
    <n v="1"/>
    <n v="30"/>
    <d v="2025-10-08T00:00:00"/>
    <d v="1899-12-30T09:00:00"/>
    <d v="2025-10-07T00:00:00"/>
    <d v="1899-12-30T12:30:00"/>
    <n v="0"/>
    <n v="1"/>
    <n v="30"/>
    <s v="Dentro del &quot;PLAN DE PRUEBAS&quot;agregamos las evidencias para incluir este informe."/>
  </r>
  <r>
    <s v="Informe de Pruebas"/>
    <x v="2"/>
    <s v="LA"/>
    <n v="1"/>
    <n v="30"/>
    <d v="2025-10-08T00:00:00"/>
    <d v="1899-12-30T09:00:00"/>
    <d v="2025-10-07T00:00:00"/>
    <d v="1899-12-30T10:00:00"/>
    <n v="0"/>
    <n v="1"/>
    <n v="30"/>
    <s v="Dentro del &quot;PLAN DE PRUEBAS&quot;agregamos las evidencias para incluir este informe."/>
  </r>
  <r>
    <s v="Informe de Pruebas"/>
    <x v="4"/>
    <s v="LS"/>
    <n v="1"/>
    <n v="30"/>
    <d v="2025-10-08T00:00:00"/>
    <d v="1899-12-30T09:00:00"/>
    <d v="2025-10-07T00:00:00"/>
    <d v="1899-12-30T13:00:00"/>
    <n v="0"/>
    <n v="1"/>
    <n v="30"/>
    <s v="Dentro del &quot;PLAN DE PRUEBAS&quot;agregamos las evidencias para incluir este informe."/>
  </r>
  <r>
    <s v="Informe de Pruebas"/>
    <x v="5"/>
    <s v="LD"/>
    <n v="1"/>
    <n v="30"/>
    <d v="2025-10-08T00:00:00"/>
    <d v="1899-12-30T09:00:00"/>
    <d v="2025-10-07T00:00:00"/>
    <d v="1899-12-30T13:00:00"/>
    <n v="0"/>
    <n v="1"/>
    <n v="30"/>
    <s v="Dentro del &quot;PLAN DE PRUEBAS&quot;agregamos las evidencias para incluir este informe."/>
  </r>
  <r>
    <s v="Informe de Pruebas"/>
    <x v="3"/>
    <s v="LC"/>
    <n v="1"/>
    <n v="30"/>
    <d v="2025-10-08T00:00:00"/>
    <d v="1899-12-30T09:00:00"/>
    <d v="2025-10-07T00:00:00"/>
    <d v="1899-12-30T12:30:00"/>
    <n v="0"/>
    <n v="1"/>
    <n v="30"/>
    <s v="Dentro del &quot;PLAN DE PRUEBAS&quot;agregamos las evidencias para incluir este informe."/>
  </r>
  <r>
    <s v="Informe_x000a_Consolidado_x000a_del Ciclo"/>
    <x v="0"/>
    <s v="LE"/>
    <n v="1"/>
    <n v="30"/>
    <d v="2025-10-08T00:00:00"/>
    <d v="1899-12-30T09:00:00"/>
    <d v="2025-10-07T00:00:00"/>
    <d v="1899-12-30T15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1"/>
    <s v="LP"/>
    <n v="1"/>
    <n v="30"/>
    <d v="2025-10-08T00:00:00"/>
    <d v="1899-12-30T09:00:00"/>
    <d v="2025-10-07T00:00:00"/>
    <d v="1899-12-30T13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4"/>
    <s v="LS"/>
    <n v="1"/>
    <n v="30"/>
    <d v="2025-10-08T00:00:00"/>
    <d v="1899-12-30T09:00:00"/>
    <d v="2025-10-07T00:00:00"/>
    <d v="1899-12-30T13:3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2"/>
    <s v="LA"/>
    <n v="1"/>
    <n v="30"/>
    <d v="2025-10-08T00:00:00"/>
    <d v="1899-12-30T09:00:00"/>
    <d v="2025-10-07T00:00:00"/>
    <d v="1899-12-30T10:3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3"/>
    <s v="LC"/>
    <n v="1"/>
    <n v="30"/>
    <d v="2025-10-08T00:00:00"/>
    <d v="1899-12-30T09:00:00"/>
    <d v="2025-10-07T00:00:00"/>
    <d v="1899-12-30T13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5"/>
    <s v="LD"/>
    <n v="1"/>
    <n v="30"/>
    <d v="2025-10-08T00:00:00"/>
    <d v="1899-12-30T09:00:00"/>
    <d v="2025-10-07T00:00:00"/>
    <d v="1899-12-30T13:30:00"/>
    <n v="0"/>
    <n v="1"/>
    <n v="30"/>
    <s v="Resumen global de PIs_x000a_(aprobados/fallidos), métricas,_x000a_defectos por severidad/prioridad y_x000a_conclusión de aptitud para UAT."/>
  </r>
  <r>
    <s v="Revisión y_x000a_Firma del_x000a_Informe_x000a_Consolidado"/>
    <x v="0"/>
    <s v="LE"/>
    <n v="1"/>
    <n v="30"/>
    <d v="2025-10-08T00:00:00"/>
    <d v="1899-12-30T09:00:00"/>
    <d v="2025-10-07T00:00:00"/>
    <d v="1899-12-30T15:30:00"/>
    <n v="0"/>
    <n v="1"/>
    <n v="30"/>
    <s v="Revisión de hallazgos, aceptación y_x000a_firma del cierre de ciclo. "/>
  </r>
  <r>
    <s v="Revisión y_x000a_Firma del_x000a_Informe_x000a_Consolidado"/>
    <x v="1"/>
    <s v="LP"/>
    <n v="1"/>
    <n v="30"/>
    <d v="2025-10-08T00:00:00"/>
    <d v="1899-12-30T09:00:00"/>
    <d v="2025-10-07T00:00:00"/>
    <d v="1899-12-30T13:30:00"/>
    <n v="0"/>
    <n v="1"/>
    <n v="30"/>
    <s v="Revisión de hallazgos, aceptación y_x000a_firma del cierre de ciclo. "/>
  </r>
  <r>
    <s v="Revisión y_x000a_Firma del_x000a_Informe_x000a_Consolidado"/>
    <x v="5"/>
    <s v="LD"/>
    <n v="1"/>
    <n v="30"/>
    <d v="2025-10-08T00:00:00"/>
    <d v="1899-12-30T09:00:00"/>
    <d v="2025-10-07T00:00:00"/>
    <d v="1899-12-30T14:00:00"/>
    <n v="0"/>
    <n v="1"/>
    <n v="30"/>
    <s v="Revisión de hallazgos, aceptación y_x000a_firma del cierre de ciclo. "/>
  </r>
  <r>
    <s v="Revisión y_x000a_Firma del_x000a_Informe_x000a_Consolidado"/>
    <x v="4"/>
    <s v="LS"/>
    <n v="1"/>
    <n v="30"/>
    <d v="2025-10-08T00:00:00"/>
    <d v="1899-12-30T09:00:00"/>
    <d v="2025-10-07T00:00:00"/>
    <d v="1899-12-30T14:00:00"/>
    <n v="0"/>
    <n v="1"/>
    <n v="30"/>
    <s v="Revisión de hallazgos, aceptación y_x000a_firma del cierre de ciclo. "/>
  </r>
  <r>
    <s v="Revisión y_x000a_Firma del_x000a_Informe_x000a_Consolidado"/>
    <x v="3"/>
    <s v="LC"/>
    <n v="1"/>
    <n v="30"/>
    <d v="2025-10-08T00:00:00"/>
    <d v="1899-12-30T09:00:00"/>
    <d v="2025-10-07T00:00:00"/>
    <d v="1899-12-30T13:30:00"/>
    <n v="2"/>
    <n v="1"/>
    <n v="28"/>
    <s v="Revisión de hallazgos, aceptación y_x000a_firma del cierre de ciclo. "/>
  </r>
  <r>
    <s v="Revisión y_x000a_Firma del_x000a_Informe_x000a_Consolidado"/>
    <x v="2"/>
    <s v="LA"/>
    <n v="1"/>
    <n v="30"/>
    <d v="2025-10-08T00:00:00"/>
    <d v="1899-12-30T09:00:00"/>
    <d v="2025-10-07T00:00:00"/>
    <d v="1899-12-30T11:00:00"/>
    <n v="10"/>
    <n v="1"/>
    <n v="20"/>
    <s v="Revisión de hallazgos, aceptación y_x000a_firma del cierre de ciclo. "/>
  </r>
  <r>
    <s v="Archivo y_x000a_Distribución_x000a_de Informes"/>
    <x v="0"/>
    <s v="LE"/>
    <n v="1"/>
    <n v="30"/>
    <d v="2025-10-08T00:00:00"/>
    <d v="1899-12-30T09:00:00"/>
    <d v="2025-10-07T00:00:00"/>
    <d v="1899-12-30T16:30:00"/>
    <n v="0"/>
    <n v="1"/>
    <n v="30"/>
    <s v="Publicar informes (carpeta PI y_x000a_consolidado), notificar a interesados. "/>
  </r>
  <r>
    <s v="Corrección de Código"/>
    <x v="5"/>
    <s v="LD"/>
    <n v="1"/>
    <n v="30"/>
    <d v="2025-10-08T00:00:00"/>
    <d v="1899-12-30T09:00:00"/>
    <d v="2025-10-07T00:00:00"/>
    <d v="1899-12-30T14:30:00"/>
    <n v="0"/>
    <n v="3"/>
    <n v="30"/>
    <s v="Corrección del codigo para mejorar escalibildad y tiempo."/>
  </r>
  <r>
    <s v="Corrección de informe de pruebas y planes"/>
    <x v="3"/>
    <s v="LC"/>
    <n v="1"/>
    <n v="30"/>
    <d v="2025-10-08T00:00:00"/>
    <d v="1899-12-30T09:00:00"/>
    <d v="2025-10-07T00:00:00"/>
    <d v="1899-12-30T16:30:00"/>
    <n v="0"/>
    <n v="1"/>
    <n v="30"/>
    <s v="Corrección ortografica o lógica de los documentos de esta fase."/>
  </r>
  <r>
    <s v="Control de _x000a_cambios "/>
    <x v="3"/>
    <s v="LC"/>
    <n v="1"/>
    <n v="20"/>
    <d v="2025-10-08T00:00:00"/>
    <d v="1899-12-30T09:00:00"/>
    <d v="2025-10-07T00:00:00"/>
    <d v="1899-12-30T19:20:00"/>
    <n v="0"/>
    <n v="1"/>
    <n v="20"/>
    <s v="Gestionar solicitudes de cambios, su evaluación, aprobación/rechazo e implantación. "/>
  </r>
  <r>
    <s v="Control de _x000a_cambios "/>
    <x v="7"/>
    <s v="LS"/>
    <n v="1"/>
    <n v="20"/>
    <d v="2025-10-08T00:00:00"/>
    <d v="1899-12-30T09:00:00"/>
    <d v="2025-10-07T00:00:00"/>
    <d v="1899-12-30T19:20:00"/>
    <n v="0"/>
    <n v="1"/>
    <n v="20"/>
    <s v="Gestionar solicitudes de cambios, su evaluación, aprobación/rechazo e implantación. "/>
  </r>
  <r>
    <s v="Registrar y gestionar riesgos"/>
    <x v="3"/>
    <s v="LC"/>
    <n v="1"/>
    <n v="30"/>
    <d v="2025-10-08T00:00:00"/>
    <d v="1899-12-30T09:00:00"/>
    <d v="2025-10-07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10-08T00:00:00"/>
    <d v="1899-12-30T09:00:00"/>
    <d v="2025-10-07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10-08T00:00:00"/>
    <d v="1899-12-30T09:00:00"/>
    <d v="2025-10-07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LP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LS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LE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LA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LC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LD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0"/>
    <s v="LE"/>
    <n v="1"/>
    <n v="30"/>
    <d v="2025-10-08T00:00:00"/>
    <d v="1899-12-30T09:00:00"/>
    <d v="2025-10-07T00:00:00"/>
    <d v="1899-12-30T22:00:00"/>
    <n v="0"/>
    <n v="1"/>
    <n v="30"/>
    <s v="No comentarios"/>
  </r>
  <r>
    <s v="Llenado de log de defectos"/>
    <x v="3"/>
    <s v="LC"/>
    <n v="1"/>
    <n v="30"/>
    <d v="2025-10-08T00:00:00"/>
    <d v="1899-12-30T09:00:00"/>
    <d v="2025-10-07T00:00:00"/>
    <d v="1899-12-30T22:00:00"/>
    <n v="0"/>
    <n v="1"/>
    <n v="30"/>
    <s v="No comentarios"/>
  </r>
  <r>
    <s v="Acta de reunión"/>
    <x v="3"/>
    <s v="LC"/>
    <n v="1"/>
    <n v="45"/>
    <d v="2025-10-08T00:00:00"/>
    <d v="1899-12-30T09:00:00"/>
    <d v="2025-10-07T00:00:00"/>
    <d v="1899-12-30T22:30:00"/>
    <n v="-35"/>
    <n v="1"/>
    <n v="80"/>
    <s v="Ordenar en grupo todos los documentos asignados para la primera entrega"/>
  </r>
  <r>
    <s v="Elaboración de diapositivas(Informe final)"/>
    <x v="0"/>
    <s v="LE"/>
    <n v="1"/>
    <n v="60"/>
    <d v="2025-10-08T00:00:00"/>
    <d v="1899-12-30T09:00:00"/>
    <d v="2025-10-07T00:00:00"/>
    <d v="1899-12-30T22:30:00"/>
    <n v="10"/>
    <n v="1"/>
    <n v="50"/>
    <s v="Diapositivas con los documentos hechos "/>
  </r>
  <r>
    <s v="Maestro de documentos"/>
    <x v="0"/>
    <s v="LE"/>
    <n v="1"/>
    <n v="55"/>
    <d v="2025-10-08T00:00:00"/>
    <d v="1899-12-30T09:00:00"/>
    <d v="2025-10-07T00:00:00"/>
    <d v="1899-12-30T22:30:00"/>
    <n v="0"/>
    <n v="1"/>
    <n v="55"/>
    <s v="Realización de un excel con los documentos hechos "/>
  </r>
  <r>
    <s v="Revisión de _x000a_documentos "/>
    <x v="3"/>
    <s v="LC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S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0"/>
    <s v="LE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A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0"/>
    <s v="LE"/>
    <n v="3"/>
    <n v="20"/>
    <d v="2025-10-08T00:00:00"/>
    <d v="1899-12-30T09:00:00"/>
    <d v="2025-10-08T00:00:00"/>
    <d v="1899-12-30T09:00:00"/>
    <n v="5"/>
    <n v="3"/>
    <n v="15"/>
    <s v="Todos los documentos subidos _x000a_y actualizados en la pagina "/>
  </r>
  <r>
    <s v="Script de definición de procesos(POST-MORTEM)"/>
    <x v="3"/>
    <s v="LC"/>
    <n v="1"/>
    <n v="30"/>
    <d v="2025-10-15T00:00:00"/>
    <d v="1899-12-30T09:00:00"/>
    <d v="2025-10-13T00:00:00"/>
    <d v="1899-12-30T19:00:00"/>
    <n v="0"/>
    <n v="1"/>
    <n v="30"/>
    <s v="Diligenciar el formato correspondiente al script de definición de procesos"/>
  </r>
  <r>
    <s v="Script de definición de procesos(POST-MORTEM)"/>
    <x v="1"/>
    <s v="LP"/>
    <n v="1"/>
    <n v="30"/>
    <d v="2025-10-15T00:00:00"/>
    <d v="1899-12-30T09:00:00"/>
    <d v="2025-10-13T00:00:00"/>
    <d v="1899-12-30T19:00:00"/>
    <n v="0"/>
    <n v="1"/>
    <n v="30"/>
    <s v="Se realizo el llenado del control de asignaciones para asi terminar con éxito la fase 9 de POST-MORTEM y para que los demas lideres llenen sus bitácoras"/>
  </r>
  <r>
    <s v="Recolección de_x000a_métricas_x000a_del ciclo"/>
    <x v="3"/>
    <s v="LC"/>
    <n v="1"/>
    <n v="30"/>
    <d v="2025-10-15T00:00:00"/>
    <d v="1899-12-30T09:00:00"/>
    <d v="2025-10-13T00:00:00"/>
    <d v="1899-12-30T10:00:00"/>
    <n v="2"/>
    <n v="1"/>
    <n v="28"/>
    <s v="Se recopilan los datos de_x000a_desempeño registrados en las_x000a_bitácoras, logs de defectos,_x000a_control de tareas y plan de_x000a_calidad. Se consolidan métricas_x000a_por equipo, integrante y rol."/>
  </r>
  <r>
    <s v="Recolección de_x000a_métricas_x000a_del ciclo"/>
    <x v="4"/>
    <s v="LS"/>
    <n v="1"/>
    <n v="30"/>
    <d v="2025-10-15T00:00:00"/>
    <d v="1899-12-30T09:00:00"/>
    <d v="2025-10-13T00:00:00"/>
    <d v="1899-12-30T10:00:00"/>
    <n v="2"/>
    <n v="1"/>
    <n v="28"/>
    <s v="Se recopilan los datos de_x000a_desempeño registrados en las_x000a_bitácoras, logs de defectos,_x000a_control de tareas y plan de_x000a_calidad. Se consolidan métricas_x000a_por equipo, integrante y rol."/>
  </r>
  <r>
    <s v="Análisis de_x000a_métricas_x000a_del_x000a_proyecto"/>
    <x v="3"/>
    <s v="LC"/>
    <n v="1"/>
    <n v="30"/>
    <d v="2025-10-15T00:00:00"/>
    <d v="1899-12-30T09:00:00"/>
    <d v="2025-10-13T00:00:00"/>
    <d v="1899-12-30T10:30:00"/>
    <n v="1"/>
    <n v="1"/>
    <n v="29"/>
    <s v="Se comparan los valores_x000a_estimados vs reales en tiempo,_x000a_esfuerzo y cumplimiento de_x000a_tareas. Se calcula el nivel de_x000a_desviación y porcentaje de_x000a_cumplimiento por fase y rol."/>
  </r>
  <r>
    <s v="Análisis de_x000a_métricas_x000a_del_x000a_proyecto"/>
    <x v="4"/>
    <s v="LS"/>
    <n v="1"/>
    <n v="30"/>
    <d v="2025-10-15T00:00:00"/>
    <d v="1899-12-30T09:00:00"/>
    <d v="2025-10-13T00:00:00"/>
    <d v="1899-12-30T10:30:00"/>
    <n v="1"/>
    <n v="1"/>
    <n v="29"/>
    <s v="Se comparan los valores_x000a_estimados vs reales en tiempo,_x000a_esfuerzo y cumplimiento de_x000a_tareas. Se calcula el nivel de_x000a_desviación y porcentaje de_x000a_cumplimiento por fase y rol."/>
  </r>
  <r>
    <s v="Seguimiento de tareas no planeadas"/>
    <x v="1"/>
    <s v="LP"/>
    <n v="1"/>
    <n v="30"/>
    <d v="2025-10-15T00:00:00"/>
    <d v="1899-12-30T09:00:00"/>
    <d v="2025-10-13T00:00:00"/>
    <d v="1899-12-30T10:00:00"/>
    <n v="3"/>
    <n v="2"/>
    <n v="27"/>
    <s v="Se identifican las tareas que_x000a_surgieron durante la ejecución y_x000a_no estaban previstas en la planificación inicial, evaluando_x000a_su impacto en tiempo y esfuerzo."/>
  </r>
  <r>
    <s v="Seguimiento de tareas no planeadas"/>
    <x v="5"/>
    <s v="LD"/>
    <n v="1"/>
    <n v="30"/>
    <d v="2025-10-15T00:00:00"/>
    <d v="1899-12-30T09:00:00"/>
    <d v="2025-10-13T00:00:00"/>
    <d v="1899-12-30T10:00:00"/>
    <n v="3"/>
    <n v="2"/>
    <n v="27"/>
    <s v="Se identifican las tareas que_x000a_surgieron durante la ejecución y_x000a_no estaban previstas en la planificación inicial, evaluando_x000a_su impacto en tiempo y esfuerzo."/>
  </r>
  <r>
    <s v="Evaluación_x000a_del plan de_x000a_calidad"/>
    <x v="0"/>
    <s v="LE"/>
    <n v="1"/>
    <n v="30"/>
    <d v="2025-10-15T00:00:00"/>
    <d v="1899-12-30T09:00:00"/>
    <d v="2025-10-13T00:00:00"/>
    <d v="1899-12-30T10:00:00"/>
    <n v="0"/>
    <n v="2"/>
    <n v="30"/>
    <s v="Se revisan los resultados de las_x000a_métricas de calidad: porcentaje_x000a_libre de defectos, efectividad de_x000a_revisiones, comparación de_x000a_tiempos de desarrollo y revisión,_x000a_y líneas de código (LOC)_x000a_analizadas."/>
  </r>
  <r>
    <s v="Evaluación_x000a_del plan de_x000a_calidad"/>
    <x v="2"/>
    <s v="LA"/>
    <n v="1"/>
    <n v="30"/>
    <d v="2025-10-15T00:00:00"/>
    <d v="1899-12-30T09:00:00"/>
    <d v="2025-10-13T00:00:00"/>
    <d v="1899-12-30T10:00:00"/>
    <n v="0"/>
    <n v="2"/>
    <n v="30"/>
    <s v="Se revisan los resultados de las_x000a_métricas de calidad: porcentaje_x000a_libre de defectos, efectividad de_x000a_revisiones, comparación de_x000a_tiempos de desarrollo y revisión,_x000a_y líneas de código (LOC)_x000a_analizadas."/>
  </r>
  <r>
    <s v="Gestión de_x000a_defectos e_x000a_incidencias"/>
    <x v="0"/>
    <s v="LE"/>
    <n v="1"/>
    <n v="30"/>
    <d v="2025-10-15T00:00:00"/>
    <d v="1899-12-30T09:00:00"/>
    <d v="2025-10-13T00:00:00"/>
    <d v="1899-12-30T10:30:00"/>
    <n v="4"/>
    <n v="1"/>
    <n v="26"/>
    <s v="Se realiza un análisis de_x000a_defectos por fase, tipo y_x000a_responsable. Se mide la_x000a_efectividad en la detección,_x000a_remoción y control de errores."/>
  </r>
  <r>
    <s v="Gestión de_x000a_defectos e_x000a_incidencias"/>
    <x v="2"/>
    <s v="LA"/>
    <n v="1"/>
    <n v="30"/>
    <d v="2025-10-15T00:00:00"/>
    <d v="1899-12-30T09:00:00"/>
    <d v="2025-10-13T00:00:00"/>
    <d v="1899-12-30T10:30:00"/>
    <n v="4"/>
    <n v="1"/>
    <n v="26"/>
    <s v="Se realiza un análisis de_x000a_defectos por fase, tipo y_x000a_responsable. Se mide la_x000a_efectividad en la detección,_x000a_remoción y control de errores."/>
  </r>
  <r>
    <s v="Comparación de_x000a_tiempos y_x000a_esfuerzo"/>
    <x v="0"/>
    <s v="LE"/>
    <n v="1"/>
    <n v="30"/>
    <d v="2025-10-15T00:00:00"/>
    <d v="1899-12-30T09:00:00"/>
    <d v="2025-10-13T00:00:00"/>
    <d v="1899-12-30T11:00:00"/>
    <n v="0"/>
    <n v="1"/>
    <n v="30"/>
    <s v="Se contrastan los tiempos_x000a_dedicados a documentación,_x000a_revisión e implementación para_x000a_evaluar la eficiencia del equipo y_x000a_el equilibrio de carga de trabajo."/>
  </r>
  <r>
    <s v="Comparación de_x000a_tiempos y_x000a_esfuerzo"/>
    <x v="2"/>
    <s v="LA"/>
    <n v="1"/>
    <n v="30"/>
    <d v="2025-10-15T00:00:00"/>
    <d v="1899-12-30T09:00:00"/>
    <d v="2025-10-13T00:00:00"/>
    <d v="1899-12-30T11:00:00"/>
    <n v="0"/>
    <n v="1"/>
    <n v="30"/>
    <s v="Se contrastan los tiempos_x000a_dedicados a documentación,_x000a_revisión e implementación para_x000a_evaluar la eficiencia del equipo y_x000a_el equilibrio de carga de trabajo."/>
  </r>
  <r>
    <s v="Evaluación_x000a_de_x000a_requerimientos_x000a_implementados"/>
    <x v="3"/>
    <s v="LC"/>
    <n v="1"/>
    <n v="30"/>
    <d v="2025-10-15T00:00:00"/>
    <d v="1899-12-30T09:00:00"/>
    <d v="2025-10-13T00:00:00"/>
    <d v="1899-12-30T11:00:00"/>
    <n v="2"/>
    <n v="1"/>
    <n v="28"/>
    <s v="Se revisan los requerimientos_x000a_planeados en el acta de_x000a_lanzamiento versus los_x000a_efectivamente implementados y_x000a_probados."/>
  </r>
  <r>
    <s v="Evaluación_x000a_de_x000a_requerimientos_x000a_implementados"/>
    <x v="4"/>
    <s v="LS"/>
    <n v="1"/>
    <n v="30"/>
    <d v="2025-10-15T00:00:00"/>
    <d v="1899-12-30T09:00:00"/>
    <d v="2025-10-13T00:00:00"/>
    <d v="1899-12-30T11:00:00"/>
    <n v="2"/>
    <n v="1"/>
    <n v="28"/>
    <s v="Se revisan los requerimientos_x000a_planeados en el acta de_x000a_lanzamiento versus los_x000a_efectivamente implementados y_x000a_probados."/>
  </r>
  <r>
    <s v="Consolidación de_x000a_documentos y_x000a_plantillas_x000a_revisadas"/>
    <x v="3"/>
    <s v="LC"/>
    <n v="1"/>
    <n v="30"/>
    <d v="2025-10-15T00:00:00"/>
    <d v="1899-12-30T09:00:00"/>
    <d v="2025-10-13T00:00:00"/>
    <d v="1899-12-30T11:30:00"/>
    <n v="2"/>
    <n v="1"/>
    <n v="28"/>
    <s v="Se verifican las plantillas_x000a_elaboradas, documentos_x000a_actualizados y revisiones_x000a_realizadas en cada fase del ciclo."/>
  </r>
  <r>
    <s v="Consolidación de_x000a_documentos y_x000a_plantillas_x000a_revisadas"/>
    <x v="4"/>
    <s v="LS"/>
    <n v="1"/>
    <n v="30"/>
    <d v="2025-10-15T00:00:00"/>
    <d v="1899-12-30T09:00:00"/>
    <d v="2025-10-13T00:00:00"/>
    <d v="1899-12-30T11:30:00"/>
    <n v="2"/>
    <n v="1"/>
    <n v="28"/>
    <s v="Se verifican las plantillas_x000a_elaboradas, documentos_x000a_actualizados y revisiones_x000a_realizadas en cada fase del ciclo."/>
  </r>
  <r>
    <s v="Análisis_x000a_DOFA del_x000a_ciclo"/>
    <x v="0"/>
    <s v="LE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1"/>
    <s v="LP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2"/>
    <s v="LA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5"/>
    <s v="LD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3"/>
    <s v="LC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4"/>
    <s v="LS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Elaboración del_x000a_Informe_x000a_Postmortem"/>
    <x v="0"/>
    <s v="LE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1"/>
    <s v="LP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2"/>
    <s v="LA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5"/>
    <s v="LD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3"/>
    <s v="LC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4"/>
    <s v="LS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Preparación de_x000a_informe_x000a_individual_x000a_por rol"/>
    <x v="3"/>
    <s v="LC"/>
    <n v="1"/>
    <n v="30"/>
    <d v="2025-10-15T00:00:00"/>
    <d v="1899-12-30T09:00:00"/>
    <d v="2025-10-13T00:00:00"/>
    <d v="1899-12-30T12:00:00"/>
    <n v="5"/>
    <n v="1"/>
    <n v="25"/>
    <s v="Cada integrante elabora su parte_x000a_de la presentación, detallando lo_x000a_realizado durante el ciclo,_x000a_sustentado en métricas y_x000a_entregas."/>
  </r>
  <r>
    <s v="Preparación de_x000a_informe_x000a_individual_x000a_por rol"/>
    <x v="4"/>
    <s v="LS"/>
    <n v="1"/>
    <n v="30"/>
    <d v="2025-10-15T00:00:00"/>
    <d v="1899-12-30T09:00:00"/>
    <d v="2025-10-13T00:00:00"/>
    <d v="1899-12-30T12:00:00"/>
    <n v="5"/>
    <n v="1"/>
    <n v="25"/>
    <s v="Cada integrante elabora su parte_x000a_de la presentación, detallando lo_x000a_realizado durante el ciclo,_x000a_sustentado en métricas y_x000a_entregas."/>
  </r>
  <r>
    <s v="Identificación de_x000a_aspectos_x000a_positivos y_x000a_negativos"/>
    <x v="0"/>
    <s v="LS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1"/>
    <s v="LP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2"/>
    <s v="LA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5"/>
    <s v="LD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3"/>
    <s v="LC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4"/>
    <s v="LS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Formulación de_x000a_propuestas de_x000a_mejora_x000a_(problema solución)"/>
    <x v="0"/>
    <s v="LE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1"/>
    <s v="LP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2"/>
    <s v="LA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5"/>
    <s v="LD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3"/>
    <s v="LC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4"/>
    <s v="LS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Reporte de_x000a_ciclo_x000a_(análisis de proceso,_x000a_esfuerzo y_x000a_producto)"/>
    <x v="1"/>
    <s v="LP"/>
    <n v="1"/>
    <n v="30"/>
    <d v="2025-10-15T00:00:00"/>
    <d v="1899-12-30T09:00:00"/>
    <d v="2025-10-13T00:00:00"/>
    <d v="1899-12-30T10:30:00"/>
    <n v="6"/>
    <n v="1"/>
    <n v="24"/>
    <s v="Se consolidan los resultados del_x000a_equipo respecto al proceso_x000a_seguido, el esfuerzo invertido y la_x000a_calidad del producto entregado."/>
  </r>
  <r>
    <s v="Reporte de_x000a_ciclo_x000a_(análisis de proceso,_x000a_esfuerzo y_x000a_producto)"/>
    <x v="5"/>
    <s v="LD"/>
    <n v="1"/>
    <n v="30"/>
    <d v="2025-10-15T00:00:00"/>
    <d v="1899-12-30T09:00:00"/>
    <d v="2025-10-13T00:00:00"/>
    <d v="1899-12-30T10:30:00"/>
    <n v="6"/>
    <n v="1"/>
    <n v="24"/>
    <s v="Se consolidan los resultados del_x000a_equipo respecto al proceso_x000a_seguido, el esfuerzo invertido y la_x000a_calidad del producto entregado."/>
  </r>
  <r>
    <s v="Diseño y_x000a_consolidación de la_x000a_presentación final"/>
    <x v="0"/>
    <s v="LE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1"/>
    <s v="LP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2"/>
    <s v="LA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5"/>
    <s v="LD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3"/>
    <s v="LC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4"/>
    <s v="LS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Revisión y_x000a_validación_x000a_final de_x000a_entregables"/>
    <x v="0"/>
    <s v="LE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1"/>
    <s v="LP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2"/>
    <s v="LA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5"/>
    <s v="LD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3"/>
    <s v="LC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4"/>
    <s v="LS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Entrega y_x000a_exposición_x000a_del_x000a_Postmortem"/>
    <x v="0"/>
    <s v="LE"/>
    <n v="1"/>
    <n v="30"/>
    <d v="2025-10-15T00:00:00"/>
    <d v="1899-12-30T09:00:00"/>
    <d v="2025-10-13T00:00:00"/>
    <d v="1899-12-30T19:30:00"/>
    <n v="0"/>
    <n v="7"/>
    <n v="30"/>
    <s v="Se entrega el documento final y_x000a_se realiza la exposición ante el_x000a_docente. Cada integrante_x000a_sustenta sus resultados y la_x000a_propuesta de mejora."/>
  </r>
  <r>
    <s v="Corrección de DOCUMENTOS POSTMORTEM"/>
    <x v="3"/>
    <s v="LC"/>
    <n v="1"/>
    <n v="30"/>
    <d v="2025-10-08T00:00:00"/>
    <d v="1899-12-30T09:00:00"/>
    <d v="2025-10-13T00:00:00"/>
    <d v="1899-12-30T16:30:00"/>
    <n v="0"/>
    <n v="1"/>
    <n v="30"/>
    <s v="Corrección ortografica o lógica de los documentos de esta fase."/>
  </r>
  <r>
    <s v="Control de _x000a_cambios "/>
    <x v="3"/>
    <s v="LC"/>
    <n v="1"/>
    <n v="20"/>
    <d v="2025-10-15T00:00:00"/>
    <d v="1899-12-30T09:00:00"/>
    <d v="2025-10-13T00:00:00"/>
    <d v="1899-12-30T19:20:00"/>
    <n v="0"/>
    <n v="1"/>
    <n v="20"/>
    <s v="Gestionar solicitudes de cambios, su evaluación, aprobación/rechazo e implantación. "/>
  </r>
  <r>
    <s v="Control de _x000a_cambios "/>
    <x v="7"/>
    <s v="LS"/>
    <n v="1"/>
    <n v="20"/>
    <d v="2025-10-15T00:00:00"/>
    <d v="1899-12-30T09:00:00"/>
    <d v="2025-10-13T00:00:00"/>
    <d v="1899-12-30T19:20:00"/>
    <n v="0"/>
    <n v="1"/>
    <n v="20"/>
    <s v="Gestionar solicitudes de cambios, su evaluación, aprobación/rechazo e implantación. "/>
  </r>
  <r>
    <s v="Registrar y gestionar riesgos"/>
    <x v="3"/>
    <s v="LC"/>
    <n v="1"/>
    <n v="30"/>
    <d v="2025-10-15T00:00:00"/>
    <d v="1899-12-30T09:00:00"/>
    <d v="2025-10-13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10-15T00:00:00"/>
    <d v="1899-12-30T09:00:00"/>
    <d v="2025-10-13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10-15T00:00:00"/>
    <d v="1899-12-30T09:00:00"/>
    <d v="2025-10-13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LP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LS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LE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LA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LC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LD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0"/>
    <s v="LE"/>
    <n v="1"/>
    <n v="30"/>
    <d v="2025-10-15T00:00:00"/>
    <d v="1899-12-30T09:00:00"/>
    <d v="2025-10-13T00:00:00"/>
    <d v="1899-12-30T22:00:00"/>
    <n v="0"/>
    <n v="1"/>
    <n v="30"/>
    <s v="No comentarios"/>
  </r>
  <r>
    <s v="Llenado de log de defectos"/>
    <x v="3"/>
    <s v="LC"/>
    <n v="1"/>
    <n v="30"/>
    <d v="2025-10-15T00:00:00"/>
    <d v="1899-12-30T09:00:00"/>
    <d v="2025-10-13T00:00:00"/>
    <d v="1899-12-30T22:00:00"/>
    <n v="0"/>
    <n v="1"/>
    <n v="30"/>
    <s v="No comentarios"/>
  </r>
  <r>
    <s v="Acta de reunión"/>
    <x v="3"/>
    <s v="LC"/>
    <n v="1"/>
    <n v="45"/>
    <d v="2025-10-15T00:00:00"/>
    <d v="1899-12-30T09:00:00"/>
    <d v="2025-10-13T00:00:00"/>
    <d v="1899-12-30T22:30:00"/>
    <n v="-35"/>
    <n v="1"/>
    <n v="80"/>
    <s v="Ordenar en grupo todos los documentos asignados para la primera entrega"/>
  </r>
  <r>
    <s v="Elaboración de diapositivas(Informe final)"/>
    <x v="0"/>
    <s v="LE"/>
    <n v="1"/>
    <n v="60"/>
    <d v="2025-10-15T00:00:00"/>
    <d v="1899-12-30T09:00:00"/>
    <d v="2025-10-13T00:00:00"/>
    <d v="1899-12-30T22:30:00"/>
    <n v="10"/>
    <n v="1"/>
    <n v="50"/>
    <s v="Diapositivas con los documentos hechos "/>
  </r>
  <r>
    <s v="Maestro de documentos"/>
    <x v="0"/>
    <s v="LE"/>
    <n v="1"/>
    <n v="55"/>
    <d v="2025-10-15T00:00:00"/>
    <d v="1899-12-30T09:00:00"/>
    <d v="2025-10-13T00:00:00"/>
    <d v="1899-12-30T22:30:00"/>
    <n v="0"/>
    <n v="1"/>
    <n v="55"/>
    <s v="Realización de un excel con los documentos hechos "/>
  </r>
  <r>
    <s v="Revisión de _x000a_documentos "/>
    <x v="3"/>
    <s v="LC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S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0"/>
    <s v="LE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A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0"/>
    <s v="LE"/>
    <n v="3"/>
    <n v="20"/>
    <d v="2025-10-15T00:00:00"/>
    <d v="1899-12-30T09:00:00"/>
    <d v="2025-10-15T00:00:00"/>
    <d v="1899-12-30T09:00:00"/>
    <n v="5"/>
    <n v="3"/>
    <n v="15"/>
    <s v="Todos los documentos subidos _x000a_y actualizados en la pagina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BAD6C-59AE-4FA9-9CEE-286D89C45CFA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93:E100" firstHeaderRow="0" firstDataRow="1" firstDataCol="1"/>
  <pivotFields count="13">
    <pivotField showAll="0"/>
    <pivotField axis="axisRow" showAll="0">
      <items count="8">
        <item h="1" x="6"/>
        <item x="0"/>
        <item x="3"/>
        <item x="4"/>
        <item x="5"/>
        <item x="2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D4865-06DD-45E9-9421-2EF2031B5932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52:E59" firstHeaderRow="0" firstDataRow="1" firstDataCol="1"/>
  <pivotFields count="11">
    <pivotField axis="axisRow" showAll="0">
      <items count="19">
        <item x="11"/>
        <item h="1" x="6"/>
        <item x="16"/>
        <item x="12"/>
        <item x="14"/>
        <item x="15"/>
        <item x="13"/>
        <item h="1" x="17"/>
        <item h="1" x="3"/>
        <item h="1" x="5"/>
        <item h="1" x="1"/>
        <item h="1" x="9"/>
        <item h="1" x="10"/>
        <item h="1" x="0"/>
        <item h="1" x="8"/>
        <item h="1" x="2"/>
        <item h="1" x="4"/>
        <item h="1" x="7"/>
        <item t="default"/>
      </items>
    </pivotField>
    <pivotField showAll="0"/>
    <pivotField dataField="1" showAll="0"/>
    <pivotField dataField="1" showAll="0"/>
    <pivotField numFmtId="165" showAll="0"/>
    <pivotField numFmtId="164" showAll="0"/>
    <pivotField showAll="0"/>
    <pivotField numFmtId="164" showAll="0"/>
    <pivotField numFmtId="1" showAll="0"/>
    <pivotField dataField="1" numFmtId="1" showAll="0"/>
    <pivotField dataField="1" numFmtId="1" showAll="0"/>
  </pivotFields>
  <rowFields count="1">
    <field x="0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amaño real" fld="9" baseField="0" baseItem="0" numFmtId="1"/>
    <dataField name="Suma de Tiempo real" fld="10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31C45-D442-41DF-87DE-01E2A3192184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69:E76" firstHeaderRow="0" firstDataRow="1" firstDataCol="1"/>
  <pivotFields count="11">
    <pivotField axis="axisRow" showAll="0">
      <items count="10">
        <item x="1"/>
        <item x="8"/>
        <item x="6"/>
        <item x="5"/>
        <item x="3"/>
        <item h="1" x="0"/>
        <item h="1" x="4"/>
        <item h="1" x="7"/>
        <item x="2"/>
        <item t="default"/>
      </items>
    </pivotField>
    <pivotField showAll="0"/>
    <pivotField dataField="1" showAll="0"/>
    <pivotField dataField="1" showAll="0"/>
    <pivotField numFmtId="165" showAll="0"/>
    <pivotField numFmtId="164" showAll="0"/>
    <pivotField numFmtId="165" showAll="0"/>
    <pivotField numFmtId="164" showAll="0"/>
    <pivotField numFmtId="1" showAll="0"/>
    <pivotField dataField="1" showAll="0"/>
    <pivotField dataField="1" numFmtI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 numFmtId="1"/>
    <dataField name="Suma de Tamaño real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2B050-5C62-4E8D-88DF-431DE79FF8A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H63:L70" firstHeaderRow="0" firstDataRow="1" firstDataCol="1"/>
  <pivotFields count="11">
    <pivotField axis="axisRow" showAll="0">
      <items count="9">
        <item h="1" x="6"/>
        <item h="1" x="7"/>
        <item x="4"/>
        <item x="1"/>
        <item x="2"/>
        <item x="3"/>
        <item x="5"/>
        <item x="0"/>
        <item t="default"/>
      </items>
    </pivotField>
    <pivotField showAll="0"/>
    <pivotField dataField="1" numFmtId="1" showAll="0"/>
    <pivotField dataField="1" numFmtId="1" showAll="0"/>
    <pivotField numFmtId="165" showAll="0"/>
    <pivotField numFmtId="164" showAll="0"/>
    <pivotField numFmtId="165" showAll="0"/>
    <pivotField numFmtId="164" showAll="0"/>
    <pivotField showAll="0"/>
    <pivotField dataField="1" numFmtId="1" showAll="0"/>
    <pivotField dataField="1" numFmtId="1" showAll="0"/>
  </pivotFields>
  <rowFields count="1">
    <field x="0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iempo real" fld="10" baseField="0" baseItem="0" numFmtId="1"/>
    <dataField name="Suma de Tamaño real" fld="9" baseField="0" baseItem="0" numFmtId="1"/>
    <dataField name="Suma de Tiempo estimado (minutos)" fld="3" baseField="0" baseItem="0" numFmtId="1"/>
    <dataField name="Suma de Tamaño estimado (hojas, secciones)" fld="2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170A1-2856-4491-B323-4EF9C610AC28}" name="TablaDinámica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25:C132" firstHeaderRow="0" firstDataRow="1" firstDataCol="1"/>
  <pivotFields count="11">
    <pivotField axis="axisRow" showAll="0">
      <items count="8">
        <item h="1" x="6"/>
        <item x="1"/>
        <item x="5"/>
        <item x="3"/>
        <item x="4"/>
        <item x="2"/>
        <item x="0"/>
        <item t="default"/>
      </items>
    </pivotField>
    <pivotField showAll="0">
      <items count="13">
        <item x="9"/>
        <item x="10"/>
        <item x="11"/>
        <item x="8"/>
        <item x="7"/>
        <item x="6"/>
        <item x="4"/>
        <item x="1"/>
        <item x="5"/>
        <item x="3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amaño real" fld="9" baseField="0" baseItem="0"/>
    <dataField name="Suma de Tamaño estimado (hojas, secciones)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996F5-D416-457F-8C05-025C06B0CA26}" name="TablaDiná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99:E106" firstHeaderRow="0" firstDataRow="1" firstDataCol="1"/>
  <pivotFields count="11">
    <pivotField axis="axisRow" showAll="0">
      <items count="8">
        <item h="1" x="6"/>
        <item x="1"/>
        <item x="5"/>
        <item x="3"/>
        <item x="4"/>
        <item x="2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/>
    <dataField name="Suma de Tamaño real" fld="9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F6118-7B14-41AF-BE94-6B49998A4454}" name="TablaDinámica5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79:C86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amaño estimado (hojas, secciones)" fld="3" baseField="0" baseItem="0"/>
    <dataField name="Suma de Tamaño real" fld="1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96D2D-45FE-46E3-845F-9A9A7DB71542}" name="TablaDinámica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58:E65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3"/>
        <item x="4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C5E5E-615A-4A9E-9A9F-6C7204FEE26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67:E74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4"/>
        <item x="3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amaño real" fld="10" baseField="0" baseItem="0"/>
    <dataField name="Suma de Tiempo real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B7E28-4A93-4440-92F8-AA191698B596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90:E97" firstHeaderRow="0" firstDataRow="1" firstDataCol="1"/>
  <pivotFields count="13">
    <pivotField showAll="0"/>
    <pivotField axis="axisRow" showAll="0">
      <items count="8">
        <item h="1" x="6"/>
        <item x="0"/>
        <item x="4"/>
        <item x="3"/>
        <item x="5"/>
        <item x="2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amaño real" fld="10" baseField="0" baseItem="0"/>
    <dataField name="Suma de Tiempo real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4E0E9-EBC2-48DC-8976-A092406D7D46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93:E100" firstHeaderRow="0" firstDataRow="1" firstDataCol="1"/>
  <pivotFields count="13">
    <pivotField showAll="0"/>
    <pivotField axis="axisRow" showAll="0">
      <items count="8">
        <item h="1" x="6"/>
        <item x="0"/>
        <item x="3"/>
        <item x="4"/>
        <item x="5"/>
        <item x="2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CD311-CCB4-4B73-85FB-0441AF52567A}" name="TablaDinámica6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526:E533" firstHeaderRow="0" firstDataRow="1" firstDataCol="1"/>
  <pivotFields count="13">
    <pivotField showAll="0"/>
    <pivotField axis="axisRow" showAll="0">
      <items count="9">
        <item h="1" x="7"/>
        <item x="3"/>
        <item x="5"/>
        <item x="0"/>
        <item h="1" x="6"/>
        <item x="2"/>
        <item x="4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1A27DF-F16A-4FB3-9BA4-392AB92E6216}" name="Table_1" displayName="Table_1" ref="A1:J114">
  <tableColumns count="10">
    <tableColumn id="1" xr3:uid="{41200897-7630-4702-8D50-987E5B03DFE9}" name="Versión"/>
    <tableColumn id="2" xr3:uid="{926D65E5-195F-4A77-BD9B-8571EA669647}" name="Fase / Etapa"/>
    <tableColumn id="3" xr3:uid="{0F01A1BC-9B01-483A-88CB-A451C93CFD45}" name="Actividades"/>
    <tableColumn id="4" xr3:uid="{900739FE-B1A6-4648-8E62-8DB305B859C9}" name="Responsable/s"/>
    <tableColumn id="5" xr3:uid="{A0CFC7BE-4BAC-446B-9028-D3A387343529}" name="Tipo"/>
    <tableColumn id="7" xr3:uid="{D829960F-5F84-4761-80AC-1FC7E4852410}" name="Tamaño documentos REAL"/>
    <tableColumn id="8" xr3:uid="{8B1BE7DB-5B4B-4376-BA02-F0C71CDC593A}" name="Tiempo (min) REAL" dataDxfId="13"/>
    <tableColumn id="10" xr3:uid="{0C0D2298-2995-4365-80D1-426B7C97F3FB}" name="Tamaño documentos EST"/>
    <tableColumn id="11" xr3:uid="{61F9AC53-A760-430A-AD8A-4F714654FBDC}" name="Tiempo (min) EST" dataDxfId="12"/>
    <tableColumn id="9" xr3:uid="{B597BE1A-20DC-41E7-A033-022476737599}" name="Eficiencia" dataDxfId="11" dataCellStyle="Porcentaje">
      <calculatedColumnFormula>(Table_1[[#This Row],[Tiempo (min) EST]]/Table_1[[#This Row],[Tiempo (min) REAL]])</calculatedColumnFormula>
    </tableColumn>
  </tableColumns>
  <tableStyleInfo name="Hoja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8C18A1-9AC7-4247-9E47-46D65794BDED}" name="Tabla2" displayName="Tabla2" ref="B2:F11" totalsRowCount="1">
  <autoFilter ref="B2:F10" xr:uid="{388C18A1-9AC7-4247-9E47-46D65794BDED}"/>
  <tableColumns count="5">
    <tableColumn id="1" xr3:uid="{99B80889-6445-4A03-B14B-E3A01BCBD1DE}" name="Fase"/>
    <tableColumn id="2" xr3:uid="{38DFAD97-722F-43FF-99BB-0A72BA3DB8DF}" name="Tareas entregadas a tiempo" totalsRowFunction="sum"/>
    <tableColumn id="3" xr3:uid="{A6DA80A2-C5B8-4FBC-B838-F14F6AB85090}" name="Tareas entregadas con retraso" totalsRowFunction="sum" dataDxfId="10" totalsRowDxfId="9">
      <calculatedColumnFormula>Tabla2[[#This Row],[Total de tarea]]-Tabla2[[#This Row],[Tareas entregadas a tiempo]]</calculatedColumnFormula>
    </tableColumn>
    <tableColumn id="4" xr3:uid="{290A3975-F6E1-4613-8218-506F12BB3B2F}" name="Total de tarea" totalsRowFunction="sum"/>
    <tableColumn id="5" xr3:uid="{BDF78927-9B2D-4F17-8A34-B85BB4D9FC1C}" name="Porcentaje de Cumplimiento" totalsRowFunction="custom" totalsRowDxfId="8" dataCellStyle="Porcentaje" totalsRowCellStyle="Porcentaje">
      <calculatedColumnFormula>Tabla2[[#This Row],[Tareas entregadas a tiempo]]/Tabla2[[#This Row],[Total de tarea]]</calculatedColumnFormula>
      <totalsRowFormula>AVERAGE(Tabla2[Porcentaje de Cumplimiento])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FF7E49-EC6A-48FF-8B93-8CD552484B6F}" name="Tabla4" displayName="Tabla4" ref="B13:F20" totalsRowCount="1">
  <autoFilter ref="B13:F19" xr:uid="{7AFF7E49-EC6A-48FF-8B93-8CD552484B6F}"/>
  <tableColumns count="5">
    <tableColumn id="1" xr3:uid="{AA4DF4E9-6604-4531-AE7B-8445143E324A}" name="Rol"/>
    <tableColumn id="2" xr3:uid="{06E497C0-66E8-44CE-A8E8-ADE66AFEEB3F}" name="Tareas entregadas a tiempo (≤100%)" totalsRowFunction="sum"/>
    <tableColumn id="3" xr3:uid="{803813E3-2C53-4692-A47A-227936967717}" name="Tareas entregadas con retraso (&gt;100%)" totalsRowFunction="sum" dataDxfId="3" totalsRowDxfId="1">
      <calculatedColumnFormula>Tabla4[[#This Row],[Total de Tareas]]-Tabla4[[#This Row],[Tareas entregadas a tiempo (≤100%)]]</calculatedColumnFormula>
    </tableColumn>
    <tableColumn id="4" xr3:uid="{E785DC1F-AB98-4EB9-BB23-DF44D56C52D5}" name="Total de Tareas" totalsRowFunction="sum"/>
    <tableColumn id="5" xr3:uid="{78B46300-CF0C-4340-90F1-E015B865275D}" name="Porcentaje de Cumplimiento" totalsRowFunction="custom" dataDxfId="2" totalsRowDxfId="0" dataCellStyle="Porcentaje" totalsRowCellStyle="Porcentaje">
      <calculatedColumnFormula>Tabla4[[#This Row],[Tareas entregadas a tiempo (≤100%)]]/Tabla4[[#This Row],[Total de Tareas]]</calculatedColumnFormula>
      <totalsRowFormula>AVERAGE(Tabla4[Porcentaje de Cumplimiento])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5920CD-F1DD-49A4-9F3E-7AFB19F1B106}" name="Tabla24" displayName="Tabla24" ref="B2:F11" totalsRowCount="1">
  <autoFilter ref="B2:F10" xr:uid="{295920CD-F1DD-49A4-9F3E-7AFB19F1B106}"/>
  <tableColumns count="5">
    <tableColumn id="1" xr3:uid="{A5F81332-F0CB-49DC-A9CD-9C9C39041068}" name="Fase"/>
    <tableColumn id="2" xr3:uid="{99739793-ED9C-4900-B614-098C5C7F5283}" name="Tareas Planificadas" totalsRowFunction="sum"/>
    <tableColumn id="3" xr3:uid="{B0CA26E9-0B2F-4030-81F9-676C654FC02E}" name="Tareas NO planificadas" totalsRowFunction="sum" dataDxfId="7" totalsRowDxfId="6">
      <calculatedColumnFormula>Tabla24[[#This Row],[Total de tarea]]-Tabla24[[#This Row],[Tareas Planificadas]]</calculatedColumnFormula>
    </tableColumn>
    <tableColumn id="4" xr3:uid="{545B62FE-FBA1-47A4-9811-2D907974DC9F}" name="Total de tarea" totalsRowFunction="sum"/>
    <tableColumn id="5" xr3:uid="{7899B591-9FD5-4DF4-B108-E98384614253}" name="Porcentaje de Cumplimiento" totalsRowFunction="custom" dataDxfId="5" totalsRowDxfId="4" dataCellStyle="Porcentaje" totalsRowCellStyle="Porcentaje">
      <calculatedColumnFormula>Tabla24[[#This Row],[Tareas NO planificadas]]/Tabla24[[#This Row],[Total de tarea]]</calculatedColumnFormula>
      <totalsRowFormula>AVERAGE(Tabla24[Porcentaje de Cumplimiento])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72BB-463C-40F0-8F08-3F37CDDA4A41}">
  <dimension ref="A1:T267"/>
  <sheetViews>
    <sheetView topLeftCell="A241" zoomScale="84" zoomScaleNormal="76" workbookViewId="0">
      <selection activeCell="A255" sqref="A255"/>
    </sheetView>
  </sheetViews>
  <sheetFormatPr baseColWidth="10" defaultColWidth="11.44140625" defaultRowHeight="13.2" x14ac:dyDescent="0.25"/>
  <cols>
    <col min="1" max="1" width="54.6640625" style="4" bestFit="1" customWidth="1"/>
    <col min="2" max="2" width="15.44140625" style="4" customWidth="1"/>
    <col min="3" max="3" width="13.109375" style="4" customWidth="1"/>
    <col min="4" max="5" width="12.33203125" style="4" customWidth="1"/>
    <col min="6" max="8" width="10.6640625" style="4" customWidth="1"/>
    <col min="9" max="10" width="10.6640625" style="3" customWidth="1"/>
    <col min="11" max="11" width="10.6640625" style="2" customWidth="1"/>
    <col min="12" max="12" width="10.6640625" style="1" customWidth="1"/>
    <col min="13" max="13" width="48.109375" style="1" bestFit="1" customWidth="1"/>
    <col min="14" max="14" width="10.6640625" customWidth="1"/>
  </cols>
  <sheetData>
    <row r="1" spans="1:20" ht="32.25" customHeight="1" x14ac:dyDescent="0.25">
      <c r="A1" s="175"/>
      <c r="B1" s="177" t="s">
        <v>0</v>
      </c>
      <c r="C1" s="177"/>
      <c r="D1" s="177"/>
      <c r="E1" s="177"/>
      <c r="F1" s="177"/>
      <c r="G1" s="177"/>
      <c r="H1" s="177"/>
      <c r="I1" s="177"/>
      <c r="J1" s="177"/>
      <c r="K1" s="177"/>
      <c r="L1" s="179"/>
      <c r="M1" s="180"/>
    </row>
    <row r="2" spans="1:20" ht="20.25" customHeight="1" x14ac:dyDescent="0.25">
      <c r="A2" s="176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81"/>
      <c r="M2" s="182"/>
    </row>
    <row r="3" spans="1:20" ht="12.75" customHeight="1" x14ac:dyDescent="0.25">
      <c r="A3" s="183" t="s">
        <v>1</v>
      </c>
      <c r="B3" s="185" t="s">
        <v>2</v>
      </c>
      <c r="C3" s="185"/>
      <c r="D3" s="185"/>
      <c r="E3" s="185"/>
      <c r="F3" s="185"/>
      <c r="G3" s="185"/>
      <c r="H3" s="185"/>
      <c r="I3" s="185"/>
      <c r="J3" s="185"/>
      <c r="K3" s="185"/>
      <c r="L3" s="187" t="s">
        <v>3</v>
      </c>
      <c r="M3" s="188"/>
    </row>
    <row r="4" spans="1:20" ht="13.8" thickBot="1" x14ac:dyDescent="0.3">
      <c r="A4" s="184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6" t="s">
        <v>4</v>
      </c>
      <c r="M4" s="15"/>
    </row>
    <row r="5" spans="1:20" ht="13.8" thickBot="1" x14ac:dyDescent="0.3"/>
    <row r="6" spans="1:20" ht="14.4" thickBot="1" x14ac:dyDescent="0.3">
      <c r="A6" s="24" t="s">
        <v>5</v>
      </c>
      <c r="B6" s="171" t="s">
        <v>6</v>
      </c>
      <c r="C6" s="171"/>
      <c r="D6" s="171"/>
      <c r="E6" s="171"/>
      <c r="F6" s="171"/>
      <c r="G6" s="171"/>
      <c r="H6" s="172" t="s">
        <v>7</v>
      </c>
      <c r="I6" s="173"/>
      <c r="J6" s="173"/>
      <c r="K6" s="173"/>
      <c r="L6" s="174"/>
      <c r="M6" s="25"/>
    </row>
    <row r="7" spans="1:20" s="14" customFormat="1" ht="49.5" customHeight="1" x14ac:dyDescent="0.25">
      <c r="A7" s="18" cm="1">
        <f t="array" aca="1" ref="A7" ca="1">+#REF!+A1:L7+A7:L108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17" t="s">
        <v>21</v>
      </c>
      <c r="C8" s="17" t="s">
        <v>22</v>
      </c>
      <c r="D8" s="20">
        <v>1</v>
      </c>
      <c r="E8" s="20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70" si="0">E8-L8</f>
        <v>-15</v>
      </c>
      <c r="K8" s="8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17" t="s">
        <v>21</v>
      </c>
      <c r="C9" s="17" t="s">
        <v>22</v>
      </c>
      <c r="D9" s="20">
        <v>1</v>
      </c>
      <c r="E9" s="20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8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17" t="s">
        <v>135</v>
      </c>
      <c r="C10" s="17" t="s">
        <v>31</v>
      </c>
      <c r="D10" s="20">
        <v>1</v>
      </c>
      <c r="E10" s="20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8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17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8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17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8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17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8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" customHeight="1" x14ac:dyDescent="0.2">
      <c r="A14" s="23" t="s">
        <v>24</v>
      </c>
      <c r="B14" s="17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8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" customHeight="1" x14ac:dyDescent="0.2">
      <c r="A15" s="23" t="s">
        <v>26</v>
      </c>
      <c r="B15" s="5" t="s">
        <v>27</v>
      </c>
      <c r="C15" s="8" t="s">
        <v>28</v>
      </c>
      <c r="D15" s="20">
        <v>1</v>
      </c>
      <c r="E15" s="28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8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" customHeight="1" x14ac:dyDescent="0.2">
      <c r="A16" s="23" t="s">
        <v>26</v>
      </c>
      <c r="B16" s="21" t="s">
        <v>30</v>
      </c>
      <c r="C16" s="21" t="s">
        <v>31</v>
      </c>
      <c r="D16" s="20">
        <v>1</v>
      </c>
      <c r="E16" s="28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8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17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8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17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8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17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8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" customHeight="1" x14ac:dyDescent="0.2">
      <c r="A20" s="23" t="s">
        <v>26</v>
      </c>
      <c r="B20" s="17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8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" customHeight="1" x14ac:dyDescent="0.2">
      <c r="A21" s="23" t="s">
        <v>45</v>
      </c>
      <c r="B21" s="17" t="s">
        <v>21</v>
      </c>
      <c r="C21" s="17" t="s">
        <v>22</v>
      </c>
      <c r="D21" s="20">
        <v>1</v>
      </c>
      <c r="E21" s="28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si="0"/>
        <v>10</v>
      </c>
      <c r="K21" s="8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" customHeight="1" x14ac:dyDescent="0.2">
      <c r="A22" s="23" t="s">
        <v>45</v>
      </c>
      <c r="B22" s="17" t="s">
        <v>30</v>
      </c>
      <c r="C22" s="17" t="s">
        <v>31</v>
      </c>
      <c r="D22" s="20">
        <v>1</v>
      </c>
      <c r="E22" s="28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0"/>
        <v>10</v>
      </c>
      <c r="K22" s="8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21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0"/>
        <v>10</v>
      </c>
      <c r="K23" s="8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" customHeight="1" x14ac:dyDescent="0.2">
      <c r="A24" s="23" t="s">
        <v>45</v>
      </c>
      <c r="B24" s="17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0"/>
        <v>10</v>
      </c>
      <c r="K24" s="8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21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0"/>
        <v>10</v>
      </c>
      <c r="K25" s="8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21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0"/>
        <v>10</v>
      </c>
      <c r="K26" s="8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" customHeight="1" x14ac:dyDescent="0.2">
      <c r="A27" s="23" t="s">
        <v>52</v>
      </c>
      <c r="B27" s="21" t="s">
        <v>21</v>
      </c>
      <c r="C27" s="21" t="s">
        <v>22</v>
      </c>
      <c r="D27" s="20">
        <v>1</v>
      </c>
      <c r="E27" s="2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0"/>
        <v>0</v>
      </c>
      <c r="K27" s="8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" customHeight="1" x14ac:dyDescent="0.2">
      <c r="A28" s="23" t="s">
        <v>52</v>
      </c>
      <c r="B28" s="21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8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5">
      <c r="A29" s="23" t="s">
        <v>144</v>
      </c>
      <c r="B29" s="21" t="s">
        <v>30</v>
      </c>
      <c r="C29" s="21" t="s">
        <v>31</v>
      </c>
      <c r="D29" s="20">
        <v>1</v>
      </c>
      <c r="E29" s="8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0"/>
        <v>0</v>
      </c>
      <c r="K29" s="8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11" t="s">
        <v>55</v>
      </c>
      <c r="C30" s="11" t="s">
        <v>28</v>
      </c>
      <c r="D30" s="20">
        <v>1</v>
      </c>
      <c r="E30" s="2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0"/>
        <v>60</v>
      </c>
      <c r="K30" s="8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11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0"/>
        <v>60</v>
      </c>
      <c r="K31" s="8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5">
      <c r="A32" s="26" t="s">
        <v>60</v>
      </c>
      <c r="B32" s="11" t="s">
        <v>61</v>
      </c>
      <c r="C32" s="11" t="s">
        <v>62</v>
      </c>
      <c r="D32" s="20">
        <v>1</v>
      </c>
      <c r="E32" s="2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8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11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0"/>
        <v>-30</v>
      </c>
      <c r="K33" s="8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11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0"/>
        <v>-90</v>
      </c>
      <c r="K34" s="8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11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0"/>
        <v>5</v>
      </c>
      <c r="K35" s="8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" customHeight="1" x14ac:dyDescent="0.2">
      <c r="A36" s="23" t="s">
        <v>73</v>
      </c>
      <c r="B36" s="11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si="0"/>
        <v>-50</v>
      </c>
      <c r="K36" s="8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11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0"/>
        <v>-70</v>
      </c>
      <c r="K37" s="8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11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0"/>
        <v>-35</v>
      </c>
      <c r="K38" s="8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11" t="s">
        <v>30</v>
      </c>
      <c r="C39" s="11" t="s">
        <v>83</v>
      </c>
      <c r="D39" s="20">
        <v>1</v>
      </c>
      <c r="E39" s="2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0"/>
        <v>-4</v>
      </c>
      <c r="K39" s="8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11" t="s">
        <v>21</v>
      </c>
      <c r="C40" s="11" t="s">
        <v>86</v>
      </c>
      <c r="D40" s="20">
        <v>1</v>
      </c>
      <c r="E40" s="2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0"/>
        <v>10</v>
      </c>
      <c r="K40" s="8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11" t="s">
        <v>21</v>
      </c>
      <c r="C41" s="11" t="s">
        <v>86</v>
      </c>
      <c r="D41" s="20">
        <v>1</v>
      </c>
      <c r="E41" s="2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0"/>
        <v>0</v>
      </c>
      <c r="K41" s="8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11" t="s">
        <v>30</v>
      </c>
      <c r="C42" s="11" t="s">
        <v>83</v>
      </c>
      <c r="D42" s="20">
        <v>1</v>
      </c>
      <c r="E42" s="2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8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11" t="s">
        <v>21</v>
      </c>
      <c r="C43" s="11" t="s">
        <v>86</v>
      </c>
      <c r="D43" s="20">
        <v>1</v>
      </c>
      <c r="E43" s="2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8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11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8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11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8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11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8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0"/>
        <v>-6</v>
      </c>
      <c r="K47" s="8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11" t="s">
        <v>30</v>
      </c>
      <c r="C48" s="11" t="s">
        <v>83</v>
      </c>
      <c r="D48" s="20">
        <v>1</v>
      </c>
      <c r="E48" s="2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0"/>
        <v>5</v>
      </c>
      <c r="K48" s="8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11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0"/>
        <v>0</v>
      </c>
      <c r="K49" s="8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" customHeight="1" x14ac:dyDescent="0.2">
      <c r="A50" s="32" t="s">
        <v>92</v>
      </c>
      <c r="B50" s="11" t="s">
        <v>140</v>
      </c>
      <c r="C50" s="11" t="s">
        <v>22</v>
      </c>
      <c r="D50" s="20">
        <v>1</v>
      </c>
      <c r="E50" s="29">
        <v>30</v>
      </c>
      <c r="F50" s="11">
        <v>45896</v>
      </c>
      <c r="G50" s="10">
        <v>0.375</v>
      </c>
      <c r="H50" s="11">
        <v>45890</v>
      </c>
      <c r="I50" s="10">
        <v>0.8125</v>
      </c>
      <c r="J50" s="9">
        <f>E50-L50</f>
        <v>5</v>
      </c>
      <c r="K50" s="8">
        <v>1</v>
      </c>
      <c r="L50" s="7">
        <v>25</v>
      </c>
      <c r="M50" s="6" t="s">
        <v>93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37" t="s">
        <v>92</v>
      </c>
      <c r="B51" s="11" t="s">
        <v>139</v>
      </c>
      <c r="C51" s="11" t="s">
        <v>34</v>
      </c>
      <c r="D51" s="20">
        <v>1</v>
      </c>
      <c r="E51" s="29">
        <v>30</v>
      </c>
      <c r="F51" s="11">
        <v>45896</v>
      </c>
      <c r="G51" s="10">
        <v>0.375</v>
      </c>
      <c r="H51" s="11">
        <v>45890</v>
      </c>
      <c r="I51" s="10">
        <v>0.8125</v>
      </c>
      <c r="J51" s="9">
        <f t="shared" si="0"/>
        <v>5</v>
      </c>
      <c r="K51" s="8">
        <v>1</v>
      </c>
      <c r="L51" s="7">
        <v>25</v>
      </c>
      <c r="M51" s="6" t="s">
        <v>93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" customHeight="1" x14ac:dyDescent="0.2">
      <c r="A52" s="23" t="s">
        <v>144</v>
      </c>
      <c r="B52" s="21" t="s">
        <v>30</v>
      </c>
      <c r="C52" s="21" t="s">
        <v>31</v>
      </c>
      <c r="D52" s="20">
        <v>1</v>
      </c>
      <c r="E52" s="8">
        <v>30</v>
      </c>
      <c r="F52" s="11">
        <v>45882</v>
      </c>
      <c r="G52" s="10">
        <v>0.375</v>
      </c>
      <c r="H52" s="11">
        <v>45890</v>
      </c>
      <c r="I52" s="10">
        <v>0.83333333333333337</v>
      </c>
      <c r="J52" s="9">
        <f t="shared" si="0"/>
        <v>0</v>
      </c>
      <c r="K52" s="8">
        <v>1</v>
      </c>
      <c r="L52" s="7">
        <v>30</v>
      </c>
      <c r="M52" s="6" t="s">
        <v>152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33" t="s">
        <v>94</v>
      </c>
      <c r="B53" s="11" t="s">
        <v>139</v>
      </c>
      <c r="C53" s="11" t="s">
        <v>34</v>
      </c>
      <c r="D53" s="20">
        <v>3</v>
      </c>
      <c r="E53" s="29">
        <v>60</v>
      </c>
      <c r="F53" s="11">
        <v>45896</v>
      </c>
      <c r="G53" s="10">
        <v>0.375</v>
      </c>
      <c r="H53" s="11">
        <v>45890</v>
      </c>
      <c r="I53" s="10">
        <v>0.85416666666666663</v>
      </c>
      <c r="J53" s="9">
        <f>E53-L53</f>
        <v>0</v>
      </c>
      <c r="K53" s="8">
        <v>3</v>
      </c>
      <c r="L53" s="7">
        <v>60</v>
      </c>
      <c r="M53" s="6" t="s">
        <v>141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33" t="s">
        <v>94</v>
      </c>
      <c r="B54" s="11" t="s">
        <v>21</v>
      </c>
      <c r="C54" s="11" t="s">
        <v>22</v>
      </c>
      <c r="D54" s="20">
        <v>3</v>
      </c>
      <c r="E54" s="29">
        <v>60</v>
      </c>
      <c r="F54" s="11">
        <v>45896</v>
      </c>
      <c r="G54" s="10">
        <v>0.375</v>
      </c>
      <c r="H54" s="11">
        <v>45890</v>
      </c>
      <c r="I54" s="10">
        <v>0.85416666666666663</v>
      </c>
      <c r="J54" s="9">
        <f t="shared" si="0"/>
        <v>0</v>
      </c>
      <c r="K54" s="8">
        <v>3</v>
      </c>
      <c r="L54" s="7">
        <v>60</v>
      </c>
      <c r="M54" s="6" t="s">
        <v>141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" customHeight="1" x14ac:dyDescent="0.2">
      <c r="A55" s="33" t="s">
        <v>95</v>
      </c>
      <c r="B55" s="11" t="s">
        <v>21</v>
      </c>
      <c r="C55" s="1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0.875</v>
      </c>
      <c r="J55" s="9">
        <f>E55-L55</f>
        <v>0</v>
      </c>
      <c r="K55" s="8">
        <v>1</v>
      </c>
      <c r="L55" s="7">
        <v>30</v>
      </c>
      <c r="M55" s="6" t="s">
        <v>96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" customHeight="1" x14ac:dyDescent="0.2">
      <c r="A56" s="33" t="s">
        <v>95</v>
      </c>
      <c r="B56" s="11" t="s">
        <v>139</v>
      </c>
      <c r="C56" s="11" t="s">
        <v>34</v>
      </c>
      <c r="D56" s="20">
        <v>1</v>
      </c>
      <c r="E56" s="29">
        <v>30</v>
      </c>
      <c r="F56" s="11">
        <v>45896</v>
      </c>
      <c r="G56" s="10">
        <v>0.375</v>
      </c>
      <c r="H56" s="11">
        <v>45890</v>
      </c>
      <c r="I56" s="10">
        <v>0.875</v>
      </c>
      <c r="J56" s="9">
        <f t="shared" si="0"/>
        <v>0</v>
      </c>
      <c r="K56" s="8">
        <v>1</v>
      </c>
      <c r="L56" s="7">
        <v>30</v>
      </c>
      <c r="M56" s="6" t="s">
        <v>96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" customHeight="1" x14ac:dyDescent="0.2">
      <c r="A57" s="23" t="s">
        <v>97</v>
      </c>
      <c r="B57" s="11" t="s">
        <v>21</v>
      </c>
      <c r="C57" s="11" t="s">
        <v>22</v>
      </c>
      <c r="D57" s="20">
        <v>1</v>
      </c>
      <c r="E57" s="29">
        <v>20</v>
      </c>
      <c r="F57" s="11">
        <v>45896</v>
      </c>
      <c r="G57" s="10">
        <v>0.375</v>
      </c>
      <c r="H57" s="11">
        <v>45890</v>
      </c>
      <c r="I57" s="10">
        <v>0.88888888888888884</v>
      </c>
      <c r="J57" s="9">
        <f>E57-L57</f>
        <v>0</v>
      </c>
      <c r="K57" s="8">
        <v>1</v>
      </c>
      <c r="L57" s="7">
        <v>20</v>
      </c>
      <c r="M57" s="6" t="s">
        <v>98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" customHeight="1" x14ac:dyDescent="0.2">
      <c r="A58" s="23" t="s">
        <v>97</v>
      </c>
      <c r="B58" s="11" t="s">
        <v>139</v>
      </c>
      <c r="C58" s="11" t="s">
        <v>34</v>
      </c>
      <c r="D58" s="20">
        <v>1</v>
      </c>
      <c r="E58" s="29">
        <v>20</v>
      </c>
      <c r="F58" s="11">
        <v>45896</v>
      </c>
      <c r="G58" s="10">
        <v>0.375</v>
      </c>
      <c r="H58" s="11">
        <v>45890</v>
      </c>
      <c r="I58" s="10">
        <v>0.88888888888888884</v>
      </c>
      <c r="J58" s="9">
        <f t="shared" si="0"/>
        <v>0</v>
      </c>
      <c r="K58" s="8">
        <v>1</v>
      </c>
      <c r="L58" s="7">
        <v>20</v>
      </c>
      <c r="M58" s="6" t="s">
        <v>98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" customHeight="1" x14ac:dyDescent="0.2">
      <c r="A59" s="23" t="s">
        <v>99</v>
      </c>
      <c r="B59" s="11" t="s">
        <v>21</v>
      </c>
      <c r="C59" s="11" t="s">
        <v>22</v>
      </c>
      <c r="D59" s="29">
        <v>1</v>
      </c>
      <c r="E59" s="34">
        <v>20</v>
      </c>
      <c r="F59" s="11">
        <v>45896</v>
      </c>
      <c r="G59" s="10">
        <v>0.375</v>
      </c>
      <c r="H59" s="11">
        <v>45890</v>
      </c>
      <c r="I59" s="10">
        <v>0.90277777777777779</v>
      </c>
      <c r="J59" s="9">
        <f>E59-L59</f>
        <v>2</v>
      </c>
      <c r="K59" s="8">
        <v>1</v>
      </c>
      <c r="L59" s="7">
        <v>18</v>
      </c>
      <c r="M59" s="6" t="s">
        <v>100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" customHeight="1" x14ac:dyDescent="0.2">
      <c r="A60" s="23" t="s">
        <v>99</v>
      </c>
      <c r="B60" s="11" t="s">
        <v>139</v>
      </c>
      <c r="C60" s="11" t="s">
        <v>34</v>
      </c>
      <c r="D60" s="29">
        <v>1</v>
      </c>
      <c r="E60" s="40">
        <v>20</v>
      </c>
      <c r="F60" s="11">
        <v>45896</v>
      </c>
      <c r="G60" s="10">
        <v>0.375</v>
      </c>
      <c r="H60" s="11">
        <v>45890</v>
      </c>
      <c r="I60" s="10">
        <v>0.90277777777777779</v>
      </c>
      <c r="J60" s="9">
        <f t="shared" si="0"/>
        <v>2</v>
      </c>
      <c r="K60" s="8">
        <v>1</v>
      </c>
      <c r="L60" s="7">
        <v>18</v>
      </c>
      <c r="M60" s="6" t="s">
        <v>100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" customHeight="1" x14ac:dyDescent="0.2">
      <c r="A61" s="5" t="s">
        <v>101</v>
      </c>
      <c r="B61" s="11" t="s">
        <v>21</v>
      </c>
      <c r="C61" s="11" t="s">
        <v>22</v>
      </c>
      <c r="D61" s="29">
        <v>1</v>
      </c>
      <c r="E61" s="29">
        <v>20</v>
      </c>
      <c r="F61" s="11">
        <v>45896</v>
      </c>
      <c r="G61" s="10">
        <v>0.375</v>
      </c>
      <c r="H61" s="11">
        <v>45890</v>
      </c>
      <c r="I61" s="10">
        <v>0.91666666666666663</v>
      </c>
      <c r="J61" s="9">
        <f>E61-L61</f>
        <v>1</v>
      </c>
      <c r="K61" s="8">
        <v>1</v>
      </c>
      <c r="L61" s="7">
        <v>19</v>
      </c>
      <c r="M61" s="6" t="s">
        <v>102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" customHeight="1" x14ac:dyDescent="0.2">
      <c r="A62" s="41" t="s">
        <v>101</v>
      </c>
      <c r="B62" s="11" t="s">
        <v>136</v>
      </c>
      <c r="C62" s="11" t="s">
        <v>34</v>
      </c>
      <c r="D62" s="29">
        <v>1</v>
      </c>
      <c r="E62" s="29">
        <v>20</v>
      </c>
      <c r="F62" s="11">
        <v>45896</v>
      </c>
      <c r="G62" s="10">
        <v>0.375</v>
      </c>
      <c r="H62" s="11">
        <v>45890</v>
      </c>
      <c r="I62" s="10">
        <v>0.91666666666666663</v>
      </c>
      <c r="J62" s="9">
        <f t="shared" si="0"/>
        <v>1</v>
      </c>
      <c r="K62" s="8">
        <v>1</v>
      </c>
      <c r="L62" s="7">
        <v>19</v>
      </c>
      <c r="M62" s="6" t="s">
        <v>102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" customHeight="1" x14ac:dyDescent="0.2">
      <c r="A63" s="23" t="s">
        <v>103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45890</v>
      </c>
      <c r="I63" s="10">
        <v>0.9375</v>
      </c>
      <c r="J63" s="9">
        <f>E63-L63</f>
        <v>5</v>
      </c>
      <c r="K63" s="8">
        <v>1</v>
      </c>
      <c r="L63" s="7">
        <v>25</v>
      </c>
      <c r="M63" s="6" t="s">
        <v>104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" customHeight="1" x14ac:dyDescent="0.2">
      <c r="A64" s="23" t="s">
        <v>103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45890</v>
      </c>
      <c r="I64" s="10">
        <v>0.9375</v>
      </c>
      <c r="J64" s="9">
        <f t="shared" si="0"/>
        <v>5</v>
      </c>
      <c r="K64" s="8">
        <v>1</v>
      </c>
      <c r="L64" s="7">
        <v>25</v>
      </c>
      <c r="M64" s="6" t="s">
        <v>104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" customHeight="1" x14ac:dyDescent="0.2">
      <c r="A65" s="23" t="s">
        <v>105</v>
      </c>
      <c r="B65" s="11" t="s">
        <v>30</v>
      </c>
      <c r="C65" s="11" t="s">
        <v>31</v>
      </c>
      <c r="D65" s="29">
        <v>1</v>
      </c>
      <c r="E65" s="29">
        <v>30</v>
      </c>
      <c r="F65" s="11">
        <v>45896</v>
      </c>
      <c r="G65" s="10">
        <v>0.375</v>
      </c>
      <c r="H65" s="11">
        <v>45890</v>
      </c>
      <c r="I65" s="10">
        <v>0.8125</v>
      </c>
      <c r="J65" s="9">
        <f>E65-L65</f>
        <v>6</v>
      </c>
      <c r="K65" s="8">
        <v>1</v>
      </c>
      <c r="L65" s="7">
        <v>24</v>
      </c>
      <c r="M65" s="6" t="s">
        <v>106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" customHeight="1" x14ac:dyDescent="0.2">
      <c r="A66" s="23" t="s">
        <v>105</v>
      </c>
      <c r="B66" s="11" t="s">
        <v>39</v>
      </c>
      <c r="C66" s="11" t="s">
        <v>40</v>
      </c>
      <c r="D66" s="29">
        <v>1</v>
      </c>
      <c r="E66" s="29">
        <v>30</v>
      </c>
      <c r="F66" s="11">
        <v>45896</v>
      </c>
      <c r="G66" s="10">
        <v>0.375</v>
      </c>
      <c r="H66" s="11">
        <v>45890</v>
      </c>
      <c r="I66" s="10">
        <v>0.8125</v>
      </c>
      <c r="J66" s="9">
        <f t="shared" si="0"/>
        <v>6</v>
      </c>
      <c r="K66" s="8">
        <v>1</v>
      </c>
      <c r="L66" s="7">
        <v>24</v>
      </c>
      <c r="M66" s="6" t="s">
        <v>106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" customHeight="1" x14ac:dyDescent="0.2">
      <c r="A67" s="33" t="s">
        <v>107</v>
      </c>
      <c r="B67" s="11" t="s">
        <v>30</v>
      </c>
      <c r="C67" s="11" t="s">
        <v>31</v>
      </c>
      <c r="D67" s="29">
        <v>1</v>
      </c>
      <c r="E67" s="29">
        <v>60</v>
      </c>
      <c r="F67" s="11">
        <v>45896</v>
      </c>
      <c r="G67" s="10">
        <v>0.375</v>
      </c>
      <c r="H67" s="11">
        <v>45890</v>
      </c>
      <c r="I67" s="10">
        <v>0.85416666666666663</v>
      </c>
      <c r="J67" s="9">
        <f>E67-L67</f>
        <v>15</v>
      </c>
      <c r="K67" s="8">
        <v>1</v>
      </c>
      <c r="L67" s="7">
        <v>45</v>
      </c>
      <c r="M67" s="6" t="s">
        <v>108</v>
      </c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33" t="s">
        <v>107</v>
      </c>
      <c r="B68" s="11" t="s">
        <v>39</v>
      </c>
      <c r="C68" s="11" t="s">
        <v>40</v>
      </c>
      <c r="D68" s="29">
        <v>1</v>
      </c>
      <c r="E68" s="29">
        <v>60</v>
      </c>
      <c r="F68" s="11">
        <v>45896</v>
      </c>
      <c r="G68" s="10">
        <v>0.375</v>
      </c>
      <c r="H68" s="11">
        <v>45890</v>
      </c>
      <c r="I68" s="10">
        <v>0.85416666666666663</v>
      </c>
      <c r="J68" s="9">
        <f t="shared" si="0"/>
        <v>15</v>
      </c>
      <c r="K68" s="8">
        <v>1</v>
      </c>
      <c r="L68" s="7">
        <v>45</v>
      </c>
      <c r="M68" s="6" t="s">
        <v>108</v>
      </c>
      <c r="Q68" s="29">
        <v>1</v>
      </c>
      <c r="R68" s="29">
        <v>60</v>
      </c>
      <c r="S68" s="8">
        <v>1</v>
      </c>
      <c r="T68" s="7">
        <v>45</v>
      </c>
    </row>
    <row r="69" spans="1:20" ht="22.8" x14ac:dyDescent="0.25">
      <c r="A69" s="23" t="s">
        <v>109</v>
      </c>
      <c r="B69" s="11" t="s">
        <v>30</v>
      </c>
      <c r="C69" s="11" t="s">
        <v>31</v>
      </c>
      <c r="D69" s="29">
        <v>1</v>
      </c>
      <c r="E69" s="29">
        <v>30</v>
      </c>
      <c r="F69" s="11">
        <v>45896</v>
      </c>
      <c r="G69" s="10">
        <v>0.375</v>
      </c>
      <c r="H69" s="11">
        <v>45890</v>
      </c>
      <c r="I69" s="10">
        <v>0.875</v>
      </c>
      <c r="J69" s="9">
        <f>E69-L69</f>
        <v>10</v>
      </c>
      <c r="K69" s="8">
        <v>1</v>
      </c>
      <c r="L69" s="7">
        <v>20</v>
      </c>
      <c r="M69" s="6" t="s">
        <v>110</v>
      </c>
      <c r="Q69" s="29">
        <v>1</v>
      </c>
      <c r="R69" s="29">
        <v>30</v>
      </c>
      <c r="S69" s="8">
        <v>1</v>
      </c>
      <c r="T69" s="7">
        <v>20</v>
      </c>
    </row>
    <row r="70" spans="1:20" ht="22.8" x14ac:dyDescent="0.25">
      <c r="A70" s="23" t="s">
        <v>109</v>
      </c>
      <c r="B70" s="11" t="s">
        <v>39</v>
      </c>
      <c r="C70" s="11" t="s">
        <v>40</v>
      </c>
      <c r="D70" s="29">
        <v>1</v>
      </c>
      <c r="E70" s="29">
        <v>30</v>
      </c>
      <c r="F70" s="11">
        <v>45896</v>
      </c>
      <c r="G70" s="10">
        <v>0.375</v>
      </c>
      <c r="H70" s="11">
        <v>45890</v>
      </c>
      <c r="I70" s="10">
        <v>0.875</v>
      </c>
      <c r="J70" s="9">
        <f t="shared" si="0"/>
        <v>10</v>
      </c>
      <c r="K70" s="8">
        <v>1</v>
      </c>
      <c r="L70" s="7">
        <v>20</v>
      </c>
      <c r="M70" s="6" t="s">
        <v>110</v>
      </c>
      <c r="Q70" s="29">
        <v>1</v>
      </c>
      <c r="R70" s="29">
        <v>30</v>
      </c>
      <c r="S70" s="8">
        <v>1</v>
      </c>
      <c r="T70" s="7">
        <v>20</v>
      </c>
    </row>
    <row r="71" spans="1:20" ht="22.8" x14ac:dyDescent="0.25">
      <c r="A71" s="23" t="s">
        <v>111</v>
      </c>
      <c r="B71" s="11" t="s">
        <v>39</v>
      </c>
      <c r="C71" s="11" t="s">
        <v>142</v>
      </c>
      <c r="D71" s="29">
        <v>1</v>
      </c>
      <c r="E71" s="29">
        <v>30</v>
      </c>
      <c r="F71" s="11">
        <v>45896</v>
      </c>
      <c r="G71" s="10">
        <v>0.375</v>
      </c>
      <c r="H71" s="11">
        <v>45890</v>
      </c>
      <c r="I71" s="10">
        <v>0.89583333333333337</v>
      </c>
      <c r="J71" s="9">
        <f t="shared" ref="J71:J77" si="1">E71-L71</f>
        <v>0</v>
      </c>
      <c r="K71" s="8">
        <v>1</v>
      </c>
      <c r="L71" s="7">
        <v>30</v>
      </c>
      <c r="M71" s="6" t="s">
        <v>112</v>
      </c>
      <c r="Q71" s="29">
        <v>1</v>
      </c>
      <c r="R71" s="29">
        <v>30</v>
      </c>
      <c r="S71" s="8">
        <v>1</v>
      </c>
      <c r="T71" s="7">
        <v>30</v>
      </c>
    </row>
    <row r="72" spans="1:20" ht="22.8" x14ac:dyDescent="0.25">
      <c r="A72" s="23" t="s">
        <v>111</v>
      </c>
      <c r="B72" s="11" t="s">
        <v>30</v>
      </c>
      <c r="C72" s="11" t="s">
        <v>31</v>
      </c>
      <c r="D72" s="29">
        <v>1</v>
      </c>
      <c r="E72" s="29">
        <v>30</v>
      </c>
      <c r="F72" s="11">
        <v>45896</v>
      </c>
      <c r="G72" s="10">
        <v>0.375</v>
      </c>
      <c r="H72" s="11">
        <v>45890</v>
      </c>
      <c r="I72" s="10">
        <v>0.89583333333333337</v>
      </c>
      <c r="J72" s="9">
        <f t="shared" si="1"/>
        <v>0</v>
      </c>
      <c r="K72" s="8">
        <v>1</v>
      </c>
      <c r="L72" s="7">
        <v>30</v>
      </c>
      <c r="M72" s="6" t="s">
        <v>112</v>
      </c>
      <c r="Q72" s="29">
        <v>1</v>
      </c>
      <c r="R72" s="29">
        <v>30</v>
      </c>
      <c r="S72" s="8">
        <v>1</v>
      </c>
      <c r="T72" s="7">
        <v>30</v>
      </c>
    </row>
    <row r="73" spans="1:20" ht="22.8" x14ac:dyDescent="0.25">
      <c r="A73" s="33" t="s">
        <v>113</v>
      </c>
      <c r="B73" s="11" t="s">
        <v>30</v>
      </c>
      <c r="C73" s="11" t="s">
        <v>31</v>
      </c>
      <c r="D73" s="29">
        <v>1</v>
      </c>
      <c r="E73" s="29">
        <v>30</v>
      </c>
      <c r="F73" s="11">
        <v>45896</v>
      </c>
      <c r="G73" s="10">
        <v>0.375</v>
      </c>
      <c r="H73" s="11">
        <v>45890</v>
      </c>
      <c r="I73" s="10">
        <v>0.91666666666666663</v>
      </c>
      <c r="J73" s="9">
        <f t="shared" si="1"/>
        <v>-2</v>
      </c>
      <c r="K73" s="8">
        <v>1</v>
      </c>
      <c r="L73" s="7">
        <v>32</v>
      </c>
      <c r="M73" s="6" t="s">
        <v>114</v>
      </c>
      <c r="Q73" s="29">
        <v>1</v>
      </c>
      <c r="R73" s="29">
        <v>30</v>
      </c>
      <c r="S73" s="8">
        <v>1</v>
      </c>
      <c r="T73" s="7">
        <v>32</v>
      </c>
    </row>
    <row r="74" spans="1:20" ht="22.8" x14ac:dyDescent="0.25">
      <c r="A74" s="33" t="s">
        <v>113</v>
      </c>
      <c r="B74" s="11" t="s">
        <v>39</v>
      </c>
      <c r="C74" s="11" t="s">
        <v>40</v>
      </c>
      <c r="D74" s="29">
        <v>1</v>
      </c>
      <c r="E74" s="29">
        <v>30</v>
      </c>
      <c r="F74" s="11">
        <v>45896</v>
      </c>
      <c r="G74" s="10">
        <v>0.375</v>
      </c>
      <c r="H74" s="11">
        <v>45890</v>
      </c>
      <c r="I74" s="10">
        <v>0.91666666666666663</v>
      </c>
      <c r="J74" s="9">
        <f t="shared" si="1"/>
        <v>-2</v>
      </c>
      <c r="K74" s="8">
        <v>1</v>
      </c>
      <c r="L74" s="7">
        <v>32</v>
      </c>
      <c r="M74" s="6" t="s">
        <v>114</v>
      </c>
      <c r="Q74" s="29">
        <v>1</v>
      </c>
      <c r="R74" s="29">
        <v>30</v>
      </c>
      <c r="S74" s="8">
        <v>1</v>
      </c>
      <c r="T74" s="7">
        <v>32</v>
      </c>
    </row>
    <row r="75" spans="1:20" ht="22.8" x14ac:dyDescent="0.25">
      <c r="A75" s="33" t="s">
        <v>115</v>
      </c>
      <c r="B75" s="11" t="s">
        <v>36</v>
      </c>
      <c r="C75" s="11" t="s">
        <v>37</v>
      </c>
      <c r="D75" s="29">
        <v>1</v>
      </c>
      <c r="E75" s="29">
        <v>20</v>
      </c>
      <c r="F75" s="11">
        <v>45896</v>
      </c>
      <c r="G75" s="10">
        <v>0.375</v>
      </c>
      <c r="H75" s="11">
        <v>45890</v>
      </c>
      <c r="I75" s="10">
        <v>0.80555555555555558</v>
      </c>
      <c r="J75" s="9">
        <f t="shared" si="1"/>
        <v>0</v>
      </c>
      <c r="K75" s="8">
        <v>1</v>
      </c>
      <c r="L75" s="7">
        <v>20</v>
      </c>
      <c r="M75" s="6" t="s">
        <v>116</v>
      </c>
      <c r="Q75" s="29">
        <v>1</v>
      </c>
      <c r="R75" s="29">
        <v>20</v>
      </c>
      <c r="S75" s="8">
        <v>1</v>
      </c>
      <c r="T75" s="7">
        <v>20</v>
      </c>
    </row>
    <row r="76" spans="1:20" ht="22.8" x14ac:dyDescent="0.25">
      <c r="A76" s="33" t="s">
        <v>115</v>
      </c>
      <c r="B76" s="11" t="s">
        <v>42</v>
      </c>
      <c r="C76" s="11" t="s">
        <v>43</v>
      </c>
      <c r="D76" s="29">
        <v>1</v>
      </c>
      <c r="E76" s="29">
        <v>20</v>
      </c>
      <c r="F76" s="11">
        <v>45896</v>
      </c>
      <c r="G76" s="10">
        <v>0.375</v>
      </c>
      <c r="H76" s="11">
        <v>45890</v>
      </c>
      <c r="I76" s="10">
        <v>0.80555555555555558</v>
      </c>
      <c r="J76" s="9">
        <f t="shared" si="1"/>
        <v>0</v>
      </c>
      <c r="K76" s="8">
        <v>1</v>
      </c>
      <c r="L76" s="7">
        <v>20</v>
      </c>
      <c r="M76" s="6" t="s">
        <v>116</v>
      </c>
      <c r="Q76" s="29">
        <v>1</v>
      </c>
      <c r="R76" s="29">
        <v>20</v>
      </c>
      <c r="S76" s="8">
        <v>1</v>
      </c>
      <c r="T76" s="7">
        <v>20</v>
      </c>
    </row>
    <row r="77" spans="1:20" ht="22.8" x14ac:dyDescent="0.25">
      <c r="A77" s="33" t="s">
        <v>117</v>
      </c>
      <c r="B77" s="11" t="s">
        <v>36</v>
      </c>
      <c r="C77" s="11" t="s">
        <v>37</v>
      </c>
      <c r="D77" s="29">
        <v>1</v>
      </c>
      <c r="E77" s="29">
        <v>20</v>
      </c>
      <c r="F77" s="11">
        <v>45896</v>
      </c>
      <c r="G77" s="10">
        <v>0.375</v>
      </c>
      <c r="H77" s="11">
        <v>45890</v>
      </c>
      <c r="I77" s="10">
        <v>0.81944444444444442</v>
      </c>
      <c r="J77" s="9">
        <f t="shared" si="1"/>
        <v>0</v>
      </c>
      <c r="K77" s="8">
        <v>1</v>
      </c>
      <c r="L77" s="7">
        <v>20</v>
      </c>
      <c r="M77" s="6" t="s">
        <v>118</v>
      </c>
      <c r="Q77" s="29">
        <v>1</v>
      </c>
      <c r="R77" s="29">
        <v>20</v>
      </c>
      <c r="S77" s="8">
        <v>1</v>
      </c>
      <c r="T77" s="7">
        <v>20</v>
      </c>
    </row>
    <row r="78" spans="1:20" ht="22.8" x14ac:dyDescent="0.25">
      <c r="A78" s="33" t="s">
        <v>117</v>
      </c>
      <c r="B78" s="11" t="s">
        <v>42</v>
      </c>
      <c r="C78" s="11" t="s">
        <v>43</v>
      </c>
      <c r="D78" s="29">
        <v>1</v>
      </c>
      <c r="E78" s="29">
        <v>20</v>
      </c>
      <c r="F78" s="11">
        <v>45896</v>
      </c>
      <c r="G78" s="10">
        <v>0.375</v>
      </c>
      <c r="H78" s="11">
        <v>45890</v>
      </c>
      <c r="I78" s="10">
        <v>0.81944444444444442</v>
      </c>
      <c r="J78" s="9">
        <f t="shared" ref="J78:J108" si="2">E78-L78</f>
        <v>0</v>
      </c>
      <c r="K78" s="8">
        <v>1</v>
      </c>
      <c r="L78" s="7">
        <v>20</v>
      </c>
      <c r="M78" s="6" t="s">
        <v>118</v>
      </c>
      <c r="Q78" s="29">
        <v>1</v>
      </c>
      <c r="R78" s="29">
        <v>20</v>
      </c>
      <c r="S78" s="8">
        <v>1</v>
      </c>
      <c r="T78" s="7">
        <v>20</v>
      </c>
    </row>
    <row r="79" spans="1:20" ht="23.4" x14ac:dyDescent="0.25">
      <c r="A79" s="33" t="s">
        <v>119</v>
      </c>
      <c r="B79" s="11" t="s">
        <v>36</v>
      </c>
      <c r="C79" s="11" t="s">
        <v>37</v>
      </c>
      <c r="D79" s="29">
        <v>1</v>
      </c>
      <c r="E79" s="29">
        <v>20</v>
      </c>
      <c r="F79" s="11">
        <v>45896</v>
      </c>
      <c r="G79" s="10">
        <v>0.375</v>
      </c>
      <c r="H79" s="11">
        <v>45890</v>
      </c>
      <c r="I79" s="10">
        <v>0.83333333333333337</v>
      </c>
      <c r="J79" s="9">
        <f>E79-L79</f>
        <v>0</v>
      </c>
      <c r="K79" s="8">
        <v>1</v>
      </c>
      <c r="L79" s="7">
        <v>20</v>
      </c>
      <c r="M79" s="6" t="s">
        <v>120</v>
      </c>
      <c r="Q79" s="29">
        <v>1</v>
      </c>
      <c r="R79" s="29">
        <v>20</v>
      </c>
      <c r="S79" s="8">
        <v>1</v>
      </c>
      <c r="T79" s="7">
        <v>20</v>
      </c>
    </row>
    <row r="80" spans="1:20" ht="23.4" x14ac:dyDescent="0.25">
      <c r="A80" s="33" t="s">
        <v>119</v>
      </c>
      <c r="B80" s="11" t="s">
        <v>42</v>
      </c>
      <c r="C80" s="11" t="s">
        <v>43</v>
      </c>
      <c r="D80" s="29">
        <v>1</v>
      </c>
      <c r="E80" s="29">
        <v>20</v>
      </c>
      <c r="F80" s="11">
        <v>45896</v>
      </c>
      <c r="G80" s="10">
        <v>0.375</v>
      </c>
      <c r="H80" s="11">
        <v>45890</v>
      </c>
      <c r="I80" s="10">
        <v>0.83333333333333337</v>
      </c>
      <c r="J80" s="9">
        <f t="shared" si="2"/>
        <v>0</v>
      </c>
      <c r="K80" s="8">
        <v>1</v>
      </c>
      <c r="L80" s="7">
        <v>20</v>
      </c>
      <c r="M80" s="6" t="s">
        <v>120</v>
      </c>
      <c r="Q80" s="29">
        <v>1</v>
      </c>
      <c r="R80" s="29">
        <v>20</v>
      </c>
      <c r="S80" s="8">
        <v>1</v>
      </c>
      <c r="T80" s="7">
        <v>20</v>
      </c>
    </row>
    <row r="81" spans="1:20" ht="23.4" x14ac:dyDescent="0.25">
      <c r="A81" s="33" t="s">
        <v>121</v>
      </c>
      <c r="B81" s="11" t="s">
        <v>36</v>
      </c>
      <c r="C81" s="11" t="s">
        <v>37</v>
      </c>
      <c r="D81" s="29">
        <v>1</v>
      </c>
      <c r="E81" s="29">
        <v>20</v>
      </c>
      <c r="F81" s="11">
        <v>45896</v>
      </c>
      <c r="G81" s="10">
        <v>0.375</v>
      </c>
      <c r="H81" s="11">
        <v>45890</v>
      </c>
      <c r="I81" s="10">
        <v>0.84722222222222221</v>
      </c>
      <c r="J81" s="9">
        <f>E81-L81</f>
        <v>2</v>
      </c>
      <c r="K81" s="8">
        <v>1</v>
      </c>
      <c r="L81" s="7">
        <v>18</v>
      </c>
      <c r="M81" s="6" t="s">
        <v>122</v>
      </c>
      <c r="Q81" s="29">
        <v>1</v>
      </c>
      <c r="R81" s="29">
        <v>20</v>
      </c>
      <c r="S81" s="8">
        <v>1</v>
      </c>
      <c r="T81" s="7">
        <v>18</v>
      </c>
    </row>
    <row r="82" spans="1:20" ht="23.4" x14ac:dyDescent="0.25">
      <c r="A82" s="33" t="s">
        <v>121</v>
      </c>
      <c r="B82" s="11" t="s">
        <v>42</v>
      </c>
      <c r="C82" s="11" t="s">
        <v>43</v>
      </c>
      <c r="D82" s="29">
        <v>1</v>
      </c>
      <c r="E82" s="29">
        <v>20</v>
      </c>
      <c r="F82" s="11">
        <v>45896</v>
      </c>
      <c r="G82" s="10">
        <v>0.375</v>
      </c>
      <c r="H82" s="11">
        <v>45890</v>
      </c>
      <c r="I82" s="10">
        <v>0.84722222222222221</v>
      </c>
      <c r="J82" s="9">
        <f t="shared" si="2"/>
        <v>2</v>
      </c>
      <c r="K82" s="8">
        <v>1</v>
      </c>
      <c r="L82" s="7">
        <v>18</v>
      </c>
      <c r="M82" s="6" t="s">
        <v>122</v>
      </c>
      <c r="Q82" s="29">
        <v>1</v>
      </c>
      <c r="R82" s="29">
        <v>20</v>
      </c>
      <c r="S82" s="8">
        <v>1</v>
      </c>
      <c r="T82" s="7">
        <v>18</v>
      </c>
    </row>
    <row r="83" spans="1:20" ht="23.4" x14ac:dyDescent="0.25">
      <c r="A83" s="38" t="s">
        <v>123</v>
      </c>
      <c r="B83" s="11" t="s">
        <v>36</v>
      </c>
      <c r="C83" s="11" t="s">
        <v>37</v>
      </c>
      <c r="D83" s="29">
        <v>1</v>
      </c>
      <c r="E83" s="29">
        <v>20</v>
      </c>
      <c r="F83" s="11">
        <v>45896</v>
      </c>
      <c r="G83" s="10">
        <v>0.375</v>
      </c>
      <c r="H83" s="11">
        <v>45890</v>
      </c>
      <c r="I83" s="10">
        <v>0.86111111111111116</v>
      </c>
      <c r="J83" s="9">
        <f>E83-L83</f>
        <v>0</v>
      </c>
      <c r="K83" s="8">
        <v>1</v>
      </c>
      <c r="L83" s="7">
        <v>20</v>
      </c>
      <c r="M83" s="36" t="s">
        <v>124</v>
      </c>
      <c r="Q83" s="29">
        <v>1</v>
      </c>
      <c r="R83" s="29">
        <v>20</v>
      </c>
      <c r="S83" s="8">
        <v>1</v>
      </c>
      <c r="T83" s="7">
        <v>20</v>
      </c>
    </row>
    <row r="84" spans="1:20" ht="23.4" x14ac:dyDescent="0.25">
      <c r="A84" s="35" t="s">
        <v>123</v>
      </c>
      <c r="B84" s="11" t="s">
        <v>143</v>
      </c>
      <c r="C84" s="11" t="s">
        <v>43</v>
      </c>
      <c r="D84" s="29">
        <v>1</v>
      </c>
      <c r="E84" s="29">
        <v>20</v>
      </c>
      <c r="F84" s="11">
        <v>45896</v>
      </c>
      <c r="G84" s="10">
        <v>0.375</v>
      </c>
      <c r="H84" s="11">
        <v>45890</v>
      </c>
      <c r="I84" s="10">
        <v>0.86111111111111116</v>
      </c>
      <c r="J84" s="9">
        <f t="shared" si="2"/>
        <v>0</v>
      </c>
      <c r="K84" s="8">
        <v>1</v>
      </c>
      <c r="L84" s="7">
        <v>20</v>
      </c>
      <c r="M84" s="36" t="s">
        <v>124</v>
      </c>
      <c r="Q84" s="29">
        <v>1</v>
      </c>
      <c r="R84" s="29">
        <v>20</v>
      </c>
      <c r="S84" s="8">
        <v>1</v>
      </c>
      <c r="T84" s="7">
        <v>20</v>
      </c>
    </row>
    <row r="85" spans="1:20" ht="23.4" x14ac:dyDescent="0.25">
      <c r="A85" s="33" t="s">
        <v>125</v>
      </c>
      <c r="B85" s="11" t="s">
        <v>36</v>
      </c>
      <c r="C85" s="11" t="s">
        <v>37</v>
      </c>
      <c r="D85" s="29">
        <v>1</v>
      </c>
      <c r="E85" s="29">
        <v>20</v>
      </c>
      <c r="F85" s="11">
        <v>45896</v>
      </c>
      <c r="G85" s="10">
        <v>0.375</v>
      </c>
      <c r="H85" s="11">
        <v>45890</v>
      </c>
      <c r="I85" s="10">
        <v>0.875</v>
      </c>
      <c r="J85" s="9">
        <f>E85-L85</f>
        <v>-1</v>
      </c>
      <c r="K85" s="8">
        <v>1</v>
      </c>
      <c r="L85" s="7">
        <v>21</v>
      </c>
      <c r="M85" s="6" t="s">
        <v>126</v>
      </c>
      <c r="Q85" s="29">
        <v>1</v>
      </c>
      <c r="R85" s="29">
        <v>20</v>
      </c>
      <c r="S85" s="8">
        <v>1</v>
      </c>
      <c r="T85" s="7">
        <v>21</v>
      </c>
    </row>
    <row r="86" spans="1:20" ht="23.4" x14ac:dyDescent="0.25">
      <c r="A86" s="33" t="s">
        <v>125</v>
      </c>
      <c r="B86" s="11" t="s">
        <v>42</v>
      </c>
      <c r="C86" s="11" t="s">
        <v>43</v>
      </c>
      <c r="D86" s="29">
        <v>1</v>
      </c>
      <c r="E86" s="29">
        <v>20</v>
      </c>
      <c r="F86" s="11">
        <v>45896</v>
      </c>
      <c r="G86" s="10">
        <v>0.375</v>
      </c>
      <c r="H86" s="11">
        <v>45890</v>
      </c>
      <c r="I86" s="10">
        <v>0.875</v>
      </c>
      <c r="J86" s="9">
        <f t="shared" si="2"/>
        <v>-1</v>
      </c>
      <c r="K86" s="8">
        <v>1</v>
      </c>
      <c r="L86" s="7">
        <v>21</v>
      </c>
      <c r="M86" s="6" t="s">
        <v>126</v>
      </c>
      <c r="Q86" s="29">
        <v>1</v>
      </c>
      <c r="R86" s="29">
        <v>20</v>
      </c>
      <c r="S86" s="8">
        <v>1</v>
      </c>
      <c r="T86" s="7">
        <v>21</v>
      </c>
    </row>
    <row r="87" spans="1:20" ht="22.8" x14ac:dyDescent="0.25">
      <c r="A87" s="39" t="s">
        <v>127</v>
      </c>
      <c r="B87" s="11" t="s">
        <v>36</v>
      </c>
      <c r="C87" s="11" t="s">
        <v>37</v>
      </c>
      <c r="D87" s="29">
        <v>1</v>
      </c>
      <c r="E87" s="29">
        <v>30</v>
      </c>
      <c r="F87" s="11">
        <v>45896</v>
      </c>
      <c r="G87" s="10">
        <v>0.375</v>
      </c>
      <c r="H87" s="11">
        <v>45890</v>
      </c>
      <c r="I87" s="10">
        <v>0.89583333333333337</v>
      </c>
      <c r="J87" s="9">
        <f>E87-L87</f>
        <v>5</v>
      </c>
      <c r="K87" s="8">
        <v>1</v>
      </c>
      <c r="L87" s="7">
        <v>25</v>
      </c>
      <c r="M87" s="6" t="s">
        <v>128</v>
      </c>
      <c r="Q87" s="29">
        <v>1</v>
      </c>
      <c r="R87" s="29">
        <v>30</v>
      </c>
      <c r="S87" s="8">
        <v>1</v>
      </c>
      <c r="T87" s="7">
        <v>25</v>
      </c>
    </row>
    <row r="88" spans="1:20" ht="22.8" x14ac:dyDescent="0.25">
      <c r="A88" t="s">
        <v>127</v>
      </c>
      <c r="B88" s="11" t="s">
        <v>42</v>
      </c>
      <c r="C88" s="11" t="s">
        <v>43</v>
      </c>
      <c r="D88" s="29">
        <v>1</v>
      </c>
      <c r="E88" s="29">
        <v>30</v>
      </c>
      <c r="F88" s="11">
        <v>45896</v>
      </c>
      <c r="G88" s="10">
        <v>0.375</v>
      </c>
      <c r="H88" s="11">
        <v>45890</v>
      </c>
      <c r="I88" s="10">
        <v>0.89583333333333337</v>
      </c>
      <c r="J88" s="9">
        <f t="shared" si="2"/>
        <v>5</v>
      </c>
      <c r="K88" s="8">
        <v>1</v>
      </c>
      <c r="L88" s="7">
        <v>25</v>
      </c>
      <c r="M88" s="6" t="s">
        <v>128</v>
      </c>
      <c r="Q88" s="29">
        <v>1</v>
      </c>
      <c r="R88" s="29">
        <v>30</v>
      </c>
      <c r="S88" s="8">
        <v>1</v>
      </c>
      <c r="T88" s="7">
        <v>25</v>
      </c>
    </row>
    <row r="89" spans="1:20" ht="23.4" x14ac:dyDescent="0.25">
      <c r="A89" s="33" t="s">
        <v>129</v>
      </c>
      <c r="B89" s="11" t="s">
        <v>36</v>
      </c>
      <c r="C89" s="11" t="s">
        <v>37</v>
      </c>
      <c r="D89" s="29">
        <v>1</v>
      </c>
      <c r="E89" s="29">
        <v>30</v>
      </c>
      <c r="F89" s="11">
        <v>45896</v>
      </c>
      <c r="G89" s="10">
        <v>0.375</v>
      </c>
      <c r="H89" s="11">
        <v>45890</v>
      </c>
      <c r="I89" s="10">
        <v>0.91666666666666663</v>
      </c>
      <c r="J89" s="9">
        <f>E89-L89</f>
        <v>10</v>
      </c>
      <c r="K89" s="8">
        <v>1</v>
      </c>
      <c r="L89" s="7">
        <v>20</v>
      </c>
      <c r="M89" s="6" t="s">
        <v>130</v>
      </c>
      <c r="Q89" s="29">
        <v>1</v>
      </c>
      <c r="R89" s="29">
        <v>30</v>
      </c>
      <c r="S89" s="8">
        <v>1</v>
      </c>
      <c r="T89" s="7">
        <v>20</v>
      </c>
    </row>
    <row r="90" spans="1:20" ht="23.4" x14ac:dyDescent="0.25">
      <c r="A90" s="33" t="s">
        <v>129</v>
      </c>
      <c r="B90" s="11" t="s">
        <v>42</v>
      </c>
      <c r="C90" s="11" t="s">
        <v>43</v>
      </c>
      <c r="D90" s="29">
        <v>1</v>
      </c>
      <c r="E90" s="29">
        <v>30</v>
      </c>
      <c r="F90" s="11">
        <v>45896</v>
      </c>
      <c r="G90" s="10">
        <v>0.375</v>
      </c>
      <c r="H90" s="11">
        <v>45890</v>
      </c>
      <c r="I90" s="10">
        <v>0.91666666666666663</v>
      </c>
      <c r="J90" s="9">
        <f t="shared" si="2"/>
        <v>10</v>
      </c>
      <c r="K90" s="8">
        <v>1</v>
      </c>
      <c r="L90" s="7">
        <v>20</v>
      </c>
      <c r="M90" s="6" t="s">
        <v>130</v>
      </c>
      <c r="Q90" s="29">
        <v>1</v>
      </c>
      <c r="R90" s="29">
        <v>30</v>
      </c>
      <c r="S90" s="8">
        <v>1</v>
      </c>
      <c r="T90" s="7">
        <v>20</v>
      </c>
    </row>
    <row r="91" spans="1:20" ht="22.8" x14ac:dyDescent="0.25">
      <c r="A91" s="23" t="s">
        <v>146</v>
      </c>
      <c r="B91" s="11" t="s">
        <v>30</v>
      </c>
      <c r="C91" s="11" t="s">
        <v>83</v>
      </c>
      <c r="D91" s="20">
        <v>1</v>
      </c>
      <c r="E91" s="29">
        <v>60</v>
      </c>
      <c r="F91" s="11">
        <v>45896</v>
      </c>
      <c r="G91" s="10">
        <v>0.375</v>
      </c>
      <c r="H91" s="11">
        <v>45890</v>
      </c>
      <c r="I91" s="10">
        <v>0.91666666666666663</v>
      </c>
      <c r="J91" s="9">
        <f>E91-L91</f>
        <v>50</v>
      </c>
      <c r="K91" s="8">
        <v>1</v>
      </c>
      <c r="L91" s="7">
        <v>10</v>
      </c>
      <c r="M91" s="6" t="s">
        <v>149</v>
      </c>
      <c r="Q91" s="20">
        <v>1</v>
      </c>
      <c r="R91" s="29">
        <v>60</v>
      </c>
      <c r="S91" s="8">
        <v>1</v>
      </c>
      <c r="T91" s="7">
        <v>10</v>
      </c>
    </row>
    <row r="92" spans="1:20" ht="22.8" x14ac:dyDescent="0.25">
      <c r="A92" s="23" t="s">
        <v>146</v>
      </c>
      <c r="B92" s="11" t="s">
        <v>42</v>
      </c>
      <c r="C92" s="11" t="s">
        <v>77</v>
      </c>
      <c r="D92" s="20">
        <v>1</v>
      </c>
      <c r="E92" s="29">
        <v>60</v>
      </c>
      <c r="F92" s="11">
        <v>45896</v>
      </c>
      <c r="G92" s="10">
        <v>0.375</v>
      </c>
      <c r="H92" s="11">
        <v>45890</v>
      </c>
      <c r="I92" s="10">
        <v>0.91666666666666663</v>
      </c>
      <c r="J92" s="9">
        <f>E92-L92</f>
        <v>50</v>
      </c>
      <c r="K92" s="8">
        <v>1</v>
      </c>
      <c r="L92" s="7">
        <v>10</v>
      </c>
      <c r="M92" s="6" t="s">
        <v>149</v>
      </c>
      <c r="Q92" s="20">
        <v>1</v>
      </c>
      <c r="R92" s="29">
        <v>60</v>
      </c>
      <c r="S92" s="8">
        <v>1</v>
      </c>
      <c r="T92" s="7">
        <v>10</v>
      </c>
    </row>
    <row r="93" spans="1:20" ht="22.8" x14ac:dyDescent="0.25">
      <c r="A93" s="23" t="s">
        <v>146</v>
      </c>
      <c r="B93" s="11" t="s">
        <v>21</v>
      </c>
      <c r="C93" s="11" t="s">
        <v>86</v>
      </c>
      <c r="D93" s="20">
        <v>1</v>
      </c>
      <c r="E93" s="29">
        <v>60</v>
      </c>
      <c r="F93" s="11">
        <v>45896</v>
      </c>
      <c r="G93" s="10">
        <v>0.375</v>
      </c>
      <c r="H93" s="11">
        <v>45890</v>
      </c>
      <c r="I93" s="10">
        <v>0.91666666666666663</v>
      </c>
      <c r="J93" s="9">
        <f>E93-L93</f>
        <v>50</v>
      </c>
      <c r="K93" s="8">
        <v>1</v>
      </c>
      <c r="L93" s="7">
        <v>10</v>
      </c>
      <c r="M93" s="6" t="s">
        <v>149</v>
      </c>
      <c r="Q93" s="20">
        <v>1</v>
      </c>
      <c r="R93" s="29">
        <v>60</v>
      </c>
      <c r="S93" s="8">
        <v>1</v>
      </c>
      <c r="T93" s="7">
        <v>10</v>
      </c>
    </row>
    <row r="94" spans="1:20" ht="22.8" x14ac:dyDescent="0.25">
      <c r="A94" s="23" t="s">
        <v>146</v>
      </c>
      <c r="B94" s="11" t="s">
        <v>136</v>
      </c>
      <c r="C94" s="11" t="s">
        <v>151</v>
      </c>
      <c r="D94" s="20">
        <v>1</v>
      </c>
      <c r="E94" s="29">
        <v>60</v>
      </c>
      <c r="F94" s="11">
        <v>45896</v>
      </c>
      <c r="G94" s="10">
        <v>0.375</v>
      </c>
      <c r="H94" s="11">
        <v>45890</v>
      </c>
      <c r="I94" s="10">
        <v>0.91666666666666663</v>
      </c>
      <c r="J94" s="9">
        <f>E94-L94</f>
        <v>50</v>
      </c>
      <c r="K94" s="8">
        <v>1</v>
      </c>
      <c r="L94" s="7">
        <v>10</v>
      </c>
      <c r="M94" s="6" t="s">
        <v>149</v>
      </c>
      <c r="Q94" s="20">
        <v>1</v>
      </c>
      <c r="R94" s="29">
        <v>60</v>
      </c>
      <c r="S94" s="8">
        <v>1</v>
      </c>
      <c r="T94" s="7">
        <v>10</v>
      </c>
    </row>
    <row r="95" spans="1:20" ht="22.8" x14ac:dyDescent="0.25">
      <c r="A95" s="23" t="s">
        <v>146</v>
      </c>
      <c r="B95" s="11" t="s">
        <v>36</v>
      </c>
      <c r="C95" s="11" t="s">
        <v>80</v>
      </c>
      <c r="D95" s="20">
        <v>1</v>
      </c>
      <c r="E95" s="29">
        <v>60</v>
      </c>
      <c r="F95" s="11">
        <v>45882</v>
      </c>
      <c r="G95" s="10">
        <v>0.375</v>
      </c>
      <c r="H95" s="11">
        <v>45890</v>
      </c>
      <c r="I95" s="10">
        <v>0.91666666666666663</v>
      </c>
      <c r="J95" s="9">
        <f>E95-L95</f>
        <v>50</v>
      </c>
      <c r="K95" s="8">
        <v>1</v>
      </c>
      <c r="L95" s="7">
        <v>10</v>
      </c>
      <c r="M95" s="6" t="s">
        <v>149</v>
      </c>
      <c r="Q95" s="20">
        <v>1</v>
      </c>
      <c r="R95" s="29">
        <v>60</v>
      </c>
      <c r="S95" s="8">
        <v>1</v>
      </c>
      <c r="T95" s="7">
        <v>10</v>
      </c>
    </row>
    <row r="96" spans="1:20" ht="22.8" x14ac:dyDescent="0.25">
      <c r="A96" s="23" t="s">
        <v>146</v>
      </c>
      <c r="B96" s="11" t="s">
        <v>39</v>
      </c>
      <c r="C96" s="11" t="s">
        <v>150</v>
      </c>
      <c r="D96" s="20">
        <v>1</v>
      </c>
      <c r="E96" s="29">
        <v>60</v>
      </c>
      <c r="F96" s="11">
        <v>45896</v>
      </c>
      <c r="G96" s="10">
        <v>0.375</v>
      </c>
      <c r="H96" s="11">
        <v>45890</v>
      </c>
      <c r="I96" s="10">
        <v>0.91666666666666663</v>
      </c>
      <c r="J96" s="9">
        <f t="shared" si="2"/>
        <v>50</v>
      </c>
      <c r="K96" s="8">
        <v>1</v>
      </c>
      <c r="L96" s="7">
        <v>10</v>
      </c>
      <c r="M96" s="6" t="s">
        <v>149</v>
      </c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5">
      <c r="A97" s="23" t="s">
        <v>52</v>
      </c>
      <c r="B97" s="21" t="s">
        <v>21</v>
      </c>
      <c r="C97" s="21" t="s">
        <v>22</v>
      </c>
      <c r="D97" s="20">
        <v>1</v>
      </c>
      <c r="E97" s="29">
        <v>30</v>
      </c>
      <c r="F97" s="11">
        <v>45896</v>
      </c>
      <c r="G97" s="10">
        <v>0.375</v>
      </c>
      <c r="H97" s="11">
        <v>45890</v>
      </c>
      <c r="I97" s="10">
        <v>0.91666666666666663</v>
      </c>
      <c r="J97" s="9">
        <f t="shared" si="2"/>
        <v>0</v>
      </c>
      <c r="K97" s="8">
        <v>1</v>
      </c>
      <c r="L97" s="7">
        <v>30</v>
      </c>
      <c r="M97" s="6" t="s">
        <v>53</v>
      </c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5">
      <c r="A98" s="23" t="s">
        <v>153</v>
      </c>
      <c r="B98" s="21" t="s">
        <v>36</v>
      </c>
      <c r="C98" s="21" t="s">
        <v>37</v>
      </c>
      <c r="D98" s="20">
        <v>1</v>
      </c>
      <c r="E98" s="5">
        <v>30</v>
      </c>
      <c r="F98" s="11">
        <v>45896</v>
      </c>
      <c r="G98" s="10">
        <v>0.375</v>
      </c>
      <c r="H98" s="11">
        <v>45890</v>
      </c>
      <c r="I98" s="10">
        <v>0.91666666666666663</v>
      </c>
      <c r="J98" s="9">
        <f t="shared" si="2"/>
        <v>0</v>
      </c>
      <c r="K98" s="8">
        <v>1</v>
      </c>
      <c r="L98" s="7">
        <v>30</v>
      </c>
      <c r="M98" s="6" t="s">
        <v>53</v>
      </c>
      <c r="Q98" s="20">
        <v>1</v>
      </c>
      <c r="R98" s="5">
        <v>30</v>
      </c>
      <c r="S98" s="8">
        <v>1</v>
      </c>
      <c r="T98" s="7">
        <v>30</v>
      </c>
    </row>
    <row r="99" spans="1:20" ht="22.8" x14ac:dyDescent="0.25">
      <c r="A99" s="23" t="s">
        <v>79</v>
      </c>
      <c r="B99" s="11" t="s">
        <v>36</v>
      </c>
      <c r="C99" s="11" t="s">
        <v>80</v>
      </c>
      <c r="D99" s="20">
        <v>1</v>
      </c>
      <c r="E99" s="29">
        <v>45</v>
      </c>
      <c r="F99" s="11">
        <v>45896</v>
      </c>
      <c r="G99" s="10">
        <v>0.375</v>
      </c>
      <c r="H99" s="11">
        <v>45890</v>
      </c>
      <c r="I99" s="10">
        <v>0.9375</v>
      </c>
      <c r="J99" s="9">
        <f t="shared" si="2"/>
        <v>-35</v>
      </c>
      <c r="K99" s="8">
        <v>1</v>
      </c>
      <c r="L99" s="7">
        <v>80</v>
      </c>
      <c r="M99" s="6" t="s">
        <v>81</v>
      </c>
      <c r="Q99" s="20">
        <v>1</v>
      </c>
      <c r="R99" s="29">
        <v>45</v>
      </c>
      <c r="S99" s="8">
        <v>1</v>
      </c>
      <c r="T99" s="7">
        <v>80</v>
      </c>
    </row>
    <row r="100" spans="1:20" x14ac:dyDescent="0.25">
      <c r="A100" s="23" t="s">
        <v>85</v>
      </c>
      <c r="B100" s="11" t="s">
        <v>21</v>
      </c>
      <c r="C100" s="11" t="s">
        <v>86</v>
      </c>
      <c r="D100" s="20">
        <v>1</v>
      </c>
      <c r="E100" s="29">
        <v>60</v>
      </c>
      <c r="F100" s="11">
        <v>45896</v>
      </c>
      <c r="G100" s="10">
        <v>0.375</v>
      </c>
      <c r="H100" s="11">
        <v>45890</v>
      </c>
      <c r="I100" s="10">
        <v>0.9375</v>
      </c>
      <c r="J100" s="9">
        <f t="shared" si="2"/>
        <v>10</v>
      </c>
      <c r="K100" s="8">
        <v>1</v>
      </c>
      <c r="L100" s="7">
        <v>50</v>
      </c>
      <c r="M100" s="6" t="s">
        <v>87</v>
      </c>
      <c r="Q100" s="20">
        <v>1</v>
      </c>
      <c r="R100" s="29">
        <v>60</v>
      </c>
      <c r="S100" s="8">
        <v>1</v>
      </c>
      <c r="T100" s="7">
        <v>50</v>
      </c>
    </row>
    <row r="101" spans="1:20" x14ac:dyDescent="0.25">
      <c r="A101" s="23" t="s">
        <v>88</v>
      </c>
      <c r="B101" s="11" t="s">
        <v>21</v>
      </c>
      <c r="C101" s="11" t="s">
        <v>86</v>
      </c>
      <c r="D101" s="20">
        <v>1</v>
      </c>
      <c r="E101" s="29">
        <v>55</v>
      </c>
      <c r="F101" s="11">
        <v>45896</v>
      </c>
      <c r="G101" s="10">
        <v>0.375</v>
      </c>
      <c r="H101" s="11">
        <v>45890</v>
      </c>
      <c r="I101" s="10">
        <v>0.9375</v>
      </c>
      <c r="J101" s="9">
        <f t="shared" si="2"/>
        <v>0</v>
      </c>
      <c r="K101" s="8">
        <v>1</v>
      </c>
      <c r="L101" s="7">
        <v>55</v>
      </c>
      <c r="M101" s="6" t="s">
        <v>89</v>
      </c>
      <c r="Q101" s="20">
        <v>1</v>
      </c>
      <c r="R101" s="29">
        <v>55</v>
      </c>
      <c r="S101" s="8">
        <v>1</v>
      </c>
      <c r="T101" s="7">
        <v>55</v>
      </c>
    </row>
    <row r="102" spans="1:20" ht="23.4" x14ac:dyDescent="0.25">
      <c r="A102" s="33" t="s">
        <v>131</v>
      </c>
      <c r="B102" s="11" t="s">
        <v>36</v>
      </c>
      <c r="C102" s="11" t="s">
        <v>37</v>
      </c>
      <c r="D102" s="29">
        <v>1</v>
      </c>
      <c r="E102" s="29">
        <v>30</v>
      </c>
      <c r="F102" s="11">
        <v>45896</v>
      </c>
      <c r="G102" s="10">
        <v>0.375</v>
      </c>
      <c r="H102" s="11">
        <v>45894</v>
      </c>
      <c r="I102" s="10">
        <v>0.9375</v>
      </c>
      <c r="J102" s="9">
        <f>E102-L102</f>
        <v>-2</v>
      </c>
      <c r="K102" s="8">
        <v>1</v>
      </c>
      <c r="L102" s="7">
        <v>32</v>
      </c>
      <c r="M102" s="6" t="s">
        <v>132</v>
      </c>
      <c r="Q102" s="29">
        <v>1</v>
      </c>
      <c r="R102" s="29">
        <v>30</v>
      </c>
      <c r="S102" s="8">
        <v>1</v>
      </c>
      <c r="T102" s="7">
        <v>32</v>
      </c>
    </row>
    <row r="103" spans="1:20" ht="23.4" x14ac:dyDescent="0.25">
      <c r="A103" s="33" t="s">
        <v>131</v>
      </c>
      <c r="B103" s="11" t="s">
        <v>42</v>
      </c>
      <c r="C103" s="11" t="s">
        <v>43</v>
      </c>
      <c r="D103" s="29">
        <v>1</v>
      </c>
      <c r="E103" s="29">
        <v>30</v>
      </c>
      <c r="F103" s="11">
        <v>45896</v>
      </c>
      <c r="G103" s="10">
        <v>0.375</v>
      </c>
      <c r="H103" s="11">
        <v>45894</v>
      </c>
      <c r="I103" s="10">
        <v>0.9375</v>
      </c>
      <c r="J103" s="9">
        <f>E103-L103</f>
        <v>-2</v>
      </c>
      <c r="K103" s="8">
        <v>1</v>
      </c>
      <c r="L103" s="7">
        <v>32</v>
      </c>
      <c r="M103" s="6" t="s">
        <v>132</v>
      </c>
      <c r="Q103" s="29">
        <v>1</v>
      </c>
      <c r="R103" s="29">
        <v>30</v>
      </c>
      <c r="S103" s="8">
        <v>1</v>
      </c>
      <c r="T103" s="7">
        <v>32</v>
      </c>
    </row>
    <row r="104" spans="1:20" ht="23.4" x14ac:dyDescent="0.25">
      <c r="A104" s="33" t="s">
        <v>131</v>
      </c>
      <c r="B104" s="11" t="s">
        <v>30</v>
      </c>
      <c r="C104" s="11" t="s">
        <v>31</v>
      </c>
      <c r="D104" s="29">
        <v>1</v>
      </c>
      <c r="E104" s="29">
        <v>30</v>
      </c>
      <c r="F104" s="11">
        <v>45896</v>
      </c>
      <c r="G104" s="10">
        <v>0.375</v>
      </c>
      <c r="H104" s="11">
        <v>45894</v>
      </c>
      <c r="I104" s="10">
        <v>0.9375</v>
      </c>
      <c r="J104" s="9">
        <f>E104-L104</f>
        <v>-2</v>
      </c>
      <c r="K104" s="8">
        <v>1</v>
      </c>
      <c r="L104" s="7">
        <v>32</v>
      </c>
      <c r="M104" s="6" t="s">
        <v>132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33" t="s">
        <v>131</v>
      </c>
      <c r="B105" s="11" t="s">
        <v>21</v>
      </c>
      <c r="C105" s="11" t="s">
        <v>22</v>
      </c>
      <c r="D105" s="29">
        <v>1</v>
      </c>
      <c r="E105" s="29">
        <v>30</v>
      </c>
      <c r="F105" s="11">
        <v>45896</v>
      </c>
      <c r="G105" s="10">
        <v>0.375</v>
      </c>
      <c r="H105" s="11">
        <v>45894</v>
      </c>
      <c r="I105" s="10">
        <v>0.9375</v>
      </c>
      <c r="J105" s="9">
        <f>E105-L105</f>
        <v>-2</v>
      </c>
      <c r="K105" s="8">
        <v>1</v>
      </c>
      <c r="L105" s="7">
        <v>32</v>
      </c>
      <c r="M105" s="6" t="s">
        <v>132</v>
      </c>
      <c r="Q105" s="29">
        <v>1</v>
      </c>
      <c r="R105" s="29">
        <v>30</v>
      </c>
      <c r="S105" s="8">
        <v>1</v>
      </c>
      <c r="T105" s="7">
        <v>32</v>
      </c>
    </row>
    <row r="106" spans="1:20" ht="23.4" x14ac:dyDescent="0.25">
      <c r="A106" s="33" t="s">
        <v>131</v>
      </c>
      <c r="B106" s="11" t="s">
        <v>136</v>
      </c>
      <c r="C106" s="11" t="s">
        <v>34</v>
      </c>
      <c r="D106" s="29">
        <v>1</v>
      </c>
      <c r="E106" s="29">
        <v>30</v>
      </c>
      <c r="F106" s="11">
        <v>45896</v>
      </c>
      <c r="G106" s="10">
        <v>0.375</v>
      </c>
      <c r="H106" s="11">
        <v>45894</v>
      </c>
      <c r="I106" s="10">
        <v>0.9375</v>
      </c>
      <c r="J106" s="9">
        <f>E106-L106</f>
        <v>-2</v>
      </c>
      <c r="K106" s="8">
        <v>1</v>
      </c>
      <c r="L106" s="7">
        <v>32</v>
      </c>
      <c r="M106" s="6" t="s">
        <v>132</v>
      </c>
      <c r="Q106" s="29">
        <v>1</v>
      </c>
      <c r="R106" s="29">
        <v>30</v>
      </c>
      <c r="S106" s="8">
        <v>1</v>
      </c>
      <c r="T106" s="7">
        <v>32</v>
      </c>
    </row>
    <row r="107" spans="1:20" ht="23.4" x14ac:dyDescent="0.25">
      <c r="A107" s="33" t="s">
        <v>131</v>
      </c>
      <c r="B107" s="11" t="s">
        <v>39</v>
      </c>
      <c r="C107" s="11" t="s">
        <v>40</v>
      </c>
      <c r="D107" s="29">
        <v>1</v>
      </c>
      <c r="E107" s="29">
        <v>30</v>
      </c>
      <c r="F107" s="11">
        <v>45896</v>
      </c>
      <c r="G107" s="10">
        <v>0.375</v>
      </c>
      <c r="H107" s="11">
        <v>45894</v>
      </c>
      <c r="I107" s="10">
        <v>0.9375</v>
      </c>
      <c r="J107" s="9">
        <f t="shared" si="2"/>
        <v>-2</v>
      </c>
      <c r="K107" s="8">
        <v>1</v>
      </c>
      <c r="L107" s="7">
        <v>32</v>
      </c>
      <c r="M107" s="6" t="s">
        <v>132</v>
      </c>
      <c r="Q107" s="29">
        <v>1</v>
      </c>
      <c r="R107" s="29">
        <v>30</v>
      </c>
      <c r="S107" s="8">
        <v>1</v>
      </c>
      <c r="T107" s="7">
        <v>32</v>
      </c>
    </row>
    <row r="108" spans="1:20" ht="22.8" x14ac:dyDescent="0.25">
      <c r="A108" s="33" t="s">
        <v>133</v>
      </c>
      <c r="B108" s="11" t="s">
        <v>21</v>
      </c>
      <c r="C108" s="11" t="s">
        <v>22</v>
      </c>
      <c r="D108" s="29">
        <v>3</v>
      </c>
      <c r="E108" s="29">
        <v>20</v>
      </c>
      <c r="F108" s="11">
        <v>45896</v>
      </c>
      <c r="G108" s="10">
        <v>0.375</v>
      </c>
      <c r="H108" s="11">
        <v>45895</v>
      </c>
      <c r="I108" s="10">
        <v>0.58333333333333337</v>
      </c>
      <c r="J108" s="9">
        <f t="shared" si="2"/>
        <v>5</v>
      </c>
      <c r="K108" s="8">
        <v>3</v>
      </c>
      <c r="L108" s="7">
        <v>15</v>
      </c>
      <c r="M108" s="6" t="s">
        <v>134</v>
      </c>
      <c r="Q108" s="29">
        <v>3</v>
      </c>
      <c r="R108" s="29">
        <v>20</v>
      </c>
      <c r="S108" s="8">
        <v>3</v>
      </c>
      <c r="T108" s="7">
        <v>15</v>
      </c>
    </row>
    <row r="109" spans="1:20" ht="22.8" x14ac:dyDescent="0.25">
      <c r="A109" s="43" t="s">
        <v>154</v>
      </c>
      <c r="B109" s="11" t="s">
        <v>30</v>
      </c>
      <c r="C109" s="11" t="s">
        <v>31</v>
      </c>
      <c r="D109" s="29">
        <v>2</v>
      </c>
      <c r="E109" s="29">
        <v>50</v>
      </c>
      <c r="F109" s="11">
        <v>45903</v>
      </c>
      <c r="G109" s="10">
        <v>0.375</v>
      </c>
      <c r="H109" s="11">
        <v>45902</v>
      </c>
      <c r="I109" s="10">
        <v>0.16666666666666666</v>
      </c>
      <c r="J109" s="9">
        <f t="shared" ref="J109:J140" si="3">E109-L109</f>
        <v>0</v>
      </c>
      <c r="K109" s="8">
        <v>1</v>
      </c>
      <c r="L109" s="7">
        <v>50</v>
      </c>
      <c r="M109" s="36" t="s">
        <v>155</v>
      </c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5">
      <c r="A110" s="43" t="s">
        <v>154</v>
      </c>
      <c r="B110" s="11" t="s">
        <v>39</v>
      </c>
      <c r="C110" s="11" t="s">
        <v>40</v>
      </c>
      <c r="D110" s="29">
        <v>2</v>
      </c>
      <c r="E110" s="29">
        <v>50</v>
      </c>
      <c r="F110" s="11">
        <v>45903</v>
      </c>
      <c r="G110" s="10">
        <v>0.375</v>
      </c>
      <c r="H110" s="11">
        <v>45902</v>
      </c>
      <c r="I110" s="10">
        <v>0.16666666666666666</v>
      </c>
      <c r="J110" s="9">
        <f t="shared" si="3"/>
        <v>0</v>
      </c>
      <c r="K110" s="8">
        <v>1</v>
      </c>
      <c r="L110" s="7">
        <v>50</v>
      </c>
      <c r="M110" s="36" t="s">
        <v>155</v>
      </c>
    </row>
    <row r="111" spans="1:20" ht="36.75" customHeight="1" x14ac:dyDescent="0.25">
      <c r="A111" s="43" t="s">
        <v>154</v>
      </c>
      <c r="B111" s="11" t="s">
        <v>21</v>
      </c>
      <c r="C111" s="11" t="s">
        <v>22</v>
      </c>
      <c r="D111" s="29">
        <v>2</v>
      </c>
      <c r="E111" s="29">
        <v>50</v>
      </c>
      <c r="F111" s="11">
        <v>45903</v>
      </c>
      <c r="G111" s="10">
        <v>0.375</v>
      </c>
      <c r="H111" s="11">
        <v>45902</v>
      </c>
      <c r="I111" s="10">
        <v>0.16666666666666666</v>
      </c>
      <c r="J111" s="9">
        <f t="shared" si="3"/>
        <v>0</v>
      </c>
      <c r="K111" s="8">
        <v>1</v>
      </c>
      <c r="L111" s="7">
        <v>50</v>
      </c>
      <c r="M111" s="36" t="s">
        <v>155</v>
      </c>
    </row>
    <row r="112" spans="1:20" ht="33.75" customHeight="1" x14ac:dyDescent="0.25">
      <c r="A112" s="43" t="s">
        <v>154</v>
      </c>
      <c r="B112" s="11" t="s">
        <v>136</v>
      </c>
      <c r="C112" s="11" t="s">
        <v>34</v>
      </c>
      <c r="D112" s="29">
        <v>2</v>
      </c>
      <c r="E112" s="29">
        <v>50</v>
      </c>
      <c r="F112" s="11">
        <v>45903</v>
      </c>
      <c r="G112" s="10">
        <v>0.375</v>
      </c>
      <c r="H112" s="11">
        <v>45902</v>
      </c>
      <c r="I112" s="10">
        <v>0.16666666666666666</v>
      </c>
      <c r="J112" s="9">
        <f t="shared" si="3"/>
        <v>0</v>
      </c>
      <c r="K112" s="8">
        <v>1</v>
      </c>
      <c r="L112" s="7">
        <v>50</v>
      </c>
      <c r="M112" s="36" t="s">
        <v>155</v>
      </c>
    </row>
    <row r="113" spans="1:13" ht="26.25" customHeight="1" x14ac:dyDescent="0.25">
      <c r="A113" s="43" t="s">
        <v>154</v>
      </c>
      <c r="B113" s="11" t="s">
        <v>36</v>
      </c>
      <c r="C113" s="11" t="s">
        <v>37</v>
      </c>
      <c r="D113" s="29">
        <v>2</v>
      </c>
      <c r="E113" s="29">
        <v>50</v>
      </c>
      <c r="F113" s="11">
        <v>45903</v>
      </c>
      <c r="G113" s="10">
        <v>0.375</v>
      </c>
      <c r="H113" s="11">
        <v>45902</v>
      </c>
      <c r="I113" s="10">
        <v>0.16666666666666666</v>
      </c>
      <c r="J113" s="9">
        <f t="shared" si="3"/>
        <v>0</v>
      </c>
      <c r="K113" s="8">
        <v>1</v>
      </c>
      <c r="L113" s="7">
        <v>50</v>
      </c>
      <c r="M113" s="36" t="s">
        <v>155</v>
      </c>
    </row>
    <row r="114" spans="1:13" ht="27.75" customHeight="1" x14ac:dyDescent="0.25">
      <c r="A114" s="43" t="s">
        <v>154</v>
      </c>
      <c r="B114" s="11" t="s">
        <v>42</v>
      </c>
      <c r="C114" s="11" t="s">
        <v>43</v>
      </c>
      <c r="D114" s="29">
        <v>2</v>
      </c>
      <c r="E114" s="29">
        <v>50</v>
      </c>
      <c r="F114" s="11">
        <v>45903</v>
      </c>
      <c r="G114" s="10">
        <v>0.375</v>
      </c>
      <c r="H114" s="11">
        <v>45902</v>
      </c>
      <c r="I114" s="10">
        <v>0.16666666666666666</v>
      </c>
      <c r="J114" s="9">
        <f t="shared" si="3"/>
        <v>0</v>
      </c>
      <c r="K114" s="8">
        <v>1</v>
      </c>
      <c r="L114" s="7">
        <v>50</v>
      </c>
      <c r="M114" s="36" t="s">
        <v>155</v>
      </c>
    </row>
    <row r="115" spans="1:13" ht="40.5" customHeight="1" x14ac:dyDescent="0.25">
      <c r="A115" s="23" t="s">
        <v>144</v>
      </c>
      <c r="B115" s="21" t="s">
        <v>30</v>
      </c>
      <c r="C115" s="21" t="s">
        <v>31</v>
      </c>
      <c r="D115" s="20">
        <v>1</v>
      </c>
      <c r="E115" s="40">
        <v>30</v>
      </c>
      <c r="F115" s="11">
        <v>45903</v>
      </c>
      <c r="G115" s="10">
        <v>0.375</v>
      </c>
      <c r="H115" s="11">
        <v>45899</v>
      </c>
      <c r="I115" s="10">
        <v>0.79166666666666663</v>
      </c>
      <c r="J115" s="9">
        <f t="shared" si="3"/>
        <v>0</v>
      </c>
      <c r="K115" s="8">
        <v>1</v>
      </c>
      <c r="L115" s="7">
        <v>30</v>
      </c>
      <c r="M115" s="6" t="s">
        <v>156</v>
      </c>
    </row>
    <row r="116" spans="1:13" ht="23.4" x14ac:dyDescent="0.25">
      <c r="A116" s="38" t="s">
        <v>123</v>
      </c>
      <c r="B116" s="11" t="s">
        <v>36</v>
      </c>
      <c r="C116" s="11" t="s">
        <v>37</v>
      </c>
      <c r="D116" s="29">
        <v>1</v>
      </c>
      <c r="E116" s="29">
        <v>20</v>
      </c>
      <c r="F116" s="11">
        <v>45903</v>
      </c>
      <c r="G116" s="10">
        <v>0.375</v>
      </c>
      <c r="H116" s="11">
        <v>45902</v>
      </c>
      <c r="I116" s="10">
        <v>0.80555555555555558</v>
      </c>
      <c r="J116" s="9">
        <f t="shared" si="3"/>
        <v>0</v>
      </c>
      <c r="K116" s="8">
        <v>1</v>
      </c>
      <c r="L116" s="7">
        <v>20</v>
      </c>
      <c r="M116" s="36" t="s">
        <v>124</v>
      </c>
    </row>
    <row r="117" spans="1:13" ht="23.4" x14ac:dyDescent="0.25">
      <c r="A117" s="38" t="s">
        <v>123</v>
      </c>
      <c r="B117" s="11" t="s">
        <v>143</v>
      </c>
      <c r="C117" s="11" t="s">
        <v>43</v>
      </c>
      <c r="D117" s="29">
        <v>1</v>
      </c>
      <c r="E117" s="29">
        <v>20</v>
      </c>
      <c r="F117" s="11">
        <v>45903</v>
      </c>
      <c r="G117" s="10">
        <v>0.375</v>
      </c>
      <c r="H117" s="11">
        <v>45902</v>
      </c>
      <c r="I117" s="10">
        <v>0.80555555555555558</v>
      </c>
      <c r="J117" s="9">
        <f t="shared" si="3"/>
        <v>0</v>
      </c>
      <c r="K117" s="8">
        <v>1</v>
      </c>
      <c r="L117" s="7">
        <v>20</v>
      </c>
      <c r="M117" s="36" t="s">
        <v>124</v>
      </c>
    </row>
    <row r="118" spans="1:13" ht="22.8" x14ac:dyDescent="0.25">
      <c r="A118" s="38" t="s">
        <v>157</v>
      </c>
      <c r="B118" s="11" t="s">
        <v>39</v>
      </c>
      <c r="C118" s="11" t="s">
        <v>40</v>
      </c>
      <c r="D118" s="29">
        <v>1</v>
      </c>
      <c r="E118" s="29">
        <v>30</v>
      </c>
      <c r="F118" s="11">
        <v>45903</v>
      </c>
      <c r="G118" s="10">
        <v>0.375</v>
      </c>
      <c r="H118" s="11">
        <v>45902</v>
      </c>
      <c r="I118" s="10">
        <v>0.8125</v>
      </c>
      <c r="J118" s="9">
        <f t="shared" si="3"/>
        <v>2</v>
      </c>
      <c r="K118" s="8">
        <v>2</v>
      </c>
      <c r="L118" s="7">
        <v>28</v>
      </c>
      <c r="M118" s="36" t="s">
        <v>158</v>
      </c>
    </row>
    <row r="119" spans="1:13" ht="39.6" x14ac:dyDescent="0.25">
      <c r="A119" s="49" t="s">
        <v>159</v>
      </c>
      <c r="B119" s="54" t="s">
        <v>21</v>
      </c>
      <c r="C119" s="54" t="s">
        <v>22</v>
      </c>
      <c r="D119" s="55">
        <v>1</v>
      </c>
      <c r="E119" s="55">
        <v>30</v>
      </c>
      <c r="F119" s="54">
        <v>45903</v>
      </c>
      <c r="G119" s="10">
        <v>0.375</v>
      </c>
      <c r="H119" s="54">
        <v>45902</v>
      </c>
      <c r="I119" s="57">
        <v>0.8125</v>
      </c>
      <c r="J119" s="55">
        <f t="shared" si="3"/>
        <v>0</v>
      </c>
      <c r="K119" s="58">
        <v>2</v>
      </c>
      <c r="L119" s="59">
        <v>30</v>
      </c>
      <c r="M119" s="31" t="s">
        <v>160</v>
      </c>
    </row>
    <row r="120" spans="1:13" ht="26.4" x14ac:dyDescent="0.25">
      <c r="A120" s="60" t="s">
        <v>162</v>
      </c>
      <c r="B120" s="56" t="s">
        <v>30</v>
      </c>
      <c r="C120" s="56" t="s">
        <v>31</v>
      </c>
      <c r="D120" s="55">
        <v>1</v>
      </c>
      <c r="E120" s="55">
        <v>30</v>
      </c>
      <c r="F120" s="54">
        <v>45903</v>
      </c>
      <c r="G120" s="10">
        <v>0.375</v>
      </c>
      <c r="H120" s="54">
        <v>45902</v>
      </c>
      <c r="I120" s="57">
        <v>0.8125</v>
      </c>
      <c r="J120" s="55">
        <f t="shared" si="3"/>
        <v>3</v>
      </c>
      <c r="K120" s="58">
        <v>1</v>
      </c>
      <c r="L120" s="59">
        <v>27</v>
      </c>
      <c r="M120" s="31" t="s">
        <v>161</v>
      </c>
    </row>
    <row r="121" spans="1:13" ht="26.4" x14ac:dyDescent="0.25">
      <c r="A121" s="60" t="s">
        <v>163</v>
      </c>
      <c r="B121" s="54" t="s">
        <v>30</v>
      </c>
      <c r="C121" s="54" t="s">
        <v>31</v>
      </c>
      <c r="D121" s="55">
        <v>1</v>
      </c>
      <c r="E121" s="55">
        <v>30</v>
      </c>
      <c r="F121" s="54">
        <v>45903</v>
      </c>
      <c r="G121" s="10">
        <v>0.375</v>
      </c>
      <c r="H121" s="54">
        <v>45902</v>
      </c>
      <c r="I121" s="57">
        <v>0.83333333333333337</v>
      </c>
      <c r="J121" s="55">
        <f t="shared" si="3"/>
        <v>2</v>
      </c>
      <c r="K121" s="58">
        <v>1</v>
      </c>
      <c r="L121" s="59">
        <v>28</v>
      </c>
      <c r="M121" s="52" t="s">
        <v>164</v>
      </c>
    </row>
    <row r="122" spans="1:13" ht="26.4" x14ac:dyDescent="0.25">
      <c r="A122" s="61" t="s">
        <v>165</v>
      </c>
      <c r="B122" s="54" t="s">
        <v>30</v>
      </c>
      <c r="C122" s="54" t="s">
        <v>31</v>
      </c>
      <c r="D122" s="55">
        <v>1</v>
      </c>
      <c r="E122" s="55">
        <v>30</v>
      </c>
      <c r="F122" s="54">
        <v>45903</v>
      </c>
      <c r="G122" s="10">
        <v>0.375</v>
      </c>
      <c r="H122" s="54">
        <v>45902</v>
      </c>
      <c r="I122" s="57">
        <v>0.85416666666666663</v>
      </c>
      <c r="J122" s="55">
        <f t="shared" si="3"/>
        <v>10</v>
      </c>
      <c r="K122" s="58">
        <v>2</v>
      </c>
      <c r="L122" s="59">
        <v>20</v>
      </c>
      <c r="M122" s="31" t="s">
        <v>166</v>
      </c>
    </row>
    <row r="123" spans="1:13" ht="26.4" x14ac:dyDescent="0.25">
      <c r="A123" s="61" t="s">
        <v>167</v>
      </c>
      <c r="B123" s="54" t="s">
        <v>42</v>
      </c>
      <c r="C123" s="54" t="s">
        <v>43</v>
      </c>
      <c r="D123" s="55">
        <v>1</v>
      </c>
      <c r="E123" s="55">
        <v>30</v>
      </c>
      <c r="F123" s="54">
        <v>45903</v>
      </c>
      <c r="G123" s="10">
        <v>0.375</v>
      </c>
      <c r="H123" s="54">
        <v>45900</v>
      </c>
      <c r="I123" s="57">
        <v>0.79166666666666663</v>
      </c>
      <c r="J123" s="55">
        <f t="shared" si="3"/>
        <v>5</v>
      </c>
      <c r="K123" s="58">
        <v>2</v>
      </c>
      <c r="L123" s="59">
        <v>25</v>
      </c>
      <c r="M123" s="31" t="s">
        <v>168</v>
      </c>
    </row>
    <row r="124" spans="1:13" ht="26.4" x14ac:dyDescent="0.25">
      <c r="A124" s="61" t="s">
        <v>169</v>
      </c>
      <c r="B124" s="13" t="s">
        <v>136</v>
      </c>
      <c r="C124" s="13" t="s">
        <v>34</v>
      </c>
      <c r="D124" s="55">
        <v>1</v>
      </c>
      <c r="E124" s="53">
        <v>30</v>
      </c>
      <c r="F124" s="54">
        <v>45903</v>
      </c>
      <c r="G124" s="10">
        <v>0.375</v>
      </c>
      <c r="H124" s="13">
        <v>45900</v>
      </c>
      <c r="I124" s="12">
        <v>0.79166666666666663</v>
      </c>
      <c r="J124" s="53">
        <f t="shared" si="3"/>
        <v>4</v>
      </c>
      <c r="K124" s="50">
        <v>1</v>
      </c>
      <c r="L124" s="51">
        <v>26</v>
      </c>
      <c r="M124" s="52" t="s">
        <v>170</v>
      </c>
    </row>
    <row r="125" spans="1:13" ht="26.4" x14ac:dyDescent="0.25">
      <c r="A125" s="13" t="s">
        <v>171</v>
      </c>
      <c r="B125" s="13" t="s">
        <v>36</v>
      </c>
      <c r="C125" s="13" t="s">
        <v>37</v>
      </c>
      <c r="D125" s="55">
        <v>1</v>
      </c>
      <c r="E125" s="53">
        <v>30</v>
      </c>
      <c r="F125" s="54">
        <v>45903</v>
      </c>
      <c r="G125" s="10">
        <v>0.375</v>
      </c>
      <c r="H125" s="13">
        <v>45899</v>
      </c>
      <c r="I125" s="12">
        <v>0.79166666666666663</v>
      </c>
      <c r="J125" s="53">
        <f t="shared" si="3"/>
        <v>0</v>
      </c>
      <c r="K125" s="50">
        <v>1</v>
      </c>
      <c r="L125" s="51">
        <v>30</v>
      </c>
      <c r="M125" s="52" t="s">
        <v>172</v>
      </c>
    </row>
    <row r="126" spans="1:13" ht="26.4" x14ac:dyDescent="0.25">
      <c r="A126" s="13" t="s">
        <v>174</v>
      </c>
      <c r="B126" s="13" t="s">
        <v>36</v>
      </c>
      <c r="C126" s="13" t="s">
        <v>37</v>
      </c>
      <c r="D126" s="55">
        <v>1</v>
      </c>
      <c r="E126" s="53">
        <v>30</v>
      </c>
      <c r="F126" s="54">
        <v>45903</v>
      </c>
      <c r="G126" s="10">
        <v>0.375</v>
      </c>
      <c r="H126" s="13">
        <v>45899</v>
      </c>
      <c r="I126" s="12">
        <v>0.8125</v>
      </c>
      <c r="J126" s="53">
        <f t="shared" si="3"/>
        <v>2</v>
      </c>
      <c r="K126" s="50">
        <v>1</v>
      </c>
      <c r="L126" s="51">
        <v>28</v>
      </c>
      <c r="M126" s="52" t="s">
        <v>173</v>
      </c>
    </row>
    <row r="127" spans="1:13" ht="26.4" x14ac:dyDescent="0.25">
      <c r="A127" s="13" t="s">
        <v>175</v>
      </c>
      <c r="B127" s="13" t="s">
        <v>36</v>
      </c>
      <c r="C127" s="13" t="s">
        <v>37</v>
      </c>
      <c r="D127" s="55">
        <v>1</v>
      </c>
      <c r="E127" s="53">
        <v>30</v>
      </c>
      <c r="F127" s="54">
        <v>45903</v>
      </c>
      <c r="G127" s="10">
        <v>0.375</v>
      </c>
      <c r="H127" s="13">
        <v>45899</v>
      </c>
      <c r="I127" s="12">
        <v>0.83333333333333337</v>
      </c>
      <c r="J127" s="53">
        <f t="shared" si="3"/>
        <v>6</v>
      </c>
      <c r="K127" s="50">
        <v>1</v>
      </c>
      <c r="L127" s="51">
        <v>24</v>
      </c>
      <c r="M127" s="52" t="s">
        <v>176</v>
      </c>
    </row>
    <row r="128" spans="1:13" ht="26.4" x14ac:dyDescent="0.25">
      <c r="A128" s="13" t="s">
        <v>177</v>
      </c>
      <c r="B128" s="13" t="s">
        <v>39</v>
      </c>
      <c r="C128" s="13" t="s">
        <v>40</v>
      </c>
      <c r="D128" s="55">
        <v>1</v>
      </c>
      <c r="E128" s="53">
        <v>30</v>
      </c>
      <c r="F128" s="54">
        <v>45903</v>
      </c>
      <c r="G128" s="10">
        <v>0.375</v>
      </c>
      <c r="H128" s="13">
        <v>45902</v>
      </c>
      <c r="I128" s="12">
        <v>0.83333333333333337</v>
      </c>
      <c r="J128" s="53">
        <f t="shared" si="3"/>
        <v>0</v>
      </c>
      <c r="K128" s="50">
        <v>1</v>
      </c>
      <c r="L128" s="51">
        <v>30</v>
      </c>
      <c r="M128" s="52" t="s">
        <v>178</v>
      </c>
    </row>
    <row r="129" spans="1:13" ht="39.6" x14ac:dyDescent="0.25">
      <c r="A129" s="61" t="s">
        <v>179</v>
      </c>
      <c r="B129" s="13" t="s">
        <v>39</v>
      </c>
      <c r="C129" s="13" t="s">
        <v>40</v>
      </c>
      <c r="D129" s="55">
        <v>5</v>
      </c>
      <c r="E129" s="53">
        <v>50</v>
      </c>
      <c r="F129" s="54">
        <v>45903</v>
      </c>
      <c r="G129" s="10">
        <v>0.375</v>
      </c>
      <c r="H129" s="13">
        <v>45902</v>
      </c>
      <c r="I129" s="12">
        <v>0.86805555555555558</v>
      </c>
      <c r="J129" s="53">
        <f t="shared" si="3"/>
        <v>5</v>
      </c>
      <c r="K129" s="50">
        <v>5</v>
      </c>
      <c r="L129" s="51">
        <v>45</v>
      </c>
      <c r="M129" s="52" t="s">
        <v>180</v>
      </c>
    </row>
    <row r="130" spans="1:13" ht="26.4" x14ac:dyDescent="0.25">
      <c r="A130" s="13" t="s">
        <v>181</v>
      </c>
      <c r="B130" s="13" t="s">
        <v>136</v>
      </c>
      <c r="C130" s="13" t="s">
        <v>34</v>
      </c>
      <c r="D130" s="55">
        <v>1</v>
      </c>
      <c r="E130" s="53">
        <v>30</v>
      </c>
      <c r="F130" s="54">
        <v>45903</v>
      </c>
      <c r="G130" s="10">
        <v>0.375</v>
      </c>
      <c r="H130" s="13">
        <v>45900</v>
      </c>
      <c r="I130" s="12">
        <v>0.8125</v>
      </c>
      <c r="J130" s="53">
        <f t="shared" si="3"/>
        <v>8</v>
      </c>
      <c r="K130" s="50">
        <v>1</v>
      </c>
      <c r="L130" s="51">
        <v>22</v>
      </c>
      <c r="M130" s="52" t="s">
        <v>184</v>
      </c>
    </row>
    <row r="131" spans="1:13" ht="26.4" x14ac:dyDescent="0.25">
      <c r="A131" s="13" t="s">
        <v>182</v>
      </c>
      <c r="B131" s="13" t="s">
        <v>21</v>
      </c>
      <c r="C131" s="13" t="s">
        <v>22</v>
      </c>
      <c r="D131" s="55">
        <v>1</v>
      </c>
      <c r="E131" s="53">
        <v>30</v>
      </c>
      <c r="F131" s="54">
        <v>45903</v>
      </c>
      <c r="G131" s="10">
        <v>0.375</v>
      </c>
      <c r="H131" s="13">
        <v>45902</v>
      </c>
      <c r="I131" s="12">
        <v>0.83333333333333337</v>
      </c>
      <c r="J131" s="53">
        <f t="shared" si="3"/>
        <v>7</v>
      </c>
      <c r="K131" s="50">
        <v>1</v>
      </c>
      <c r="L131" s="51">
        <v>23</v>
      </c>
      <c r="M131" s="52" t="s">
        <v>183</v>
      </c>
    </row>
    <row r="132" spans="1:13" ht="26.4" x14ac:dyDescent="0.25">
      <c r="A132" s="61" t="s">
        <v>185</v>
      </c>
      <c r="B132" s="13" t="s">
        <v>21</v>
      </c>
      <c r="C132" s="13" t="s">
        <v>22</v>
      </c>
      <c r="D132" s="55">
        <v>1</v>
      </c>
      <c r="E132" s="53">
        <v>40</v>
      </c>
      <c r="F132" s="54">
        <v>45903</v>
      </c>
      <c r="G132" s="10">
        <v>0.375</v>
      </c>
      <c r="H132" s="13">
        <v>45902</v>
      </c>
      <c r="I132" s="12">
        <v>0.86111111111111116</v>
      </c>
      <c r="J132" s="53">
        <f t="shared" si="3"/>
        <v>9</v>
      </c>
      <c r="K132" s="50">
        <v>2</v>
      </c>
      <c r="L132" s="51">
        <v>31</v>
      </c>
      <c r="M132" s="52" t="s">
        <v>186</v>
      </c>
    </row>
    <row r="133" spans="1:13" ht="26.4" x14ac:dyDescent="0.25">
      <c r="A133" s="13" t="s">
        <v>187</v>
      </c>
      <c r="B133" s="13" t="s">
        <v>136</v>
      </c>
      <c r="C133" s="13" t="s">
        <v>34</v>
      </c>
      <c r="D133" s="55">
        <v>1</v>
      </c>
      <c r="E133" s="53">
        <v>25</v>
      </c>
      <c r="F133" s="54">
        <v>45903</v>
      </c>
      <c r="G133" s="10">
        <v>0.375</v>
      </c>
      <c r="H133" s="13">
        <v>45900</v>
      </c>
      <c r="I133" s="12">
        <v>0.82986111111111116</v>
      </c>
      <c r="J133" s="53">
        <f t="shared" si="3"/>
        <v>5</v>
      </c>
      <c r="K133" s="50">
        <v>2</v>
      </c>
      <c r="L133" s="51">
        <v>20</v>
      </c>
      <c r="M133" s="52" t="s">
        <v>188</v>
      </c>
    </row>
    <row r="134" spans="1:13" ht="26.4" x14ac:dyDescent="0.25">
      <c r="A134" s="61" t="s">
        <v>88</v>
      </c>
      <c r="B134" s="13" t="s">
        <v>42</v>
      </c>
      <c r="C134" s="13" t="s">
        <v>43</v>
      </c>
      <c r="D134" s="55">
        <v>1</v>
      </c>
      <c r="E134" s="53">
        <v>20</v>
      </c>
      <c r="F134" s="54">
        <v>45903</v>
      </c>
      <c r="G134" s="10">
        <v>0.375</v>
      </c>
      <c r="H134" s="13">
        <v>45900</v>
      </c>
      <c r="I134" s="12">
        <v>0.80555555555555558</v>
      </c>
      <c r="J134" s="53">
        <f t="shared" si="3"/>
        <v>0</v>
      </c>
      <c r="K134" s="50">
        <v>1</v>
      </c>
      <c r="L134" s="51">
        <v>20</v>
      </c>
      <c r="M134" s="52" t="s">
        <v>189</v>
      </c>
    </row>
    <row r="135" spans="1:13" ht="26.4" x14ac:dyDescent="0.25">
      <c r="A135" s="13" t="s">
        <v>190</v>
      </c>
      <c r="B135" s="13" t="s">
        <v>42</v>
      </c>
      <c r="C135" s="13" t="s">
        <v>43</v>
      </c>
      <c r="D135" s="55">
        <v>1</v>
      </c>
      <c r="E135" s="53">
        <v>20</v>
      </c>
      <c r="F135" s="54">
        <v>45903</v>
      </c>
      <c r="G135" s="10">
        <v>0.375</v>
      </c>
      <c r="H135" s="13">
        <v>45900</v>
      </c>
      <c r="I135" s="12">
        <v>0.81944444444444442</v>
      </c>
      <c r="J135" s="53">
        <f t="shared" si="3"/>
        <v>0</v>
      </c>
      <c r="K135" s="50">
        <v>1</v>
      </c>
      <c r="L135" s="51">
        <v>20</v>
      </c>
      <c r="M135" s="52" t="s">
        <v>191</v>
      </c>
    </row>
    <row r="136" spans="1:13" ht="26.4" x14ac:dyDescent="0.25">
      <c r="A136" s="13" t="s">
        <v>193</v>
      </c>
      <c r="B136" s="13" t="s">
        <v>30</v>
      </c>
      <c r="C136" s="13" t="s">
        <v>31</v>
      </c>
      <c r="D136" s="55">
        <v>1</v>
      </c>
      <c r="E136" s="53">
        <v>30</v>
      </c>
      <c r="F136" s="54">
        <v>45903</v>
      </c>
      <c r="G136" s="10">
        <v>0.375</v>
      </c>
      <c r="H136" s="13">
        <v>45902</v>
      </c>
      <c r="I136" s="12">
        <v>0.875</v>
      </c>
      <c r="J136" s="53">
        <f t="shared" si="3"/>
        <v>5</v>
      </c>
      <c r="K136" s="50">
        <v>1</v>
      </c>
      <c r="L136" s="51">
        <v>25</v>
      </c>
      <c r="M136" s="52" t="s">
        <v>192</v>
      </c>
    </row>
    <row r="137" spans="1:13" ht="26.4" x14ac:dyDescent="0.25">
      <c r="A137" s="13" t="s">
        <v>194</v>
      </c>
      <c r="B137" s="13" t="s">
        <v>42</v>
      </c>
      <c r="C137" s="13" t="s">
        <v>43</v>
      </c>
      <c r="D137" s="55">
        <v>1</v>
      </c>
      <c r="E137" s="53">
        <v>30</v>
      </c>
      <c r="F137" s="54">
        <v>45903</v>
      </c>
      <c r="G137" s="10">
        <v>0.375</v>
      </c>
      <c r="H137" s="13">
        <v>45900</v>
      </c>
      <c r="I137" s="12">
        <v>0.84027777777777779</v>
      </c>
      <c r="J137" s="53">
        <f t="shared" si="3"/>
        <v>0</v>
      </c>
      <c r="K137" s="50">
        <v>1</v>
      </c>
      <c r="L137" s="51">
        <v>30</v>
      </c>
      <c r="M137" s="52" t="s">
        <v>195</v>
      </c>
    </row>
    <row r="138" spans="1:13" ht="26.4" x14ac:dyDescent="0.25">
      <c r="A138" s="13" t="s">
        <v>198</v>
      </c>
      <c r="B138" s="13" t="s">
        <v>36</v>
      </c>
      <c r="C138" s="13" t="s">
        <v>37</v>
      </c>
      <c r="D138" s="55">
        <v>1</v>
      </c>
      <c r="E138" s="53">
        <v>30</v>
      </c>
      <c r="F138" s="54">
        <v>45903</v>
      </c>
      <c r="G138" s="10">
        <v>0.375</v>
      </c>
      <c r="H138" s="13">
        <v>45899</v>
      </c>
      <c r="I138" s="12">
        <v>0.85416666666666663</v>
      </c>
      <c r="J138" s="53">
        <f t="shared" si="3"/>
        <v>5</v>
      </c>
      <c r="K138" s="50">
        <v>1</v>
      </c>
      <c r="L138" s="51">
        <v>25</v>
      </c>
      <c r="M138" s="52" t="s">
        <v>196</v>
      </c>
    </row>
    <row r="139" spans="1:13" ht="26.4" x14ac:dyDescent="0.25">
      <c r="A139" s="13" t="s">
        <v>197</v>
      </c>
      <c r="B139" s="13" t="s">
        <v>21</v>
      </c>
      <c r="C139" s="13" t="s">
        <v>22</v>
      </c>
      <c r="D139" s="55">
        <v>1</v>
      </c>
      <c r="E139" s="53">
        <v>30</v>
      </c>
      <c r="F139" s="54">
        <v>45903</v>
      </c>
      <c r="G139" s="10">
        <v>0.375</v>
      </c>
      <c r="H139" s="13">
        <v>45902</v>
      </c>
      <c r="I139" s="12">
        <v>0.88194444444444442</v>
      </c>
      <c r="J139" s="53">
        <f t="shared" si="3"/>
        <v>6</v>
      </c>
      <c r="K139" s="50">
        <v>1</v>
      </c>
      <c r="L139" s="51">
        <v>24</v>
      </c>
      <c r="M139" s="52" t="s">
        <v>199</v>
      </c>
    </row>
    <row r="140" spans="1:13" ht="26.4" x14ac:dyDescent="0.25">
      <c r="A140" s="13" t="s">
        <v>200</v>
      </c>
      <c r="B140" s="13" t="s">
        <v>136</v>
      </c>
      <c r="C140" s="13" t="s">
        <v>34</v>
      </c>
      <c r="D140" s="55">
        <v>1</v>
      </c>
      <c r="E140" s="53">
        <v>30</v>
      </c>
      <c r="F140" s="54">
        <v>45903</v>
      </c>
      <c r="G140" s="10">
        <v>0.375</v>
      </c>
      <c r="H140" s="13">
        <v>45900</v>
      </c>
      <c r="I140" s="12">
        <v>0.85069444444444442</v>
      </c>
      <c r="J140" s="53">
        <f t="shared" si="3"/>
        <v>7</v>
      </c>
      <c r="K140" s="50">
        <v>1</v>
      </c>
      <c r="L140" s="51">
        <v>23</v>
      </c>
      <c r="M140" s="52" t="s">
        <v>201</v>
      </c>
    </row>
    <row r="141" spans="1:13" ht="26.4" x14ac:dyDescent="0.25">
      <c r="A141" s="13" t="s">
        <v>202</v>
      </c>
      <c r="B141" s="13" t="s">
        <v>39</v>
      </c>
      <c r="C141" s="13" t="s">
        <v>40</v>
      </c>
      <c r="D141" s="55">
        <v>1</v>
      </c>
      <c r="E141" s="53">
        <v>30</v>
      </c>
      <c r="F141" s="54">
        <v>45903</v>
      </c>
      <c r="G141" s="10">
        <v>0.375</v>
      </c>
      <c r="H141" s="13">
        <v>45902</v>
      </c>
      <c r="I141" s="12">
        <v>0.88888888888888884</v>
      </c>
      <c r="J141" s="53">
        <f t="shared" ref="J141:J161" si="4">E141-L141</f>
        <v>4</v>
      </c>
      <c r="K141" s="50">
        <v>1</v>
      </c>
      <c r="L141" s="51">
        <v>26</v>
      </c>
      <c r="M141" s="52" t="s">
        <v>203</v>
      </c>
    </row>
    <row r="142" spans="1:13" ht="26.4" x14ac:dyDescent="0.25">
      <c r="A142" s="13" t="s">
        <v>204</v>
      </c>
      <c r="B142" s="13" t="s">
        <v>39</v>
      </c>
      <c r="C142" s="13" t="s">
        <v>40</v>
      </c>
      <c r="D142" s="55">
        <v>1</v>
      </c>
      <c r="E142" s="53">
        <v>60</v>
      </c>
      <c r="F142" s="54">
        <v>45903</v>
      </c>
      <c r="G142" s="10">
        <v>0.375</v>
      </c>
      <c r="H142" s="13">
        <v>45902</v>
      </c>
      <c r="I142" s="12">
        <v>0.93055555555555558</v>
      </c>
      <c r="J142" s="53">
        <f t="shared" si="4"/>
        <v>-2</v>
      </c>
      <c r="K142" s="50">
        <v>1</v>
      </c>
      <c r="L142" s="51">
        <v>62</v>
      </c>
      <c r="M142" s="52" t="s">
        <v>205</v>
      </c>
    </row>
    <row r="143" spans="1:13" ht="22.8" x14ac:dyDescent="0.25">
      <c r="A143" s="23" t="s">
        <v>146</v>
      </c>
      <c r="B143" s="11" t="s">
        <v>30</v>
      </c>
      <c r="C143" s="11" t="s">
        <v>83</v>
      </c>
      <c r="D143" s="20">
        <v>1</v>
      </c>
      <c r="E143" s="29">
        <v>60</v>
      </c>
      <c r="F143" s="11">
        <v>45903</v>
      </c>
      <c r="G143" s="10">
        <v>0.375</v>
      </c>
      <c r="H143" s="11">
        <v>45902</v>
      </c>
      <c r="I143" s="10">
        <v>0.91666666666666663</v>
      </c>
      <c r="J143" s="9">
        <f t="shared" si="4"/>
        <v>50</v>
      </c>
      <c r="K143" s="8">
        <v>1</v>
      </c>
      <c r="L143" s="7">
        <v>10</v>
      </c>
      <c r="M143" s="6" t="s">
        <v>149</v>
      </c>
    </row>
    <row r="144" spans="1:13" ht="22.8" x14ac:dyDescent="0.25">
      <c r="A144" s="23" t="s">
        <v>146</v>
      </c>
      <c r="B144" s="11" t="s">
        <v>42</v>
      </c>
      <c r="C144" s="11" t="s">
        <v>77</v>
      </c>
      <c r="D144" s="20">
        <v>1</v>
      </c>
      <c r="E144" s="29">
        <v>60</v>
      </c>
      <c r="F144" s="11">
        <v>45903</v>
      </c>
      <c r="G144" s="10">
        <v>0.375</v>
      </c>
      <c r="H144" s="11">
        <v>45902</v>
      </c>
      <c r="I144" s="10">
        <v>0.91666666666666663</v>
      </c>
      <c r="J144" s="9">
        <f t="shared" si="4"/>
        <v>50</v>
      </c>
      <c r="K144" s="8">
        <v>1</v>
      </c>
      <c r="L144" s="7">
        <v>10</v>
      </c>
      <c r="M144" s="6" t="s">
        <v>149</v>
      </c>
    </row>
    <row r="145" spans="1:13" ht="22.8" x14ac:dyDescent="0.25">
      <c r="A145" s="23" t="s">
        <v>146</v>
      </c>
      <c r="B145" s="11" t="s">
        <v>21</v>
      </c>
      <c r="C145" s="11" t="s">
        <v>86</v>
      </c>
      <c r="D145" s="20">
        <v>1</v>
      </c>
      <c r="E145" s="29">
        <v>60</v>
      </c>
      <c r="F145" s="11">
        <v>45903</v>
      </c>
      <c r="G145" s="10">
        <v>0.375</v>
      </c>
      <c r="H145" s="11">
        <v>45902</v>
      </c>
      <c r="I145" s="10">
        <v>0.91666666666666663</v>
      </c>
      <c r="J145" s="9">
        <f t="shared" si="4"/>
        <v>50</v>
      </c>
      <c r="K145" s="8">
        <v>1</v>
      </c>
      <c r="L145" s="7">
        <v>10</v>
      </c>
      <c r="M145" s="6" t="s">
        <v>149</v>
      </c>
    </row>
    <row r="146" spans="1:13" ht="22.8" x14ac:dyDescent="0.25">
      <c r="A146" s="23" t="s">
        <v>146</v>
      </c>
      <c r="B146" s="11" t="s">
        <v>136</v>
      </c>
      <c r="C146" s="11" t="s">
        <v>151</v>
      </c>
      <c r="D146" s="20">
        <v>1</v>
      </c>
      <c r="E146" s="29">
        <v>60</v>
      </c>
      <c r="F146" s="11">
        <v>45903</v>
      </c>
      <c r="G146" s="10">
        <v>0.375</v>
      </c>
      <c r="H146" s="11">
        <v>45902</v>
      </c>
      <c r="I146" s="10">
        <v>0.91666666666666663</v>
      </c>
      <c r="J146" s="9">
        <f t="shared" si="4"/>
        <v>50</v>
      </c>
      <c r="K146" s="8">
        <v>1</v>
      </c>
      <c r="L146" s="7">
        <v>10</v>
      </c>
      <c r="M146" s="6" t="s">
        <v>149</v>
      </c>
    </row>
    <row r="147" spans="1:13" ht="22.8" x14ac:dyDescent="0.25">
      <c r="A147" s="23" t="s">
        <v>146</v>
      </c>
      <c r="B147" s="11" t="s">
        <v>36</v>
      </c>
      <c r="C147" s="11" t="s">
        <v>80</v>
      </c>
      <c r="D147" s="20">
        <v>1</v>
      </c>
      <c r="E147" s="29">
        <v>60</v>
      </c>
      <c r="F147" s="11">
        <v>45903</v>
      </c>
      <c r="G147" s="10">
        <v>0.375</v>
      </c>
      <c r="H147" s="11">
        <v>45902</v>
      </c>
      <c r="I147" s="10">
        <v>0.91666666666666663</v>
      </c>
      <c r="J147" s="9">
        <f t="shared" si="4"/>
        <v>50</v>
      </c>
      <c r="K147" s="8">
        <v>1</v>
      </c>
      <c r="L147" s="7">
        <v>10</v>
      </c>
      <c r="M147" s="6" t="s">
        <v>149</v>
      </c>
    </row>
    <row r="148" spans="1:13" ht="22.8" x14ac:dyDescent="0.25">
      <c r="A148" s="23" t="s">
        <v>146</v>
      </c>
      <c r="B148" s="11" t="s">
        <v>39</v>
      </c>
      <c r="C148" s="11" t="s">
        <v>150</v>
      </c>
      <c r="D148" s="20">
        <v>1</v>
      </c>
      <c r="E148" s="29">
        <v>60</v>
      </c>
      <c r="F148" s="11">
        <v>45903</v>
      </c>
      <c r="G148" s="10">
        <v>0.375</v>
      </c>
      <c r="H148" s="11">
        <v>45902</v>
      </c>
      <c r="I148" s="10">
        <v>0.91666666666666663</v>
      </c>
      <c r="J148" s="9">
        <f t="shared" si="4"/>
        <v>50</v>
      </c>
      <c r="K148" s="8">
        <v>1</v>
      </c>
      <c r="L148" s="7">
        <v>10</v>
      </c>
      <c r="M148" s="6" t="s">
        <v>149</v>
      </c>
    </row>
    <row r="149" spans="1:13" x14ac:dyDescent="0.25">
      <c r="A149" s="23" t="s">
        <v>52</v>
      </c>
      <c r="B149" s="21" t="s">
        <v>21</v>
      </c>
      <c r="C149" s="63" t="s">
        <v>22</v>
      </c>
      <c r="D149" s="20">
        <v>1</v>
      </c>
      <c r="E149" s="29">
        <v>30</v>
      </c>
      <c r="F149" s="11">
        <v>45903</v>
      </c>
      <c r="G149" s="10">
        <v>0.375</v>
      </c>
      <c r="H149" s="11">
        <v>45902</v>
      </c>
      <c r="I149" s="10">
        <v>0.91666666666666663</v>
      </c>
      <c r="J149" s="9">
        <f t="shared" si="4"/>
        <v>0</v>
      </c>
      <c r="K149" s="8">
        <v>1</v>
      </c>
      <c r="L149" s="7">
        <v>30</v>
      </c>
      <c r="M149" s="6" t="s">
        <v>53</v>
      </c>
    </row>
    <row r="150" spans="1:13" x14ac:dyDescent="0.25">
      <c r="A150" s="23" t="s">
        <v>153</v>
      </c>
      <c r="B150" s="21" t="s">
        <v>36</v>
      </c>
      <c r="C150" s="63" t="s">
        <v>37</v>
      </c>
      <c r="D150" s="20">
        <v>1</v>
      </c>
      <c r="E150" s="5">
        <v>30</v>
      </c>
      <c r="F150" s="11">
        <v>45903</v>
      </c>
      <c r="G150" s="10">
        <v>0.375</v>
      </c>
      <c r="H150" s="11">
        <v>45902</v>
      </c>
      <c r="I150" s="10">
        <v>0.91666666666666663</v>
      </c>
      <c r="J150" s="9">
        <f t="shared" si="4"/>
        <v>0</v>
      </c>
      <c r="K150" s="8">
        <v>1</v>
      </c>
      <c r="L150" s="7">
        <v>30</v>
      </c>
      <c r="M150" s="6" t="s">
        <v>53</v>
      </c>
    </row>
    <row r="151" spans="1:13" ht="22.8" x14ac:dyDescent="0.25">
      <c r="A151" s="23" t="s">
        <v>79</v>
      </c>
      <c r="B151" s="11" t="s">
        <v>36</v>
      </c>
      <c r="C151" s="62" t="s">
        <v>37</v>
      </c>
      <c r="D151" s="20">
        <v>1</v>
      </c>
      <c r="E151" s="29">
        <v>45</v>
      </c>
      <c r="F151" s="11">
        <v>45903</v>
      </c>
      <c r="G151" s="10">
        <v>0.375</v>
      </c>
      <c r="H151" s="11">
        <v>45902</v>
      </c>
      <c r="I151" s="10">
        <v>0.9375</v>
      </c>
      <c r="J151" s="9">
        <f t="shared" si="4"/>
        <v>-35</v>
      </c>
      <c r="K151" s="8">
        <v>1</v>
      </c>
      <c r="L151" s="7">
        <v>80</v>
      </c>
      <c r="M151" s="6" t="s">
        <v>81</v>
      </c>
    </row>
    <row r="152" spans="1:13" x14ac:dyDescent="0.25">
      <c r="A152" s="23" t="s">
        <v>85</v>
      </c>
      <c r="B152" s="11" t="s">
        <v>21</v>
      </c>
      <c r="C152" s="62" t="s">
        <v>22</v>
      </c>
      <c r="D152" s="20">
        <v>1</v>
      </c>
      <c r="E152" s="29">
        <v>60</v>
      </c>
      <c r="F152" s="11">
        <v>45903</v>
      </c>
      <c r="G152" s="10">
        <v>0.375</v>
      </c>
      <c r="H152" s="11">
        <v>45902</v>
      </c>
      <c r="I152" s="10">
        <v>0.9375</v>
      </c>
      <c r="J152" s="9">
        <f t="shared" si="4"/>
        <v>10</v>
      </c>
      <c r="K152" s="8">
        <v>1</v>
      </c>
      <c r="L152" s="7">
        <v>50</v>
      </c>
      <c r="M152" s="6" t="s">
        <v>87</v>
      </c>
    </row>
    <row r="153" spans="1:13" x14ac:dyDescent="0.25">
      <c r="A153" s="23" t="s">
        <v>88</v>
      </c>
      <c r="B153" s="11" t="s">
        <v>21</v>
      </c>
      <c r="C153" s="11" t="s">
        <v>22</v>
      </c>
      <c r="D153" s="20">
        <v>1</v>
      </c>
      <c r="E153" s="29">
        <v>55</v>
      </c>
      <c r="F153" s="11">
        <v>45903</v>
      </c>
      <c r="G153" s="10">
        <v>0.375</v>
      </c>
      <c r="H153" s="11">
        <v>45902</v>
      </c>
      <c r="I153" s="10">
        <v>0.9375</v>
      </c>
      <c r="J153" s="9">
        <f t="shared" si="4"/>
        <v>0</v>
      </c>
      <c r="K153" s="8">
        <v>1</v>
      </c>
      <c r="L153" s="7">
        <v>55</v>
      </c>
      <c r="M153" s="6" t="s">
        <v>89</v>
      </c>
    </row>
    <row r="154" spans="1:13" ht="23.4" x14ac:dyDescent="0.25">
      <c r="A154" s="33" t="s">
        <v>131</v>
      </c>
      <c r="B154" s="11" t="s">
        <v>36</v>
      </c>
      <c r="C154" s="11" t="s">
        <v>37</v>
      </c>
      <c r="D154" s="29">
        <v>1</v>
      </c>
      <c r="E154" s="29">
        <v>30</v>
      </c>
      <c r="F154" s="11">
        <v>45903</v>
      </c>
      <c r="G154" s="10">
        <v>0.375</v>
      </c>
      <c r="H154" s="11">
        <v>45902</v>
      </c>
      <c r="I154" s="10">
        <v>0.9375</v>
      </c>
      <c r="J154" s="9">
        <f t="shared" si="4"/>
        <v>-2</v>
      </c>
      <c r="K154" s="8">
        <v>1</v>
      </c>
      <c r="L154" s="7">
        <v>32</v>
      </c>
      <c r="M154" s="6" t="s">
        <v>132</v>
      </c>
    </row>
    <row r="155" spans="1:13" ht="23.4" x14ac:dyDescent="0.25">
      <c r="A155" s="33" t="s">
        <v>131</v>
      </c>
      <c r="B155" s="11" t="s">
        <v>42</v>
      </c>
      <c r="C155" s="11" t="s">
        <v>43</v>
      </c>
      <c r="D155" s="29">
        <v>1</v>
      </c>
      <c r="E155" s="29">
        <v>30</v>
      </c>
      <c r="F155" s="11">
        <v>45903</v>
      </c>
      <c r="G155" s="10">
        <v>0.375</v>
      </c>
      <c r="H155" s="11">
        <v>45902</v>
      </c>
      <c r="I155" s="10">
        <v>0.9375</v>
      </c>
      <c r="J155" s="9">
        <f t="shared" si="4"/>
        <v>-2</v>
      </c>
      <c r="K155" s="8">
        <v>1</v>
      </c>
      <c r="L155" s="7">
        <v>32</v>
      </c>
      <c r="M155" s="6" t="s">
        <v>132</v>
      </c>
    </row>
    <row r="156" spans="1:13" ht="23.4" x14ac:dyDescent="0.25">
      <c r="A156" s="33" t="s">
        <v>131</v>
      </c>
      <c r="B156" s="11" t="s">
        <v>30</v>
      </c>
      <c r="C156" s="11" t="s">
        <v>31</v>
      </c>
      <c r="D156" s="29">
        <v>1</v>
      </c>
      <c r="E156" s="29">
        <v>30</v>
      </c>
      <c r="F156" s="11">
        <v>45903</v>
      </c>
      <c r="G156" s="10">
        <v>0.375</v>
      </c>
      <c r="H156" s="11">
        <v>45902</v>
      </c>
      <c r="I156" s="10">
        <v>0.9375</v>
      </c>
      <c r="J156" s="9">
        <f t="shared" si="4"/>
        <v>-2</v>
      </c>
      <c r="K156" s="8">
        <v>1</v>
      </c>
      <c r="L156" s="7">
        <v>32</v>
      </c>
      <c r="M156" s="6" t="s">
        <v>132</v>
      </c>
    </row>
    <row r="157" spans="1:13" ht="23.4" x14ac:dyDescent="0.25">
      <c r="A157" s="33" t="s">
        <v>131</v>
      </c>
      <c r="B157" s="11" t="s">
        <v>21</v>
      </c>
      <c r="C157" s="11" t="s">
        <v>22</v>
      </c>
      <c r="D157" s="29">
        <v>1</v>
      </c>
      <c r="E157" s="29">
        <v>30</v>
      </c>
      <c r="F157" s="11">
        <v>45903</v>
      </c>
      <c r="G157" s="10">
        <v>0.375</v>
      </c>
      <c r="H157" s="11">
        <v>45902</v>
      </c>
      <c r="I157" s="10">
        <v>0.9375</v>
      </c>
      <c r="J157" s="9">
        <f t="shared" si="4"/>
        <v>-2</v>
      </c>
      <c r="K157" s="8">
        <v>1</v>
      </c>
      <c r="L157" s="7">
        <v>32</v>
      </c>
      <c r="M157" s="6" t="s">
        <v>132</v>
      </c>
    </row>
    <row r="158" spans="1:13" ht="23.4" x14ac:dyDescent="0.25">
      <c r="A158" s="33" t="s">
        <v>131</v>
      </c>
      <c r="B158" s="11" t="s">
        <v>136</v>
      </c>
      <c r="C158" s="11" t="s">
        <v>34</v>
      </c>
      <c r="D158" s="29">
        <v>1</v>
      </c>
      <c r="E158" s="29">
        <v>30</v>
      </c>
      <c r="F158" s="11">
        <v>45903</v>
      </c>
      <c r="G158" s="10">
        <v>0.375</v>
      </c>
      <c r="H158" s="11">
        <v>45902</v>
      </c>
      <c r="I158" s="10">
        <v>0.9375</v>
      </c>
      <c r="J158" s="9">
        <f t="shared" si="4"/>
        <v>-2</v>
      </c>
      <c r="K158" s="8">
        <v>1</v>
      </c>
      <c r="L158" s="7">
        <v>32</v>
      </c>
      <c r="M158" s="6" t="s">
        <v>132</v>
      </c>
    </row>
    <row r="159" spans="1:13" ht="23.4" x14ac:dyDescent="0.25">
      <c r="A159" s="33" t="s">
        <v>131</v>
      </c>
      <c r="B159" s="11" t="s">
        <v>39</v>
      </c>
      <c r="C159" s="11" t="s">
        <v>40</v>
      </c>
      <c r="D159" s="29">
        <v>1</v>
      </c>
      <c r="E159" s="29">
        <v>30</v>
      </c>
      <c r="F159" s="11">
        <v>45903</v>
      </c>
      <c r="G159" s="10">
        <v>0.375</v>
      </c>
      <c r="H159" s="11">
        <v>45902</v>
      </c>
      <c r="I159" s="10">
        <v>0.9375</v>
      </c>
      <c r="J159" s="9">
        <f t="shared" si="4"/>
        <v>-2</v>
      </c>
      <c r="K159" s="8">
        <v>1</v>
      </c>
      <c r="L159" s="7">
        <v>32</v>
      </c>
      <c r="M159" s="6" t="s">
        <v>132</v>
      </c>
    </row>
    <row r="160" spans="1:13" ht="22.8" x14ac:dyDescent="0.25">
      <c r="A160" s="33" t="s">
        <v>133</v>
      </c>
      <c r="B160" s="11" t="s">
        <v>21</v>
      </c>
      <c r="C160" s="11" t="s">
        <v>22</v>
      </c>
      <c r="D160" s="29">
        <v>3</v>
      </c>
      <c r="E160" s="29">
        <v>20</v>
      </c>
      <c r="F160" s="11">
        <v>45903</v>
      </c>
      <c r="G160" s="10">
        <v>0.375</v>
      </c>
      <c r="H160" s="11">
        <v>45902</v>
      </c>
      <c r="I160" s="10">
        <v>0.58333333333333337</v>
      </c>
      <c r="J160" s="9">
        <f t="shared" si="4"/>
        <v>5</v>
      </c>
      <c r="K160" s="8">
        <v>3</v>
      </c>
      <c r="L160" s="7">
        <v>15</v>
      </c>
      <c r="M160" s="6" t="s">
        <v>134</v>
      </c>
    </row>
    <row r="161" spans="1:13" ht="34.799999999999997" x14ac:dyDescent="0.25">
      <c r="A161" s="94" t="s">
        <v>144</v>
      </c>
      <c r="B161" s="89" t="s">
        <v>30</v>
      </c>
      <c r="C161" s="90" t="s">
        <v>31</v>
      </c>
      <c r="D161" s="84">
        <v>1</v>
      </c>
      <c r="E161" s="8">
        <v>30</v>
      </c>
      <c r="F161" s="85">
        <v>45909</v>
      </c>
      <c r="G161" s="86">
        <v>0.375</v>
      </c>
      <c r="H161" s="85">
        <v>45905</v>
      </c>
      <c r="I161" s="86">
        <v>0.45833333333333331</v>
      </c>
      <c r="J161" s="87">
        <f t="shared" si="4"/>
        <v>0</v>
      </c>
      <c r="K161" s="8">
        <v>1</v>
      </c>
      <c r="L161" s="88">
        <v>30</v>
      </c>
      <c r="M161" s="91" t="s">
        <v>156</v>
      </c>
    </row>
    <row r="162" spans="1:13" ht="23.4" x14ac:dyDescent="0.25">
      <c r="A162" s="23" t="s">
        <v>216</v>
      </c>
      <c r="B162" s="85" t="s">
        <v>36</v>
      </c>
      <c r="C162" s="85" t="s">
        <v>37</v>
      </c>
      <c r="D162" s="84">
        <v>1</v>
      </c>
      <c r="E162" s="49">
        <v>30</v>
      </c>
      <c r="F162" s="85">
        <v>45909</v>
      </c>
      <c r="G162" s="86">
        <v>0.375</v>
      </c>
      <c r="H162" s="85">
        <v>45905</v>
      </c>
      <c r="I162" s="86">
        <v>0.79166666666666663</v>
      </c>
      <c r="J162" s="87">
        <f>E162-L162</f>
        <v>0</v>
      </c>
      <c r="K162" s="8">
        <v>1</v>
      </c>
      <c r="L162" s="88">
        <v>30</v>
      </c>
      <c r="M162" s="91" t="s">
        <v>75</v>
      </c>
    </row>
    <row r="163" spans="1:13" ht="26.4" x14ac:dyDescent="0.25">
      <c r="A163" s="53" t="s">
        <v>252</v>
      </c>
      <c r="B163" s="53" t="s">
        <v>36</v>
      </c>
      <c r="C163" s="53" t="s">
        <v>37</v>
      </c>
      <c r="D163" s="53">
        <v>2</v>
      </c>
      <c r="E163" s="53">
        <v>30</v>
      </c>
      <c r="F163" s="80">
        <v>45909</v>
      </c>
      <c r="G163" s="81">
        <v>0.375</v>
      </c>
      <c r="H163" s="80">
        <v>45907</v>
      </c>
      <c r="I163" s="81">
        <v>0.52083333333333337</v>
      </c>
      <c r="J163" s="87">
        <f>E163-L163</f>
        <v>0</v>
      </c>
      <c r="K163" s="53">
        <v>2</v>
      </c>
      <c r="L163" s="53">
        <v>30</v>
      </c>
      <c r="M163" s="79" t="s">
        <v>253</v>
      </c>
    </row>
    <row r="164" spans="1:13" ht="26.4" x14ac:dyDescent="0.25">
      <c r="A164" s="53" t="s">
        <v>252</v>
      </c>
      <c r="B164" s="53" t="s">
        <v>42</v>
      </c>
      <c r="C164" s="53" t="s">
        <v>43</v>
      </c>
      <c r="D164" s="53">
        <v>2</v>
      </c>
      <c r="E164" s="53">
        <v>30</v>
      </c>
      <c r="F164" s="80">
        <v>45909</v>
      </c>
      <c r="G164" s="81">
        <v>0.375</v>
      </c>
      <c r="H164" s="80">
        <v>45907</v>
      </c>
      <c r="I164" s="81">
        <v>0.54166666666666663</v>
      </c>
      <c r="J164" s="87">
        <f t="shared" ref="J164:J227" si="5">E164-L164</f>
        <v>0</v>
      </c>
      <c r="K164" s="53">
        <v>2</v>
      </c>
      <c r="L164" s="53">
        <v>30</v>
      </c>
      <c r="M164" s="79" t="s">
        <v>253</v>
      </c>
    </row>
    <row r="165" spans="1:13" ht="26.4" x14ac:dyDescent="0.25">
      <c r="A165" s="53" t="s">
        <v>254</v>
      </c>
      <c r="B165" s="53" t="s">
        <v>36</v>
      </c>
      <c r="C165" s="53" t="s">
        <v>37</v>
      </c>
      <c r="D165" s="53">
        <v>1</v>
      </c>
      <c r="E165" s="53">
        <v>30</v>
      </c>
      <c r="F165" s="80">
        <v>45909</v>
      </c>
      <c r="G165" s="81">
        <v>0.375</v>
      </c>
      <c r="H165" s="80">
        <v>45907</v>
      </c>
      <c r="I165" s="81">
        <v>0.5625</v>
      </c>
      <c r="J165" s="87">
        <f t="shared" si="5"/>
        <v>0</v>
      </c>
      <c r="K165" s="53">
        <v>1</v>
      </c>
      <c r="L165" s="53">
        <v>30</v>
      </c>
      <c r="M165" s="79" t="s">
        <v>255</v>
      </c>
    </row>
    <row r="166" spans="1:13" ht="26.4" x14ac:dyDescent="0.25">
      <c r="A166" s="79" t="s">
        <v>254</v>
      </c>
      <c r="B166" s="53" t="s">
        <v>42</v>
      </c>
      <c r="C166" s="53" t="s">
        <v>43</v>
      </c>
      <c r="D166" s="53">
        <v>1</v>
      </c>
      <c r="E166" s="53">
        <v>30</v>
      </c>
      <c r="F166" s="80">
        <v>45909</v>
      </c>
      <c r="G166" s="81">
        <v>0.375</v>
      </c>
      <c r="H166" s="80">
        <v>45907</v>
      </c>
      <c r="I166" s="81">
        <v>0.58333333333333337</v>
      </c>
      <c r="J166" s="87">
        <f t="shared" si="5"/>
        <v>0</v>
      </c>
      <c r="K166" s="53">
        <v>2</v>
      </c>
      <c r="L166" s="53">
        <v>30</v>
      </c>
      <c r="M166" s="79" t="s">
        <v>255</v>
      </c>
    </row>
    <row r="167" spans="1:13" ht="26.4" x14ac:dyDescent="0.25">
      <c r="A167" s="53" t="s">
        <v>256</v>
      </c>
      <c r="B167" s="53" t="s">
        <v>36</v>
      </c>
      <c r="C167" s="53" t="s">
        <v>37</v>
      </c>
      <c r="D167" s="53">
        <v>2</v>
      </c>
      <c r="E167" s="53">
        <v>30</v>
      </c>
      <c r="F167" s="80">
        <v>45909</v>
      </c>
      <c r="G167" s="81">
        <v>0.375</v>
      </c>
      <c r="H167" s="80">
        <v>45907</v>
      </c>
      <c r="I167" s="81">
        <v>0.58333333333333337</v>
      </c>
      <c r="J167" s="53">
        <f t="shared" si="5"/>
        <v>0</v>
      </c>
      <c r="K167" s="53">
        <v>2</v>
      </c>
      <c r="L167" s="53">
        <v>30</v>
      </c>
      <c r="M167" s="79" t="s">
        <v>257</v>
      </c>
    </row>
    <row r="168" spans="1:13" ht="26.4" x14ac:dyDescent="0.25">
      <c r="A168" s="79" t="s">
        <v>256</v>
      </c>
      <c r="B168" s="53" t="s">
        <v>42</v>
      </c>
      <c r="C168" s="53" t="s">
        <v>43</v>
      </c>
      <c r="D168" s="53">
        <v>2</v>
      </c>
      <c r="E168" s="53">
        <v>30</v>
      </c>
      <c r="F168" s="80">
        <v>45909</v>
      </c>
      <c r="G168" s="81">
        <v>0.375</v>
      </c>
      <c r="H168" s="80">
        <v>45907</v>
      </c>
      <c r="I168" s="81">
        <v>0.58333333333333337</v>
      </c>
      <c r="J168" s="53">
        <f t="shared" si="5"/>
        <v>0</v>
      </c>
      <c r="K168" s="53">
        <v>2</v>
      </c>
      <c r="L168" s="53">
        <v>30</v>
      </c>
      <c r="M168" s="79" t="s">
        <v>257</v>
      </c>
    </row>
    <row r="169" spans="1:13" ht="39.6" x14ac:dyDescent="0.25">
      <c r="A169" s="79" t="s">
        <v>258</v>
      </c>
      <c r="B169" s="53" t="s">
        <v>36</v>
      </c>
      <c r="C169" s="53" t="s">
        <v>37</v>
      </c>
      <c r="D169" s="53">
        <v>2</v>
      </c>
      <c r="E169" s="53">
        <v>30</v>
      </c>
      <c r="F169" s="80">
        <v>45909</v>
      </c>
      <c r="G169" s="81">
        <v>0.375</v>
      </c>
      <c r="H169" s="80">
        <v>45907</v>
      </c>
      <c r="I169" s="81">
        <v>0.58333333333333337</v>
      </c>
      <c r="J169" s="53">
        <f t="shared" si="5"/>
        <v>0</v>
      </c>
      <c r="K169" s="53">
        <v>1</v>
      </c>
      <c r="L169" s="53">
        <v>30</v>
      </c>
      <c r="M169" s="79" t="s">
        <v>259</v>
      </c>
    </row>
    <row r="170" spans="1:13" ht="39.6" x14ac:dyDescent="0.25">
      <c r="A170" s="79" t="s">
        <v>258</v>
      </c>
      <c r="B170" s="53" t="s">
        <v>42</v>
      </c>
      <c r="C170" s="53" t="s">
        <v>43</v>
      </c>
      <c r="D170" s="53">
        <v>2</v>
      </c>
      <c r="E170" s="53">
        <v>30</v>
      </c>
      <c r="F170" s="80">
        <v>45909</v>
      </c>
      <c r="G170" s="81">
        <v>0.375</v>
      </c>
      <c r="H170" s="80">
        <v>45907</v>
      </c>
      <c r="I170" s="81">
        <v>0.58333333333333337</v>
      </c>
      <c r="J170" s="53">
        <f t="shared" si="5"/>
        <v>0</v>
      </c>
      <c r="K170" s="53">
        <v>1</v>
      </c>
      <c r="L170" s="53">
        <v>30</v>
      </c>
      <c r="M170" s="79" t="s">
        <v>259</v>
      </c>
    </row>
    <row r="171" spans="1:13" ht="26.4" x14ac:dyDescent="0.25">
      <c r="A171" s="53" t="s">
        <v>260</v>
      </c>
      <c r="B171" s="53" t="s">
        <v>36</v>
      </c>
      <c r="C171" s="53" t="s">
        <v>37</v>
      </c>
      <c r="D171" s="53">
        <v>1</v>
      </c>
      <c r="E171" s="53">
        <v>30</v>
      </c>
      <c r="F171" s="80">
        <v>45909</v>
      </c>
      <c r="G171" s="81">
        <v>0.375</v>
      </c>
      <c r="H171" s="80">
        <v>45907</v>
      </c>
      <c r="I171" s="81">
        <v>0.58333333333333337</v>
      </c>
      <c r="J171" s="53">
        <f t="shared" si="5"/>
        <v>0</v>
      </c>
      <c r="K171" s="53">
        <v>3</v>
      </c>
      <c r="L171" s="53">
        <v>30</v>
      </c>
      <c r="M171" s="79" t="s">
        <v>261</v>
      </c>
    </row>
    <row r="172" spans="1:13" ht="26.4" x14ac:dyDescent="0.25">
      <c r="A172" s="53" t="s">
        <v>260</v>
      </c>
      <c r="B172" s="53" t="s">
        <v>42</v>
      </c>
      <c r="C172" s="53" t="s">
        <v>43</v>
      </c>
      <c r="D172" s="53">
        <v>1</v>
      </c>
      <c r="E172" s="53">
        <v>30</v>
      </c>
      <c r="F172" s="80">
        <v>45909</v>
      </c>
      <c r="G172" s="81">
        <v>0.375</v>
      </c>
      <c r="H172" s="80">
        <v>45907</v>
      </c>
      <c r="I172" s="81">
        <v>0.58333333333333337</v>
      </c>
      <c r="J172" s="53">
        <f t="shared" si="5"/>
        <v>0</v>
      </c>
      <c r="K172" s="53">
        <v>2</v>
      </c>
      <c r="L172" s="53">
        <v>30</v>
      </c>
      <c r="M172" s="79" t="s">
        <v>261</v>
      </c>
    </row>
    <row r="173" spans="1:13" ht="39.6" x14ac:dyDescent="0.25">
      <c r="A173" s="53" t="s">
        <v>262</v>
      </c>
      <c r="B173" s="53" t="s">
        <v>36</v>
      </c>
      <c r="C173" s="53" t="s">
        <v>37</v>
      </c>
      <c r="D173" s="53">
        <v>1</v>
      </c>
      <c r="E173" s="53">
        <v>30</v>
      </c>
      <c r="F173" s="80">
        <v>45909</v>
      </c>
      <c r="G173" s="81">
        <v>0.375</v>
      </c>
      <c r="H173" s="80">
        <v>45907</v>
      </c>
      <c r="I173" s="81">
        <v>0.58333333333333337</v>
      </c>
      <c r="J173" s="53">
        <f t="shared" si="5"/>
        <v>0</v>
      </c>
      <c r="K173" s="53">
        <v>2</v>
      </c>
      <c r="L173" s="53">
        <v>30</v>
      </c>
      <c r="M173" s="79" t="s">
        <v>263</v>
      </c>
    </row>
    <row r="174" spans="1:13" ht="39.6" x14ac:dyDescent="0.25">
      <c r="A174" s="79" t="s">
        <v>262</v>
      </c>
      <c r="B174" s="53" t="s">
        <v>42</v>
      </c>
      <c r="C174" s="53" t="s">
        <v>43</v>
      </c>
      <c r="D174" s="53">
        <v>1</v>
      </c>
      <c r="E174" s="53">
        <v>30</v>
      </c>
      <c r="F174" s="80">
        <v>45909</v>
      </c>
      <c r="G174" s="81">
        <v>0.375</v>
      </c>
      <c r="H174" s="80">
        <v>45907</v>
      </c>
      <c r="I174" s="81">
        <v>0.58333333333333337</v>
      </c>
      <c r="J174" s="53">
        <f t="shared" si="5"/>
        <v>0</v>
      </c>
      <c r="K174" s="53">
        <v>1</v>
      </c>
      <c r="L174" s="53">
        <v>30</v>
      </c>
      <c r="M174" s="79" t="s">
        <v>263</v>
      </c>
    </row>
    <row r="175" spans="1:13" ht="26.4" x14ac:dyDescent="0.25">
      <c r="A175" s="79" t="s">
        <v>264</v>
      </c>
      <c r="B175" s="53" t="s">
        <v>36</v>
      </c>
      <c r="C175" s="53" t="s">
        <v>37</v>
      </c>
      <c r="D175" s="53">
        <v>1</v>
      </c>
      <c r="E175" s="53">
        <v>30</v>
      </c>
      <c r="F175" s="80">
        <v>45909</v>
      </c>
      <c r="G175" s="81">
        <v>0.375</v>
      </c>
      <c r="H175" s="80">
        <v>45907</v>
      </c>
      <c r="I175" s="81">
        <v>0.58333333333333337</v>
      </c>
      <c r="J175" s="53">
        <f t="shared" si="5"/>
        <v>0</v>
      </c>
      <c r="K175" s="53">
        <v>1</v>
      </c>
      <c r="L175" s="53">
        <v>30</v>
      </c>
      <c r="M175" s="79" t="s">
        <v>265</v>
      </c>
    </row>
    <row r="176" spans="1:13" ht="26.4" x14ac:dyDescent="0.25">
      <c r="A176" s="79" t="s">
        <v>264</v>
      </c>
      <c r="B176" s="53" t="s">
        <v>42</v>
      </c>
      <c r="C176" s="53" t="s">
        <v>43</v>
      </c>
      <c r="D176" s="53">
        <v>1</v>
      </c>
      <c r="E176" s="53">
        <v>30</v>
      </c>
      <c r="F176" s="80">
        <v>45909</v>
      </c>
      <c r="G176" s="81">
        <v>0.375</v>
      </c>
      <c r="H176" s="80">
        <v>45907</v>
      </c>
      <c r="I176" s="81">
        <v>0.58333333333333337</v>
      </c>
      <c r="J176" s="53">
        <f t="shared" si="5"/>
        <v>0</v>
      </c>
      <c r="K176" s="53">
        <v>1</v>
      </c>
      <c r="L176" s="53">
        <v>30</v>
      </c>
      <c r="M176" s="79" t="s">
        <v>265</v>
      </c>
    </row>
    <row r="177" spans="1:13" ht="26.4" x14ac:dyDescent="0.25">
      <c r="A177" s="79" t="s">
        <v>266</v>
      </c>
      <c r="B177" s="53" t="s">
        <v>36</v>
      </c>
      <c r="C177" s="53" t="s">
        <v>37</v>
      </c>
      <c r="D177" s="53">
        <v>1</v>
      </c>
      <c r="E177" s="53">
        <v>20</v>
      </c>
      <c r="F177" s="80">
        <v>45909</v>
      </c>
      <c r="G177" s="81">
        <v>0.375</v>
      </c>
      <c r="H177" s="80">
        <v>45907</v>
      </c>
      <c r="I177" s="81">
        <v>0.58333333333333337</v>
      </c>
      <c r="J177" s="53">
        <f t="shared" si="5"/>
        <v>-10</v>
      </c>
      <c r="K177" s="53">
        <v>1</v>
      </c>
      <c r="L177" s="53">
        <v>30</v>
      </c>
      <c r="M177" s="79" t="s">
        <v>267</v>
      </c>
    </row>
    <row r="178" spans="1:13" ht="26.4" x14ac:dyDescent="0.25">
      <c r="A178" s="79" t="s">
        <v>266</v>
      </c>
      <c r="B178" s="53" t="s">
        <v>42</v>
      </c>
      <c r="C178" s="53" t="s">
        <v>43</v>
      </c>
      <c r="D178" s="53">
        <v>1</v>
      </c>
      <c r="E178" s="53">
        <v>20</v>
      </c>
      <c r="F178" s="80">
        <v>45909</v>
      </c>
      <c r="G178" s="81">
        <v>0.375</v>
      </c>
      <c r="H178" s="80">
        <v>45907</v>
      </c>
      <c r="I178" s="81">
        <v>0.58333333333333337</v>
      </c>
      <c r="J178" s="53">
        <f t="shared" si="5"/>
        <v>-10</v>
      </c>
      <c r="K178" s="53">
        <v>1</v>
      </c>
      <c r="L178" s="53">
        <v>30</v>
      </c>
      <c r="M178" s="79" t="s">
        <v>267</v>
      </c>
    </row>
    <row r="179" spans="1:13" ht="26.4" x14ac:dyDescent="0.25">
      <c r="A179" s="79" t="s">
        <v>268</v>
      </c>
      <c r="B179" s="53" t="s">
        <v>36</v>
      </c>
      <c r="C179" s="53" t="s">
        <v>37</v>
      </c>
      <c r="D179" s="53">
        <v>1</v>
      </c>
      <c r="E179" s="53">
        <v>20</v>
      </c>
      <c r="F179" s="80">
        <v>45909</v>
      </c>
      <c r="G179" s="81">
        <v>0.375</v>
      </c>
      <c r="H179" s="80">
        <v>45907</v>
      </c>
      <c r="I179" s="81">
        <v>0.58333333333333337</v>
      </c>
      <c r="J179" s="53">
        <f t="shared" si="5"/>
        <v>-10</v>
      </c>
      <c r="K179" s="53">
        <v>1</v>
      </c>
      <c r="L179" s="53">
        <v>30</v>
      </c>
      <c r="M179" s="79" t="s">
        <v>269</v>
      </c>
    </row>
    <row r="180" spans="1:13" ht="26.4" x14ac:dyDescent="0.25">
      <c r="A180" s="79" t="s">
        <v>268</v>
      </c>
      <c r="B180" s="53" t="s">
        <v>42</v>
      </c>
      <c r="C180" s="53" t="s">
        <v>43</v>
      </c>
      <c r="D180" s="53">
        <v>1</v>
      </c>
      <c r="E180" s="53">
        <v>20</v>
      </c>
      <c r="F180" s="80">
        <v>45909</v>
      </c>
      <c r="G180" s="81">
        <v>0.375</v>
      </c>
      <c r="H180" s="80">
        <v>45907</v>
      </c>
      <c r="I180" s="81">
        <v>0.58333333333333337</v>
      </c>
      <c r="J180" s="53">
        <f t="shared" si="5"/>
        <v>0</v>
      </c>
      <c r="K180" s="53">
        <v>1</v>
      </c>
      <c r="L180" s="53">
        <v>20</v>
      </c>
      <c r="M180" s="79" t="s">
        <v>269</v>
      </c>
    </row>
    <row r="181" spans="1:13" ht="26.4" x14ac:dyDescent="0.25">
      <c r="A181" s="79" t="s">
        <v>270</v>
      </c>
      <c r="B181" s="53" t="s">
        <v>36</v>
      </c>
      <c r="C181" s="53" t="s">
        <v>37</v>
      </c>
      <c r="D181" s="53">
        <v>1</v>
      </c>
      <c r="E181" s="53">
        <v>20</v>
      </c>
      <c r="F181" s="80">
        <v>45909</v>
      </c>
      <c r="G181" s="81">
        <v>0.375</v>
      </c>
      <c r="H181" s="80">
        <v>45907</v>
      </c>
      <c r="I181" s="81">
        <v>0.58333333333333337</v>
      </c>
      <c r="J181" s="53">
        <f t="shared" si="5"/>
        <v>1</v>
      </c>
      <c r="K181" s="53">
        <v>2</v>
      </c>
      <c r="L181" s="53">
        <v>19</v>
      </c>
      <c r="M181" s="79" t="s">
        <v>273</v>
      </c>
    </row>
    <row r="182" spans="1:13" ht="26.4" x14ac:dyDescent="0.25">
      <c r="A182" s="79" t="s">
        <v>271</v>
      </c>
      <c r="B182" s="53" t="s">
        <v>42</v>
      </c>
      <c r="C182" s="53" t="s">
        <v>43</v>
      </c>
      <c r="D182" s="53">
        <v>1</v>
      </c>
      <c r="E182" s="53">
        <v>20</v>
      </c>
      <c r="F182" s="80">
        <v>45909</v>
      </c>
      <c r="G182" s="81">
        <v>0.375</v>
      </c>
      <c r="H182" s="80">
        <v>45907</v>
      </c>
      <c r="I182" s="81">
        <v>0.58333333333333337</v>
      </c>
      <c r="J182" s="53">
        <f t="shared" si="5"/>
        <v>0</v>
      </c>
      <c r="K182" s="53">
        <v>2</v>
      </c>
      <c r="L182" s="53">
        <v>20</v>
      </c>
      <c r="M182" s="79" t="s">
        <v>273</v>
      </c>
    </row>
    <row r="183" spans="1:13" ht="39.6" x14ac:dyDescent="0.25">
      <c r="A183" s="79" t="s">
        <v>272</v>
      </c>
      <c r="B183" s="53" t="s">
        <v>36</v>
      </c>
      <c r="C183" s="53" t="s">
        <v>37</v>
      </c>
      <c r="D183" s="53">
        <v>1</v>
      </c>
      <c r="E183" s="53">
        <v>15</v>
      </c>
      <c r="F183" s="80">
        <v>45909</v>
      </c>
      <c r="G183" s="81">
        <v>0.375</v>
      </c>
      <c r="H183" s="80">
        <v>45907</v>
      </c>
      <c r="I183" s="81">
        <v>0.58333333333333337</v>
      </c>
      <c r="J183" s="53">
        <f t="shared" si="5"/>
        <v>5</v>
      </c>
      <c r="K183" s="53">
        <v>1</v>
      </c>
      <c r="L183" s="53">
        <v>10</v>
      </c>
      <c r="M183" s="79" t="s">
        <v>274</v>
      </c>
    </row>
    <row r="184" spans="1:13" ht="39.6" x14ac:dyDescent="0.25">
      <c r="A184" s="79" t="s">
        <v>272</v>
      </c>
      <c r="B184" s="53" t="s">
        <v>42</v>
      </c>
      <c r="C184" s="53" t="s">
        <v>43</v>
      </c>
      <c r="D184" s="53">
        <v>1</v>
      </c>
      <c r="E184" s="53">
        <v>15</v>
      </c>
      <c r="F184" s="80">
        <v>45909</v>
      </c>
      <c r="G184" s="81">
        <v>0.375</v>
      </c>
      <c r="H184" s="80">
        <v>45907</v>
      </c>
      <c r="I184" s="81">
        <v>0.58333333333333337</v>
      </c>
      <c r="J184" s="53">
        <f t="shared" si="5"/>
        <v>5</v>
      </c>
      <c r="K184" s="53">
        <v>1</v>
      </c>
      <c r="L184" s="53">
        <v>10</v>
      </c>
      <c r="M184" s="79" t="s">
        <v>274</v>
      </c>
    </row>
    <row r="185" spans="1:13" ht="39.6" x14ac:dyDescent="0.25">
      <c r="A185" s="79" t="s">
        <v>275</v>
      </c>
      <c r="B185" s="53" t="s">
        <v>36</v>
      </c>
      <c r="C185" s="53" t="s">
        <v>37</v>
      </c>
      <c r="D185" s="53">
        <v>1</v>
      </c>
      <c r="E185" s="53">
        <v>20</v>
      </c>
      <c r="F185" s="80">
        <v>45909</v>
      </c>
      <c r="G185" s="81">
        <v>0.375</v>
      </c>
      <c r="H185" s="80">
        <v>45907</v>
      </c>
      <c r="I185" s="81">
        <v>0.58333333333333337</v>
      </c>
      <c r="J185" s="53">
        <f t="shared" si="5"/>
        <v>10</v>
      </c>
      <c r="K185" s="53">
        <v>1</v>
      </c>
      <c r="L185" s="53">
        <v>10</v>
      </c>
      <c r="M185" s="79" t="s">
        <v>276</v>
      </c>
    </row>
    <row r="186" spans="1:13" ht="39.6" x14ac:dyDescent="0.25">
      <c r="A186" s="79" t="s">
        <v>275</v>
      </c>
      <c r="B186" s="53" t="s">
        <v>42</v>
      </c>
      <c r="C186" s="53" t="s">
        <v>43</v>
      </c>
      <c r="D186" s="53">
        <v>1</v>
      </c>
      <c r="E186" s="53">
        <v>20</v>
      </c>
      <c r="F186" s="80">
        <v>45909</v>
      </c>
      <c r="G186" s="81">
        <v>0.375</v>
      </c>
      <c r="H186" s="80">
        <v>45907</v>
      </c>
      <c r="I186" s="81">
        <v>0.58333333333333337</v>
      </c>
      <c r="J186" s="53">
        <f t="shared" si="5"/>
        <v>10</v>
      </c>
      <c r="K186" s="53">
        <v>1</v>
      </c>
      <c r="L186" s="53">
        <v>10</v>
      </c>
      <c r="M186" s="79" t="s">
        <v>276</v>
      </c>
    </row>
    <row r="187" spans="1:13" ht="39.6" x14ac:dyDescent="0.25">
      <c r="A187" s="79" t="s">
        <v>277</v>
      </c>
      <c r="B187" s="53" t="s">
        <v>21</v>
      </c>
      <c r="C187" s="53" t="s">
        <v>22</v>
      </c>
      <c r="D187" s="53">
        <v>1</v>
      </c>
      <c r="E187" s="53">
        <v>55</v>
      </c>
      <c r="F187" s="80">
        <v>45909</v>
      </c>
      <c r="G187" s="81">
        <v>0.375</v>
      </c>
      <c r="H187" s="80">
        <v>45906</v>
      </c>
      <c r="I187" s="81">
        <v>0.35416666666666669</v>
      </c>
      <c r="J187" s="53">
        <f t="shared" si="5"/>
        <v>-5</v>
      </c>
      <c r="K187" s="53">
        <v>2</v>
      </c>
      <c r="L187" s="53">
        <v>60</v>
      </c>
      <c r="M187" s="79" t="s">
        <v>278</v>
      </c>
    </row>
    <row r="188" spans="1:13" ht="39.6" x14ac:dyDescent="0.25">
      <c r="A188" s="79" t="s">
        <v>277</v>
      </c>
      <c r="B188" s="53" t="s">
        <v>136</v>
      </c>
      <c r="C188" s="53" t="s">
        <v>34</v>
      </c>
      <c r="D188" s="53">
        <v>1</v>
      </c>
      <c r="E188" s="53">
        <v>55</v>
      </c>
      <c r="F188" s="80">
        <v>45909</v>
      </c>
      <c r="G188" s="81">
        <v>0.375</v>
      </c>
      <c r="H188" s="80">
        <v>45906</v>
      </c>
      <c r="I188" s="81">
        <v>0.39583333333333298</v>
      </c>
      <c r="J188" s="53">
        <f t="shared" si="5"/>
        <v>-5</v>
      </c>
      <c r="K188" s="53">
        <v>1</v>
      </c>
      <c r="L188" s="53">
        <v>60</v>
      </c>
      <c r="M188" s="79" t="s">
        <v>278</v>
      </c>
    </row>
    <row r="189" spans="1:13" ht="39.6" x14ac:dyDescent="0.25">
      <c r="A189" s="79" t="s">
        <v>279</v>
      </c>
      <c r="B189" s="53" t="s">
        <v>21</v>
      </c>
      <c r="C189" s="53" t="s">
        <v>22</v>
      </c>
      <c r="D189" s="53">
        <v>1</v>
      </c>
      <c r="E189" s="53">
        <v>60</v>
      </c>
      <c r="F189" s="80">
        <v>45909</v>
      </c>
      <c r="G189" s="81">
        <v>0.375</v>
      </c>
      <c r="H189" s="80">
        <v>45906</v>
      </c>
      <c r="I189" s="81">
        <v>0.4375</v>
      </c>
      <c r="J189" s="53">
        <f t="shared" si="5"/>
        <v>0</v>
      </c>
      <c r="K189" s="53">
        <v>3</v>
      </c>
      <c r="L189" s="53">
        <v>60</v>
      </c>
      <c r="M189" s="79" t="s">
        <v>280</v>
      </c>
    </row>
    <row r="190" spans="1:13" ht="39.6" x14ac:dyDescent="0.25">
      <c r="A190" s="79" t="s">
        <v>279</v>
      </c>
      <c r="B190" s="53" t="s">
        <v>136</v>
      </c>
      <c r="C190" s="53" t="s">
        <v>34</v>
      </c>
      <c r="D190" s="53">
        <v>1</v>
      </c>
      <c r="E190" s="53">
        <v>60</v>
      </c>
      <c r="F190" s="80">
        <v>45909</v>
      </c>
      <c r="G190" s="81">
        <v>0.375</v>
      </c>
      <c r="H190" s="80">
        <v>45906</v>
      </c>
      <c r="I190" s="81">
        <v>0.47916666666666702</v>
      </c>
      <c r="J190" s="53">
        <f t="shared" si="5"/>
        <v>0</v>
      </c>
      <c r="K190" s="53">
        <v>1</v>
      </c>
      <c r="L190" s="53">
        <v>60</v>
      </c>
      <c r="M190" s="79" t="s">
        <v>280</v>
      </c>
    </row>
    <row r="191" spans="1:13" ht="26.4" x14ac:dyDescent="0.25">
      <c r="A191" s="79" t="s">
        <v>281</v>
      </c>
      <c r="B191" s="53" t="s">
        <v>21</v>
      </c>
      <c r="C191" s="53" t="s">
        <v>22</v>
      </c>
      <c r="D191" s="53">
        <v>1</v>
      </c>
      <c r="E191" s="53">
        <v>30</v>
      </c>
      <c r="F191" s="80">
        <v>45909</v>
      </c>
      <c r="G191" s="81">
        <v>0.375</v>
      </c>
      <c r="H191" s="80">
        <v>45906</v>
      </c>
      <c r="I191" s="81">
        <v>0.5</v>
      </c>
      <c r="J191" s="53">
        <f t="shared" si="5"/>
        <v>0</v>
      </c>
      <c r="K191" s="53">
        <v>1</v>
      </c>
      <c r="L191" s="53">
        <v>30</v>
      </c>
      <c r="M191" s="79" t="s">
        <v>282</v>
      </c>
    </row>
    <row r="192" spans="1:13" ht="26.4" x14ac:dyDescent="0.25">
      <c r="A192" s="79" t="s">
        <v>281</v>
      </c>
      <c r="B192" s="53" t="s">
        <v>136</v>
      </c>
      <c r="C192" s="53" t="s">
        <v>34</v>
      </c>
      <c r="D192" s="53">
        <v>1</v>
      </c>
      <c r="E192" s="53">
        <v>30</v>
      </c>
      <c r="F192" s="80">
        <v>45909</v>
      </c>
      <c r="G192" s="81">
        <v>0.375</v>
      </c>
      <c r="H192" s="80">
        <v>45906</v>
      </c>
      <c r="I192" s="81">
        <v>0.52083333333333337</v>
      </c>
      <c r="J192" s="53">
        <f t="shared" si="5"/>
        <v>2</v>
      </c>
      <c r="K192" s="53">
        <v>1</v>
      </c>
      <c r="L192" s="53">
        <v>28</v>
      </c>
      <c r="M192" s="79" t="s">
        <v>282</v>
      </c>
    </row>
    <row r="193" spans="1:13" ht="39.6" x14ac:dyDescent="0.25">
      <c r="A193" s="79" t="s">
        <v>283</v>
      </c>
      <c r="B193" s="53" t="s">
        <v>21</v>
      </c>
      <c r="C193" s="53" t="s">
        <v>22</v>
      </c>
      <c r="D193" s="53">
        <v>1</v>
      </c>
      <c r="E193" s="53">
        <v>30</v>
      </c>
      <c r="F193" s="80">
        <v>45909</v>
      </c>
      <c r="G193" s="81">
        <v>0.375</v>
      </c>
      <c r="H193" s="80">
        <v>45906</v>
      </c>
      <c r="I193" s="81">
        <v>0.54166666666666663</v>
      </c>
      <c r="J193" s="53">
        <f t="shared" si="5"/>
        <v>0</v>
      </c>
      <c r="K193" s="53">
        <v>1</v>
      </c>
      <c r="L193" s="53">
        <v>30</v>
      </c>
      <c r="M193" s="79" t="s">
        <v>284</v>
      </c>
    </row>
    <row r="194" spans="1:13" ht="39.6" x14ac:dyDescent="0.25">
      <c r="A194" s="79" t="s">
        <v>283</v>
      </c>
      <c r="B194" s="53" t="s">
        <v>136</v>
      </c>
      <c r="C194" s="53" t="s">
        <v>34</v>
      </c>
      <c r="D194" s="53">
        <v>1</v>
      </c>
      <c r="E194" s="53">
        <v>30</v>
      </c>
      <c r="F194" s="80">
        <v>45909</v>
      </c>
      <c r="G194" s="81">
        <v>0.375</v>
      </c>
      <c r="H194" s="80">
        <v>45906</v>
      </c>
      <c r="I194" s="81">
        <v>0.5625</v>
      </c>
      <c r="J194" s="53">
        <f t="shared" si="5"/>
        <v>1</v>
      </c>
      <c r="K194" s="53">
        <v>1</v>
      </c>
      <c r="L194" s="53">
        <v>29</v>
      </c>
      <c r="M194" s="79" t="s">
        <v>284</v>
      </c>
    </row>
    <row r="195" spans="1:13" ht="39.6" x14ac:dyDescent="0.25">
      <c r="A195" s="79" t="s">
        <v>285</v>
      </c>
      <c r="B195" s="53" t="s">
        <v>21</v>
      </c>
      <c r="C195" s="53" t="s">
        <v>22</v>
      </c>
      <c r="D195" s="53">
        <v>1</v>
      </c>
      <c r="E195" s="53">
        <v>30</v>
      </c>
      <c r="F195" s="80">
        <v>45909</v>
      </c>
      <c r="G195" s="81">
        <v>0.375</v>
      </c>
      <c r="H195" s="80">
        <v>45906</v>
      </c>
      <c r="I195" s="81">
        <v>0.58333333333333337</v>
      </c>
      <c r="J195" s="53">
        <f t="shared" si="5"/>
        <v>0</v>
      </c>
      <c r="K195" s="53">
        <v>1</v>
      </c>
      <c r="L195" s="53">
        <v>30</v>
      </c>
      <c r="M195" s="79" t="s">
        <v>286</v>
      </c>
    </row>
    <row r="196" spans="1:13" ht="39.6" x14ac:dyDescent="0.25">
      <c r="A196" s="79" t="s">
        <v>285</v>
      </c>
      <c r="B196" s="53" t="s">
        <v>136</v>
      </c>
      <c r="C196" s="53" t="s">
        <v>34</v>
      </c>
      <c r="D196" s="53">
        <v>1</v>
      </c>
      <c r="E196" s="53">
        <v>30</v>
      </c>
      <c r="F196" s="80">
        <v>45909</v>
      </c>
      <c r="G196" s="81">
        <v>0.375</v>
      </c>
      <c r="H196" s="80">
        <v>45906</v>
      </c>
      <c r="I196" s="81">
        <v>0.58333333333333337</v>
      </c>
      <c r="J196" s="53">
        <f t="shared" si="5"/>
        <v>0</v>
      </c>
      <c r="K196" s="53">
        <v>1</v>
      </c>
      <c r="L196" s="53">
        <v>30</v>
      </c>
      <c r="M196" s="79" t="s">
        <v>286</v>
      </c>
    </row>
    <row r="197" spans="1:13" ht="26.4" x14ac:dyDescent="0.25">
      <c r="A197" s="79" t="s">
        <v>287</v>
      </c>
      <c r="B197" s="53" t="s">
        <v>21</v>
      </c>
      <c r="C197" s="53" t="s">
        <v>22</v>
      </c>
      <c r="D197" s="53">
        <v>1</v>
      </c>
      <c r="E197" s="53">
        <v>30</v>
      </c>
      <c r="F197" s="80">
        <v>45909</v>
      </c>
      <c r="G197" s="81">
        <v>0.375</v>
      </c>
      <c r="H197" s="80">
        <v>45906</v>
      </c>
      <c r="I197" s="81">
        <v>0.60416666666666663</v>
      </c>
      <c r="J197" s="53">
        <f t="shared" si="5"/>
        <v>0</v>
      </c>
      <c r="K197" s="53">
        <v>1</v>
      </c>
      <c r="L197" s="53">
        <v>30</v>
      </c>
      <c r="M197" s="79" t="s">
        <v>288</v>
      </c>
    </row>
    <row r="198" spans="1:13" ht="26.4" x14ac:dyDescent="0.25">
      <c r="A198" s="79" t="s">
        <v>287</v>
      </c>
      <c r="B198" s="53" t="s">
        <v>136</v>
      </c>
      <c r="C198" s="53" t="s">
        <v>34</v>
      </c>
      <c r="D198" s="53">
        <v>1</v>
      </c>
      <c r="E198" s="53">
        <v>30</v>
      </c>
      <c r="F198" s="80">
        <v>45909</v>
      </c>
      <c r="G198" s="81">
        <v>0.375</v>
      </c>
      <c r="H198" s="80">
        <v>45906</v>
      </c>
      <c r="I198" s="81">
        <v>0.60416666666666663</v>
      </c>
      <c r="J198" s="53">
        <f t="shared" si="5"/>
        <v>5</v>
      </c>
      <c r="K198" s="53">
        <v>1</v>
      </c>
      <c r="L198" s="53">
        <v>25</v>
      </c>
      <c r="M198" s="79" t="s">
        <v>288</v>
      </c>
    </row>
    <row r="199" spans="1:13" ht="39.6" x14ac:dyDescent="0.25">
      <c r="A199" s="79" t="s">
        <v>289</v>
      </c>
      <c r="B199" s="53" t="s">
        <v>21</v>
      </c>
      <c r="C199" s="53" t="s">
        <v>22</v>
      </c>
      <c r="D199" s="53">
        <v>1</v>
      </c>
      <c r="E199" s="53">
        <v>30</v>
      </c>
      <c r="F199" s="80">
        <v>45909</v>
      </c>
      <c r="G199" s="81">
        <v>0.375</v>
      </c>
      <c r="H199" s="80">
        <v>45906</v>
      </c>
      <c r="I199" s="81">
        <v>0.625</v>
      </c>
      <c r="J199" s="53">
        <f t="shared" si="5"/>
        <v>5</v>
      </c>
      <c r="K199" s="53">
        <v>1</v>
      </c>
      <c r="L199" s="53">
        <v>25</v>
      </c>
      <c r="M199" s="79" t="s">
        <v>290</v>
      </c>
    </row>
    <row r="200" spans="1:13" ht="39.6" x14ac:dyDescent="0.25">
      <c r="A200" s="53" t="s">
        <v>289</v>
      </c>
      <c r="B200" s="53" t="s">
        <v>136</v>
      </c>
      <c r="C200" s="53" t="s">
        <v>34</v>
      </c>
      <c r="D200" s="53">
        <v>1</v>
      </c>
      <c r="E200" s="53">
        <v>30</v>
      </c>
      <c r="F200" s="80">
        <v>45909</v>
      </c>
      <c r="G200" s="81">
        <v>0.375</v>
      </c>
      <c r="H200" s="80">
        <v>45906</v>
      </c>
      <c r="I200" s="81">
        <v>0.625</v>
      </c>
      <c r="J200" s="53">
        <f t="shared" si="5"/>
        <v>0</v>
      </c>
      <c r="K200" s="53">
        <v>1</v>
      </c>
      <c r="L200" s="53">
        <v>30</v>
      </c>
      <c r="M200" s="79" t="s">
        <v>290</v>
      </c>
    </row>
    <row r="201" spans="1:13" ht="39.6" x14ac:dyDescent="0.25">
      <c r="A201" s="79" t="s">
        <v>291</v>
      </c>
      <c r="B201" s="53" t="s">
        <v>21</v>
      </c>
      <c r="C201" s="53" t="s">
        <v>22</v>
      </c>
      <c r="D201" s="53">
        <v>1</v>
      </c>
      <c r="E201" s="53">
        <v>30</v>
      </c>
      <c r="F201" s="80">
        <v>45909</v>
      </c>
      <c r="G201" s="81">
        <v>0.375</v>
      </c>
      <c r="H201" s="80">
        <v>45906</v>
      </c>
      <c r="I201" s="81">
        <v>0.64583333333333337</v>
      </c>
      <c r="J201" s="53">
        <f t="shared" si="5"/>
        <v>0</v>
      </c>
      <c r="K201" s="53">
        <v>1</v>
      </c>
      <c r="L201" s="53">
        <v>30</v>
      </c>
      <c r="M201" s="79" t="s">
        <v>292</v>
      </c>
    </row>
    <row r="202" spans="1:13" ht="39.6" x14ac:dyDescent="0.25">
      <c r="A202" s="79" t="s">
        <v>291</v>
      </c>
      <c r="B202" s="53" t="s">
        <v>136</v>
      </c>
      <c r="C202" s="53" t="s">
        <v>34</v>
      </c>
      <c r="D202" s="53">
        <v>1</v>
      </c>
      <c r="E202" s="53">
        <v>30</v>
      </c>
      <c r="F202" s="80">
        <v>45909</v>
      </c>
      <c r="G202" s="81">
        <v>0.375</v>
      </c>
      <c r="H202" s="80">
        <v>45906</v>
      </c>
      <c r="I202" s="81">
        <v>0.64583333333333337</v>
      </c>
      <c r="J202" s="53">
        <f t="shared" si="5"/>
        <v>0</v>
      </c>
      <c r="K202" s="53">
        <v>1</v>
      </c>
      <c r="L202" s="53">
        <v>30</v>
      </c>
      <c r="M202" s="79" t="s">
        <v>292</v>
      </c>
    </row>
    <row r="203" spans="1:13" ht="26.4" x14ac:dyDescent="0.25">
      <c r="A203" s="79" t="s">
        <v>293</v>
      </c>
      <c r="B203" s="53" t="s">
        <v>21</v>
      </c>
      <c r="C203" s="53" t="s">
        <v>22</v>
      </c>
      <c r="D203" s="53">
        <v>2</v>
      </c>
      <c r="E203" s="53">
        <v>60</v>
      </c>
      <c r="F203" s="80">
        <v>45909</v>
      </c>
      <c r="G203" s="81">
        <v>0.375</v>
      </c>
      <c r="H203" s="80">
        <v>45906</v>
      </c>
      <c r="I203" s="81">
        <v>0.66666666666666663</v>
      </c>
      <c r="J203" s="53">
        <f t="shared" si="5"/>
        <v>35</v>
      </c>
      <c r="K203" s="53">
        <v>1</v>
      </c>
      <c r="L203" s="53">
        <v>25</v>
      </c>
      <c r="M203" s="79" t="s">
        <v>294</v>
      </c>
    </row>
    <row r="204" spans="1:13" ht="26.4" x14ac:dyDescent="0.25">
      <c r="A204" s="79" t="s">
        <v>293</v>
      </c>
      <c r="B204" s="53" t="s">
        <v>136</v>
      </c>
      <c r="C204" s="53" t="s">
        <v>34</v>
      </c>
      <c r="D204" s="53">
        <v>2</v>
      </c>
      <c r="E204" s="53">
        <v>60</v>
      </c>
      <c r="F204" s="80">
        <v>45909</v>
      </c>
      <c r="G204" s="81">
        <v>0.375</v>
      </c>
      <c r="H204" s="80">
        <v>45906</v>
      </c>
      <c r="I204" s="81">
        <v>0.66666666666666663</v>
      </c>
      <c r="J204" s="53">
        <f t="shared" si="5"/>
        <v>35</v>
      </c>
      <c r="K204" s="53">
        <v>1</v>
      </c>
      <c r="L204" s="53">
        <v>25</v>
      </c>
      <c r="M204" s="79" t="s">
        <v>294</v>
      </c>
    </row>
    <row r="205" spans="1:13" ht="26.4" x14ac:dyDescent="0.25">
      <c r="A205" s="79" t="s">
        <v>295</v>
      </c>
      <c r="B205" s="53" t="s">
        <v>21</v>
      </c>
      <c r="C205" s="53" t="s">
        <v>22</v>
      </c>
      <c r="D205" s="53">
        <v>2</v>
      </c>
      <c r="E205" s="53">
        <v>60</v>
      </c>
      <c r="F205" s="80">
        <v>45909</v>
      </c>
      <c r="G205" s="81">
        <v>0.375</v>
      </c>
      <c r="H205" s="80">
        <v>45906</v>
      </c>
      <c r="I205" s="81">
        <v>0.70833333333333337</v>
      </c>
      <c r="J205" s="53">
        <f t="shared" si="5"/>
        <v>38</v>
      </c>
      <c r="K205" s="53">
        <v>1</v>
      </c>
      <c r="L205" s="53">
        <v>22</v>
      </c>
      <c r="M205" s="79" t="s">
        <v>296</v>
      </c>
    </row>
    <row r="206" spans="1:13" ht="26.4" x14ac:dyDescent="0.25">
      <c r="A206" s="79" t="s">
        <v>295</v>
      </c>
      <c r="B206" s="53" t="s">
        <v>136</v>
      </c>
      <c r="C206" s="53" t="s">
        <v>34</v>
      </c>
      <c r="D206" s="53">
        <v>2</v>
      </c>
      <c r="E206" s="53">
        <v>60</v>
      </c>
      <c r="F206" s="80">
        <v>45909</v>
      </c>
      <c r="G206" s="81">
        <v>0.375</v>
      </c>
      <c r="H206" s="80">
        <v>45906</v>
      </c>
      <c r="I206" s="81">
        <v>0.75</v>
      </c>
      <c r="J206" s="53">
        <f t="shared" si="5"/>
        <v>38</v>
      </c>
      <c r="K206" s="53">
        <v>2</v>
      </c>
      <c r="L206" s="53">
        <v>22</v>
      </c>
      <c r="M206" s="79" t="s">
        <v>296</v>
      </c>
    </row>
    <row r="207" spans="1:13" ht="26.4" x14ac:dyDescent="0.25">
      <c r="A207" s="79" t="s">
        <v>297</v>
      </c>
      <c r="B207" s="53" t="s">
        <v>21</v>
      </c>
      <c r="C207" s="53" t="s">
        <v>22</v>
      </c>
      <c r="D207" s="53">
        <v>2</v>
      </c>
      <c r="E207" s="53">
        <v>60</v>
      </c>
      <c r="F207" s="80">
        <v>45909</v>
      </c>
      <c r="G207" s="81">
        <v>0.375</v>
      </c>
      <c r="H207" s="80">
        <v>45906</v>
      </c>
      <c r="I207" s="81">
        <v>0.79166666666666696</v>
      </c>
      <c r="J207" s="53">
        <f t="shared" si="5"/>
        <v>39</v>
      </c>
      <c r="K207" s="53">
        <v>2</v>
      </c>
      <c r="L207" s="53">
        <v>21</v>
      </c>
      <c r="M207" s="79" t="s">
        <v>298</v>
      </c>
    </row>
    <row r="208" spans="1:13" ht="26.4" x14ac:dyDescent="0.25">
      <c r="A208" s="79" t="s">
        <v>297</v>
      </c>
      <c r="B208" s="53" t="s">
        <v>136</v>
      </c>
      <c r="C208" s="53" t="s">
        <v>34</v>
      </c>
      <c r="D208" s="53">
        <v>2</v>
      </c>
      <c r="E208" s="53">
        <v>60</v>
      </c>
      <c r="F208" s="80">
        <v>45909</v>
      </c>
      <c r="G208" s="81">
        <v>0.375</v>
      </c>
      <c r="H208" s="80">
        <v>45906</v>
      </c>
      <c r="I208" s="81">
        <v>0.83333333333333304</v>
      </c>
      <c r="J208" s="53">
        <f t="shared" si="5"/>
        <v>39</v>
      </c>
      <c r="K208" s="53">
        <v>2</v>
      </c>
      <c r="L208" s="53">
        <v>21</v>
      </c>
      <c r="M208" s="79" t="s">
        <v>298</v>
      </c>
    </row>
    <row r="209" spans="1:13" ht="39.6" x14ac:dyDescent="0.25">
      <c r="A209" s="79" t="s">
        <v>299</v>
      </c>
      <c r="B209" s="53" t="s">
        <v>30</v>
      </c>
      <c r="C209" s="53" t="s">
        <v>31</v>
      </c>
      <c r="D209" s="53">
        <v>1</v>
      </c>
      <c r="E209" s="53">
        <v>30</v>
      </c>
      <c r="F209" s="80">
        <v>45909</v>
      </c>
      <c r="G209" s="81">
        <v>0.375</v>
      </c>
      <c r="H209" s="80">
        <v>45907</v>
      </c>
      <c r="I209" s="81">
        <v>0.5</v>
      </c>
      <c r="J209" s="53">
        <f t="shared" si="5"/>
        <v>0</v>
      </c>
      <c r="K209" s="53">
        <v>2</v>
      </c>
      <c r="L209" s="53">
        <v>30</v>
      </c>
      <c r="M209" s="79" t="s">
        <v>300</v>
      </c>
    </row>
    <row r="210" spans="1:13" ht="39.6" x14ac:dyDescent="0.25">
      <c r="A210" s="53" t="s">
        <v>299</v>
      </c>
      <c r="B210" s="53" t="s">
        <v>39</v>
      </c>
      <c r="C210" s="53" t="s">
        <v>40</v>
      </c>
      <c r="D210" s="53">
        <v>1</v>
      </c>
      <c r="E210" s="53">
        <v>30</v>
      </c>
      <c r="F210" s="80">
        <v>45909</v>
      </c>
      <c r="G210" s="81">
        <v>0.375</v>
      </c>
      <c r="H210" s="80">
        <v>45907</v>
      </c>
      <c r="I210" s="81">
        <v>0.52083333333333337</v>
      </c>
      <c r="J210" s="53">
        <f t="shared" si="5"/>
        <v>0</v>
      </c>
      <c r="K210" s="53">
        <v>2</v>
      </c>
      <c r="L210" s="53">
        <v>30</v>
      </c>
      <c r="M210" s="79" t="s">
        <v>300</v>
      </c>
    </row>
    <row r="211" spans="1:13" ht="26.4" x14ac:dyDescent="0.25">
      <c r="A211" s="79" t="s">
        <v>301</v>
      </c>
      <c r="B211" s="53" t="s">
        <v>30</v>
      </c>
      <c r="C211" s="53" t="s">
        <v>31</v>
      </c>
      <c r="D211" s="53">
        <v>1</v>
      </c>
      <c r="E211" s="53">
        <v>30</v>
      </c>
      <c r="F211" s="80">
        <v>45909</v>
      </c>
      <c r="G211" s="81">
        <v>0.375</v>
      </c>
      <c r="H211" s="80">
        <v>45907</v>
      </c>
      <c r="I211" s="81">
        <v>0.54166666666666663</v>
      </c>
      <c r="J211" s="53">
        <f t="shared" si="5"/>
        <v>0</v>
      </c>
      <c r="K211" s="53">
        <v>2</v>
      </c>
      <c r="L211" s="53">
        <v>30</v>
      </c>
      <c r="M211" s="79" t="s">
        <v>302</v>
      </c>
    </row>
    <row r="212" spans="1:13" ht="26.4" x14ac:dyDescent="0.25">
      <c r="A212" s="79" t="s">
        <v>301</v>
      </c>
      <c r="B212" s="53" t="s">
        <v>39</v>
      </c>
      <c r="C212" s="53" t="s">
        <v>40</v>
      </c>
      <c r="D212" s="53">
        <v>1</v>
      </c>
      <c r="E212" s="53">
        <v>30</v>
      </c>
      <c r="F212" s="80">
        <v>45909</v>
      </c>
      <c r="G212" s="81">
        <v>0.375</v>
      </c>
      <c r="H212" s="80">
        <v>45907</v>
      </c>
      <c r="I212" s="81">
        <v>0.5625</v>
      </c>
      <c r="J212" s="53">
        <f t="shared" si="5"/>
        <v>0</v>
      </c>
      <c r="K212" s="53">
        <v>1</v>
      </c>
      <c r="L212" s="53">
        <v>30</v>
      </c>
      <c r="M212" s="79" t="s">
        <v>302</v>
      </c>
    </row>
    <row r="213" spans="1:13" ht="26.4" x14ac:dyDescent="0.25">
      <c r="A213" s="79" t="s">
        <v>303</v>
      </c>
      <c r="B213" s="53" t="s">
        <v>30</v>
      </c>
      <c r="C213" s="53" t="s">
        <v>31</v>
      </c>
      <c r="D213" s="53">
        <v>1</v>
      </c>
      <c r="E213" s="53">
        <v>30</v>
      </c>
      <c r="F213" s="80">
        <v>45909</v>
      </c>
      <c r="G213" s="81">
        <v>0.375</v>
      </c>
      <c r="H213" s="80">
        <v>45907</v>
      </c>
      <c r="I213" s="81">
        <v>0.58333333333333337</v>
      </c>
      <c r="J213" s="53">
        <f t="shared" si="5"/>
        <v>-5</v>
      </c>
      <c r="K213" s="53">
        <v>1</v>
      </c>
      <c r="L213" s="53">
        <v>35</v>
      </c>
      <c r="M213" s="79" t="s">
        <v>304</v>
      </c>
    </row>
    <row r="214" spans="1:13" ht="26.4" x14ac:dyDescent="0.25">
      <c r="A214" s="79" t="s">
        <v>303</v>
      </c>
      <c r="B214" s="53" t="s">
        <v>39</v>
      </c>
      <c r="C214" s="53" t="s">
        <v>40</v>
      </c>
      <c r="D214" s="53">
        <v>1</v>
      </c>
      <c r="E214" s="53">
        <v>30</v>
      </c>
      <c r="F214" s="80">
        <v>45909</v>
      </c>
      <c r="G214" s="81">
        <v>0.375</v>
      </c>
      <c r="H214" s="80">
        <v>45907</v>
      </c>
      <c r="I214" s="81">
        <v>0.60416666666666663</v>
      </c>
      <c r="J214" s="53">
        <f t="shared" si="5"/>
        <v>6</v>
      </c>
      <c r="K214" s="53">
        <v>1</v>
      </c>
      <c r="L214" s="53">
        <v>24</v>
      </c>
      <c r="M214" s="79" t="s">
        <v>304</v>
      </c>
    </row>
    <row r="215" spans="1:13" ht="26.4" x14ac:dyDescent="0.25">
      <c r="A215" s="79" t="s">
        <v>305</v>
      </c>
      <c r="B215" s="53" t="s">
        <v>30</v>
      </c>
      <c r="C215" s="53" t="s">
        <v>31</v>
      </c>
      <c r="D215" s="53">
        <v>2</v>
      </c>
      <c r="E215" s="53">
        <v>20</v>
      </c>
      <c r="F215" s="80">
        <v>45909</v>
      </c>
      <c r="G215" s="81">
        <v>0.375</v>
      </c>
      <c r="H215" s="80">
        <v>45907</v>
      </c>
      <c r="I215" s="81">
        <v>0.625</v>
      </c>
      <c r="J215" s="53">
        <f t="shared" si="5"/>
        <v>0</v>
      </c>
      <c r="K215" s="53">
        <v>1</v>
      </c>
      <c r="L215" s="53">
        <v>20</v>
      </c>
      <c r="M215" s="53" t="s">
        <v>306</v>
      </c>
    </row>
    <row r="216" spans="1:13" ht="26.4" x14ac:dyDescent="0.25">
      <c r="A216" s="79" t="s">
        <v>305</v>
      </c>
      <c r="B216" s="53" t="s">
        <v>39</v>
      </c>
      <c r="C216" s="53" t="s">
        <v>40</v>
      </c>
      <c r="D216" s="53">
        <v>2</v>
      </c>
      <c r="E216" s="53">
        <v>20</v>
      </c>
      <c r="F216" s="80">
        <v>45909</v>
      </c>
      <c r="G216" s="81">
        <v>0.375</v>
      </c>
      <c r="H216" s="80">
        <v>45907</v>
      </c>
      <c r="I216" s="81">
        <v>0.63888888888888884</v>
      </c>
      <c r="J216" s="53">
        <f t="shared" si="5"/>
        <v>0</v>
      </c>
      <c r="K216" s="53">
        <v>1</v>
      </c>
      <c r="L216" s="53">
        <v>20</v>
      </c>
      <c r="M216" t="s">
        <v>306</v>
      </c>
    </row>
    <row r="217" spans="1:13" ht="26.4" x14ac:dyDescent="0.25">
      <c r="A217" s="79" t="s">
        <v>308</v>
      </c>
      <c r="B217" s="53" t="s">
        <v>30</v>
      </c>
      <c r="C217" s="53" t="s">
        <v>31</v>
      </c>
      <c r="D217" s="53">
        <v>1</v>
      </c>
      <c r="E217" s="53">
        <v>20</v>
      </c>
      <c r="F217" s="80">
        <v>45909</v>
      </c>
      <c r="G217" s="81">
        <v>0.375</v>
      </c>
      <c r="H217" s="80">
        <v>45907</v>
      </c>
      <c r="I217" s="81">
        <v>0.65277777777777779</v>
      </c>
      <c r="J217" s="53">
        <f t="shared" si="5"/>
        <v>0</v>
      </c>
      <c r="K217" s="53">
        <v>1</v>
      </c>
      <c r="L217" s="53">
        <v>20</v>
      </c>
      <c r="M217" s="79" t="s">
        <v>307</v>
      </c>
    </row>
    <row r="218" spans="1:13" ht="26.4" x14ac:dyDescent="0.25">
      <c r="A218" s="79" t="s">
        <v>308</v>
      </c>
      <c r="B218" s="53" t="s">
        <v>39</v>
      </c>
      <c r="C218" s="53" t="s">
        <v>40</v>
      </c>
      <c r="D218" s="53">
        <v>1</v>
      </c>
      <c r="E218" s="53">
        <v>20</v>
      </c>
      <c r="F218" s="80">
        <v>45909</v>
      </c>
      <c r="G218" s="81">
        <v>0.375</v>
      </c>
      <c r="H218" s="80">
        <v>45907</v>
      </c>
      <c r="I218" s="81">
        <v>0.66666666666666663</v>
      </c>
      <c r="J218" s="53">
        <f t="shared" si="5"/>
        <v>-5</v>
      </c>
      <c r="K218" s="53">
        <v>1</v>
      </c>
      <c r="L218" s="53">
        <v>25</v>
      </c>
      <c r="M218" s="79" t="s">
        <v>307</v>
      </c>
    </row>
    <row r="219" spans="1:13" ht="26.4" x14ac:dyDescent="0.25">
      <c r="A219" s="79" t="s">
        <v>309</v>
      </c>
      <c r="B219" s="53" t="s">
        <v>30</v>
      </c>
      <c r="C219" s="53" t="s">
        <v>31</v>
      </c>
      <c r="D219" s="53">
        <v>1</v>
      </c>
      <c r="E219" s="53">
        <v>20</v>
      </c>
      <c r="F219" s="80">
        <v>45909</v>
      </c>
      <c r="G219" s="81">
        <v>0.375</v>
      </c>
      <c r="H219" s="80">
        <v>45907</v>
      </c>
      <c r="I219" s="81">
        <v>0.68055555555555558</v>
      </c>
      <c r="J219" s="53">
        <f t="shared" si="5"/>
        <v>-5</v>
      </c>
      <c r="K219" s="53">
        <v>1</v>
      </c>
      <c r="L219" s="53">
        <v>25</v>
      </c>
      <c r="M219" s="79" t="s">
        <v>310</v>
      </c>
    </row>
    <row r="220" spans="1:13" ht="26.4" x14ac:dyDescent="0.25">
      <c r="A220" s="79" t="s">
        <v>309</v>
      </c>
      <c r="B220" s="53" t="s">
        <v>39</v>
      </c>
      <c r="C220" s="53" t="s">
        <v>40</v>
      </c>
      <c r="D220" s="53">
        <v>1</v>
      </c>
      <c r="E220" s="53">
        <v>20</v>
      </c>
      <c r="F220" s="80">
        <v>45909</v>
      </c>
      <c r="G220" s="81">
        <v>0.375</v>
      </c>
      <c r="H220" s="80">
        <v>45907</v>
      </c>
      <c r="I220" s="81">
        <v>0.69444444444444442</v>
      </c>
      <c r="J220" s="53">
        <f t="shared" si="5"/>
        <v>5</v>
      </c>
      <c r="K220" s="53">
        <v>1</v>
      </c>
      <c r="L220" s="53">
        <v>15</v>
      </c>
      <c r="M220" s="79" t="s">
        <v>310</v>
      </c>
    </row>
    <row r="221" spans="1:13" x14ac:dyDescent="0.25">
      <c r="A221" s="79" t="s">
        <v>311</v>
      </c>
      <c r="B221" s="53" t="s">
        <v>30</v>
      </c>
      <c r="C221" s="53" t="s">
        <v>31</v>
      </c>
      <c r="D221" s="53">
        <v>1</v>
      </c>
      <c r="E221" s="53">
        <v>20</v>
      </c>
      <c r="F221" s="80">
        <v>45909</v>
      </c>
      <c r="G221" s="81">
        <v>0.375</v>
      </c>
      <c r="H221" s="80">
        <v>45907</v>
      </c>
      <c r="I221" s="81">
        <v>0.70833333333333337</v>
      </c>
      <c r="J221" s="53">
        <f t="shared" si="5"/>
        <v>10</v>
      </c>
      <c r="K221" s="53">
        <v>1</v>
      </c>
      <c r="L221" s="53">
        <v>10</v>
      </c>
      <c r="M221" s="53" t="s">
        <v>312</v>
      </c>
    </row>
    <row r="222" spans="1:13" x14ac:dyDescent="0.25">
      <c r="A222" s="79" t="s">
        <v>311</v>
      </c>
      <c r="B222" s="53" t="s">
        <v>39</v>
      </c>
      <c r="C222" s="53" t="s">
        <v>40</v>
      </c>
      <c r="D222" s="53">
        <v>1</v>
      </c>
      <c r="E222" s="53">
        <v>20</v>
      </c>
      <c r="F222" s="80">
        <v>45909</v>
      </c>
      <c r="G222" s="81">
        <v>0.375</v>
      </c>
      <c r="H222" s="80">
        <v>45907</v>
      </c>
      <c r="I222" s="81">
        <v>0.72222222222222221</v>
      </c>
      <c r="J222" s="53">
        <f t="shared" si="5"/>
        <v>10</v>
      </c>
      <c r="K222" s="53">
        <v>1</v>
      </c>
      <c r="L222" s="53">
        <v>10</v>
      </c>
      <c r="M222" s="53" t="s">
        <v>312</v>
      </c>
    </row>
    <row r="223" spans="1:13" ht="26.4" x14ac:dyDescent="0.25">
      <c r="A223" s="79" t="s">
        <v>313</v>
      </c>
      <c r="B223" s="53" t="s">
        <v>30</v>
      </c>
      <c r="C223" s="53" t="s">
        <v>31</v>
      </c>
      <c r="D223" s="53">
        <v>1</v>
      </c>
      <c r="E223" s="53">
        <v>20</v>
      </c>
      <c r="F223" s="80">
        <v>45909</v>
      </c>
      <c r="G223" s="81">
        <v>0.375</v>
      </c>
      <c r="H223" s="80">
        <v>45907</v>
      </c>
      <c r="I223" s="81">
        <v>0.73611111111111116</v>
      </c>
      <c r="J223" s="53">
        <f t="shared" si="5"/>
        <v>10</v>
      </c>
      <c r="K223" s="53">
        <v>1</v>
      </c>
      <c r="L223" s="53">
        <v>10</v>
      </c>
      <c r="M223" s="79" t="s">
        <v>314</v>
      </c>
    </row>
    <row r="224" spans="1:13" ht="26.4" x14ac:dyDescent="0.25">
      <c r="A224" s="79" t="s">
        <v>313</v>
      </c>
      <c r="B224" s="53" t="s">
        <v>39</v>
      </c>
      <c r="C224" s="53" t="s">
        <v>40</v>
      </c>
      <c r="D224" s="53">
        <v>1</v>
      </c>
      <c r="E224" s="53">
        <v>20</v>
      </c>
      <c r="F224" s="80">
        <v>45909</v>
      </c>
      <c r="G224" s="81">
        <v>0.375</v>
      </c>
      <c r="H224" s="80">
        <v>45907</v>
      </c>
      <c r="I224" s="81">
        <v>0.75</v>
      </c>
      <c r="J224" s="53">
        <f t="shared" si="5"/>
        <v>5</v>
      </c>
      <c r="K224" s="53">
        <v>1</v>
      </c>
      <c r="L224" s="53">
        <v>15</v>
      </c>
      <c r="M224" s="79" t="s">
        <v>314</v>
      </c>
    </row>
    <row r="225" spans="1:13" ht="26.4" x14ac:dyDescent="0.25">
      <c r="A225" s="79" t="s">
        <v>315</v>
      </c>
      <c r="B225" s="53" t="s">
        <v>30</v>
      </c>
      <c r="C225" s="53" t="s">
        <v>31</v>
      </c>
      <c r="D225" s="53">
        <v>1</v>
      </c>
      <c r="E225" s="53">
        <v>10</v>
      </c>
      <c r="F225" s="80">
        <v>45909</v>
      </c>
      <c r="G225" s="81">
        <v>0.375</v>
      </c>
      <c r="H225" s="80">
        <v>45907</v>
      </c>
      <c r="I225" s="81">
        <v>0.75694444444444442</v>
      </c>
      <c r="J225" s="53">
        <f t="shared" si="5"/>
        <v>0</v>
      </c>
      <c r="K225" s="53">
        <v>1</v>
      </c>
      <c r="L225" s="53">
        <v>10</v>
      </c>
      <c r="M225" s="79" t="s">
        <v>316</v>
      </c>
    </row>
    <row r="226" spans="1:13" ht="26.4" x14ac:dyDescent="0.25">
      <c r="A226" s="79" t="s">
        <v>315</v>
      </c>
      <c r="B226" s="53" t="s">
        <v>39</v>
      </c>
      <c r="C226" s="53" t="s">
        <v>40</v>
      </c>
      <c r="D226" s="53">
        <v>1</v>
      </c>
      <c r="E226" s="53">
        <v>10</v>
      </c>
      <c r="F226" s="80">
        <v>45909</v>
      </c>
      <c r="G226" s="81">
        <v>0.375</v>
      </c>
      <c r="H226" s="80">
        <v>45907</v>
      </c>
      <c r="I226" s="81">
        <v>0.76388888888888884</v>
      </c>
      <c r="J226" s="53">
        <f t="shared" si="5"/>
        <v>0</v>
      </c>
      <c r="K226" s="53">
        <v>1</v>
      </c>
      <c r="L226" s="53">
        <v>10</v>
      </c>
      <c r="M226" s="79" t="s">
        <v>316</v>
      </c>
    </row>
    <row r="227" spans="1:13" ht="23.4" x14ac:dyDescent="0.25">
      <c r="A227" s="92" t="s">
        <v>123</v>
      </c>
      <c r="B227" s="85" t="s">
        <v>36</v>
      </c>
      <c r="C227" s="85" t="s">
        <v>37</v>
      </c>
      <c r="D227" s="49">
        <v>1</v>
      </c>
      <c r="E227" s="49">
        <v>20</v>
      </c>
      <c r="F227" s="85">
        <v>45909</v>
      </c>
      <c r="G227" s="86">
        <v>0.375</v>
      </c>
      <c r="H227" s="85">
        <v>45907</v>
      </c>
      <c r="I227" s="86">
        <v>0.80555555555555558</v>
      </c>
      <c r="J227" s="87">
        <f t="shared" si="5"/>
        <v>0</v>
      </c>
      <c r="K227" s="8">
        <v>1</v>
      </c>
      <c r="L227" s="88">
        <v>20</v>
      </c>
      <c r="M227" s="93" t="s">
        <v>124</v>
      </c>
    </row>
    <row r="228" spans="1:13" ht="23.4" x14ac:dyDescent="0.25">
      <c r="A228" s="38" t="s">
        <v>123</v>
      </c>
      <c r="B228" s="85" t="s">
        <v>143</v>
      </c>
      <c r="C228" s="85" t="s">
        <v>43</v>
      </c>
      <c r="D228" s="49">
        <v>1</v>
      </c>
      <c r="E228" s="49">
        <v>20</v>
      </c>
      <c r="F228" s="85">
        <v>45909</v>
      </c>
      <c r="G228" s="86">
        <v>0.375</v>
      </c>
      <c r="H228" s="85">
        <v>45907</v>
      </c>
      <c r="I228" s="86">
        <v>0.80555555555555558</v>
      </c>
      <c r="J228" s="87">
        <f t="shared" ref="J228:J249" si="6">E228-L228</f>
        <v>0</v>
      </c>
      <c r="K228" s="8">
        <v>1</v>
      </c>
      <c r="L228" s="88">
        <v>20</v>
      </c>
      <c r="M228" s="93" t="s">
        <v>124</v>
      </c>
    </row>
    <row r="229" spans="1:13" ht="26.4" x14ac:dyDescent="0.25">
      <c r="A229" s="13" t="s">
        <v>175</v>
      </c>
      <c r="B229" s="13" t="s">
        <v>36</v>
      </c>
      <c r="C229" s="13" t="s">
        <v>37</v>
      </c>
      <c r="D229" s="53">
        <v>1</v>
      </c>
      <c r="E229" s="53">
        <v>30</v>
      </c>
      <c r="F229" s="13">
        <v>45909</v>
      </c>
      <c r="G229" s="86">
        <v>0.375</v>
      </c>
      <c r="H229" s="13">
        <v>45907</v>
      </c>
      <c r="I229" s="12">
        <v>0.83333333333333337</v>
      </c>
      <c r="J229" s="53">
        <f t="shared" si="6"/>
        <v>6</v>
      </c>
      <c r="K229" s="50">
        <v>1</v>
      </c>
      <c r="L229" s="68">
        <v>24</v>
      </c>
      <c r="M229" s="52" t="s">
        <v>176</v>
      </c>
    </row>
    <row r="230" spans="1:13" ht="26.4" x14ac:dyDescent="0.25">
      <c r="A230" s="13" t="s">
        <v>177</v>
      </c>
      <c r="B230" s="13" t="s">
        <v>39</v>
      </c>
      <c r="C230" s="13" t="s">
        <v>40</v>
      </c>
      <c r="D230" s="53">
        <v>1</v>
      </c>
      <c r="E230" s="53">
        <v>30</v>
      </c>
      <c r="F230" s="13">
        <v>45909</v>
      </c>
      <c r="G230" s="86">
        <v>0.375</v>
      </c>
      <c r="H230" s="13">
        <v>45907</v>
      </c>
      <c r="I230" s="12">
        <v>0.83333333333333337</v>
      </c>
      <c r="J230" s="53">
        <f t="shared" si="6"/>
        <v>0</v>
      </c>
      <c r="K230" s="50">
        <v>1</v>
      </c>
      <c r="L230" s="68">
        <v>30</v>
      </c>
      <c r="M230" s="52" t="s">
        <v>178</v>
      </c>
    </row>
    <row r="231" spans="1:13" ht="39.6" x14ac:dyDescent="0.25">
      <c r="A231" s="61" t="s">
        <v>179</v>
      </c>
      <c r="B231" s="13" t="s">
        <v>39</v>
      </c>
      <c r="C231" s="13" t="s">
        <v>40</v>
      </c>
      <c r="D231" s="53">
        <v>5</v>
      </c>
      <c r="E231" s="53">
        <v>50</v>
      </c>
      <c r="F231" s="13">
        <v>45909</v>
      </c>
      <c r="G231" s="86">
        <v>0.375</v>
      </c>
      <c r="H231" s="13">
        <v>45907</v>
      </c>
      <c r="I231" s="12">
        <v>0.86805555555555558</v>
      </c>
      <c r="J231" s="53">
        <f t="shared" si="6"/>
        <v>5</v>
      </c>
      <c r="K231" s="50">
        <v>5</v>
      </c>
      <c r="L231" s="68">
        <v>45</v>
      </c>
      <c r="M231" s="52" t="s">
        <v>180</v>
      </c>
    </row>
    <row r="232" spans="1:13" ht="23.4" x14ac:dyDescent="0.25">
      <c r="A232" s="23" t="s">
        <v>146</v>
      </c>
      <c r="B232" s="85" t="s">
        <v>30</v>
      </c>
      <c r="C232" s="90" t="s">
        <v>207</v>
      </c>
      <c r="D232" s="84">
        <v>1</v>
      </c>
      <c r="E232" s="49">
        <v>60</v>
      </c>
      <c r="F232" s="85">
        <v>45909</v>
      </c>
      <c r="G232" s="86">
        <v>0.375</v>
      </c>
      <c r="H232" s="85">
        <v>45907</v>
      </c>
      <c r="I232" s="86">
        <v>0.91666666666666663</v>
      </c>
      <c r="J232" s="87">
        <f t="shared" si="6"/>
        <v>50</v>
      </c>
      <c r="K232" s="8">
        <v>1</v>
      </c>
      <c r="L232" s="88">
        <v>10</v>
      </c>
      <c r="M232" s="91" t="s">
        <v>149</v>
      </c>
    </row>
    <row r="233" spans="1:13" ht="23.4" x14ac:dyDescent="0.25">
      <c r="A233" s="23" t="s">
        <v>146</v>
      </c>
      <c r="B233" s="85" t="s">
        <v>42</v>
      </c>
      <c r="C233" s="85" t="s">
        <v>77</v>
      </c>
      <c r="D233" s="84">
        <v>1</v>
      </c>
      <c r="E233" s="49">
        <v>60</v>
      </c>
      <c r="F233" s="85">
        <v>45909</v>
      </c>
      <c r="G233" s="86">
        <v>0.375</v>
      </c>
      <c r="H233" s="85">
        <v>45907</v>
      </c>
      <c r="I233" s="86">
        <v>0.91666666666666663</v>
      </c>
      <c r="J233" s="87">
        <f t="shared" si="6"/>
        <v>50</v>
      </c>
      <c r="K233" s="8">
        <v>1</v>
      </c>
      <c r="L233" s="88">
        <v>10</v>
      </c>
      <c r="M233" s="91" t="s">
        <v>149</v>
      </c>
    </row>
    <row r="234" spans="1:13" ht="23.4" x14ac:dyDescent="0.25">
      <c r="A234" s="23" t="s">
        <v>146</v>
      </c>
      <c r="B234" s="85" t="s">
        <v>21</v>
      </c>
      <c r="C234" s="85" t="s">
        <v>86</v>
      </c>
      <c r="D234" s="84">
        <v>1</v>
      </c>
      <c r="E234" s="49">
        <v>60</v>
      </c>
      <c r="F234" s="85">
        <v>45909</v>
      </c>
      <c r="G234" s="86">
        <v>0.375</v>
      </c>
      <c r="H234" s="85">
        <v>45907</v>
      </c>
      <c r="I234" s="86">
        <v>0.91666666666666663</v>
      </c>
      <c r="J234" s="87">
        <f t="shared" si="6"/>
        <v>50</v>
      </c>
      <c r="K234" s="8">
        <v>1</v>
      </c>
      <c r="L234" s="88">
        <v>10</v>
      </c>
      <c r="M234" s="91" t="s">
        <v>149</v>
      </c>
    </row>
    <row r="235" spans="1:13" ht="23.4" x14ac:dyDescent="0.25">
      <c r="A235" s="23" t="s">
        <v>146</v>
      </c>
      <c r="B235" s="85" t="s">
        <v>136</v>
      </c>
      <c r="C235" s="85" t="s">
        <v>151</v>
      </c>
      <c r="D235" s="84">
        <v>1</v>
      </c>
      <c r="E235" s="49">
        <v>60</v>
      </c>
      <c r="F235" s="85">
        <v>45909</v>
      </c>
      <c r="G235" s="86">
        <v>0.375</v>
      </c>
      <c r="H235" s="85">
        <v>45907</v>
      </c>
      <c r="I235" s="86">
        <v>0.91666666666666663</v>
      </c>
      <c r="J235" s="87">
        <f t="shared" si="6"/>
        <v>50</v>
      </c>
      <c r="K235" s="8">
        <v>1</v>
      </c>
      <c r="L235" s="88">
        <v>10</v>
      </c>
      <c r="M235" s="91" t="s">
        <v>149</v>
      </c>
    </row>
    <row r="236" spans="1:13" ht="23.4" x14ac:dyDescent="0.25">
      <c r="A236" s="23" t="s">
        <v>146</v>
      </c>
      <c r="B236" s="85" t="s">
        <v>36</v>
      </c>
      <c r="C236" s="85" t="s">
        <v>80</v>
      </c>
      <c r="D236" s="84">
        <v>1</v>
      </c>
      <c r="E236" s="49">
        <v>60</v>
      </c>
      <c r="F236" s="85">
        <v>45909</v>
      </c>
      <c r="G236" s="86">
        <v>0.375</v>
      </c>
      <c r="H236" s="85">
        <v>45907</v>
      </c>
      <c r="I236" s="86">
        <v>0.91666666666666663</v>
      </c>
      <c r="J236" s="87">
        <f t="shared" si="6"/>
        <v>50</v>
      </c>
      <c r="K236" s="8">
        <v>1</v>
      </c>
      <c r="L236" s="88">
        <v>10</v>
      </c>
      <c r="M236" s="91" t="s">
        <v>149</v>
      </c>
    </row>
    <row r="237" spans="1:13" ht="23.4" x14ac:dyDescent="0.25">
      <c r="A237" s="23" t="s">
        <v>146</v>
      </c>
      <c r="B237" s="85" t="s">
        <v>39</v>
      </c>
      <c r="C237" s="85" t="s">
        <v>150</v>
      </c>
      <c r="D237" s="84">
        <v>1</v>
      </c>
      <c r="E237" s="49">
        <v>60</v>
      </c>
      <c r="F237" s="85">
        <v>45909</v>
      </c>
      <c r="G237" s="86">
        <v>0.375</v>
      </c>
      <c r="H237" s="85">
        <v>45907</v>
      </c>
      <c r="I237" s="86">
        <v>0.91666666666666663</v>
      </c>
      <c r="J237" s="87">
        <f t="shared" si="6"/>
        <v>50</v>
      </c>
      <c r="K237" s="8">
        <v>1</v>
      </c>
      <c r="L237" s="88">
        <v>10</v>
      </c>
      <c r="M237" s="91" t="s">
        <v>149</v>
      </c>
    </row>
    <row r="238" spans="1:13" x14ac:dyDescent="0.25">
      <c r="A238" s="23" t="s">
        <v>52</v>
      </c>
      <c r="B238" s="89" t="s">
        <v>21</v>
      </c>
      <c r="C238" s="90" t="s">
        <v>22</v>
      </c>
      <c r="D238" s="84">
        <v>1</v>
      </c>
      <c r="E238" s="49">
        <v>30</v>
      </c>
      <c r="F238" s="85">
        <v>45909</v>
      </c>
      <c r="G238" s="86">
        <v>0.375</v>
      </c>
      <c r="H238" s="85">
        <v>45907</v>
      </c>
      <c r="I238" s="86">
        <v>0.91666666666666663</v>
      </c>
      <c r="J238" s="87">
        <f t="shared" si="6"/>
        <v>0</v>
      </c>
      <c r="K238" s="8">
        <v>1</v>
      </c>
      <c r="L238" s="88">
        <v>30</v>
      </c>
      <c r="M238" s="91" t="s">
        <v>53</v>
      </c>
    </row>
    <row r="239" spans="1:13" x14ac:dyDescent="0.25">
      <c r="A239" s="23" t="s">
        <v>153</v>
      </c>
      <c r="B239" s="89" t="s">
        <v>36</v>
      </c>
      <c r="C239" s="90" t="s">
        <v>37</v>
      </c>
      <c r="D239" s="84">
        <v>1</v>
      </c>
      <c r="E239" s="5">
        <v>30</v>
      </c>
      <c r="F239" s="85">
        <v>45909</v>
      </c>
      <c r="G239" s="86">
        <v>0.375</v>
      </c>
      <c r="H239" s="85">
        <v>45907</v>
      </c>
      <c r="I239" s="86">
        <v>0.91666666666666663</v>
      </c>
      <c r="J239" s="87">
        <f t="shared" si="6"/>
        <v>0</v>
      </c>
      <c r="K239" s="8">
        <v>1</v>
      </c>
      <c r="L239" s="88">
        <v>30</v>
      </c>
      <c r="M239" s="91" t="s">
        <v>53</v>
      </c>
    </row>
    <row r="240" spans="1:13" ht="23.4" x14ac:dyDescent="0.25">
      <c r="A240" s="23" t="s">
        <v>79</v>
      </c>
      <c r="B240" s="85" t="s">
        <v>36</v>
      </c>
      <c r="C240" s="90" t="s">
        <v>37</v>
      </c>
      <c r="D240" s="84">
        <v>1</v>
      </c>
      <c r="E240" s="49">
        <v>45</v>
      </c>
      <c r="F240" s="85">
        <v>45909</v>
      </c>
      <c r="G240" s="86">
        <v>0.375</v>
      </c>
      <c r="H240" s="85">
        <v>45907</v>
      </c>
      <c r="I240" s="86">
        <v>0.9375</v>
      </c>
      <c r="J240" s="87">
        <f t="shared" si="6"/>
        <v>-35</v>
      </c>
      <c r="K240" s="8">
        <v>1</v>
      </c>
      <c r="L240" s="88">
        <v>80</v>
      </c>
      <c r="M240" s="91" t="s">
        <v>81</v>
      </c>
    </row>
    <row r="241" spans="1:13" x14ac:dyDescent="0.25">
      <c r="A241" s="23" t="s">
        <v>85</v>
      </c>
      <c r="B241" s="85" t="s">
        <v>21</v>
      </c>
      <c r="C241" s="90" t="s">
        <v>22</v>
      </c>
      <c r="D241" s="84">
        <v>1</v>
      </c>
      <c r="E241" s="49">
        <v>60</v>
      </c>
      <c r="F241" s="85">
        <v>45909</v>
      </c>
      <c r="G241" s="86">
        <v>0.375</v>
      </c>
      <c r="H241" s="85">
        <v>45907</v>
      </c>
      <c r="I241" s="86">
        <v>0.9375</v>
      </c>
      <c r="J241" s="87">
        <f t="shared" si="6"/>
        <v>10</v>
      </c>
      <c r="K241" s="8">
        <v>1</v>
      </c>
      <c r="L241" s="88">
        <v>50</v>
      </c>
      <c r="M241" s="91" t="s">
        <v>87</v>
      </c>
    </row>
    <row r="242" spans="1:13" x14ac:dyDescent="0.25">
      <c r="A242" s="23" t="s">
        <v>88</v>
      </c>
      <c r="B242" s="85" t="s">
        <v>21</v>
      </c>
      <c r="C242" s="85" t="s">
        <v>22</v>
      </c>
      <c r="D242" s="84">
        <v>1</v>
      </c>
      <c r="E242" s="49">
        <v>55</v>
      </c>
      <c r="F242" s="85">
        <v>45909</v>
      </c>
      <c r="G242" s="86">
        <v>0.375</v>
      </c>
      <c r="H242" s="85">
        <v>45907</v>
      </c>
      <c r="I242" s="86">
        <v>0.9375</v>
      </c>
      <c r="J242" s="87">
        <f t="shared" si="6"/>
        <v>0</v>
      </c>
      <c r="K242" s="8">
        <v>1</v>
      </c>
      <c r="L242" s="88">
        <v>55</v>
      </c>
      <c r="M242" s="91" t="s">
        <v>89</v>
      </c>
    </row>
    <row r="243" spans="1:13" ht="23.4" x14ac:dyDescent="0.25">
      <c r="A243" s="33" t="s">
        <v>131</v>
      </c>
      <c r="B243" s="85" t="s">
        <v>36</v>
      </c>
      <c r="C243" s="85" t="s">
        <v>37</v>
      </c>
      <c r="D243" s="49">
        <v>1</v>
      </c>
      <c r="E243" s="49">
        <v>30</v>
      </c>
      <c r="F243" s="85">
        <v>45909</v>
      </c>
      <c r="G243" s="86">
        <v>0.375</v>
      </c>
      <c r="H243" s="85">
        <v>45907</v>
      </c>
      <c r="I243" s="86">
        <v>0.9375</v>
      </c>
      <c r="J243" s="87">
        <f t="shared" si="6"/>
        <v>-2</v>
      </c>
      <c r="K243" s="8">
        <v>1</v>
      </c>
      <c r="L243" s="88">
        <v>32</v>
      </c>
      <c r="M243" s="91" t="s">
        <v>132</v>
      </c>
    </row>
    <row r="244" spans="1:13" ht="23.4" x14ac:dyDescent="0.25">
      <c r="A244" s="33" t="s">
        <v>131</v>
      </c>
      <c r="B244" s="85" t="s">
        <v>42</v>
      </c>
      <c r="C244" s="85" t="s">
        <v>43</v>
      </c>
      <c r="D244" s="49">
        <v>1</v>
      </c>
      <c r="E244" s="49">
        <v>30</v>
      </c>
      <c r="F244" s="85">
        <v>45909</v>
      </c>
      <c r="G244" s="86">
        <v>0.375</v>
      </c>
      <c r="H244" s="85">
        <v>45907</v>
      </c>
      <c r="I244" s="86">
        <v>0.9375</v>
      </c>
      <c r="J244" s="87">
        <f t="shared" si="6"/>
        <v>-2</v>
      </c>
      <c r="K244" s="8">
        <v>1</v>
      </c>
      <c r="L244" s="88">
        <v>32</v>
      </c>
      <c r="M244" s="91" t="s">
        <v>132</v>
      </c>
    </row>
    <row r="245" spans="1:13" ht="23.4" x14ac:dyDescent="0.25">
      <c r="A245" s="33" t="s">
        <v>131</v>
      </c>
      <c r="B245" s="85" t="s">
        <v>30</v>
      </c>
      <c r="C245" s="85" t="s">
        <v>31</v>
      </c>
      <c r="D245" s="49">
        <v>1</v>
      </c>
      <c r="E245" s="49">
        <v>30</v>
      </c>
      <c r="F245" s="85">
        <v>45909</v>
      </c>
      <c r="G245" s="86">
        <v>0.375</v>
      </c>
      <c r="H245" s="85">
        <v>45907</v>
      </c>
      <c r="I245" s="86">
        <v>0.9375</v>
      </c>
      <c r="J245" s="87">
        <f t="shared" si="6"/>
        <v>-2</v>
      </c>
      <c r="K245" s="8">
        <v>1</v>
      </c>
      <c r="L245" s="88">
        <v>32</v>
      </c>
      <c r="M245" s="91" t="s">
        <v>132</v>
      </c>
    </row>
    <row r="246" spans="1:13" ht="23.4" x14ac:dyDescent="0.25">
      <c r="A246" s="33" t="s">
        <v>131</v>
      </c>
      <c r="B246" s="85" t="s">
        <v>21</v>
      </c>
      <c r="C246" s="85" t="s">
        <v>22</v>
      </c>
      <c r="D246" s="49">
        <v>1</v>
      </c>
      <c r="E246" s="49">
        <v>30</v>
      </c>
      <c r="F246" s="85">
        <v>45909</v>
      </c>
      <c r="G246" s="86">
        <v>0.375</v>
      </c>
      <c r="H246" s="85">
        <v>45907</v>
      </c>
      <c r="I246" s="86">
        <v>0.9375</v>
      </c>
      <c r="J246" s="87">
        <f t="shared" si="6"/>
        <v>-2</v>
      </c>
      <c r="K246" s="8">
        <v>1</v>
      </c>
      <c r="L246" s="88">
        <v>32</v>
      </c>
      <c r="M246" s="91" t="s">
        <v>132</v>
      </c>
    </row>
    <row r="247" spans="1:13" ht="23.4" x14ac:dyDescent="0.25">
      <c r="A247" s="33" t="s">
        <v>131</v>
      </c>
      <c r="B247" s="85" t="s">
        <v>136</v>
      </c>
      <c r="C247" s="85" t="s">
        <v>34</v>
      </c>
      <c r="D247" s="49">
        <v>1</v>
      </c>
      <c r="E247" s="49">
        <v>30</v>
      </c>
      <c r="F247" s="85">
        <v>45909</v>
      </c>
      <c r="G247" s="86">
        <v>0.375</v>
      </c>
      <c r="H247" s="85">
        <v>45907</v>
      </c>
      <c r="I247" s="86">
        <v>0.9375</v>
      </c>
      <c r="J247" s="87">
        <f t="shared" si="6"/>
        <v>-2</v>
      </c>
      <c r="K247" s="8">
        <v>1</v>
      </c>
      <c r="L247" s="88">
        <v>32</v>
      </c>
      <c r="M247" s="91" t="s">
        <v>132</v>
      </c>
    </row>
    <row r="248" spans="1:13" ht="23.4" x14ac:dyDescent="0.25">
      <c r="A248" s="33" t="s">
        <v>131</v>
      </c>
      <c r="B248" s="85" t="s">
        <v>39</v>
      </c>
      <c r="C248" s="85" t="s">
        <v>40</v>
      </c>
      <c r="D248" s="49">
        <v>1</v>
      </c>
      <c r="E248" s="49">
        <v>30</v>
      </c>
      <c r="F248" s="85">
        <v>45909</v>
      </c>
      <c r="G248" s="86">
        <v>0.375</v>
      </c>
      <c r="H248" s="85">
        <v>45907</v>
      </c>
      <c r="I248" s="86">
        <v>0.9375</v>
      </c>
      <c r="J248" s="87">
        <f t="shared" si="6"/>
        <v>-2</v>
      </c>
      <c r="K248" s="8">
        <v>1</v>
      </c>
      <c r="L248" s="88">
        <v>32</v>
      </c>
      <c r="M248" s="91" t="s">
        <v>132</v>
      </c>
    </row>
    <row r="249" spans="1:13" ht="23.4" x14ac:dyDescent="0.25">
      <c r="A249" s="33" t="s">
        <v>133</v>
      </c>
      <c r="B249" s="85" t="s">
        <v>21</v>
      </c>
      <c r="C249" s="85" t="s">
        <v>22</v>
      </c>
      <c r="D249" s="49">
        <v>3</v>
      </c>
      <c r="E249" s="49">
        <v>20</v>
      </c>
      <c r="F249" s="85">
        <v>45909</v>
      </c>
      <c r="G249" s="86">
        <v>0.375</v>
      </c>
      <c r="H249" s="85">
        <v>45908</v>
      </c>
      <c r="I249" s="86">
        <v>0.375</v>
      </c>
      <c r="J249" s="87">
        <f t="shared" si="6"/>
        <v>5</v>
      </c>
      <c r="K249" s="8">
        <v>3</v>
      </c>
      <c r="L249" s="88">
        <v>15</v>
      </c>
      <c r="M249" s="91" t="s">
        <v>134</v>
      </c>
    </row>
    <row r="265" customFormat="1" x14ac:dyDescent="0.25"/>
    <row r="266" customFormat="1" x14ac:dyDescent="0.25"/>
    <row r="267" customFormat="1" x14ac:dyDescent="0.25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"/>
  <sheetViews>
    <sheetView topLeftCell="A2" zoomScale="84" zoomScaleNormal="76" workbookViewId="0">
      <selection activeCell="F9" sqref="F9"/>
    </sheetView>
  </sheetViews>
  <sheetFormatPr baseColWidth="10" defaultColWidth="11.44140625" defaultRowHeight="13.2" x14ac:dyDescent="0.25"/>
  <cols>
    <col min="1" max="1" width="54.6640625" style="4" bestFit="1" customWidth="1"/>
    <col min="2" max="2" width="15.44140625" style="4" customWidth="1"/>
    <col min="3" max="3" width="13.109375" style="4" customWidth="1"/>
    <col min="4" max="5" width="12.33203125" style="4" customWidth="1"/>
    <col min="6" max="8" width="10.6640625" style="4" customWidth="1"/>
    <col min="9" max="10" width="10.6640625" style="3" customWidth="1"/>
    <col min="11" max="11" width="10.6640625" style="2" customWidth="1"/>
    <col min="12" max="12" width="10.6640625" style="1" customWidth="1"/>
    <col min="13" max="13" width="48.109375" style="1" bestFit="1" customWidth="1"/>
    <col min="14" max="14" width="10.6640625" customWidth="1"/>
  </cols>
  <sheetData>
    <row r="1" spans="1:20" ht="32.25" customHeight="1" x14ac:dyDescent="0.25">
      <c r="A1" s="175"/>
      <c r="B1" s="177" t="s">
        <v>0</v>
      </c>
      <c r="C1" s="177"/>
      <c r="D1" s="177"/>
      <c r="E1" s="177"/>
      <c r="F1" s="177"/>
      <c r="G1" s="177"/>
      <c r="H1" s="177"/>
      <c r="I1" s="177"/>
      <c r="J1" s="177"/>
      <c r="K1" s="177"/>
      <c r="L1" s="179"/>
      <c r="M1" s="180"/>
    </row>
    <row r="2" spans="1:20" ht="20.25" customHeight="1" x14ac:dyDescent="0.25">
      <c r="A2" s="176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81"/>
      <c r="M2" s="182"/>
    </row>
    <row r="3" spans="1:20" ht="12.75" customHeight="1" x14ac:dyDescent="0.25">
      <c r="A3" s="183" t="s">
        <v>1</v>
      </c>
      <c r="B3" s="185" t="s">
        <v>2</v>
      </c>
      <c r="C3" s="185"/>
      <c r="D3" s="185"/>
      <c r="E3" s="185"/>
      <c r="F3" s="185"/>
      <c r="G3" s="185"/>
      <c r="H3" s="185"/>
      <c r="I3" s="185"/>
      <c r="J3" s="185"/>
      <c r="K3" s="185"/>
      <c r="L3" s="187" t="s">
        <v>3</v>
      </c>
      <c r="M3" s="188"/>
    </row>
    <row r="4" spans="1:20" ht="13.8" thickBot="1" x14ac:dyDescent="0.3">
      <c r="A4" s="184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6" t="s">
        <v>4</v>
      </c>
      <c r="M4" s="15"/>
    </row>
    <row r="5" spans="1:20" ht="13.8" thickBot="1" x14ac:dyDescent="0.3"/>
    <row r="6" spans="1:20" ht="14.4" thickBot="1" x14ac:dyDescent="0.3">
      <c r="A6" s="24" t="s">
        <v>5</v>
      </c>
      <c r="B6" s="171" t="s">
        <v>6</v>
      </c>
      <c r="C6" s="171"/>
      <c r="D6" s="171"/>
      <c r="E6" s="171"/>
      <c r="F6" s="171"/>
      <c r="G6" s="171"/>
      <c r="H6" s="172" t="s">
        <v>7</v>
      </c>
      <c r="I6" s="173"/>
      <c r="J6" s="173"/>
      <c r="K6" s="173"/>
      <c r="L6" s="174"/>
      <c r="M6" s="25"/>
    </row>
    <row r="7" spans="1:20" s="14" customFormat="1" ht="49.5" customHeight="1" x14ac:dyDescent="0.25">
      <c r="A7" s="18" cm="1">
        <f t="array" aca="1" ref="A7" ca="1">+#REF!+A1:L7+A7:L49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17" t="s">
        <v>21</v>
      </c>
      <c r="C8" s="17" t="s">
        <v>22</v>
      </c>
      <c r="D8" s="20">
        <v>1</v>
      </c>
      <c r="E8" s="20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20" si="0">E8-L8</f>
        <v>-15</v>
      </c>
      <c r="K8" s="8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17" t="s">
        <v>21</v>
      </c>
      <c r="C9" s="17" t="s">
        <v>22</v>
      </c>
      <c r="D9" s="20">
        <v>1</v>
      </c>
      <c r="E9" s="20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8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17" t="s">
        <v>135</v>
      </c>
      <c r="C10" s="17" t="s">
        <v>31</v>
      </c>
      <c r="D10" s="20">
        <v>1</v>
      </c>
      <c r="E10" s="20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8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17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8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17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8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17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8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" customHeight="1" x14ac:dyDescent="0.2">
      <c r="A14" s="23" t="s">
        <v>24</v>
      </c>
      <c r="B14" s="17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8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" customHeight="1" x14ac:dyDescent="0.2">
      <c r="A15" s="23" t="s">
        <v>26</v>
      </c>
      <c r="B15" s="5" t="s">
        <v>27</v>
      </c>
      <c r="C15" s="8" t="s">
        <v>28</v>
      </c>
      <c r="D15" s="20">
        <v>1</v>
      </c>
      <c r="E15" s="28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8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" customHeight="1" x14ac:dyDescent="0.2">
      <c r="A16" s="23" t="s">
        <v>26</v>
      </c>
      <c r="B16" s="21" t="s">
        <v>30</v>
      </c>
      <c r="C16" s="21" t="s">
        <v>31</v>
      </c>
      <c r="D16" s="20">
        <v>1</v>
      </c>
      <c r="E16" s="28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8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17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8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17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8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17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8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" customHeight="1" x14ac:dyDescent="0.2">
      <c r="A20" s="23" t="s">
        <v>26</v>
      </c>
      <c r="B20" s="17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8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" customHeight="1" x14ac:dyDescent="0.2">
      <c r="A21" s="23" t="s">
        <v>45</v>
      </c>
      <c r="B21" s="17" t="s">
        <v>21</v>
      </c>
      <c r="C21" s="17" t="s">
        <v>22</v>
      </c>
      <c r="D21" s="20">
        <v>1</v>
      </c>
      <c r="E21" s="28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ref="J21:J35" si="1">E21-L21</f>
        <v>10</v>
      </c>
      <c r="K21" s="8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" customHeight="1" x14ac:dyDescent="0.2">
      <c r="A22" s="23" t="s">
        <v>45</v>
      </c>
      <c r="B22" s="17" t="s">
        <v>30</v>
      </c>
      <c r="C22" s="17" t="s">
        <v>31</v>
      </c>
      <c r="D22" s="20">
        <v>1</v>
      </c>
      <c r="E22" s="28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1"/>
        <v>10</v>
      </c>
      <c r="K22" s="8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21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1"/>
        <v>10</v>
      </c>
      <c r="K23" s="8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" customHeight="1" x14ac:dyDescent="0.2">
      <c r="A24" s="23" t="s">
        <v>45</v>
      </c>
      <c r="B24" s="17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1"/>
        <v>10</v>
      </c>
      <c r="K24" s="8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21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1"/>
        <v>10</v>
      </c>
      <c r="K25" s="8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21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1"/>
        <v>10</v>
      </c>
      <c r="K26" s="8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" customHeight="1" x14ac:dyDescent="0.2">
      <c r="A27" s="23" t="s">
        <v>52</v>
      </c>
      <c r="B27" s="21" t="s">
        <v>21</v>
      </c>
      <c r="C27" s="21" t="s">
        <v>22</v>
      </c>
      <c r="D27" s="20">
        <v>1</v>
      </c>
      <c r="E27" s="2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1"/>
        <v>0</v>
      </c>
      <c r="K27" s="8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" customHeight="1" x14ac:dyDescent="0.2">
      <c r="A28" s="23" t="s">
        <v>52</v>
      </c>
      <c r="B28" s="21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8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5">
      <c r="A29" s="23" t="s">
        <v>144</v>
      </c>
      <c r="B29" s="21" t="s">
        <v>30</v>
      </c>
      <c r="C29" s="21" t="s">
        <v>31</v>
      </c>
      <c r="D29" s="20">
        <v>1</v>
      </c>
      <c r="E29" s="8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1"/>
        <v>0</v>
      </c>
      <c r="K29" s="8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11" t="s">
        <v>55</v>
      </c>
      <c r="C30" s="11" t="s">
        <v>28</v>
      </c>
      <c r="D30" s="20">
        <v>1</v>
      </c>
      <c r="E30" s="2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1"/>
        <v>60</v>
      </c>
      <c r="K30" s="8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11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1"/>
        <v>60</v>
      </c>
      <c r="K31" s="8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5">
      <c r="A32" s="26" t="s">
        <v>60</v>
      </c>
      <c r="B32" s="11" t="s">
        <v>61</v>
      </c>
      <c r="C32" s="11" t="s">
        <v>62</v>
      </c>
      <c r="D32" s="20">
        <v>1</v>
      </c>
      <c r="E32" s="2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8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11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1"/>
        <v>-30</v>
      </c>
      <c r="K33" s="8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11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1"/>
        <v>-90</v>
      </c>
      <c r="K34" s="8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11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1"/>
        <v>5</v>
      </c>
      <c r="K35" s="8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" customHeight="1" x14ac:dyDescent="0.2">
      <c r="A36" s="23" t="s">
        <v>73</v>
      </c>
      <c r="B36" s="11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ref="J36:J49" si="2">E36-L36</f>
        <v>-50</v>
      </c>
      <c r="K36" s="8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11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2"/>
        <v>-70</v>
      </c>
      <c r="K37" s="8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11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2"/>
        <v>-35</v>
      </c>
      <c r="K38" s="8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11" t="s">
        <v>30</v>
      </c>
      <c r="C39" s="11" t="s">
        <v>83</v>
      </c>
      <c r="D39" s="20">
        <v>1</v>
      </c>
      <c r="E39" s="2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2"/>
        <v>-4</v>
      </c>
      <c r="K39" s="8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11" t="s">
        <v>21</v>
      </c>
      <c r="C40" s="11" t="s">
        <v>86</v>
      </c>
      <c r="D40" s="20">
        <v>1</v>
      </c>
      <c r="E40" s="2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2"/>
        <v>10</v>
      </c>
      <c r="K40" s="8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11" t="s">
        <v>21</v>
      </c>
      <c r="C41" s="11" t="s">
        <v>86</v>
      </c>
      <c r="D41" s="20">
        <v>1</v>
      </c>
      <c r="E41" s="2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2"/>
        <v>0</v>
      </c>
      <c r="K41" s="8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11" t="s">
        <v>30</v>
      </c>
      <c r="C42" s="11" t="s">
        <v>83</v>
      </c>
      <c r="D42" s="20">
        <v>1</v>
      </c>
      <c r="E42" s="2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8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11" t="s">
        <v>21</v>
      </c>
      <c r="C43" s="11" t="s">
        <v>86</v>
      </c>
      <c r="D43" s="20">
        <v>1</v>
      </c>
      <c r="E43" s="2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8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11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8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11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8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11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8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2"/>
        <v>-6</v>
      </c>
      <c r="K47" s="8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11" t="s">
        <v>30</v>
      </c>
      <c r="C48" s="11" t="s">
        <v>83</v>
      </c>
      <c r="D48" s="20">
        <v>1</v>
      </c>
      <c r="E48" s="2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2"/>
        <v>5</v>
      </c>
      <c r="K48" s="8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11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2"/>
        <v>0</v>
      </c>
      <c r="K49" s="8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" customHeight="1" x14ac:dyDescent="0.25">
      <c r="A50" s="4"/>
      <c r="B50" s="4"/>
      <c r="C50" s="4"/>
      <c r="D50" s="4"/>
      <c r="E50" s="4"/>
      <c r="F50" s="4"/>
      <c r="G50" s="4"/>
      <c r="H50" s="4"/>
      <c r="I50" s="3"/>
      <c r="J50" s="3"/>
      <c r="K50" s="2"/>
      <c r="L50" s="1"/>
      <c r="M50" s="1"/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5">
      <c r="A51" s="4"/>
      <c r="B51" s="4"/>
      <c r="C51" s="4"/>
      <c r="D51" s="4"/>
      <c r="E51" s="4"/>
      <c r="F51" s="4"/>
      <c r="G51" s="4"/>
      <c r="H51" s="4"/>
      <c r="I51" s="3"/>
      <c r="J51" s="3"/>
      <c r="K51" s="2"/>
      <c r="L51" s="1"/>
      <c r="M51" s="1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" customHeight="1" x14ac:dyDescent="0.25">
      <c r="A52" s="4"/>
      <c r="B52" s="4"/>
      <c r="C52" s="4"/>
      <c r="D52" s="4"/>
      <c r="E52" s="4"/>
      <c r="F52" s="4"/>
      <c r="G52" s="4"/>
      <c r="H52" s="4"/>
      <c r="I52" s="3"/>
      <c r="J52" s="3"/>
      <c r="K52" s="2"/>
      <c r="L52" s="1"/>
      <c r="M52" s="1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5">
      <c r="A53" s="4"/>
      <c r="B53" s="4"/>
      <c r="C53" s="4"/>
      <c r="D53" s="4"/>
      <c r="E53" s="4"/>
      <c r="F53" s="4"/>
      <c r="G53" s="4"/>
      <c r="H53" s="4"/>
      <c r="I53" s="3"/>
      <c r="J53" s="3"/>
      <c r="K53" s="2"/>
      <c r="L53" s="1"/>
      <c r="M53" s="1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5">
      <c r="A54" s="4"/>
      <c r="B54" s="4"/>
      <c r="C54" s="4"/>
      <c r="D54" s="4"/>
      <c r="E54" s="4"/>
      <c r="F54" s="4"/>
      <c r="G54" s="4"/>
      <c r="H54" s="4"/>
      <c r="I54" s="3"/>
      <c r="J54" s="3"/>
      <c r="K54" s="2"/>
      <c r="L54" s="1"/>
      <c r="M54" s="1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" customHeight="1" x14ac:dyDescent="0.25">
      <c r="A55" s="4"/>
      <c r="B55" s="4"/>
      <c r="C55" s="4"/>
      <c r="D55" s="4"/>
      <c r="E55" s="4"/>
      <c r="F55" s="4"/>
      <c r="G55" s="4"/>
      <c r="H55" s="4"/>
      <c r="I55" s="3"/>
      <c r="J55" s="3"/>
      <c r="K55" s="2"/>
      <c r="L55" s="1"/>
      <c r="M55" s="1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" customHeight="1" x14ac:dyDescent="0.25">
      <c r="A56" s="4"/>
      <c r="B56" s="4"/>
      <c r="C56" s="4"/>
      <c r="D56" s="4"/>
      <c r="E56" s="4"/>
      <c r="F56" s="4"/>
      <c r="G56" s="4"/>
      <c r="H56" s="4"/>
      <c r="I56" s="3"/>
      <c r="J56" s="3"/>
      <c r="K56" s="2"/>
      <c r="L56" s="1"/>
      <c r="M56" s="1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" customHeight="1" x14ac:dyDescent="0.25">
      <c r="A57" s="4"/>
      <c r="B57" s="4"/>
      <c r="C57" s="4"/>
      <c r="D57" s="4"/>
      <c r="E57" s="4"/>
      <c r="F57" s="4"/>
      <c r="G57" s="4"/>
      <c r="H57" s="4"/>
      <c r="I57" s="3"/>
      <c r="J57" s="3"/>
      <c r="K57" s="2"/>
      <c r="L57" s="1"/>
      <c r="M57" s="1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" customHeight="1" x14ac:dyDescent="0.25">
      <c r="A58" s="4"/>
      <c r="B58" s="4"/>
      <c r="C58" s="4"/>
      <c r="D58" s="4"/>
      <c r="E58" s="4"/>
      <c r="F58" s="4"/>
      <c r="G58" s="4"/>
      <c r="H58" s="4"/>
      <c r="I58" s="3"/>
      <c r="J58" s="3"/>
      <c r="K58" s="2"/>
      <c r="L58" s="1"/>
      <c r="M58" s="1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" customHeight="1" x14ac:dyDescent="0.25">
      <c r="A59" s="4"/>
      <c r="B59" s="4"/>
      <c r="C59" s="4"/>
      <c r="D59" s="4"/>
      <c r="E59" s="4"/>
      <c r="F59" s="4"/>
      <c r="G59" s="4"/>
      <c r="H59" s="4"/>
      <c r="I59" s="3"/>
      <c r="J59" s="3"/>
      <c r="K59" s="2"/>
      <c r="L59" s="1"/>
      <c r="M59" s="1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" customHeight="1" x14ac:dyDescent="0.25">
      <c r="A60" s="4"/>
      <c r="B60" s="4"/>
      <c r="C60" s="4"/>
      <c r="D60" s="4"/>
      <c r="E60" s="4"/>
      <c r="F60" s="4"/>
      <c r="G60" s="4"/>
      <c r="H60" s="4"/>
      <c r="I60" s="3"/>
      <c r="J60" s="3"/>
      <c r="K60" s="2"/>
      <c r="L60" s="1"/>
      <c r="M60" s="1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" customHeight="1" x14ac:dyDescent="0.25">
      <c r="A61" s="4"/>
      <c r="B61" s="4"/>
      <c r="C61" s="4"/>
      <c r="D61" s="4"/>
      <c r="E61" s="4"/>
      <c r="F61" s="4"/>
      <c r="G61" s="4"/>
      <c r="H61" s="4"/>
      <c r="I61" s="3"/>
      <c r="J61" s="3"/>
      <c r="K61" s="2"/>
      <c r="L61" s="1"/>
      <c r="M61" s="1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" customHeight="1" x14ac:dyDescent="0.25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" customHeight="1" x14ac:dyDescent="0.25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" customHeight="1" x14ac:dyDescent="0.25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" customHeight="1" x14ac:dyDescent="0.25">
      <c r="A65" s="4"/>
      <c r="B65" s="11" t="s">
        <v>30</v>
      </c>
      <c r="C65" s="11" t="s">
        <v>83</v>
      </c>
      <c r="D65" s="20">
        <v>1</v>
      </c>
      <c r="E65" s="29">
        <v>50</v>
      </c>
      <c r="F65" s="11">
        <v>45882</v>
      </c>
      <c r="G65" s="10">
        <v>0.375</v>
      </c>
      <c r="H65" s="11">
        <v>45880</v>
      </c>
      <c r="I65" s="10">
        <v>0.95833333333333337</v>
      </c>
      <c r="J65" s="9">
        <f>E65-L65</f>
        <v>-4</v>
      </c>
      <c r="K65" s="8">
        <v>1</v>
      </c>
      <c r="L65" s="7">
        <v>54</v>
      </c>
      <c r="M65" s="6" t="s">
        <v>84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" customHeight="1" x14ac:dyDescent="0.25">
      <c r="A66" s="23" t="s">
        <v>82</v>
      </c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" customHeight="1" x14ac:dyDescent="0.25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5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  <c r="Q68" s="29">
        <v>1</v>
      </c>
      <c r="R68" s="29">
        <v>60</v>
      </c>
      <c r="S68" s="8">
        <v>1</v>
      </c>
      <c r="T68" s="7">
        <v>45</v>
      </c>
    </row>
    <row r="69" spans="1:20" x14ac:dyDescent="0.25">
      <c r="Q69" s="29">
        <v>1</v>
      </c>
      <c r="R69" s="29">
        <v>30</v>
      </c>
      <c r="S69" s="8">
        <v>1</v>
      </c>
      <c r="T69" s="7">
        <v>20</v>
      </c>
    </row>
    <row r="70" spans="1:20" x14ac:dyDescent="0.25">
      <c r="Q70" s="29">
        <v>1</v>
      </c>
      <c r="R70" s="29">
        <v>30</v>
      </c>
      <c r="S70" s="8">
        <v>1</v>
      </c>
      <c r="T70" s="7">
        <v>20</v>
      </c>
    </row>
    <row r="71" spans="1:20" x14ac:dyDescent="0.25">
      <c r="Q71" s="29">
        <v>1</v>
      </c>
      <c r="R71" s="29">
        <v>30</v>
      </c>
      <c r="S71" s="8">
        <v>1</v>
      </c>
      <c r="T71" s="7">
        <v>30</v>
      </c>
    </row>
    <row r="72" spans="1:20" x14ac:dyDescent="0.25">
      <c r="Q72" s="29">
        <v>1</v>
      </c>
      <c r="R72" s="29">
        <v>30</v>
      </c>
      <c r="S72" s="8">
        <v>1</v>
      </c>
      <c r="T72" s="7">
        <v>30</v>
      </c>
    </row>
    <row r="73" spans="1:20" x14ac:dyDescent="0.25">
      <c r="Q73" s="29">
        <v>1</v>
      </c>
      <c r="R73" s="29">
        <v>30</v>
      </c>
      <c r="S73" s="8">
        <v>1</v>
      </c>
      <c r="T73" s="7">
        <v>32</v>
      </c>
    </row>
    <row r="74" spans="1:20" x14ac:dyDescent="0.25">
      <c r="Q74" s="29">
        <v>1</v>
      </c>
      <c r="R74" s="29">
        <v>30</v>
      </c>
      <c r="S74" s="8">
        <v>1</v>
      </c>
      <c r="T74" s="7">
        <v>32</v>
      </c>
    </row>
    <row r="75" spans="1:20" x14ac:dyDescent="0.25">
      <c r="Q75" s="29">
        <v>1</v>
      </c>
      <c r="R75" s="29">
        <v>20</v>
      </c>
      <c r="S75" s="8">
        <v>1</v>
      </c>
      <c r="T75" s="7">
        <v>20</v>
      </c>
    </row>
    <row r="76" spans="1:20" x14ac:dyDescent="0.25">
      <c r="Q76" s="29">
        <v>1</v>
      </c>
      <c r="R76" s="29">
        <v>20</v>
      </c>
      <c r="S76" s="8">
        <v>1</v>
      </c>
      <c r="T76" s="7">
        <v>20</v>
      </c>
    </row>
    <row r="77" spans="1:20" x14ac:dyDescent="0.25">
      <c r="Q77" s="29">
        <v>1</v>
      </c>
      <c r="R77" s="29">
        <v>20</v>
      </c>
      <c r="S77" s="8">
        <v>1</v>
      </c>
      <c r="T77" s="7">
        <v>20</v>
      </c>
    </row>
    <row r="78" spans="1:20" x14ac:dyDescent="0.25">
      <c r="Q78" s="29">
        <v>1</v>
      </c>
      <c r="R78" s="29">
        <v>20</v>
      </c>
      <c r="S78" s="8">
        <v>1</v>
      </c>
      <c r="T78" s="7">
        <v>20</v>
      </c>
    </row>
    <row r="79" spans="1:20" x14ac:dyDescent="0.25">
      <c r="Q79" s="29">
        <v>1</v>
      </c>
      <c r="R79" s="29">
        <v>20</v>
      </c>
      <c r="S79" s="8">
        <v>1</v>
      </c>
      <c r="T79" s="7">
        <v>20</v>
      </c>
    </row>
    <row r="80" spans="1:20" x14ac:dyDescent="0.25">
      <c r="Q80" s="29">
        <v>1</v>
      </c>
      <c r="R80" s="29">
        <v>20</v>
      </c>
      <c r="S80" s="8">
        <v>1</v>
      </c>
      <c r="T80" s="7">
        <v>20</v>
      </c>
    </row>
    <row r="81" spans="17:20" x14ac:dyDescent="0.25">
      <c r="Q81" s="29">
        <v>1</v>
      </c>
      <c r="R81" s="29">
        <v>20</v>
      </c>
      <c r="S81" s="8">
        <v>1</v>
      </c>
      <c r="T81" s="7">
        <v>18</v>
      </c>
    </row>
    <row r="82" spans="17:20" x14ac:dyDescent="0.25">
      <c r="Q82" s="29">
        <v>1</v>
      </c>
      <c r="R82" s="29">
        <v>20</v>
      </c>
      <c r="S82" s="8">
        <v>1</v>
      </c>
      <c r="T82" s="7">
        <v>18</v>
      </c>
    </row>
    <row r="83" spans="17:20" x14ac:dyDescent="0.25">
      <c r="Q83" s="29">
        <v>1</v>
      </c>
      <c r="R83" s="29">
        <v>20</v>
      </c>
      <c r="S83" s="8">
        <v>1</v>
      </c>
      <c r="T83" s="7">
        <v>20</v>
      </c>
    </row>
    <row r="84" spans="17:20" x14ac:dyDescent="0.25">
      <c r="Q84" s="29">
        <v>1</v>
      </c>
      <c r="R84" s="29">
        <v>20</v>
      </c>
      <c r="S84" s="8">
        <v>1</v>
      </c>
      <c r="T84" s="7">
        <v>20</v>
      </c>
    </row>
    <row r="85" spans="17:20" x14ac:dyDescent="0.25">
      <c r="Q85" s="29">
        <v>1</v>
      </c>
      <c r="R85" s="29">
        <v>20</v>
      </c>
      <c r="S85" s="8">
        <v>1</v>
      </c>
      <c r="T85" s="7">
        <v>21</v>
      </c>
    </row>
    <row r="86" spans="17:20" x14ac:dyDescent="0.25">
      <c r="Q86" s="29">
        <v>1</v>
      </c>
      <c r="R86" s="29">
        <v>20</v>
      </c>
      <c r="S86" s="8">
        <v>1</v>
      </c>
      <c r="T86" s="7">
        <v>21</v>
      </c>
    </row>
    <row r="87" spans="17:20" x14ac:dyDescent="0.25">
      <c r="Q87" s="29">
        <v>1</v>
      </c>
      <c r="R87" s="29">
        <v>30</v>
      </c>
      <c r="S87" s="8">
        <v>1</v>
      </c>
      <c r="T87" s="7">
        <v>25</v>
      </c>
    </row>
    <row r="88" spans="17:20" x14ac:dyDescent="0.25">
      <c r="Q88" s="29">
        <v>1</v>
      </c>
      <c r="R88" s="29">
        <v>30</v>
      </c>
      <c r="S88" s="8">
        <v>1</v>
      </c>
      <c r="T88" s="7">
        <v>25</v>
      </c>
    </row>
    <row r="89" spans="17:20" x14ac:dyDescent="0.25">
      <c r="Q89" s="29">
        <v>1</v>
      </c>
      <c r="R89" s="29">
        <v>30</v>
      </c>
      <c r="S89" s="8">
        <v>1</v>
      </c>
      <c r="T89" s="7">
        <v>20</v>
      </c>
    </row>
    <row r="90" spans="17:20" x14ac:dyDescent="0.25">
      <c r="Q90" s="29">
        <v>1</v>
      </c>
      <c r="R90" s="29">
        <v>30</v>
      </c>
      <c r="S90" s="8">
        <v>1</v>
      </c>
      <c r="T90" s="7">
        <v>20</v>
      </c>
    </row>
    <row r="91" spans="17:20" x14ac:dyDescent="0.25">
      <c r="Q91" s="20">
        <v>1</v>
      </c>
      <c r="R91" s="29">
        <v>60</v>
      </c>
      <c r="S91" s="8">
        <v>1</v>
      </c>
      <c r="T91" s="7">
        <v>10</v>
      </c>
    </row>
    <row r="92" spans="17:20" x14ac:dyDescent="0.25">
      <c r="Q92" s="20">
        <v>1</v>
      </c>
      <c r="R92" s="29">
        <v>60</v>
      </c>
      <c r="S92" s="8">
        <v>1</v>
      </c>
      <c r="T92" s="7">
        <v>10</v>
      </c>
    </row>
    <row r="93" spans="17:20" x14ac:dyDescent="0.25">
      <c r="Q93" s="20">
        <v>1</v>
      </c>
      <c r="R93" s="29">
        <v>60</v>
      </c>
      <c r="S93" s="8">
        <v>1</v>
      </c>
      <c r="T93" s="7">
        <v>10</v>
      </c>
    </row>
    <row r="94" spans="17:20" x14ac:dyDescent="0.25">
      <c r="Q94" s="20">
        <v>1</v>
      </c>
      <c r="R94" s="29">
        <v>60</v>
      </c>
      <c r="S94" s="8">
        <v>1</v>
      </c>
      <c r="T94" s="7">
        <v>10</v>
      </c>
    </row>
    <row r="95" spans="17:20" x14ac:dyDescent="0.25">
      <c r="Q95" s="20">
        <v>1</v>
      </c>
      <c r="R95" s="29">
        <v>60</v>
      </c>
      <c r="S95" s="8">
        <v>1</v>
      </c>
      <c r="T95" s="7">
        <v>10</v>
      </c>
    </row>
    <row r="96" spans="17:20" x14ac:dyDescent="0.25"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5"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5">
      <c r="Q98" s="20">
        <v>1</v>
      </c>
      <c r="R98" s="5">
        <v>30</v>
      </c>
      <c r="S98" s="8">
        <v>1</v>
      </c>
      <c r="T98" s="7">
        <v>30</v>
      </c>
    </row>
    <row r="99" spans="1:20" x14ac:dyDescent="0.25">
      <c r="Q99" s="20">
        <v>1</v>
      </c>
      <c r="R99" s="29">
        <v>45</v>
      </c>
      <c r="S99" s="8">
        <v>1</v>
      </c>
      <c r="T99" s="7">
        <v>80</v>
      </c>
    </row>
    <row r="100" spans="1:20" x14ac:dyDescent="0.25">
      <c r="Q100" s="20">
        <v>1</v>
      </c>
      <c r="R100" s="29">
        <v>60</v>
      </c>
      <c r="S100" s="8">
        <v>1</v>
      </c>
      <c r="T100" s="7">
        <v>50</v>
      </c>
    </row>
    <row r="101" spans="1:20" x14ac:dyDescent="0.25">
      <c r="Q101" s="20">
        <v>1</v>
      </c>
      <c r="R101" s="29">
        <v>55</v>
      </c>
      <c r="S101" s="8">
        <v>1</v>
      </c>
      <c r="T101" s="7">
        <v>55</v>
      </c>
    </row>
    <row r="102" spans="1:20" x14ac:dyDescent="0.25">
      <c r="Q102" s="29">
        <v>1</v>
      </c>
      <c r="R102" s="29">
        <v>30</v>
      </c>
      <c r="S102" s="8">
        <v>1</v>
      </c>
      <c r="T102" s="7">
        <v>32</v>
      </c>
    </row>
    <row r="103" spans="1:20" x14ac:dyDescent="0.25">
      <c r="Q103" s="29">
        <v>1</v>
      </c>
      <c r="R103" s="29">
        <v>30</v>
      </c>
      <c r="S103" s="8">
        <v>1</v>
      </c>
      <c r="T103" s="7">
        <v>32</v>
      </c>
    </row>
    <row r="104" spans="1:20" x14ac:dyDescent="0.25"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5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5">
      <c r="Q106" s="29">
        <v>1</v>
      </c>
      <c r="R106" s="29">
        <v>30</v>
      </c>
      <c r="S106" s="8">
        <v>1</v>
      </c>
      <c r="T106" s="7">
        <v>32</v>
      </c>
    </row>
    <row r="107" spans="1:20" x14ac:dyDescent="0.25">
      <c r="Q107" s="29">
        <v>1</v>
      </c>
      <c r="R107" s="29">
        <v>30</v>
      </c>
      <c r="S107" s="8">
        <v>1</v>
      </c>
      <c r="T107" s="7">
        <v>32</v>
      </c>
    </row>
    <row r="108" spans="1:20" x14ac:dyDescent="0.25">
      <c r="Q108" s="29">
        <v>3</v>
      </c>
      <c r="R108" s="29">
        <v>20</v>
      </c>
      <c r="S108" s="8">
        <v>3</v>
      </c>
      <c r="T108" s="7">
        <v>15</v>
      </c>
    </row>
    <row r="109" spans="1:20" x14ac:dyDescent="0.25"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5"/>
    <row r="111" spans="1:20" ht="36.75" customHeight="1" x14ac:dyDescent="0.25"/>
    <row r="112" spans="1:20" ht="33.75" customHeight="1" x14ac:dyDescent="0.25"/>
    <row r="113" ht="26.25" customHeight="1" x14ac:dyDescent="0.25"/>
    <row r="114" ht="27.75" customHeight="1" x14ac:dyDescent="0.25"/>
    <row r="115" ht="40.5" customHeight="1" x14ac:dyDescent="0.25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181C-D64D-438D-BAFF-0402011246A7}">
  <dimension ref="A1:T115"/>
  <sheetViews>
    <sheetView topLeftCell="E8" zoomScale="84" zoomScaleNormal="76" workbookViewId="0">
      <selection activeCell="K75" sqref="K75"/>
    </sheetView>
  </sheetViews>
  <sheetFormatPr baseColWidth="10" defaultColWidth="11.44140625" defaultRowHeight="13.2" x14ac:dyDescent="0.25"/>
  <cols>
    <col min="1" max="1" width="54.6640625" style="4" bestFit="1" customWidth="1"/>
    <col min="2" max="2" width="15.44140625" style="4" customWidth="1"/>
    <col min="3" max="3" width="13.109375" style="4" customWidth="1"/>
    <col min="4" max="5" width="12.33203125" style="4" customWidth="1"/>
    <col min="6" max="8" width="10.6640625" style="4" customWidth="1"/>
    <col min="9" max="10" width="10.6640625" style="3" customWidth="1"/>
    <col min="11" max="11" width="10.6640625" style="2" customWidth="1"/>
    <col min="12" max="12" width="10.6640625" style="1" customWidth="1"/>
    <col min="13" max="13" width="48.109375" style="1" bestFit="1" customWidth="1"/>
    <col min="14" max="14" width="10.6640625" customWidth="1"/>
  </cols>
  <sheetData>
    <row r="1" spans="1:20" ht="32.25" customHeight="1" x14ac:dyDescent="0.25">
      <c r="A1" s="175"/>
      <c r="B1" s="177" t="s">
        <v>0</v>
      </c>
      <c r="C1" s="177"/>
      <c r="D1" s="177"/>
      <c r="E1" s="177"/>
      <c r="F1" s="177"/>
      <c r="G1" s="177"/>
      <c r="H1" s="177"/>
      <c r="I1" s="177"/>
      <c r="J1" s="177"/>
      <c r="K1" s="177"/>
      <c r="L1" s="179"/>
      <c r="M1" s="180"/>
    </row>
    <row r="2" spans="1:20" ht="20.25" customHeight="1" x14ac:dyDescent="0.25">
      <c r="A2" s="176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81"/>
      <c r="M2" s="182"/>
    </row>
    <row r="3" spans="1:20" ht="12.75" customHeight="1" x14ac:dyDescent="0.25">
      <c r="A3" s="183" t="s">
        <v>1</v>
      </c>
      <c r="B3" s="185" t="s">
        <v>2</v>
      </c>
      <c r="C3" s="185"/>
      <c r="D3" s="185"/>
      <c r="E3" s="185"/>
      <c r="F3" s="185"/>
      <c r="G3" s="185"/>
      <c r="H3" s="185"/>
      <c r="I3" s="185"/>
      <c r="J3" s="185"/>
      <c r="K3" s="185"/>
      <c r="L3" s="187" t="s">
        <v>3</v>
      </c>
      <c r="M3" s="188"/>
    </row>
    <row r="4" spans="1:20" ht="13.8" thickBot="1" x14ac:dyDescent="0.3">
      <c r="A4" s="184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6" t="s">
        <v>4</v>
      </c>
      <c r="M4" s="15"/>
    </row>
    <row r="5" spans="1:20" ht="13.8" thickBot="1" x14ac:dyDescent="0.3"/>
    <row r="6" spans="1:20" ht="14.4" thickBot="1" x14ac:dyDescent="0.3">
      <c r="A6" s="24" t="s">
        <v>5</v>
      </c>
      <c r="B6" s="171" t="s">
        <v>6</v>
      </c>
      <c r="C6" s="171"/>
      <c r="D6" s="171"/>
      <c r="E6" s="171"/>
      <c r="F6" s="171"/>
      <c r="G6" s="171"/>
      <c r="H6" s="172" t="s">
        <v>7</v>
      </c>
      <c r="I6" s="173"/>
      <c r="J6" s="173"/>
      <c r="K6" s="173"/>
      <c r="L6" s="174"/>
      <c r="M6" s="25"/>
    </row>
    <row r="7" spans="1:20" s="14" customFormat="1" ht="49.5" customHeight="1" x14ac:dyDescent="0.25">
      <c r="A7" s="18" cm="1">
        <f t="array" aca="1" ref="A7" ca="1">+#REF!+A1:L7+A7:L66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32" t="s">
        <v>92</v>
      </c>
      <c r="B8" s="11" t="s">
        <v>140</v>
      </c>
      <c r="C8" s="11" t="s">
        <v>22</v>
      </c>
      <c r="D8" s="20">
        <v>1</v>
      </c>
      <c r="E8" s="29">
        <v>30</v>
      </c>
      <c r="F8" s="11">
        <v>45896</v>
      </c>
      <c r="G8" s="10">
        <v>0.375</v>
      </c>
      <c r="H8" s="11">
        <v>45890</v>
      </c>
      <c r="I8" s="10">
        <v>0.8125</v>
      </c>
      <c r="J8" s="9">
        <f>E8-L8</f>
        <v>5</v>
      </c>
      <c r="K8" s="8">
        <v>1</v>
      </c>
      <c r="L8" s="7">
        <v>25</v>
      </c>
      <c r="M8" s="6" t="s">
        <v>93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37" t="s">
        <v>92</v>
      </c>
      <c r="B9" s="11" t="s">
        <v>139</v>
      </c>
      <c r="C9" s="11" t="s">
        <v>34</v>
      </c>
      <c r="D9" s="20">
        <v>1</v>
      </c>
      <c r="E9" s="29">
        <v>30</v>
      </c>
      <c r="F9" s="11">
        <v>45896</v>
      </c>
      <c r="G9" s="10">
        <v>0.375</v>
      </c>
      <c r="H9" s="11">
        <v>45890</v>
      </c>
      <c r="I9" s="10">
        <v>0.8125</v>
      </c>
      <c r="J9" s="9">
        <f t="shared" ref="J9:J28" si="0">E9-L9</f>
        <v>5</v>
      </c>
      <c r="K9" s="8">
        <v>1</v>
      </c>
      <c r="L9" s="7">
        <v>25</v>
      </c>
      <c r="M9" s="6" t="s">
        <v>93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144</v>
      </c>
      <c r="B10" s="21" t="s">
        <v>30</v>
      </c>
      <c r="C10" s="21" t="s">
        <v>31</v>
      </c>
      <c r="D10" s="20">
        <v>1</v>
      </c>
      <c r="E10" s="8">
        <v>30</v>
      </c>
      <c r="F10" s="11">
        <v>45882</v>
      </c>
      <c r="G10" s="10">
        <v>0.375</v>
      </c>
      <c r="H10" s="11">
        <v>45890</v>
      </c>
      <c r="I10" s="10">
        <v>0.83333333333333337</v>
      </c>
      <c r="J10" s="9">
        <f t="shared" si="0"/>
        <v>0</v>
      </c>
      <c r="K10" s="8">
        <v>1</v>
      </c>
      <c r="L10" s="7">
        <v>30</v>
      </c>
      <c r="M10" s="6" t="s">
        <v>152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33" t="s">
        <v>94</v>
      </c>
      <c r="B11" s="11" t="s">
        <v>139</v>
      </c>
      <c r="C11" s="11" t="s">
        <v>34</v>
      </c>
      <c r="D11" s="20">
        <v>3</v>
      </c>
      <c r="E11" s="29">
        <v>60</v>
      </c>
      <c r="F11" s="11">
        <v>45896</v>
      </c>
      <c r="G11" s="10">
        <v>0.375</v>
      </c>
      <c r="H11" s="11">
        <v>45890</v>
      </c>
      <c r="I11" s="10">
        <v>0.85416666666666663</v>
      </c>
      <c r="J11" s="9">
        <f>E11-L11</f>
        <v>0</v>
      </c>
      <c r="K11" s="8">
        <v>3</v>
      </c>
      <c r="L11" s="7">
        <v>60</v>
      </c>
      <c r="M11" s="6" t="s">
        <v>141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33" t="s">
        <v>94</v>
      </c>
      <c r="B12" s="11" t="s">
        <v>21</v>
      </c>
      <c r="C12" s="11" t="s">
        <v>22</v>
      </c>
      <c r="D12" s="20">
        <v>3</v>
      </c>
      <c r="E12" s="29">
        <v>60</v>
      </c>
      <c r="F12" s="11">
        <v>45896</v>
      </c>
      <c r="G12" s="10">
        <v>0.375</v>
      </c>
      <c r="H12" s="11">
        <v>45890</v>
      </c>
      <c r="I12" s="10">
        <v>0.85416666666666663</v>
      </c>
      <c r="J12" s="9">
        <f t="shared" si="0"/>
        <v>0</v>
      </c>
      <c r="K12" s="8">
        <v>3</v>
      </c>
      <c r="L12" s="7">
        <v>60</v>
      </c>
      <c r="M12" s="6" t="s">
        <v>141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33" t="s">
        <v>95</v>
      </c>
      <c r="B13" s="11" t="s">
        <v>21</v>
      </c>
      <c r="C13" s="11" t="s">
        <v>22</v>
      </c>
      <c r="D13" s="20">
        <v>1</v>
      </c>
      <c r="E13" s="29">
        <v>30</v>
      </c>
      <c r="F13" s="11">
        <v>45896</v>
      </c>
      <c r="G13" s="10">
        <v>0.375</v>
      </c>
      <c r="H13" s="11">
        <v>45890</v>
      </c>
      <c r="I13" s="10">
        <v>0.875</v>
      </c>
      <c r="J13" s="9">
        <f>E13-L13</f>
        <v>0</v>
      </c>
      <c r="K13" s="8">
        <v>1</v>
      </c>
      <c r="L13" s="7">
        <v>30</v>
      </c>
      <c r="M13" s="6" t="s">
        <v>96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" customHeight="1" x14ac:dyDescent="0.2">
      <c r="A14" s="33" t="s">
        <v>95</v>
      </c>
      <c r="B14" s="11" t="s">
        <v>139</v>
      </c>
      <c r="C14" s="11" t="s">
        <v>34</v>
      </c>
      <c r="D14" s="20">
        <v>1</v>
      </c>
      <c r="E14" s="29">
        <v>30</v>
      </c>
      <c r="F14" s="11">
        <v>45896</v>
      </c>
      <c r="G14" s="10">
        <v>0.375</v>
      </c>
      <c r="H14" s="11">
        <v>45890</v>
      </c>
      <c r="I14" s="10">
        <v>0.875</v>
      </c>
      <c r="J14" s="9">
        <f t="shared" si="0"/>
        <v>0</v>
      </c>
      <c r="K14" s="8">
        <v>1</v>
      </c>
      <c r="L14" s="7">
        <v>30</v>
      </c>
      <c r="M14" s="6" t="s">
        <v>96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" customHeight="1" x14ac:dyDescent="0.2">
      <c r="A15" s="23" t="s">
        <v>97</v>
      </c>
      <c r="B15" s="11" t="s">
        <v>21</v>
      </c>
      <c r="C15" s="11" t="s">
        <v>22</v>
      </c>
      <c r="D15" s="20">
        <v>1</v>
      </c>
      <c r="E15" s="29">
        <v>20</v>
      </c>
      <c r="F15" s="11">
        <v>45896</v>
      </c>
      <c r="G15" s="10">
        <v>0.375</v>
      </c>
      <c r="H15" s="11">
        <v>45890</v>
      </c>
      <c r="I15" s="10">
        <v>0.88888888888888884</v>
      </c>
      <c r="J15" s="9">
        <f>E15-L15</f>
        <v>0</v>
      </c>
      <c r="K15" s="8">
        <v>1</v>
      </c>
      <c r="L15" s="7">
        <v>20</v>
      </c>
      <c r="M15" s="6" t="s">
        <v>98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" customHeight="1" x14ac:dyDescent="0.2">
      <c r="A16" s="23" t="s">
        <v>97</v>
      </c>
      <c r="B16" s="11" t="s">
        <v>139</v>
      </c>
      <c r="C16" s="11" t="s">
        <v>34</v>
      </c>
      <c r="D16" s="20">
        <v>1</v>
      </c>
      <c r="E16" s="29">
        <v>20</v>
      </c>
      <c r="F16" s="11">
        <v>45896</v>
      </c>
      <c r="G16" s="10">
        <v>0.375</v>
      </c>
      <c r="H16" s="11">
        <v>45890</v>
      </c>
      <c r="I16" s="10">
        <v>0.88888888888888884</v>
      </c>
      <c r="J16" s="9">
        <f t="shared" si="0"/>
        <v>0</v>
      </c>
      <c r="K16" s="8">
        <v>1</v>
      </c>
      <c r="L16" s="7">
        <v>20</v>
      </c>
      <c r="M16" s="6" t="s">
        <v>98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99</v>
      </c>
      <c r="B17" s="11" t="s">
        <v>21</v>
      </c>
      <c r="C17" s="11" t="s">
        <v>22</v>
      </c>
      <c r="D17" s="29">
        <v>1</v>
      </c>
      <c r="E17" s="34">
        <v>20</v>
      </c>
      <c r="F17" s="11">
        <v>45896</v>
      </c>
      <c r="G17" s="10">
        <v>0.375</v>
      </c>
      <c r="H17" s="11">
        <v>45890</v>
      </c>
      <c r="I17" s="10">
        <v>0.90277777777777779</v>
      </c>
      <c r="J17" s="9">
        <f>E17-L17</f>
        <v>2</v>
      </c>
      <c r="K17" s="8">
        <v>1</v>
      </c>
      <c r="L17" s="7">
        <v>18</v>
      </c>
      <c r="M17" s="6" t="s">
        <v>100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99</v>
      </c>
      <c r="B18" s="11" t="s">
        <v>139</v>
      </c>
      <c r="C18" s="11" t="s">
        <v>34</v>
      </c>
      <c r="D18" s="29">
        <v>1</v>
      </c>
      <c r="E18" s="40">
        <v>20</v>
      </c>
      <c r="F18" s="11">
        <v>45896</v>
      </c>
      <c r="G18" s="10">
        <v>0.375</v>
      </c>
      <c r="H18" s="11">
        <v>45890</v>
      </c>
      <c r="I18" s="10">
        <v>0.90277777777777779</v>
      </c>
      <c r="J18" s="9">
        <f t="shared" si="0"/>
        <v>2</v>
      </c>
      <c r="K18" s="8">
        <v>1</v>
      </c>
      <c r="L18" s="7">
        <v>18</v>
      </c>
      <c r="M18" s="6" t="s">
        <v>100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5" t="s">
        <v>101</v>
      </c>
      <c r="B19" s="11" t="s">
        <v>21</v>
      </c>
      <c r="C19" s="11" t="s">
        <v>22</v>
      </c>
      <c r="D19" s="29">
        <v>1</v>
      </c>
      <c r="E19" s="29">
        <v>20</v>
      </c>
      <c r="F19" s="11">
        <v>45896</v>
      </c>
      <c r="G19" s="10">
        <v>0.375</v>
      </c>
      <c r="H19" s="11">
        <v>45890</v>
      </c>
      <c r="I19" s="10">
        <v>0.91666666666666663</v>
      </c>
      <c r="J19" s="9">
        <f>E19-L19</f>
        <v>1</v>
      </c>
      <c r="K19" s="8">
        <v>1</v>
      </c>
      <c r="L19" s="7">
        <v>19</v>
      </c>
      <c r="M19" s="6" t="s">
        <v>102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" customHeight="1" x14ac:dyDescent="0.2">
      <c r="A20" s="41" t="s">
        <v>101</v>
      </c>
      <c r="B20" s="11" t="s">
        <v>136</v>
      </c>
      <c r="C20" s="11" t="s">
        <v>34</v>
      </c>
      <c r="D20" s="29">
        <v>1</v>
      </c>
      <c r="E20" s="29">
        <v>20</v>
      </c>
      <c r="F20" s="11">
        <v>45896</v>
      </c>
      <c r="G20" s="10">
        <v>0.375</v>
      </c>
      <c r="H20" s="11">
        <v>45890</v>
      </c>
      <c r="I20" s="10">
        <v>0.91666666666666663</v>
      </c>
      <c r="J20" s="9">
        <f t="shared" si="0"/>
        <v>1</v>
      </c>
      <c r="K20" s="8">
        <v>1</v>
      </c>
      <c r="L20" s="7">
        <v>19</v>
      </c>
      <c r="M20" s="6" t="s">
        <v>102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" customHeight="1" x14ac:dyDescent="0.2">
      <c r="A21" s="23" t="s">
        <v>103</v>
      </c>
      <c r="B21" s="11" t="s">
        <v>21</v>
      </c>
      <c r="C21" s="11" t="s">
        <v>22</v>
      </c>
      <c r="D21" s="29">
        <v>1</v>
      </c>
      <c r="E21" s="29">
        <v>30</v>
      </c>
      <c r="F21" s="11">
        <v>45896</v>
      </c>
      <c r="G21" s="10">
        <v>0.375</v>
      </c>
      <c r="H21" s="11">
        <v>45890</v>
      </c>
      <c r="I21" s="10">
        <v>0.9375</v>
      </c>
      <c r="J21" s="9">
        <f>E21-L21</f>
        <v>5</v>
      </c>
      <c r="K21" s="8">
        <v>1</v>
      </c>
      <c r="L21" s="7">
        <v>25</v>
      </c>
      <c r="M21" s="6" t="s">
        <v>104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" customHeight="1" x14ac:dyDescent="0.2">
      <c r="A22" s="23" t="s">
        <v>103</v>
      </c>
      <c r="B22" s="11" t="s">
        <v>136</v>
      </c>
      <c r="C22" s="11" t="s">
        <v>34</v>
      </c>
      <c r="D22" s="29">
        <v>1</v>
      </c>
      <c r="E22" s="29">
        <v>30</v>
      </c>
      <c r="F22" s="11">
        <v>45896</v>
      </c>
      <c r="G22" s="10">
        <v>0.375</v>
      </c>
      <c r="H22" s="11">
        <v>45890</v>
      </c>
      <c r="I22" s="10">
        <v>0.9375</v>
      </c>
      <c r="J22" s="9">
        <f t="shared" si="0"/>
        <v>5</v>
      </c>
      <c r="K22" s="8">
        <v>1</v>
      </c>
      <c r="L22" s="7">
        <v>25</v>
      </c>
      <c r="M22" s="6" t="s">
        <v>104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23" t="s">
        <v>105</v>
      </c>
      <c r="B23" s="11" t="s">
        <v>30</v>
      </c>
      <c r="C23" s="11" t="s">
        <v>31</v>
      </c>
      <c r="D23" s="29">
        <v>1</v>
      </c>
      <c r="E23" s="29">
        <v>30</v>
      </c>
      <c r="F23" s="11">
        <v>45896</v>
      </c>
      <c r="G23" s="10">
        <v>0.375</v>
      </c>
      <c r="H23" s="11">
        <v>45890</v>
      </c>
      <c r="I23" s="10">
        <v>0.8125</v>
      </c>
      <c r="J23" s="9">
        <f>E23-L23</f>
        <v>6</v>
      </c>
      <c r="K23" s="8">
        <v>1</v>
      </c>
      <c r="L23" s="7">
        <v>24</v>
      </c>
      <c r="M23" s="6" t="s">
        <v>106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" customHeight="1" x14ac:dyDescent="0.2">
      <c r="A24" s="23" t="s">
        <v>105</v>
      </c>
      <c r="B24" s="11" t="s">
        <v>39</v>
      </c>
      <c r="C24" s="11" t="s">
        <v>40</v>
      </c>
      <c r="D24" s="29">
        <v>1</v>
      </c>
      <c r="E24" s="29">
        <v>30</v>
      </c>
      <c r="F24" s="11">
        <v>45896</v>
      </c>
      <c r="G24" s="10">
        <v>0.375</v>
      </c>
      <c r="H24" s="11">
        <v>45890</v>
      </c>
      <c r="I24" s="10">
        <v>0.8125</v>
      </c>
      <c r="J24" s="9">
        <f t="shared" si="0"/>
        <v>6</v>
      </c>
      <c r="K24" s="8">
        <v>1</v>
      </c>
      <c r="L24" s="7">
        <v>24</v>
      </c>
      <c r="M24" s="6" t="s">
        <v>106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33" t="s">
        <v>107</v>
      </c>
      <c r="B25" s="11" t="s">
        <v>30</v>
      </c>
      <c r="C25" s="11" t="s">
        <v>31</v>
      </c>
      <c r="D25" s="29">
        <v>1</v>
      </c>
      <c r="E25" s="29">
        <v>60</v>
      </c>
      <c r="F25" s="11">
        <v>45896</v>
      </c>
      <c r="G25" s="10">
        <v>0.375</v>
      </c>
      <c r="H25" s="11">
        <v>45890</v>
      </c>
      <c r="I25" s="10">
        <v>0.85416666666666663</v>
      </c>
      <c r="J25" s="9">
        <f>E25-L25</f>
        <v>15</v>
      </c>
      <c r="K25" s="8">
        <v>1</v>
      </c>
      <c r="L25" s="7">
        <v>45</v>
      </c>
      <c r="M25" s="6" t="s">
        <v>108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33" t="s">
        <v>107</v>
      </c>
      <c r="B26" s="11" t="s">
        <v>39</v>
      </c>
      <c r="C26" s="11" t="s">
        <v>40</v>
      </c>
      <c r="D26" s="29">
        <v>1</v>
      </c>
      <c r="E26" s="29">
        <v>60</v>
      </c>
      <c r="F26" s="11">
        <v>45896</v>
      </c>
      <c r="G26" s="10">
        <v>0.375</v>
      </c>
      <c r="H26" s="11">
        <v>45890</v>
      </c>
      <c r="I26" s="10">
        <v>0.85416666666666663</v>
      </c>
      <c r="J26" s="9">
        <f t="shared" si="0"/>
        <v>15</v>
      </c>
      <c r="K26" s="8">
        <v>1</v>
      </c>
      <c r="L26" s="7">
        <v>45</v>
      </c>
      <c r="M26" s="6" t="s">
        <v>108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" customHeight="1" x14ac:dyDescent="0.2">
      <c r="A27" s="23" t="s">
        <v>109</v>
      </c>
      <c r="B27" s="11" t="s">
        <v>30</v>
      </c>
      <c r="C27" s="11" t="s">
        <v>31</v>
      </c>
      <c r="D27" s="29">
        <v>1</v>
      </c>
      <c r="E27" s="29">
        <v>30</v>
      </c>
      <c r="F27" s="11">
        <v>45896</v>
      </c>
      <c r="G27" s="10">
        <v>0.375</v>
      </c>
      <c r="H27" s="11">
        <v>45890</v>
      </c>
      <c r="I27" s="10">
        <v>0.875</v>
      </c>
      <c r="J27" s="9">
        <f>E27-L27</f>
        <v>10</v>
      </c>
      <c r="K27" s="8">
        <v>1</v>
      </c>
      <c r="L27" s="7">
        <v>20</v>
      </c>
      <c r="M27" s="6" t="s">
        <v>110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" customHeight="1" x14ac:dyDescent="0.2">
      <c r="A28" s="23" t="s">
        <v>109</v>
      </c>
      <c r="B28" s="11" t="s">
        <v>39</v>
      </c>
      <c r="C28" s="11" t="s">
        <v>40</v>
      </c>
      <c r="D28" s="29">
        <v>1</v>
      </c>
      <c r="E28" s="29">
        <v>30</v>
      </c>
      <c r="F28" s="11">
        <v>45896</v>
      </c>
      <c r="G28" s="10">
        <v>0.375</v>
      </c>
      <c r="H28" s="11">
        <v>45890</v>
      </c>
      <c r="I28" s="10">
        <v>0.875</v>
      </c>
      <c r="J28" s="9">
        <f t="shared" si="0"/>
        <v>10</v>
      </c>
      <c r="K28" s="8">
        <v>1</v>
      </c>
      <c r="L28" s="7">
        <v>20</v>
      </c>
      <c r="M28" s="6" t="s">
        <v>110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5">
      <c r="A29" s="23" t="s">
        <v>111</v>
      </c>
      <c r="B29" s="11" t="s">
        <v>39</v>
      </c>
      <c r="C29" s="11" t="s">
        <v>142</v>
      </c>
      <c r="D29" s="29">
        <v>1</v>
      </c>
      <c r="E29" s="29">
        <v>30</v>
      </c>
      <c r="F29" s="11">
        <v>45896</v>
      </c>
      <c r="G29" s="10">
        <v>0.375</v>
      </c>
      <c r="H29" s="11">
        <v>45890</v>
      </c>
      <c r="I29" s="10">
        <v>0.89583333333333337</v>
      </c>
      <c r="J29" s="9">
        <f t="shared" ref="J29:J35" si="1">E29-L29</f>
        <v>0</v>
      </c>
      <c r="K29" s="8">
        <v>1</v>
      </c>
      <c r="L29" s="7">
        <v>30</v>
      </c>
      <c r="M29" s="6" t="s">
        <v>112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111</v>
      </c>
      <c r="B30" s="11" t="s">
        <v>30</v>
      </c>
      <c r="C30" s="11" t="s">
        <v>31</v>
      </c>
      <c r="D30" s="29">
        <v>1</v>
      </c>
      <c r="E30" s="29">
        <v>30</v>
      </c>
      <c r="F30" s="11">
        <v>45896</v>
      </c>
      <c r="G30" s="10">
        <v>0.375</v>
      </c>
      <c r="H30" s="11">
        <v>45890</v>
      </c>
      <c r="I30" s="10">
        <v>0.89583333333333337</v>
      </c>
      <c r="J30" s="9">
        <f t="shared" si="1"/>
        <v>0</v>
      </c>
      <c r="K30" s="8">
        <v>1</v>
      </c>
      <c r="L30" s="7">
        <v>30</v>
      </c>
      <c r="M30" s="6" t="s">
        <v>112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33" t="s">
        <v>113</v>
      </c>
      <c r="B31" s="11" t="s">
        <v>30</v>
      </c>
      <c r="C31" s="11" t="s">
        <v>31</v>
      </c>
      <c r="D31" s="29">
        <v>1</v>
      </c>
      <c r="E31" s="29">
        <v>30</v>
      </c>
      <c r="F31" s="11">
        <v>45896</v>
      </c>
      <c r="G31" s="10">
        <v>0.375</v>
      </c>
      <c r="H31" s="11">
        <v>45890</v>
      </c>
      <c r="I31" s="10">
        <v>0.91666666666666663</v>
      </c>
      <c r="J31" s="9">
        <f t="shared" si="1"/>
        <v>-2</v>
      </c>
      <c r="K31" s="8">
        <v>1</v>
      </c>
      <c r="L31" s="7">
        <v>32</v>
      </c>
      <c r="M31" s="6" t="s">
        <v>114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5">
      <c r="A32" s="33" t="s">
        <v>113</v>
      </c>
      <c r="B32" s="11" t="s">
        <v>39</v>
      </c>
      <c r="C32" s="11" t="s">
        <v>40</v>
      </c>
      <c r="D32" s="29">
        <v>1</v>
      </c>
      <c r="E32" s="29">
        <v>30</v>
      </c>
      <c r="F32" s="11">
        <v>45896</v>
      </c>
      <c r="G32" s="10">
        <v>0.375</v>
      </c>
      <c r="H32" s="11">
        <v>45890</v>
      </c>
      <c r="I32" s="10">
        <v>0.91666666666666663</v>
      </c>
      <c r="J32" s="9">
        <f t="shared" si="1"/>
        <v>-2</v>
      </c>
      <c r="K32" s="8">
        <v>1</v>
      </c>
      <c r="L32" s="7">
        <v>32</v>
      </c>
      <c r="M32" s="6" t="s">
        <v>114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33" t="s">
        <v>115</v>
      </c>
      <c r="B33" s="11" t="s">
        <v>36</v>
      </c>
      <c r="C33" s="11" t="s">
        <v>37</v>
      </c>
      <c r="D33" s="29">
        <v>1</v>
      </c>
      <c r="E33" s="29">
        <v>20</v>
      </c>
      <c r="F33" s="11">
        <v>45896</v>
      </c>
      <c r="G33" s="10">
        <v>0.375</v>
      </c>
      <c r="H33" s="11">
        <v>45890</v>
      </c>
      <c r="I33" s="10">
        <v>0.80555555555555558</v>
      </c>
      <c r="J33" s="9">
        <f t="shared" si="1"/>
        <v>0</v>
      </c>
      <c r="K33" s="8">
        <v>1</v>
      </c>
      <c r="L33" s="7">
        <v>20</v>
      </c>
      <c r="M33" s="6" t="s">
        <v>116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33" t="s">
        <v>115</v>
      </c>
      <c r="B34" s="11" t="s">
        <v>42</v>
      </c>
      <c r="C34" s="11" t="s">
        <v>43</v>
      </c>
      <c r="D34" s="29">
        <v>1</v>
      </c>
      <c r="E34" s="29">
        <v>20</v>
      </c>
      <c r="F34" s="11">
        <v>45896</v>
      </c>
      <c r="G34" s="10">
        <v>0.375</v>
      </c>
      <c r="H34" s="11">
        <v>45890</v>
      </c>
      <c r="I34" s="10">
        <v>0.80555555555555558</v>
      </c>
      <c r="J34" s="9">
        <f t="shared" si="1"/>
        <v>0</v>
      </c>
      <c r="K34" s="8">
        <v>1</v>
      </c>
      <c r="L34" s="7">
        <v>20</v>
      </c>
      <c r="M34" s="6" t="s">
        <v>116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33" t="s">
        <v>117</v>
      </c>
      <c r="B35" s="11" t="s">
        <v>36</v>
      </c>
      <c r="C35" s="11" t="s">
        <v>37</v>
      </c>
      <c r="D35" s="29">
        <v>1</v>
      </c>
      <c r="E35" s="29">
        <v>20</v>
      </c>
      <c r="F35" s="11">
        <v>45896</v>
      </c>
      <c r="G35" s="10">
        <v>0.375</v>
      </c>
      <c r="H35" s="11">
        <v>45890</v>
      </c>
      <c r="I35" s="10">
        <v>0.81944444444444442</v>
      </c>
      <c r="J35" s="9">
        <f t="shared" si="1"/>
        <v>0</v>
      </c>
      <c r="K35" s="8">
        <v>1</v>
      </c>
      <c r="L35" s="7">
        <v>20</v>
      </c>
      <c r="M35" s="6" t="s">
        <v>118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" customHeight="1" x14ac:dyDescent="0.2">
      <c r="A36" s="33" t="s">
        <v>117</v>
      </c>
      <c r="B36" s="11" t="s">
        <v>42</v>
      </c>
      <c r="C36" s="11" t="s">
        <v>43</v>
      </c>
      <c r="D36" s="29">
        <v>1</v>
      </c>
      <c r="E36" s="29">
        <v>20</v>
      </c>
      <c r="F36" s="11">
        <v>45896</v>
      </c>
      <c r="G36" s="10">
        <v>0.375</v>
      </c>
      <c r="H36" s="11">
        <v>45890</v>
      </c>
      <c r="I36" s="10">
        <v>0.81944444444444442</v>
      </c>
      <c r="J36" s="9">
        <f t="shared" ref="J36:J66" si="2">E36-L36</f>
        <v>0</v>
      </c>
      <c r="K36" s="8">
        <v>1</v>
      </c>
      <c r="L36" s="7">
        <v>20</v>
      </c>
      <c r="M36" s="6" t="s">
        <v>118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33" t="s">
        <v>119</v>
      </c>
      <c r="B37" s="11" t="s">
        <v>36</v>
      </c>
      <c r="C37" s="11" t="s">
        <v>37</v>
      </c>
      <c r="D37" s="29">
        <v>1</v>
      </c>
      <c r="E37" s="29">
        <v>20</v>
      </c>
      <c r="F37" s="11">
        <v>45896</v>
      </c>
      <c r="G37" s="10">
        <v>0.375</v>
      </c>
      <c r="H37" s="11">
        <v>45890</v>
      </c>
      <c r="I37" s="10">
        <v>0.83333333333333337</v>
      </c>
      <c r="J37" s="9">
        <f>E37-L37</f>
        <v>0</v>
      </c>
      <c r="K37" s="8">
        <v>1</v>
      </c>
      <c r="L37" s="7">
        <v>20</v>
      </c>
      <c r="M37" s="6" t="s">
        <v>120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33" t="s">
        <v>119</v>
      </c>
      <c r="B38" s="11" t="s">
        <v>42</v>
      </c>
      <c r="C38" s="11" t="s">
        <v>43</v>
      </c>
      <c r="D38" s="29">
        <v>1</v>
      </c>
      <c r="E38" s="29">
        <v>20</v>
      </c>
      <c r="F38" s="11">
        <v>45896</v>
      </c>
      <c r="G38" s="10">
        <v>0.375</v>
      </c>
      <c r="H38" s="11">
        <v>45890</v>
      </c>
      <c r="I38" s="10">
        <v>0.83333333333333337</v>
      </c>
      <c r="J38" s="9">
        <f t="shared" si="2"/>
        <v>0</v>
      </c>
      <c r="K38" s="8">
        <v>1</v>
      </c>
      <c r="L38" s="7">
        <v>20</v>
      </c>
      <c r="M38" s="6" t="s">
        <v>120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33" t="s">
        <v>121</v>
      </c>
      <c r="B39" s="11" t="s">
        <v>36</v>
      </c>
      <c r="C39" s="11" t="s">
        <v>37</v>
      </c>
      <c r="D39" s="29">
        <v>1</v>
      </c>
      <c r="E39" s="29">
        <v>20</v>
      </c>
      <c r="F39" s="11">
        <v>45896</v>
      </c>
      <c r="G39" s="10">
        <v>0.375</v>
      </c>
      <c r="H39" s="11">
        <v>45890</v>
      </c>
      <c r="I39" s="10">
        <v>0.84722222222222221</v>
      </c>
      <c r="J39" s="9">
        <f>E39-L39</f>
        <v>2</v>
      </c>
      <c r="K39" s="8">
        <v>1</v>
      </c>
      <c r="L39" s="7">
        <v>18</v>
      </c>
      <c r="M39" s="6" t="s">
        <v>122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33" t="s">
        <v>121</v>
      </c>
      <c r="B40" s="11" t="s">
        <v>42</v>
      </c>
      <c r="C40" s="11" t="s">
        <v>43</v>
      </c>
      <c r="D40" s="29">
        <v>1</v>
      </c>
      <c r="E40" s="29">
        <v>20</v>
      </c>
      <c r="F40" s="11">
        <v>45896</v>
      </c>
      <c r="G40" s="10">
        <v>0.375</v>
      </c>
      <c r="H40" s="11">
        <v>45890</v>
      </c>
      <c r="I40" s="10">
        <v>0.84722222222222221</v>
      </c>
      <c r="J40" s="9">
        <f t="shared" si="2"/>
        <v>2</v>
      </c>
      <c r="K40" s="8">
        <v>1</v>
      </c>
      <c r="L40" s="7">
        <v>18</v>
      </c>
      <c r="M40" s="6" t="s">
        <v>122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38" t="s">
        <v>123</v>
      </c>
      <c r="B41" s="11" t="s">
        <v>36</v>
      </c>
      <c r="C41" s="11" t="s">
        <v>37</v>
      </c>
      <c r="D41" s="29">
        <v>1</v>
      </c>
      <c r="E41" s="29">
        <v>20</v>
      </c>
      <c r="F41" s="11">
        <v>45896</v>
      </c>
      <c r="G41" s="10">
        <v>0.375</v>
      </c>
      <c r="H41" s="11">
        <v>45890</v>
      </c>
      <c r="I41" s="10">
        <v>0.86111111111111116</v>
      </c>
      <c r="J41" s="9">
        <f>E41-L41</f>
        <v>0</v>
      </c>
      <c r="K41" s="8">
        <v>1</v>
      </c>
      <c r="L41" s="7">
        <v>20</v>
      </c>
      <c r="M41" s="36" t="s">
        <v>124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35" t="s">
        <v>123</v>
      </c>
      <c r="B42" s="11" t="s">
        <v>143</v>
      </c>
      <c r="C42" s="11" t="s">
        <v>43</v>
      </c>
      <c r="D42" s="29">
        <v>1</v>
      </c>
      <c r="E42" s="29">
        <v>20</v>
      </c>
      <c r="F42" s="11">
        <v>45896</v>
      </c>
      <c r="G42" s="10">
        <v>0.375</v>
      </c>
      <c r="H42" s="11">
        <v>45890</v>
      </c>
      <c r="I42" s="10">
        <v>0.86111111111111116</v>
      </c>
      <c r="J42" s="9">
        <f t="shared" si="2"/>
        <v>0</v>
      </c>
      <c r="K42" s="8">
        <v>1</v>
      </c>
      <c r="L42" s="7">
        <v>20</v>
      </c>
      <c r="M42" s="36" t="s">
        <v>124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33" t="s">
        <v>125</v>
      </c>
      <c r="B43" s="11" t="s">
        <v>36</v>
      </c>
      <c r="C43" s="11" t="s">
        <v>37</v>
      </c>
      <c r="D43" s="29">
        <v>1</v>
      </c>
      <c r="E43" s="29">
        <v>20</v>
      </c>
      <c r="F43" s="11">
        <v>45896</v>
      </c>
      <c r="G43" s="10">
        <v>0.375</v>
      </c>
      <c r="H43" s="11">
        <v>45890</v>
      </c>
      <c r="I43" s="10">
        <v>0.875</v>
      </c>
      <c r="J43" s="9">
        <f>E43-L43</f>
        <v>-1</v>
      </c>
      <c r="K43" s="8">
        <v>1</v>
      </c>
      <c r="L43" s="7">
        <v>21</v>
      </c>
      <c r="M43" s="6" t="s">
        <v>126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33" t="s">
        <v>125</v>
      </c>
      <c r="B44" s="11" t="s">
        <v>42</v>
      </c>
      <c r="C44" s="11" t="s">
        <v>43</v>
      </c>
      <c r="D44" s="29">
        <v>1</v>
      </c>
      <c r="E44" s="29">
        <v>20</v>
      </c>
      <c r="F44" s="11">
        <v>45896</v>
      </c>
      <c r="G44" s="10">
        <v>0.375</v>
      </c>
      <c r="H44" s="11">
        <v>45890</v>
      </c>
      <c r="I44" s="10">
        <v>0.875</v>
      </c>
      <c r="J44" s="9">
        <f t="shared" si="2"/>
        <v>-1</v>
      </c>
      <c r="K44" s="8">
        <v>1</v>
      </c>
      <c r="L44" s="7">
        <v>21</v>
      </c>
      <c r="M44" s="6" t="s">
        <v>126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5">
      <c r="A45" s="39" t="s">
        <v>127</v>
      </c>
      <c r="B45" s="11" t="s">
        <v>36</v>
      </c>
      <c r="C45" s="11" t="s">
        <v>37</v>
      </c>
      <c r="D45" s="29">
        <v>1</v>
      </c>
      <c r="E45" s="29">
        <v>30</v>
      </c>
      <c r="F45" s="11">
        <v>45896</v>
      </c>
      <c r="G45" s="10">
        <v>0.375</v>
      </c>
      <c r="H45" s="11">
        <v>45890</v>
      </c>
      <c r="I45" s="10">
        <v>0.89583333333333337</v>
      </c>
      <c r="J45" s="9">
        <f>E45-L45</f>
        <v>5</v>
      </c>
      <c r="K45" s="8">
        <v>1</v>
      </c>
      <c r="L45" s="7">
        <v>25</v>
      </c>
      <c r="M45" s="6" t="s">
        <v>128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5">
      <c r="A46" t="s">
        <v>127</v>
      </c>
      <c r="B46" s="11" t="s">
        <v>42</v>
      </c>
      <c r="C46" s="11" t="s">
        <v>43</v>
      </c>
      <c r="D46" s="29">
        <v>1</v>
      </c>
      <c r="E46" s="29">
        <v>30</v>
      </c>
      <c r="F46" s="11">
        <v>45896</v>
      </c>
      <c r="G46" s="10">
        <v>0.375</v>
      </c>
      <c r="H46" s="11">
        <v>45890</v>
      </c>
      <c r="I46" s="10">
        <v>0.89583333333333337</v>
      </c>
      <c r="J46" s="9">
        <f t="shared" si="2"/>
        <v>5</v>
      </c>
      <c r="K46" s="8">
        <v>1</v>
      </c>
      <c r="L46" s="7">
        <v>25</v>
      </c>
      <c r="M46" s="6" t="s">
        <v>128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33" t="s">
        <v>129</v>
      </c>
      <c r="B47" s="11" t="s">
        <v>36</v>
      </c>
      <c r="C47" s="11" t="s">
        <v>37</v>
      </c>
      <c r="D47" s="29">
        <v>1</v>
      </c>
      <c r="E47" s="29">
        <v>30</v>
      </c>
      <c r="F47" s="11">
        <v>45896</v>
      </c>
      <c r="G47" s="10">
        <v>0.375</v>
      </c>
      <c r="H47" s="11">
        <v>45890</v>
      </c>
      <c r="I47" s="10">
        <v>0.91666666666666663</v>
      </c>
      <c r="J47" s="9">
        <f>E47-L47</f>
        <v>10</v>
      </c>
      <c r="K47" s="8">
        <v>1</v>
      </c>
      <c r="L47" s="7">
        <v>20</v>
      </c>
      <c r="M47" s="6" t="s">
        <v>130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33" t="s">
        <v>129</v>
      </c>
      <c r="B48" s="11" t="s">
        <v>42</v>
      </c>
      <c r="C48" s="11" t="s">
        <v>43</v>
      </c>
      <c r="D48" s="29">
        <v>1</v>
      </c>
      <c r="E48" s="29">
        <v>30</v>
      </c>
      <c r="F48" s="11">
        <v>45896</v>
      </c>
      <c r="G48" s="10">
        <v>0.375</v>
      </c>
      <c r="H48" s="11">
        <v>45890</v>
      </c>
      <c r="I48" s="10">
        <v>0.91666666666666663</v>
      </c>
      <c r="J48" s="9">
        <f t="shared" si="2"/>
        <v>10</v>
      </c>
      <c r="K48" s="8">
        <v>1</v>
      </c>
      <c r="L48" s="7">
        <v>20</v>
      </c>
      <c r="M48" s="6" t="s">
        <v>130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146</v>
      </c>
      <c r="B49" s="11" t="s">
        <v>30</v>
      </c>
      <c r="C49" s="11" t="s">
        <v>83</v>
      </c>
      <c r="D49" s="20">
        <v>1</v>
      </c>
      <c r="E49" s="29">
        <v>60</v>
      </c>
      <c r="F49" s="11">
        <v>45896</v>
      </c>
      <c r="G49" s="10">
        <v>0.375</v>
      </c>
      <c r="H49" s="11">
        <v>45890</v>
      </c>
      <c r="I49" s="10">
        <v>0.91666666666666663</v>
      </c>
      <c r="J49" s="9">
        <f>E49-L49</f>
        <v>50</v>
      </c>
      <c r="K49" s="8">
        <v>1</v>
      </c>
      <c r="L49" s="7">
        <v>10</v>
      </c>
      <c r="M49" s="6" t="s">
        <v>149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" customHeight="1" x14ac:dyDescent="0.2">
      <c r="A50" s="23" t="s">
        <v>146</v>
      </c>
      <c r="B50" s="11" t="s">
        <v>42</v>
      </c>
      <c r="C50" s="11" t="s">
        <v>77</v>
      </c>
      <c r="D50" s="20">
        <v>1</v>
      </c>
      <c r="E50" s="29">
        <v>60</v>
      </c>
      <c r="F50" s="11">
        <v>45896</v>
      </c>
      <c r="G50" s="10">
        <v>0.375</v>
      </c>
      <c r="H50" s="11">
        <v>45890</v>
      </c>
      <c r="I50" s="10">
        <v>0.91666666666666663</v>
      </c>
      <c r="J50" s="9">
        <f>E50-L50</f>
        <v>50</v>
      </c>
      <c r="K50" s="8">
        <v>1</v>
      </c>
      <c r="L50" s="7">
        <v>10</v>
      </c>
      <c r="M50" s="6" t="s">
        <v>149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23" t="s">
        <v>146</v>
      </c>
      <c r="B51" s="11" t="s">
        <v>21</v>
      </c>
      <c r="C51" s="11" t="s">
        <v>86</v>
      </c>
      <c r="D51" s="20">
        <v>1</v>
      </c>
      <c r="E51" s="29">
        <v>60</v>
      </c>
      <c r="F51" s="11">
        <v>45896</v>
      </c>
      <c r="G51" s="10">
        <v>0.375</v>
      </c>
      <c r="H51" s="11">
        <v>45890</v>
      </c>
      <c r="I51" s="10">
        <v>0.91666666666666663</v>
      </c>
      <c r="J51" s="9">
        <f>E51-L51</f>
        <v>50</v>
      </c>
      <c r="K51" s="8">
        <v>1</v>
      </c>
      <c r="L51" s="7">
        <v>10</v>
      </c>
      <c r="M51" s="6" t="s">
        <v>149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" customHeight="1" x14ac:dyDescent="0.2">
      <c r="A52" s="23" t="s">
        <v>146</v>
      </c>
      <c r="B52" s="11" t="s">
        <v>136</v>
      </c>
      <c r="C52" s="11" t="s">
        <v>151</v>
      </c>
      <c r="D52" s="20">
        <v>1</v>
      </c>
      <c r="E52" s="29">
        <v>60</v>
      </c>
      <c r="F52" s="11">
        <v>45896</v>
      </c>
      <c r="G52" s="10">
        <v>0.375</v>
      </c>
      <c r="H52" s="11">
        <v>45890</v>
      </c>
      <c r="I52" s="10">
        <v>0.91666666666666663</v>
      </c>
      <c r="J52" s="9">
        <f>E52-L52</f>
        <v>50</v>
      </c>
      <c r="K52" s="8">
        <v>1</v>
      </c>
      <c r="L52" s="7">
        <v>10</v>
      </c>
      <c r="M52" s="6" t="s">
        <v>149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23" t="s">
        <v>146</v>
      </c>
      <c r="B53" s="11" t="s">
        <v>36</v>
      </c>
      <c r="C53" s="11" t="s">
        <v>80</v>
      </c>
      <c r="D53" s="20">
        <v>1</v>
      </c>
      <c r="E53" s="29">
        <v>60</v>
      </c>
      <c r="F53" s="11">
        <v>45882</v>
      </c>
      <c r="G53" s="10">
        <v>0.375</v>
      </c>
      <c r="H53" s="11">
        <v>45890</v>
      </c>
      <c r="I53" s="10">
        <v>0.91666666666666663</v>
      </c>
      <c r="J53" s="9">
        <f>E53-L53</f>
        <v>50</v>
      </c>
      <c r="K53" s="8">
        <v>1</v>
      </c>
      <c r="L53" s="7">
        <v>10</v>
      </c>
      <c r="M53" s="6" t="s">
        <v>149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23" t="s">
        <v>146</v>
      </c>
      <c r="B54" s="11" t="s">
        <v>39</v>
      </c>
      <c r="C54" s="11" t="s">
        <v>150</v>
      </c>
      <c r="D54" s="20">
        <v>1</v>
      </c>
      <c r="E54" s="29">
        <v>60</v>
      </c>
      <c r="F54" s="11">
        <v>45896</v>
      </c>
      <c r="G54" s="10">
        <v>0.375</v>
      </c>
      <c r="H54" s="11">
        <v>45890</v>
      </c>
      <c r="I54" s="10">
        <v>0.91666666666666663</v>
      </c>
      <c r="J54" s="9">
        <f t="shared" si="2"/>
        <v>50</v>
      </c>
      <c r="K54" s="8">
        <v>1</v>
      </c>
      <c r="L54" s="7">
        <v>10</v>
      </c>
      <c r="M54" s="6" t="s">
        <v>149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" customHeight="1" x14ac:dyDescent="0.2">
      <c r="A55" s="23" t="s">
        <v>52</v>
      </c>
      <c r="B55" s="21" t="s">
        <v>21</v>
      </c>
      <c r="C55" s="2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0.91666666666666663</v>
      </c>
      <c r="J55" s="9">
        <f t="shared" si="2"/>
        <v>0</v>
      </c>
      <c r="K55" s="8">
        <v>1</v>
      </c>
      <c r="L55" s="7">
        <v>30</v>
      </c>
      <c r="M55" s="6" t="s">
        <v>53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" customHeight="1" x14ac:dyDescent="0.2">
      <c r="A56" s="23" t="s">
        <v>153</v>
      </c>
      <c r="B56" s="21" t="s">
        <v>36</v>
      </c>
      <c r="C56" s="21" t="s">
        <v>37</v>
      </c>
      <c r="D56" s="20">
        <v>1</v>
      </c>
      <c r="E56" s="5">
        <v>30</v>
      </c>
      <c r="F56" s="11">
        <v>45896</v>
      </c>
      <c r="G56" s="10">
        <v>0.375</v>
      </c>
      <c r="H56" s="11">
        <v>45890</v>
      </c>
      <c r="I56" s="10">
        <v>0.91666666666666663</v>
      </c>
      <c r="J56" s="9">
        <f t="shared" si="2"/>
        <v>0</v>
      </c>
      <c r="K56" s="8">
        <v>1</v>
      </c>
      <c r="L56" s="7">
        <v>30</v>
      </c>
      <c r="M56" s="6" t="s">
        <v>53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" customHeight="1" x14ac:dyDescent="0.2">
      <c r="A57" s="23" t="s">
        <v>79</v>
      </c>
      <c r="B57" s="11" t="s">
        <v>36</v>
      </c>
      <c r="C57" s="11" t="s">
        <v>80</v>
      </c>
      <c r="D57" s="20">
        <v>1</v>
      </c>
      <c r="E57" s="29">
        <v>45</v>
      </c>
      <c r="F57" s="11">
        <v>45896</v>
      </c>
      <c r="G57" s="10">
        <v>0.375</v>
      </c>
      <c r="H57" s="11">
        <v>45890</v>
      </c>
      <c r="I57" s="10">
        <v>0.9375</v>
      </c>
      <c r="J57" s="9">
        <f t="shared" si="2"/>
        <v>-35</v>
      </c>
      <c r="K57" s="8">
        <v>1</v>
      </c>
      <c r="L57" s="7">
        <v>80</v>
      </c>
      <c r="M57" s="6" t="s">
        <v>81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" customHeight="1" x14ac:dyDescent="0.2">
      <c r="A58" s="23" t="s">
        <v>85</v>
      </c>
      <c r="B58" s="11" t="s">
        <v>21</v>
      </c>
      <c r="C58" s="11" t="s">
        <v>86</v>
      </c>
      <c r="D58" s="20">
        <v>1</v>
      </c>
      <c r="E58" s="29">
        <v>60</v>
      </c>
      <c r="F58" s="11">
        <v>45896</v>
      </c>
      <c r="G58" s="10">
        <v>0.375</v>
      </c>
      <c r="H58" s="11">
        <v>45890</v>
      </c>
      <c r="I58" s="10">
        <v>0.9375</v>
      </c>
      <c r="J58" s="9">
        <f t="shared" si="2"/>
        <v>10</v>
      </c>
      <c r="K58" s="8">
        <v>1</v>
      </c>
      <c r="L58" s="7">
        <v>50</v>
      </c>
      <c r="M58" s="6" t="s">
        <v>87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" customHeight="1" x14ac:dyDescent="0.2">
      <c r="A59" s="23" t="s">
        <v>88</v>
      </c>
      <c r="B59" s="11" t="s">
        <v>21</v>
      </c>
      <c r="C59" s="11" t="s">
        <v>86</v>
      </c>
      <c r="D59" s="20">
        <v>1</v>
      </c>
      <c r="E59" s="29">
        <v>55</v>
      </c>
      <c r="F59" s="11">
        <v>45896</v>
      </c>
      <c r="G59" s="10">
        <v>0.375</v>
      </c>
      <c r="H59" s="11">
        <v>45890</v>
      </c>
      <c r="I59" s="10">
        <v>0.9375</v>
      </c>
      <c r="J59" s="9">
        <f t="shared" si="2"/>
        <v>0</v>
      </c>
      <c r="K59" s="8">
        <v>1</v>
      </c>
      <c r="L59" s="7">
        <v>55</v>
      </c>
      <c r="M59" s="6" t="s">
        <v>89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" customHeight="1" x14ac:dyDescent="0.2">
      <c r="A60" s="33" t="s">
        <v>131</v>
      </c>
      <c r="B60" s="11" t="s">
        <v>36</v>
      </c>
      <c r="C60" s="11" t="s">
        <v>37</v>
      </c>
      <c r="D60" s="29">
        <v>1</v>
      </c>
      <c r="E60" s="29">
        <v>30</v>
      </c>
      <c r="F60" s="11">
        <v>45896</v>
      </c>
      <c r="G60" s="10">
        <v>0.375</v>
      </c>
      <c r="H60" s="11">
        <v>45894</v>
      </c>
      <c r="I60" s="10">
        <v>0.9375</v>
      </c>
      <c r="J60" s="9">
        <f>E60-L60</f>
        <v>-2</v>
      </c>
      <c r="K60" s="8">
        <v>1</v>
      </c>
      <c r="L60" s="7">
        <v>32</v>
      </c>
      <c r="M60" s="6" t="s">
        <v>132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" customHeight="1" x14ac:dyDescent="0.2">
      <c r="A61" s="33" t="s">
        <v>131</v>
      </c>
      <c r="B61" s="11" t="s">
        <v>42</v>
      </c>
      <c r="C61" s="11" t="s">
        <v>43</v>
      </c>
      <c r="D61" s="29">
        <v>1</v>
      </c>
      <c r="E61" s="29">
        <v>30</v>
      </c>
      <c r="F61" s="11">
        <v>45896</v>
      </c>
      <c r="G61" s="10">
        <v>0.375</v>
      </c>
      <c r="H61" s="11">
        <v>45894</v>
      </c>
      <c r="I61" s="10">
        <v>0.9375</v>
      </c>
      <c r="J61" s="9">
        <f>E61-L61</f>
        <v>-2</v>
      </c>
      <c r="K61" s="8">
        <v>1</v>
      </c>
      <c r="L61" s="7">
        <v>32</v>
      </c>
      <c r="M61" s="6" t="s">
        <v>132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" customHeight="1" x14ac:dyDescent="0.2">
      <c r="A62" s="33" t="s">
        <v>131</v>
      </c>
      <c r="B62" s="11" t="s">
        <v>30</v>
      </c>
      <c r="C62" s="11" t="s">
        <v>31</v>
      </c>
      <c r="D62" s="29">
        <v>1</v>
      </c>
      <c r="E62" s="29">
        <v>30</v>
      </c>
      <c r="F62" s="11">
        <v>45896</v>
      </c>
      <c r="G62" s="10">
        <v>0.375</v>
      </c>
      <c r="H62" s="11">
        <v>45894</v>
      </c>
      <c r="I62" s="10">
        <v>0.9375</v>
      </c>
      <c r="J62" s="9">
        <f>E62-L62</f>
        <v>-2</v>
      </c>
      <c r="K62" s="8">
        <v>1</v>
      </c>
      <c r="L62" s="7">
        <v>32</v>
      </c>
      <c r="M62" s="6" t="s">
        <v>132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" customHeight="1" x14ac:dyDescent="0.2">
      <c r="A63" s="33" t="s">
        <v>131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45894</v>
      </c>
      <c r="I63" s="10">
        <v>0.9375</v>
      </c>
      <c r="J63" s="9">
        <f>E63-L63</f>
        <v>-2</v>
      </c>
      <c r="K63" s="8">
        <v>1</v>
      </c>
      <c r="L63" s="7">
        <v>32</v>
      </c>
      <c r="M63" s="6" t="s">
        <v>132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" customHeight="1" x14ac:dyDescent="0.2">
      <c r="A64" s="33" t="s">
        <v>131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45894</v>
      </c>
      <c r="I64" s="10">
        <v>0.9375</v>
      </c>
      <c r="J64" s="9">
        <f>E64-L64</f>
        <v>-2</v>
      </c>
      <c r="K64" s="8">
        <v>1</v>
      </c>
      <c r="L64" s="7">
        <v>32</v>
      </c>
      <c r="M64" s="6" t="s">
        <v>132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" customHeight="1" x14ac:dyDescent="0.2">
      <c r="A65" s="33" t="s">
        <v>131</v>
      </c>
      <c r="B65" s="11" t="s">
        <v>39</v>
      </c>
      <c r="C65" s="11" t="s">
        <v>40</v>
      </c>
      <c r="D65" s="29">
        <v>1</v>
      </c>
      <c r="E65" s="29">
        <v>30</v>
      </c>
      <c r="F65" s="11">
        <v>45896</v>
      </c>
      <c r="G65" s="10">
        <v>0.375</v>
      </c>
      <c r="H65" s="11">
        <v>45894</v>
      </c>
      <c r="I65" s="10">
        <v>0.9375</v>
      </c>
      <c r="J65" s="9">
        <f t="shared" si="2"/>
        <v>-2</v>
      </c>
      <c r="K65" s="8">
        <v>1</v>
      </c>
      <c r="L65" s="7">
        <v>32</v>
      </c>
      <c r="M65" s="6" t="s">
        <v>132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" customHeight="1" x14ac:dyDescent="0.2">
      <c r="A66" s="33" t="s">
        <v>133</v>
      </c>
      <c r="B66" s="11" t="s">
        <v>21</v>
      </c>
      <c r="C66" s="11" t="s">
        <v>22</v>
      </c>
      <c r="D66" s="29">
        <v>3</v>
      </c>
      <c r="E66" s="29">
        <v>20</v>
      </c>
      <c r="F66" s="11">
        <v>45896</v>
      </c>
      <c r="G66" s="10">
        <v>0.375</v>
      </c>
      <c r="H66" s="11">
        <v>45895</v>
      </c>
      <c r="I66" s="10">
        <v>0.58333333333333337</v>
      </c>
      <c r="J66" s="9">
        <f t="shared" si="2"/>
        <v>5</v>
      </c>
      <c r="K66" s="8">
        <v>3</v>
      </c>
      <c r="L66" s="7">
        <v>15</v>
      </c>
      <c r="M66" s="6" t="s">
        <v>134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" customHeight="1" x14ac:dyDescent="0.2"/>
    <row r="68" spans="1:20" s="5" customFormat="1" ht="37.5" customHeight="1" x14ac:dyDescent="0.2"/>
    <row r="69" spans="1:20" x14ac:dyDescent="0.25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20" x14ac:dyDescent="0.25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20" x14ac:dyDescent="0.25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20" x14ac:dyDescent="0.25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20" x14ac:dyDescent="0.25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20" x14ac:dyDescent="0.25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20" x14ac:dyDescent="0.25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20" x14ac:dyDescent="0.25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20" x14ac:dyDescent="0.25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20" x14ac:dyDescent="0.25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20" x14ac:dyDescent="0.25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20" x14ac:dyDescent="0.25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20" x14ac:dyDescent="0.25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20" x14ac:dyDescent="0.25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20" x14ac:dyDescent="0.25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20" x14ac:dyDescent="0.25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20" x14ac:dyDescent="0.25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20" x14ac:dyDescent="0.25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20" x14ac:dyDescent="0.25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20" x14ac:dyDescent="0.25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20" x14ac:dyDescent="0.25">
      <c r="Q89" s="29">
        <v>1</v>
      </c>
      <c r="R89" s="29">
        <v>30</v>
      </c>
      <c r="S89" s="8">
        <v>1</v>
      </c>
      <c r="T89" s="7">
        <v>20</v>
      </c>
    </row>
    <row r="90" spans="1:20" x14ac:dyDescent="0.25">
      <c r="Q90" s="29">
        <v>1</v>
      </c>
      <c r="R90" s="29">
        <v>30</v>
      </c>
      <c r="S90" s="8">
        <v>1</v>
      </c>
      <c r="T90" s="7">
        <v>20</v>
      </c>
    </row>
    <row r="91" spans="1:20" x14ac:dyDescent="0.25">
      <c r="Q91" s="20">
        <v>1</v>
      </c>
      <c r="R91" s="29">
        <v>60</v>
      </c>
      <c r="S91" s="8">
        <v>1</v>
      </c>
      <c r="T91" s="7">
        <v>10</v>
      </c>
    </row>
    <row r="92" spans="1:20" x14ac:dyDescent="0.25">
      <c r="Q92" s="20">
        <v>1</v>
      </c>
      <c r="R92" s="29">
        <v>60</v>
      </c>
      <c r="S92" s="8">
        <v>1</v>
      </c>
      <c r="T92" s="7">
        <v>10</v>
      </c>
    </row>
    <row r="93" spans="1:20" x14ac:dyDescent="0.25">
      <c r="Q93" s="20">
        <v>1</v>
      </c>
      <c r="R93" s="29">
        <v>60</v>
      </c>
      <c r="S93" s="8">
        <v>1</v>
      </c>
      <c r="T93" s="7">
        <v>10</v>
      </c>
    </row>
    <row r="94" spans="1:20" x14ac:dyDescent="0.25">
      <c r="Q94" s="20">
        <v>1</v>
      </c>
      <c r="R94" s="29">
        <v>60</v>
      </c>
      <c r="S94" s="8">
        <v>1</v>
      </c>
      <c r="T94" s="7">
        <v>10</v>
      </c>
    </row>
    <row r="95" spans="1:20" x14ac:dyDescent="0.25">
      <c r="Q95" s="20">
        <v>1</v>
      </c>
      <c r="R95" s="29">
        <v>60</v>
      </c>
      <c r="S95" s="8">
        <v>1</v>
      </c>
      <c r="T95" s="7">
        <v>10</v>
      </c>
    </row>
    <row r="96" spans="1:20" x14ac:dyDescent="0.25"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5"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5">
      <c r="Q98" s="20">
        <v>1</v>
      </c>
      <c r="R98" s="5">
        <v>30</v>
      </c>
      <c r="S98" s="8">
        <v>1</v>
      </c>
      <c r="T98" s="7">
        <v>30</v>
      </c>
    </row>
    <row r="99" spans="1:20" x14ac:dyDescent="0.25">
      <c r="Q99" s="20">
        <v>1</v>
      </c>
      <c r="R99" s="29">
        <v>45</v>
      </c>
      <c r="S99" s="8">
        <v>1</v>
      </c>
      <c r="T99" s="7">
        <v>80</v>
      </c>
    </row>
    <row r="100" spans="1:20" x14ac:dyDescent="0.25">
      <c r="Q100" s="20">
        <v>1</v>
      </c>
      <c r="R100" s="29">
        <v>60</v>
      </c>
      <c r="S100" s="8">
        <v>1</v>
      </c>
      <c r="T100" s="7">
        <v>50</v>
      </c>
    </row>
    <row r="101" spans="1:20" x14ac:dyDescent="0.25">
      <c r="Q101" s="20">
        <v>1</v>
      </c>
      <c r="R101" s="29">
        <v>55</v>
      </c>
      <c r="S101" s="8">
        <v>1</v>
      </c>
      <c r="T101" s="7">
        <v>55</v>
      </c>
    </row>
    <row r="102" spans="1:20" x14ac:dyDescent="0.25">
      <c r="Q102" s="29">
        <v>1</v>
      </c>
      <c r="R102" s="29">
        <v>30</v>
      </c>
      <c r="S102" s="8">
        <v>1</v>
      </c>
      <c r="T102" s="7">
        <v>32</v>
      </c>
    </row>
    <row r="103" spans="1:20" x14ac:dyDescent="0.25">
      <c r="Q103" s="29">
        <v>1</v>
      </c>
      <c r="R103" s="29">
        <v>30</v>
      </c>
      <c r="S103" s="8">
        <v>1</v>
      </c>
      <c r="T103" s="7">
        <v>32</v>
      </c>
    </row>
    <row r="104" spans="1:20" ht="34.200000000000003" x14ac:dyDescent="0.25">
      <c r="B104" s="11" t="s">
        <v>30</v>
      </c>
      <c r="C104" s="11" t="s">
        <v>83</v>
      </c>
      <c r="D104" s="20">
        <v>1</v>
      </c>
      <c r="E104" s="29">
        <v>50</v>
      </c>
      <c r="F104" s="11">
        <v>45882</v>
      </c>
      <c r="G104" s="10">
        <v>0.375</v>
      </c>
      <c r="H104" s="11">
        <v>45880</v>
      </c>
      <c r="I104" s="10">
        <v>0.95833333333333337</v>
      </c>
      <c r="J104" s="9">
        <f>E104-L104</f>
        <v>-4</v>
      </c>
      <c r="K104" s="8">
        <v>1</v>
      </c>
      <c r="L104" s="7">
        <v>54</v>
      </c>
      <c r="M104" s="6" t="s">
        <v>84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5">
      <c r="A105" s="23" t="s">
        <v>82</v>
      </c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5">
      <c r="Q106" s="29">
        <v>1</v>
      </c>
      <c r="R106" s="29">
        <v>30</v>
      </c>
      <c r="S106" s="8">
        <v>1</v>
      </c>
      <c r="T106" s="7">
        <v>32</v>
      </c>
    </row>
    <row r="107" spans="1:20" x14ac:dyDescent="0.25">
      <c r="Q107" s="29">
        <v>1</v>
      </c>
      <c r="R107" s="29">
        <v>30</v>
      </c>
      <c r="S107" s="8">
        <v>1</v>
      </c>
      <c r="T107" s="7">
        <v>32</v>
      </c>
    </row>
    <row r="108" spans="1:20" x14ac:dyDescent="0.25">
      <c r="Q108" s="29">
        <v>3</v>
      </c>
      <c r="R108" s="29">
        <v>20</v>
      </c>
      <c r="S108" s="8">
        <v>3</v>
      </c>
      <c r="T108" s="7">
        <v>15</v>
      </c>
    </row>
    <row r="109" spans="1:20" x14ac:dyDescent="0.25">
      <c r="Q109" s="42">
        <f>SUM(Q8:Q108)</f>
        <v>85</v>
      </c>
      <c r="R109" s="42">
        <f>SUM(R8:R108)</f>
        <v>3665</v>
      </c>
      <c r="S109" s="42">
        <f>SUM(S8:S108)</f>
        <v>85</v>
      </c>
      <c r="T109" s="42">
        <f>SUM(T8:T108)</f>
        <v>3559</v>
      </c>
    </row>
    <row r="110" spans="1:20" ht="35.25" customHeight="1" x14ac:dyDescent="0.25"/>
    <row r="111" spans="1:20" ht="36.75" customHeight="1" x14ac:dyDescent="0.25"/>
    <row r="112" spans="1:20" ht="33.75" customHeight="1" x14ac:dyDescent="0.25"/>
    <row r="113" ht="26.25" customHeight="1" x14ac:dyDescent="0.25"/>
    <row r="114" ht="27.75" customHeight="1" x14ac:dyDescent="0.25"/>
    <row r="115" ht="40.5" customHeight="1" x14ac:dyDescent="0.25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549E-76EB-4E93-9D3E-E375825B3C73}">
  <dimension ref="A1:T115"/>
  <sheetViews>
    <sheetView topLeftCell="A43" zoomScale="84" zoomScaleNormal="84" workbookViewId="0">
      <selection activeCell="O22" sqref="O22"/>
    </sheetView>
  </sheetViews>
  <sheetFormatPr baseColWidth="10" defaultColWidth="11.44140625" defaultRowHeight="13.2" x14ac:dyDescent="0.25"/>
  <cols>
    <col min="1" max="1" width="54.6640625" style="4" bestFit="1" customWidth="1"/>
    <col min="2" max="2" width="15.44140625" style="4" customWidth="1"/>
    <col min="3" max="3" width="13.109375" style="4" customWidth="1"/>
    <col min="4" max="5" width="12.33203125" style="4" customWidth="1"/>
    <col min="6" max="8" width="10.6640625" style="4" customWidth="1"/>
    <col min="9" max="10" width="10.6640625" style="3" customWidth="1"/>
    <col min="11" max="11" width="10.6640625" style="2" customWidth="1"/>
    <col min="12" max="12" width="10.6640625" style="1" customWidth="1"/>
    <col min="13" max="13" width="48.109375" style="1" bestFit="1" customWidth="1"/>
    <col min="14" max="14" width="10.6640625" customWidth="1"/>
  </cols>
  <sheetData>
    <row r="1" spans="1:20" ht="32.25" customHeight="1" x14ac:dyDescent="0.25">
      <c r="A1" s="175"/>
      <c r="B1" s="177" t="s">
        <v>0</v>
      </c>
      <c r="C1" s="177"/>
      <c r="D1" s="177"/>
      <c r="E1" s="177"/>
      <c r="F1" s="177"/>
      <c r="G1" s="177"/>
      <c r="H1" s="177"/>
      <c r="I1" s="177"/>
      <c r="J1" s="177"/>
      <c r="K1" s="177"/>
      <c r="L1" s="179"/>
      <c r="M1" s="180"/>
    </row>
    <row r="2" spans="1:20" ht="20.25" customHeight="1" x14ac:dyDescent="0.25">
      <c r="A2" s="176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81"/>
      <c r="M2" s="182"/>
    </row>
    <row r="3" spans="1:20" ht="12.75" customHeight="1" x14ac:dyDescent="0.25">
      <c r="A3" s="183" t="s">
        <v>1</v>
      </c>
      <c r="B3" s="185" t="s">
        <v>2</v>
      </c>
      <c r="C3" s="185"/>
      <c r="D3" s="185"/>
      <c r="E3" s="185"/>
      <c r="F3" s="185"/>
      <c r="G3" s="185"/>
      <c r="H3" s="185"/>
      <c r="I3" s="185"/>
      <c r="J3" s="185"/>
      <c r="K3" s="185"/>
      <c r="L3" s="187" t="s">
        <v>3</v>
      </c>
      <c r="M3" s="188"/>
    </row>
    <row r="4" spans="1:20" ht="13.8" thickBot="1" x14ac:dyDescent="0.3">
      <c r="A4" s="184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6" t="s">
        <v>4</v>
      </c>
      <c r="M4" s="15"/>
    </row>
    <row r="5" spans="1:20" ht="13.8" thickBot="1" x14ac:dyDescent="0.3"/>
    <row r="6" spans="1:20" ht="14.4" thickBot="1" x14ac:dyDescent="0.3">
      <c r="A6" s="24" t="s">
        <v>5</v>
      </c>
      <c r="B6" s="171" t="s">
        <v>6</v>
      </c>
      <c r="C6" s="171"/>
      <c r="D6" s="171"/>
      <c r="E6" s="171"/>
      <c r="F6" s="171"/>
      <c r="G6" s="171"/>
      <c r="H6" s="172" t="s">
        <v>7</v>
      </c>
      <c r="I6" s="173"/>
      <c r="J6" s="173"/>
      <c r="K6" s="173"/>
      <c r="L6" s="174"/>
      <c r="M6" s="25"/>
    </row>
    <row r="7" spans="1:20" s="14" customFormat="1" ht="49.5" customHeight="1" x14ac:dyDescent="0.25">
      <c r="A7" s="18" cm="1">
        <f t="array" aca="1" ref="A7" ca="1">+A28+A1:L7+A7:L7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43" t="s">
        <v>154</v>
      </c>
      <c r="B8" s="11" t="s">
        <v>30</v>
      </c>
      <c r="C8" s="11" t="s">
        <v>31</v>
      </c>
      <c r="D8" s="29">
        <v>2</v>
      </c>
      <c r="E8" s="29">
        <v>50</v>
      </c>
      <c r="F8" s="11">
        <v>45903</v>
      </c>
      <c r="G8" s="10">
        <v>0.375</v>
      </c>
      <c r="H8" s="11">
        <v>45902</v>
      </c>
      <c r="I8" s="10">
        <v>0.66666666666666663</v>
      </c>
      <c r="J8" s="9">
        <f t="shared" ref="J8:J39" si="0">E8-L8</f>
        <v>0</v>
      </c>
      <c r="K8" s="8">
        <v>1</v>
      </c>
      <c r="L8" s="7">
        <v>50</v>
      </c>
      <c r="M8" s="36" t="s">
        <v>155</v>
      </c>
      <c r="O8" s="5" t="s">
        <v>155</v>
      </c>
    </row>
    <row r="9" spans="1:20" s="5" customFormat="1" ht="39" customHeight="1" x14ac:dyDescent="0.2">
      <c r="A9" s="43" t="s">
        <v>154</v>
      </c>
      <c r="B9" s="11" t="s">
        <v>39</v>
      </c>
      <c r="C9" s="11" t="s">
        <v>40</v>
      </c>
      <c r="D9" s="29">
        <v>2</v>
      </c>
      <c r="E9" s="29">
        <v>50</v>
      </c>
      <c r="F9" s="11">
        <v>45903</v>
      </c>
      <c r="G9" s="10">
        <v>0.375</v>
      </c>
      <c r="H9" s="11">
        <v>45902</v>
      </c>
      <c r="I9" s="10">
        <v>0.66666666666666663</v>
      </c>
      <c r="J9" s="9">
        <f t="shared" si="0"/>
        <v>0</v>
      </c>
      <c r="K9" s="8">
        <v>1</v>
      </c>
      <c r="L9" s="7">
        <v>50</v>
      </c>
      <c r="M9" s="36" t="s">
        <v>155</v>
      </c>
    </row>
    <row r="10" spans="1:20" s="5" customFormat="1" ht="43.5" customHeight="1" x14ac:dyDescent="0.2">
      <c r="A10" s="43" t="s">
        <v>154</v>
      </c>
      <c r="B10" s="11" t="s">
        <v>21</v>
      </c>
      <c r="C10" s="11" t="s">
        <v>22</v>
      </c>
      <c r="D10" s="29">
        <v>2</v>
      </c>
      <c r="E10" s="29">
        <v>50</v>
      </c>
      <c r="F10" s="11">
        <v>45903</v>
      </c>
      <c r="G10" s="10">
        <v>0.375</v>
      </c>
      <c r="H10" s="11">
        <v>45902</v>
      </c>
      <c r="I10" s="10">
        <v>0.66666666666666663</v>
      </c>
      <c r="J10" s="9">
        <f t="shared" si="0"/>
        <v>0</v>
      </c>
      <c r="K10" s="8">
        <v>1</v>
      </c>
      <c r="L10" s="7">
        <v>50</v>
      </c>
      <c r="M10" s="36" t="s">
        <v>155</v>
      </c>
    </row>
    <row r="11" spans="1:20" s="5" customFormat="1" ht="35.1" customHeight="1" x14ac:dyDescent="0.2">
      <c r="A11" s="43" t="s">
        <v>154</v>
      </c>
      <c r="B11" s="11" t="s">
        <v>136</v>
      </c>
      <c r="C11" s="11" t="s">
        <v>34</v>
      </c>
      <c r="D11" s="29">
        <v>2</v>
      </c>
      <c r="E11" s="29">
        <v>50</v>
      </c>
      <c r="F11" s="11">
        <v>45903</v>
      </c>
      <c r="G11" s="10">
        <v>0.375</v>
      </c>
      <c r="H11" s="11">
        <v>45902</v>
      </c>
      <c r="I11" s="10">
        <v>0.66666666666666663</v>
      </c>
      <c r="J11" s="9">
        <f t="shared" si="0"/>
        <v>0</v>
      </c>
      <c r="K11" s="8">
        <v>1</v>
      </c>
      <c r="L11" s="7">
        <v>50</v>
      </c>
      <c r="M11" s="36" t="s">
        <v>155</v>
      </c>
    </row>
    <row r="12" spans="1:20" s="5" customFormat="1" ht="35.1" customHeight="1" x14ac:dyDescent="0.2">
      <c r="A12" s="43" t="s">
        <v>154</v>
      </c>
      <c r="B12" s="11" t="s">
        <v>36</v>
      </c>
      <c r="C12" s="11" t="s">
        <v>37</v>
      </c>
      <c r="D12" s="29">
        <v>2</v>
      </c>
      <c r="E12" s="29">
        <v>50</v>
      </c>
      <c r="F12" s="11">
        <v>45903</v>
      </c>
      <c r="G12" s="10">
        <v>0.375</v>
      </c>
      <c r="H12" s="11">
        <v>45902</v>
      </c>
      <c r="I12" s="10">
        <v>0.66666666666666663</v>
      </c>
      <c r="J12" s="9">
        <f t="shared" si="0"/>
        <v>0</v>
      </c>
      <c r="K12" s="8">
        <v>1</v>
      </c>
      <c r="L12" s="7">
        <v>50</v>
      </c>
      <c r="M12" s="36" t="s">
        <v>155</v>
      </c>
    </row>
    <row r="13" spans="1:20" s="5" customFormat="1" ht="35.1" customHeight="1" x14ac:dyDescent="0.2">
      <c r="A13" s="43" t="s">
        <v>154</v>
      </c>
      <c r="B13" s="11" t="s">
        <v>42</v>
      </c>
      <c r="C13" s="11" t="s">
        <v>43</v>
      </c>
      <c r="D13" s="29">
        <v>2</v>
      </c>
      <c r="E13" s="29">
        <v>50</v>
      </c>
      <c r="F13" s="11">
        <v>45903</v>
      </c>
      <c r="G13" s="10">
        <v>0.375</v>
      </c>
      <c r="H13" s="11">
        <v>45902</v>
      </c>
      <c r="I13" s="10">
        <v>0.66666666666666663</v>
      </c>
      <c r="J13" s="9">
        <f t="shared" si="0"/>
        <v>0</v>
      </c>
      <c r="K13" s="8">
        <v>1</v>
      </c>
      <c r="L13" s="7">
        <v>50</v>
      </c>
      <c r="M13" s="36" t="s">
        <v>155</v>
      </c>
    </row>
    <row r="14" spans="1:20" s="5" customFormat="1" ht="33.9" customHeight="1" x14ac:dyDescent="0.2">
      <c r="A14" s="23" t="s">
        <v>144</v>
      </c>
      <c r="B14" s="21" t="s">
        <v>30</v>
      </c>
      <c r="C14" s="63" t="s">
        <v>31</v>
      </c>
      <c r="D14" s="20">
        <v>1</v>
      </c>
      <c r="E14" s="40">
        <v>30</v>
      </c>
      <c r="F14" s="11">
        <v>45903</v>
      </c>
      <c r="G14" s="10">
        <v>0.375</v>
      </c>
      <c r="H14" s="11">
        <v>45899</v>
      </c>
      <c r="I14" s="10">
        <v>0.79166666666666663</v>
      </c>
      <c r="J14" s="9">
        <f t="shared" si="0"/>
        <v>0</v>
      </c>
      <c r="K14" s="8">
        <v>1</v>
      </c>
      <c r="L14" s="7">
        <v>30</v>
      </c>
      <c r="M14" s="6" t="s">
        <v>156</v>
      </c>
    </row>
    <row r="15" spans="1:20" s="5" customFormat="1" ht="38.4" customHeight="1" x14ac:dyDescent="0.2">
      <c r="A15" s="23" t="s">
        <v>206</v>
      </c>
      <c r="B15" s="11" t="s">
        <v>74</v>
      </c>
      <c r="C15" s="11" t="s">
        <v>71</v>
      </c>
      <c r="D15" s="20">
        <v>1</v>
      </c>
      <c r="E15" s="29">
        <v>30</v>
      </c>
      <c r="F15" s="11">
        <v>45903</v>
      </c>
      <c r="G15" s="10">
        <v>0.375</v>
      </c>
      <c r="H15" s="11">
        <v>45899</v>
      </c>
      <c r="I15" s="10">
        <v>0.79166666666666663</v>
      </c>
      <c r="J15" s="9">
        <f t="shared" si="0"/>
        <v>0</v>
      </c>
      <c r="K15" s="8">
        <v>1</v>
      </c>
      <c r="L15" s="7">
        <v>30</v>
      </c>
      <c r="M15" s="6" t="s">
        <v>75</v>
      </c>
    </row>
    <row r="16" spans="1:20" s="5" customFormat="1" ht="30.9" customHeight="1" x14ac:dyDescent="0.2">
      <c r="A16" s="38" t="s">
        <v>123</v>
      </c>
      <c r="B16" s="11" t="s">
        <v>36</v>
      </c>
      <c r="C16" s="11" t="s">
        <v>37</v>
      </c>
      <c r="D16" s="29">
        <v>1</v>
      </c>
      <c r="E16" s="29">
        <v>20</v>
      </c>
      <c r="F16" s="11">
        <v>45903</v>
      </c>
      <c r="G16" s="10">
        <v>0.375</v>
      </c>
      <c r="H16" s="11">
        <v>45902</v>
      </c>
      <c r="I16" s="10">
        <v>0.80555555555555558</v>
      </c>
      <c r="J16" s="9">
        <f t="shared" si="0"/>
        <v>0</v>
      </c>
      <c r="K16" s="8">
        <v>1</v>
      </c>
      <c r="L16" s="7">
        <v>20</v>
      </c>
      <c r="M16" s="36" t="s">
        <v>124</v>
      </c>
    </row>
    <row r="17" spans="1:13" s="5" customFormat="1" ht="27" customHeight="1" x14ac:dyDescent="0.2">
      <c r="A17" s="38" t="s">
        <v>123</v>
      </c>
      <c r="B17" s="11" t="s">
        <v>143</v>
      </c>
      <c r="C17" s="11" t="s">
        <v>43</v>
      </c>
      <c r="D17" s="29">
        <v>1</v>
      </c>
      <c r="E17" s="29">
        <v>20</v>
      </c>
      <c r="F17" s="11">
        <v>45903</v>
      </c>
      <c r="G17" s="10">
        <v>0.375</v>
      </c>
      <c r="H17" s="11">
        <v>45902</v>
      </c>
      <c r="I17" s="10">
        <v>0.80555555555555558</v>
      </c>
      <c r="J17" s="9">
        <f t="shared" si="0"/>
        <v>0</v>
      </c>
      <c r="K17" s="8">
        <v>1</v>
      </c>
      <c r="L17" s="7">
        <v>20</v>
      </c>
      <c r="M17" s="36" t="s">
        <v>124</v>
      </c>
    </row>
    <row r="18" spans="1:13" s="5" customFormat="1" ht="27.6" customHeight="1" x14ac:dyDescent="0.2">
      <c r="A18" s="38" t="s">
        <v>217</v>
      </c>
      <c r="B18" s="11" t="s">
        <v>39</v>
      </c>
      <c r="C18" s="11" t="s">
        <v>40</v>
      </c>
      <c r="D18" s="29">
        <v>1</v>
      </c>
      <c r="E18" s="29">
        <v>30</v>
      </c>
      <c r="F18" s="11">
        <v>45903</v>
      </c>
      <c r="G18" s="10">
        <v>0.375</v>
      </c>
      <c r="H18" s="11">
        <v>45902</v>
      </c>
      <c r="I18" s="10">
        <v>0.8125</v>
      </c>
      <c r="J18" s="9">
        <f t="shared" si="0"/>
        <v>2</v>
      </c>
      <c r="K18" s="8">
        <v>2</v>
      </c>
      <c r="L18" s="7">
        <v>28</v>
      </c>
      <c r="M18" s="36" t="s">
        <v>158</v>
      </c>
    </row>
    <row r="19" spans="1:13" s="5" customFormat="1" ht="24" customHeight="1" x14ac:dyDescent="0.2">
      <c r="A19" s="49" t="s">
        <v>218</v>
      </c>
      <c r="B19" s="54" t="s">
        <v>21</v>
      </c>
      <c r="C19" s="54" t="s">
        <v>22</v>
      </c>
      <c r="D19" s="55">
        <v>1</v>
      </c>
      <c r="E19" s="55">
        <v>30</v>
      </c>
      <c r="F19" s="54">
        <v>45903</v>
      </c>
      <c r="G19" s="10">
        <v>0.375</v>
      </c>
      <c r="H19" s="54">
        <v>45902</v>
      </c>
      <c r="I19" s="57">
        <v>0.8125</v>
      </c>
      <c r="J19" s="55">
        <f t="shared" si="0"/>
        <v>0</v>
      </c>
      <c r="K19" s="58">
        <v>2</v>
      </c>
      <c r="L19" s="59">
        <v>30</v>
      </c>
      <c r="M19" s="31" t="s">
        <v>235</v>
      </c>
    </row>
    <row r="20" spans="1:13" s="5" customFormat="1" ht="42" customHeight="1" x14ac:dyDescent="0.25">
      <c r="A20" s="60" t="s">
        <v>219</v>
      </c>
      <c r="B20" s="56" t="s">
        <v>30</v>
      </c>
      <c r="C20" s="56" t="s">
        <v>31</v>
      </c>
      <c r="D20" s="55">
        <v>1</v>
      </c>
      <c r="E20" s="55">
        <v>30</v>
      </c>
      <c r="F20" s="54">
        <v>45903</v>
      </c>
      <c r="G20" s="10">
        <v>0.375</v>
      </c>
      <c r="H20" s="54">
        <v>45902</v>
      </c>
      <c r="I20" s="57">
        <v>0.8125</v>
      </c>
      <c r="J20" s="55">
        <f t="shared" si="0"/>
        <v>3</v>
      </c>
      <c r="K20" s="58">
        <v>1</v>
      </c>
      <c r="L20" s="59">
        <v>27</v>
      </c>
      <c r="M20" s="31" t="s">
        <v>236</v>
      </c>
    </row>
    <row r="21" spans="1:13" s="5" customFormat="1" ht="33.9" customHeight="1" x14ac:dyDescent="0.25">
      <c r="A21" s="60" t="s">
        <v>220</v>
      </c>
      <c r="B21" s="54" t="s">
        <v>30</v>
      </c>
      <c r="C21" s="54" t="s">
        <v>31</v>
      </c>
      <c r="D21" s="55">
        <v>1</v>
      </c>
      <c r="E21" s="55">
        <v>30</v>
      </c>
      <c r="F21" s="54">
        <v>45903</v>
      </c>
      <c r="G21" s="10">
        <v>0.375</v>
      </c>
      <c r="H21" s="54">
        <v>45902</v>
      </c>
      <c r="I21" s="57">
        <v>0.83333333333333337</v>
      </c>
      <c r="J21" s="55">
        <f t="shared" si="0"/>
        <v>2</v>
      </c>
      <c r="K21" s="58">
        <v>1</v>
      </c>
      <c r="L21" s="59">
        <v>28</v>
      </c>
      <c r="M21" s="52" t="s">
        <v>237</v>
      </c>
    </row>
    <row r="22" spans="1:13" s="5" customFormat="1" ht="33.9" customHeight="1" x14ac:dyDescent="0.25">
      <c r="A22" s="61" t="s">
        <v>221</v>
      </c>
      <c r="B22" s="54" t="s">
        <v>30</v>
      </c>
      <c r="C22" s="54" t="s">
        <v>31</v>
      </c>
      <c r="D22" s="55">
        <v>1</v>
      </c>
      <c r="E22" s="55">
        <v>30</v>
      </c>
      <c r="F22" s="54">
        <v>45903</v>
      </c>
      <c r="G22" s="10">
        <v>0.375</v>
      </c>
      <c r="H22" s="54">
        <v>45902</v>
      </c>
      <c r="I22" s="57">
        <v>0.85416666666666663</v>
      </c>
      <c r="J22" s="55">
        <f t="shared" si="0"/>
        <v>10</v>
      </c>
      <c r="K22" s="58">
        <v>2</v>
      </c>
      <c r="L22" s="59">
        <v>20</v>
      </c>
      <c r="M22" s="31" t="s">
        <v>238</v>
      </c>
    </row>
    <row r="23" spans="1:13" s="5" customFormat="1" ht="28.5" customHeight="1" x14ac:dyDescent="0.25">
      <c r="A23" s="61" t="s">
        <v>222</v>
      </c>
      <c r="B23" s="54" t="s">
        <v>42</v>
      </c>
      <c r="C23" s="54" t="s">
        <v>43</v>
      </c>
      <c r="D23" s="55">
        <v>1</v>
      </c>
      <c r="E23" s="55">
        <v>30</v>
      </c>
      <c r="F23" s="54">
        <v>45903</v>
      </c>
      <c r="G23" s="10">
        <v>0.375</v>
      </c>
      <c r="H23" s="54">
        <v>45900</v>
      </c>
      <c r="I23" s="57">
        <v>0.79166666666666663</v>
      </c>
      <c r="J23" s="55">
        <f t="shared" si="0"/>
        <v>5</v>
      </c>
      <c r="K23" s="58">
        <v>2</v>
      </c>
      <c r="L23" s="59">
        <v>25</v>
      </c>
      <c r="M23" s="31" t="s">
        <v>239</v>
      </c>
    </row>
    <row r="24" spans="1:13" s="5" customFormat="1" ht="24.9" customHeight="1" x14ac:dyDescent="0.25">
      <c r="A24" s="61" t="s">
        <v>228</v>
      </c>
      <c r="B24" s="13" t="s">
        <v>136</v>
      </c>
      <c r="C24" s="13" t="s">
        <v>34</v>
      </c>
      <c r="D24" s="55">
        <v>1</v>
      </c>
      <c r="E24" s="53">
        <v>30</v>
      </c>
      <c r="F24" s="54">
        <v>45903</v>
      </c>
      <c r="G24" s="10">
        <v>0.375</v>
      </c>
      <c r="H24" s="13">
        <v>45900</v>
      </c>
      <c r="I24" s="12">
        <v>0.79166666666666663</v>
      </c>
      <c r="J24" s="53">
        <f t="shared" si="0"/>
        <v>4</v>
      </c>
      <c r="K24" s="50">
        <v>1</v>
      </c>
      <c r="L24" s="51">
        <v>26</v>
      </c>
      <c r="M24" s="52" t="s">
        <v>240</v>
      </c>
    </row>
    <row r="25" spans="1:13" s="5" customFormat="1" ht="26.25" customHeight="1" x14ac:dyDescent="0.25">
      <c r="A25" s="13" t="s">
        <v>225</v>
      </c>
      <c r="B25" s="13" t="s">
        <v>36</v>
      </c>
      <c r="C25" s="13" t="s">
        <v>37</v>
      </c>
      <c r="D25" s="55">
        <v>1</v>
      </c>
      <c r="E25" s="53">
        <v>30</v>
      </c>
      <c r="F25" s="54">
        <v>45903</v>
      </c>
      <c r="G25" s="10">
        <v>0.375</v>
      </c>
      <c r="H25" s="13">
        <v>45899</v>
      </c>
      <c r="I25" s="12">
        <v>0.79166666666666663</v>
      </c>
      <c r="J25" s="53">
        <f t="shared" si="0"/>
        <v>0</v>
      </c>
      <c r="K25" s="50">
        <v>1</v>
      </c>
      <c r="L25" s="51">
        <v>30</v>
      </c>
      <c r="M25" s="52" t="s">
        <v>241</v>
      </c>
    </row>
    <row r="26" spans="1:13" s="5" customFormat="1" ht="27" customHeight="1" x14ac:dyDescent="0.25">
      <c r="A26" s="13" t="s">
        <v>226</v>
      </c>
      <c r="B26" s="13" t="s">
        <v>36</v>
      </c>
      <c r="C26" s="13" t="s">
        <v>37</v>
      </c>
      <c r="D26" s="55">
        <v>1</v>
      </c>
      <c r="E26" s="53">
        <v>30</v>
      </c>
      <c r="F26" s="54">
        <v>45903</v>
      </c>
      <c r="G26" s="10">
        <v>0.375</v>
      </c>
      <c r="H26" s="13">
        <v>45899</v>
      </c>
      <c r="I26" s="12">
        <v>0.8125</v>
      </c>
      <c r="J26" s="53">
        <f t="shared" si="0"/>
        <v>2</v>
      </c>
      <c r="K26" s="50">
        <v>1</v>
      </c>
      <c r="L26" s="51">
        <v>28</v>
      </c>
      <c r="M26" s="52" t="s">
        <v>242</v>
      </c>
    </row>
    <row r="27" spans="1:13" s="5" customFormat="1" ht="33.9" customHeight="1" x14ac:dyDescent="0.25">
      <c r="A27" s="13" t="s">
        <v>227</v>
      </c>
      <c r="B27" s="13" t="s">
        <v>36</v>
      </c>
      <c r="C27" s="13" t="s">
        <v>37</v>
      </c>
      <c r="D27" s="55">
        <v>1</v>
      </c>
      <c r="E27" s="53">
        <v>30</v>
      </c>
      <c r="F27" s="54">
        <v>45903</v>
      </c>
      <c r="G27" s="10">
        <v>0.375</v>
      </c>
      <c r="H27" s="13">
        <v>45899</v>
      </c>
      <c r="I27" s="12">
        <v>0.83333333333333337</v>
      </c>
      <c r="J27" s="53">
        <f t="shared" si="0"/>
        <v>6</v>
      </c>
      <c r="K27" s="50">
        <v>1</v>
      </c>
      <c r="L27" s="51">
        <v>24</v>
      </c>
      <c r="M27" s="52" t="s">
        <v>243</v>
      </c>
    </row>
    <row r="28" spans="1:13" s="5" customFormat="1" ht="32.4" customHeight="1" x14ac:dyDescent="0.25">
      <c r="A28" s="13" t="s">
        <v>233</v>
      </c>
      <c r="B28" s="13" t="s">
        <v>39</v>
      </c>
      <c r="C28" s="13" t="s">
        <v>40</v>
      </c>
      <c r="D28" s="55">
        <v>1</v>
      </c>
      <c r="E28" s="53">
        <v>30</v>
      </c>
      <c r="F28" s="54">
        <v>45903</v>
      </c>
      <c r="G28" s="10">
        <v>0.375</v>
      </c>
      <c r="H28" s="13">
        <v>45902</v>
      </c>
      <c r="I28" s="12">
        <v>0.83333333333333337</v>
      </c>
      <c r="J28" s="53">
        <f t="shared" si="0"/>
        <v>0</v>
      </c>
      <c r="K28" s="50">
        <v>1</v>
      </c>
      <c r="L28" s="51">
        <v>30</v>
      </c>
      <c r="M28" s="52" t="s">
        <v>244</v>
      </c>
    </row>
    <row r="29" spans="1:13" ht="35.25" customHeight="1" x14ac:dyDescent="0.25">
      <c r="A29" s="61" t="s">
        <v>234</v>
      </c>
      <c r="B29" s="13" t="s">
        <v>39</v>
      </c>
      <c r="C29" s="13" t="s">
        <v>40</v>
      </c>
      <c r="D29" s="55">
        <v>5</v>
      </c>
      <c r="E29" s="53">
        <v>50</v>
      </c>
      <c r="F29" s="54">
        <v>45903</v>
      </c>
      <c r="G29" s="10">
        <v>0.375</v>
      </c>
      <c r="H29" s="13">
        <v>45902</v>
      </c>
      <c r="I29" s="12">
        <v>0.86805555555555558</v>
      </c>
      <c r="J29" s="53">
        <f t="shared" si="0"/>
        <v>5</v>
      </c>
      <c r="K29" s="50">
        <v>5</v>
      </c>
      <c r="L29" s="51">
        <v>45</v>
      </c>
      <c r="M29" s="52" t="s">
        <v>245</v>
      </c>
    </row>
    <row r="30" spans="1:13" s="5" customFormat="1" ht="47.1" customHeight="1" x14ac:dyDescent="0.25">
      <c r="A30" s="13" t="s">
        <v>229</v>
      </c>
      <c r="B30" s="13" t="s">
        <v>136</v>
      </c>
      <c r="C30" s="13" t="s">
        <v>34</v>
      </c>
      <c r="D30" s="55">
        <v>1</v>
      </c>
      <c r="E30" s="53">
        <v>30</v>
      </c>
      <c r="F30" s="54">
        <v>45903</v>
      </c>
      <c r="G30" s="10">
        <v>0.375</v>
      </c>
      <c r="H30" s="13">
        <v>45900</v>
      </c>
      <c r="I30" s="12">
        <v>0.8125</v>
      </c>
      <c r="J30" s="53">
        <f t="shared" si="0"/>
        <v>8</v>
      </c>
      <c r="K30" s="50">
        <v>1</v>
      </c>
      <c r="L30" s="51">
        <v>22</v>
      </c>
      <c r="M30" s="52" t="s">
        <v>246</v>
      </c>
    </row>
    <row r="31" spans="1:13" s="5" customFormat="1" ht="33" customHeight="1" x14ac:dyDescent="0.25">
      <c r="A31" s="13" t="s">
        <v>231</v>
      </c>
      <c r="B31" s="13" t="s">
        <v>21</v>
      </c>
      <c r="C31" s="13" t="s">
        <v>22</v>
      </c>
      <c r="D31" s="55">
        <v>1</v>
      </c>
      <c r="E31" s="53">
        <v>30</v>
      </c>
      <c r="F31" s="54">
        <v>45903</v>
      </c>
      <c r="G31" s="10">
        <v>0.375</v>
      </c>
      <c r="H31" s="13">
        <v>45902</v>
      </c>
      <c r="I31" s="12">
        <v>0.83333333333333337</v>
      </c>
      <c r="J31" s="53">
        <f t="shared" si="0"/>
        <v>7</v>
      </c>
      <c r="K31" s="50">
        <v>1</v>
      </c>
      <c r="L31" s="51">
        <v>23</v>
      </c>
      <c r="M31" s="52" t="s">
        <v>247</v>
      </c>
    </row>
    <row r="32" spans="1:13" s="5" customFormat="1" ht="27" customHeight="1" x14ac:dyDescent="0.25">
      <c r="A32" s="61" t="s">
        <v>232</v>
      </c>
      <c r="B32" s="13" t="s">
        <v>21</v>
      </c>
      <c r="C32" s="13" t="s">
        <v>22</v>
      </c>
      <c r="D32" s="55">
        <v>1</v>
      </c>
      <c r="E32" s="53">
        <v>40</v>
      </c>
      <c r="F32" s="54">
        <v>45903</v>
      </c>
      <c r="G32" s="10">
        <v>0.375</v>
      </c>
      <c r="H32" s="13">
        <v>45902</v>
      </c>
      <c r="I32" s="12">
        <v>0.86111111111111116</v>
      </c>
      <c r="J32" s="53">
        <f t="shared" si="0"/>
        <v>9</v>
      </c>
      <c r="K32" s="50">
        <v>2</v>
      </c>
      <c r="L32" s="51">
        <v>31</v>
      </c>
      <c r="M32" s="52" t="s">
        <v>248</v>
      </c>
    </row>
    <row r="33" spans="1:13" s="5" customFormat="1" ht="33.6" customHeight="1" x14ac:dyDescent="0.25">
      <c r="A33" s="13" t="s">
        <v>230</v>
      </c>
      <c r="B33" s="13" t="s">
        <v>136</v>
      </c>
      <c r="C33" s="13" t="s">
        <v>34</v>
      </c>
      <c r="D33" s="55">
        <v>1</v>
      </c>
      <c r="E33" s="53">
        <v>25</v>
      </c>
      <c r="F33" s="54">
        <v>45903</v>
      </c>
      <c r="G33" s="10">
        <v>0.375</v>
      </c>
      <c r="H33" s="13">
        <v>45900</v>
      </c>
      <c r="I33" s="12">
        <v>0.82986111111111116</v>
      </c>
      <c r="J33" s="53">
        <f t="shared" si="0"/>
        <v>5</v>
      </c>
      <c r="K33" s="50">
        <v>2</v>
      </c>
      <c r="L33" s="51">
        <v>20</v>
      </c>
      <c r="M33" s="52" t="s">
        <v>249</v>
      </c>
    </row>
    <row r="34" spans="1:13" s="5" customFormat="1" ht="29.25" customHeight="1" x14ac:dyDescent="0.25">
      <c r="A34" s="61" t="s">
        <v>224</v>
      </c>
      <c r="B34" s="13" t="s">
        <v>42</v>
      </c>
      <c r="C34" s="13" t="s">
        <v>43</v>
      </c>
      <c r="D34" s="55">
        <v>1</v>
      </c>
      <c r="E34" s="53">
        <v>20</v>
      </c>
      <c r="F34" s="54">
        <v>45903</v>
      </c>
      <c r="G34" s="10">
        <v>0.375</v>
      </c>
      <c r="H34" s="13">
        <v>45900</v>
      </c>
      <c r="I34" s="12">
        <v>0.80555555555555558</v>
      </c>
      <c r="J34" s="53">
        <f t="shared" si="0"/>
        <v>0</v>
      </c>
      <c r="K34" s="50">
        <v>1</v>
      </c>
      <c r="L34" s="51">
        <v>20</v>
      </c>
      <c r="M34" s="52" t="s">
        <v>250</v>
      </c>
    </row>
    <row r="35" spans="1:13" s="5" customFormat="1" ht="31.5" customHeight="1" x14ac:dyDescent="0.25">
      <c r="A35" s="13" t="s">
        <v>223</v>
      </c>
      <c r="B35" s="13" t="s">
        <v>42</v>
      </c>
      <c r="C35" s="13" t="s">
        <v>43</v>
      </c>
      <c r="D35" s="55">
        <v>1</v>
      </c>
      <c r="E35" s="53">
        <v>20</v>
      </c>
      <c r="F35" s="54">
        <v>45903</v>
      </c>
      <c r="G35" s="10">
        <v>0.375</v>
      </c>
      <c r="H35" s="13">
        <v>45900</v>
      </c>
      <c r="I35" s="12">
        <v>0.81944444444444442</v>
      </c>
      <c r="J35" s="53">
        <f t="shared" si="0"/>
        <v>0</v>
      </c>
      <c r="K35" s="50">
        <v>1</v>
      </c>
      <c r="L35" s="51">
        <v>20</v>
      </c>
      <c r="M35" s="52" t="s">
        <v>251</v>
      </c>
    </row>
    <row r="36" spans="1:13" s="5" customFormat="1" ht="26.4" customHeight="1" x14ac:dyDescent="0.25">
      <c r="A36" s="13" t="s">
        <v>193</v>
      </c>
      <c r="B36" s="13" t="s">
        <v>30</v>
      </c>
      <c r="C36" s="13" t="s">
        <v>31</v>
      </c>
      <c r="D36" s="55">
        <v>1</v>
      </c>
      <c r="E36" s="53">
        <v>30</v>
      </c>
      <c r="F36" s="54">
        <v>45903</v>
      </c>
      <c r="G36" s="10">
        <v>0.375</v>
      </c>
      <c r="H36" s="13">
        <v>45902</v>
      </c>
      <c r="I36" s="12">
        <v>0.875</v>
      </c>
      <c r="J36" s="53">
        <f t="shared" si="0"/>
        <v>5</v>
      </c>
      <c r="K36" s="50">
        <v>1</v>
      </c>
      <c r="L36" s="51">
        <v>25</v>
      </c>
      <c r="M36" s="52" t="s">
        <v>192</v>
      </c>
    </row>
    <row r="37" spans="1:13" s="5" customFormat="1" ht="29.1" customHeight="1" x14ac:dyDescent="0.25">
      <c r="A37" s="13" t="s">
        <v>194</v>
      </c>
      <c r="B37" s="13" t="s">
        <v>42</v>
      </c>
      <c r="C37" s="13" t="s">
        <v>43</v>
      </c>
      <c r="D37" s="55">
        <v>1</v>
      </c>
      <c r="E37" s="53">
        <v>30</v>
      </c>
      <c r="F37" s="54">
        <v>45903</v>
      </c>
      <c r="G37" s="10">
        <v>0.375</v>
      </c>
      <c r="H37" s="13">
        <v>45900</v>
      </c>
      <c r="I37" s="12">
        <v>0.84027777777777779</v>
      </c>
      <c r="J37" s="53">
        <f t="shared" si="0"/>
        <v>0</v>
      </c>
      <c r="K37" s="50">
        <v>1</v>
      </c>
      <c r="L37" s="51">
        <v>30</v>
      </c>
      <c r="M37" s="52" t="s">
        <v>195</v>
      </c>
    </row>
    <row r="38" spans="1:13" s="5" customFormat="1" ht="31.5" customHeight="1" x14ac:dyDescent="0.25">
      <c r="A38" s="13" t="s">
        <v>198</v>
      </c>
      <c r="B38" s="13" t="s">
        <v>36</v>
      </c>
      <c r="C38" s="13" t="s">
        <v>37</v>
      </c>
      <c r="D38" s="55">
        <v>1</v>
      </c>
      <c r="E38" s="53">
        <v>30</v>
      </c>
      <c r="F38" s="54">
        <v>45903</v>
      </c>
      <c r="G38" s="10">
        <v>0.375</v>
      </c>
      <c r="H38" s="13">
        <v>45899</v>
      </c>
      <c r="I38" s="12">
        <v>0.85416666666666663</v>
      </c>
      <c r="J38" s="53">
        <f t="shared" si="0"/>
        <v>5</v>
      </c>
      <c r="K38" s="50">
        <v>1</v>
      </c>
      <c r="L38" s="51">
        <v>25</v>
      </c>
      <c r="M38" s="52" t="s">
        <v>196</v>
      </c>
    </row>
    <row r="39" spans="1:13" s="5" customFormat="1" ht="26.1" customHeight="1" x14ac:dyDescent="0.25">
      <c r="A39" s="13" t="s">
        <v>197</v>
      </c>
      <c r="B39" s="13" t="s">
        <v>21</v>
      </c>
      <c r="C39" s="13" t="s">
        <v>22</v>
      </c>
      <c r="D39" s="55">
        <v>1</v>
      </c>
      <c r="E39" s="53">
        <v>30</v>
      </c>
      <c r="F39" s="54">
        <v>45903</v>
      </c>
      <c r="G39" s="10">
        <v>0.375</v>
      </c>
      <c r="H39" s="13">
        <v>45902</v>
      </c>
      <c r="I39" s="12">
        <v>0.88194444444444442</v>
      </c>
      <c r="J39" s="53">
        <f t="shared" si="0"/>
        <v>6</v>
      </c>
      <c r="K39" s="50">
        <v>1</v>
      </c>
      <c r="L39" s="51">
        <v>24</v>
      </c>
      <c r="M39" s="52" t="s">
        <v>199</v>
      </c>
    </row>
    <row r="40" spans="1:13" s="5" customFormat="1" ht="27" customHeight="1" x14ac:dyDescent="0.25">
      <c r="A40" s="13" t="s">
        <v>200</v>
      </c>
      <c r="B40" s="13" t="s">
        <v>136</v>
      </c>
      <c r="C40" s="13" t="s">
        <v>34</v>
      </c>
      <c r="D40" s="55">
        <v>1</v>
      </c>
      <c r="E40" s="53">
        <v>30</v>
      </c>
      <c r="F40" s="54">
        <v>45903</v>
      </c>
      <c r="G40" s="10">
        <v>0.375</v>
      </c>
      <c r="H40" s="13">
        <v>45900</v>
      </c>
      <c r="I40" s="12">
        <v>0.85069444444444442</v>
      </c>
      <c r="J40" s="53">
        <f t="shared" ref="J40:J60" si="1">E40-L40</f>
        <v>7</v>
      </c>
      <c r="K40" s="50">
        <v>1</v>
      </c>
      <c r="L40" s="51">
        <v>23</v>
      </c>
      <c r="M40" s="52" t="s">
        <v>201</v>
      </c>
    </row>
    <row r="41" spans="1:13" s="5" customFormat="1" ht="27" customHeight="1" x14ac:dyDescent="0.25">
      <c r="A41" s="13" t="s">
        <v>202</v>
      </c>
      <c r="B41" s="13" t="s">
        <v>39</v>
      </c>
      <c r="C41" s="13" t="s">
        <v>40</v>
      </c>
      <c r="D41" s="55">
        <v>1</v>
      </c>
      <c r="E41" s="53">
        <v>30</v>
      </c>
      <c r="F41" s="54">
        <v>45903</v>
      </c>
      <c r="G41" s="10">
        <v>0.375</v>
      </c>
      <c r="H41" s="13">
        <v>45902</v>
      </c>
      <c r="I41" s="12">
        <v>0.88888888888888884</v>
      </c>
      <c r="J41" s="53">
        <f t="shared" si="1"/>
        <v>4</v>
      </c>
      <c r="K41" s="50">
        <v>1</v>
      </c>
      <c r="L41" s="51">
        <v>26</v>
      </c>
      <c r="M41" s="52" t="s">
        <v>203</v>
      </c>
    </row>
    <row r="42" spans="1:13" s="5" customFormat="1" ht="40.5" customHeight="1" x14ac:dyDescent="0.25">
      <c r="A42" s="13" t="s">
        <v>204</v>
      </c>
      <c r="B42" s="13" t="s">
        <v>39</v>
      </c>
      <c r="C42" s="13" t="s">
        <v>40</v>
      </c>
      <c r="D42" s="55">
        <v>1</v>
      </c>
      <c r="E42" s="53">
        <v>60</v>
      </c>
      <c r="F42" s="54">
        <v>45903</v>
      </c>
      <c r="G42" s="10">
        <v>0.375</v>
      </c>
      <c r="H42" s="13">
        <v>45902</v>
      </c>
      <c r="I42" s="12">
        <v>0.93055555555555558</v>
      </c>
      <c r="J42" s="53">
        <f t="shared" si="1"/>
        <v>-2</v>
      </c>
      <c r="K42" s="50">
        <v>1</v>
      </c>
      <c r="L42" s="51">
        <v>62</v>
      </c>
      <c r="M42" s="52" t="s">
        <v>205</v>
      </c>
    </row>
    <row r="43" spans="1:13" s="5" customFormat="1" ht="38.25" customHeight="1" x14ac:dyDescent="0.2">
      <c r="A43" s="23" t="s">
        <v>146</v>
      </c>
      <c r="B43" s="11" t="s">
        <v>30</v>
      </c>
      <c r="C43" s="62" t="s">
        <v>207</v>
      </c>
      <c r="D43" s="20">
        <v>1</v>
      </c>
      <c r="E43" s="29">
        <v>60</v>
      </c>
      <c r="F43" s="11">
        <v>45903</v>
      </c>
      <c r="G43" s="10">
        <v>0.375</v>
      </c>
      <c r="H43" s="11">
        <v>45902</v>
      </c>
      <c r="I43" s="10">
        <v>0.91666666666666663</v>
      </c>
      <c r="J43" s="9">
        <f t="shared" si="1"/>
        <v>50</v>
      </c>
      <c r="K43" s="8">
        <v>1</v>
      </c>
      <c r="L43" s="7">
        <v>10</v>
      </c>
      <c r="M43" s="6" t="s">
        <v>149</v>
      </c>
    </row>
    <row r="44" spans="1:13" s="5" customFormat="1" ht="38.25" customHeight="1" x14ac:dyDescent="0.2">
      <c r="A44" s="23" t="s">
        <v>146</v>
      </c>
      <c r="B44" s="11" t="s">
        <v>42</v>
      </c>
      <c r="C44" s="11" t="s">
        <v>77</v>
      </c>
      <c r="D44" s="20">
        <v>1</v>
      </c>
      <c r="E44" s="29">
        <v>60</v>
      </c>
      <c r="F44" s="11">
        <v>45903</v>
      </c>
      <c r="G44" s="10">
        <v>0.375</v>
      </c>
      <c r="H44" s="11">
        <v>45902</v>
      </c>
      <c r="I44" s="10">
        <v>0.91666666666666663</v>
      </c>
      <c r="J44" s="9">
        <f t="shared" si="1"/>
        <v>50</v>
      </c>
      <c r="K44" s="8">
        <v>1</v>
      </c>
      <c r="L44" s="7">
        <v>10</v>
      </c>
      <c r="M44" s="6" t="s">
        <v>149</v>
      </c>
    </row>
    <row r="45" spans="1:13" s="5" customFormat="1" ht="27" customHeight="1" x14ac:dyDescent="0.2">
      <c r="A45" s="23" t="s">
        <v>146</v>
      </c>
      <c r="B45" s="11" t="s">
        <v>21</v>
      </c>
      <c r="C45" s="11" t="s">
        <v>86</v>
      </c>
      <c r="D45" s="20">
        <v>1</v>
      </c>
      <c r="E45" s="29">
        <v>60</v>
      </c>
      <c r="F45" s="11">
        <v>45903</v>
      </c>
      <c r="G45" s="10">
        <v>0.375</v>
      </c>
      <c r="H45" s="11">
        <v>45902</v>
      </c>
      <c r="I45" s="10">
        <v>0.91666666666666663</v>
      </c>
      <c r="J45" s="9">
        <f t="shared" si="1"/>
        <v>50</v>
      </c>
      <c r="K45" s="8">
        <v>1</v>
      </c>
      <c r="L45" s="7">
        <v>10</v>
      </c>
      <c r="M45" s="6" t="s">
        <v>149</v>
      </c>
    </row>
    <row r="46" spans="1:13" s="5" customFormat="1" ht="33" customHeight="1" x14ac:dyDescent="0.2">
      <c r="A46" s="23" t="s">
        <v>146</v>
      </c>
      <c r="B46" s="11" t="s">
        <v>136</v>
      </c>
      <c r="C46" s="11" t="s">
        <v>151</v>
      </c>
      <c r="D46" s="20">
        <v>1</v>
      </c>
      <c r="E46" s="29">
        <v>60</v>
      </c>
      <c r="F46" s="11">
        <v>45903</v>
      </c>
      <c r="G46" s="10">
        <v>0.375</v>
      </c>
      <c r="H46" s="11">
        <v>45902</v>
      </c>
      <c r="I46" s="10">
        <v>0.91666666666666663</v>
      </c>
      <c r="J46" s="9">
        <f t="shared" si="1"/>
        <v>50</v>
      </c>
      <c r="K46" s="8">
        <v>1</v>
      </c>
      <c r="L46" s="7">
        <v>10</v>
      </c>
      <c r="M46" s="6" t="s">
        <v>149</v>
      </c>
    </row>
    <row r="47" spans="1:13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45903</v>
      </c>
      <c r="G47" s="10">
        <v>0.375</v>
      </c>
      <c r="H47" s="11">
        <v>45902</v>
      </c>
      <c r="I47" s="10">
        <v>0.91666666666666663</v>
      </c>
      <c r="J47" s="9">
        <f t="shared" si="1"/>
        <v>50</v>
      </c>
      <c r="K47" s="8">
        <v>1</v>
      </c>
      <c r="L47" s="7">
        <v>10</v>
      </c>
      <c r="M47" s="6" t="s">
        <v>149</v>
      </c>
    </row>
    <row r="48" spans="1:13" s="5" customFormat="1" ht="27" customHeight="1" x14ac:dyDescent="0.2">
      <c r="A48" s="23" t="s">
        <v>146</v>
      </c>
      <c r="B48" s="11" t="s">
        <v>39</v>
      </c>
      <c r="C48" s="11" t="s">
        <v>150</v>
      </c>
      <c r="D48" s="20">
        <v>1</v>
      </c>
      <c r="E48" s="29">
        <v>60</v>
      </c>
      <c r="F48" s="11">
        <v>45903</v>
      </c>
      <c r="G48" s="10">
        <v>0.375</v>
      </c>
      <c r="H48" s="11">
        <v>45902</v>
      </c>
      <c r="I48" s="10">
        <v>0.91666666666666663</v>
      </c>
      <c r="J48" s="9">
        <f t="shared" si="1"/>
        <v>50</v>
      </c>
      <c r="K48" s="8">
        <v>1</v>
      </c>
      <c r="L48" s="7">
        <v>10</v>
      </c>
      <c r="M48" s="6" t="s">
        <v>149</v>
      </c>
    </row>
    <row r="49" spans="1:13" s="5" customFormat="1" ht="26.1" customHeight="1" x14ac:dyDescent="0.2">
      <c r="A49" s="23" t="s">
        <v>52</v>
      </c>
      <c r="B49" s="21" t="s">
        <v>21</v>
      </c>
      <c r="C49" s="63" t="s">
        <v>22</v>
      </c>
      <c r="D49" s="20">
        <v>1</v>
      </c>
      <c r="E49" s="29">
        <v>30</v>
      </c>
      <c r="F49" s="11">
        <v>45903</v>
      </c>
      <c r="G49" s="10">
        <v>0.375</v>
      </c>
      <c r="H49" s="11">
        <v>45902</v>
      </c>
      <c r="I49" s="10">
        <v>0.91666666666666663</v>
      </c>
      <c r="J49" s="9">
        <f t="shared" si="1"/>
        <v>0</v>
      </c>
      <c r="K49" s="8">
        <v>1</v>
      </c>
      <c r="L49" s="7">
        <v>30</v>
      </c>
      <c r="M49" s="6" t="s">
        <v>53</v>
      </c>
    </row>
    <row r="50" spans="1:13" s="5" customFormat="1" ht="24.9" customHeight="1" x14ac:dyDescent="0.2">
      <c r="A50" s="23" t="s">
        <v>153</v>
      </c>
      <c r="B50" s="21" t="s">
        <v>36</v>
      </c>
      <c r="C50" s="63" t="s">
        <v>37</v>
      </c>
      <c r="D50" s="20">
        <v>1</v>
      </c>
      <c r="E50" s="5">
        <v>30</v>
      </c>
      <c r="F50" s="11">
        <v>45903</v>
      </c>
      <c r="G50" s="10">
        <v>0.375</v>
      </c>
      <c r="H50" s="11">
        <v>45902</v>
      </c>
      <c r="I50" s="10">
        <v>0.91666666666666663</v>
      </c>
      <c r="J50" s="9">
        <f t="shared" si="1"/>
        <v>0</v>
      </c>
      <c r="K50" s="8">
        <v>1</v>
      </c>
      <c r="L50" s="7">
        <v>30</v>
      </c>
      <c r="M50" s="6" t="s">
        <v>53</v>
      </c>
    </row>
    <row r="51" spans="1:13" s="5" customFormat="1" ht="22.5" customHeight="1" x14ac:dyDescent="0.2">
      <c r="A51" s="23" t="s">
        <v>79</v>
      </c>
      <c r="B51" s="11" t="s">
        <v>36</v>
      </c>
      <c r="C51" s="62" t="s">
        <v>37</v>
      </c>
      <c r="D51" s="20">
        <v>1</v>
      </c>
      <c r="E51" s="29">
        <v>45</v>
      </c>
      <c r="F51" s="11">
        <v>45903</v>
      </c>
      <c r="G51" s="10">
        <v>0.375</v>
      </c>
      <c r="H51" s="11">
        <v>45902</v>
      </c>
      <c r="I51" s="10">
        <v>0.9375</v>
      </c>
      <c r="J51" s="9">
        <f t="shared" si="1"/>
        <v>-35</v>
      </c>
      <c r="K51" s="8">
        <v>1</v>
      </c>
      <c r="L51" s="7">
        <v>80</v>
      </c>
      <c r="M51" s="6" t="s">
        <v>81</v>
      </c>
    </row>
    <row r="52" spans="1:13" s="5" customFormat="1" ht="35.4" customHeight="1" x14ac:dyDescent="0.2">
      <c r="A52" s="23" t="s">
        <v>85</v>
      </c>
      <c r="B52" s="11" t="s">
        <v>21</v>
      </c>
      <c r="C52" s="62" t="s">
        <v>22</v>
      </c>
      <c r="D52" s="20">
        <v>1</v>
      </c>
      <c r="E52" s="29">
        <v>60</v>
      </c>
      <c r="F52" s="11">
        <v>45903</v>
      </c>
      <c r="G52" s="10">
        <v>0.375</v>
      </c>
      <c r="H52" s="11">
        <v>45902</v>
      </c>
      <c r="I52" s="10">
        <v>0.9375</v>
      </c>
      <c r="J52" s="9">
        <f t="shared" si="1"/>
        <v>10</v>
      </c>
      <c r="K52" s="8">
        <v>1</v>
      </c>
      <c r="L52" s="7">
        <v>50</v>
      </c>
      <c r="M52" s="6" t="s">
        <v>87</v>
      </c>
    </row>
    <row r="53" spans="1:13" s="5" customFormat="1" ht="36.6" customHeight="1" x14ac:dyDescent="0.2">
      <c r="A53" s="23" t="s">
        <v>88</v>
      </c>
      <c r="B53" s="11" t="s">
        <v>21</v>
      </c>
      <c r="C53" s="11" t="s">
        <v>22</v>
      </c>
      <c r="D53" s="20">
        <v>1</v>
      </c>
      <c r="E53" s="29">
        <v>55</v>
      </c>
      <c r="F53" s="11">
        <v>45903</v>
      </c>
      <c r="G53" s="10">
        <v>0.375</v>
      </c>
      <c r="H53" s="11">
        <v>45902</v>
      </c>
      <c r="I53" s="10">
        <v>0.9375</v>
      </c>
      <c r="J53" s="9">
        <f t="shared" si="1"/>
        <v>0</v>
      </c>
      <c r="K53" s="8">
        <v>1</v>
      </c>
      <c r="L53" s="7">
        <v>55</v>
      </c>
      <c r="M53" s="6" t="s">
        <v>89</v>
      </c>
    </row>
    <row r="54" spans="1:13" s="5" customFormat="1" ht="36.6" customHeight="1" x14ac:dyDescent="0.2">
      <c r="A54" s="33" t="s">
        <v>131</v>
      </c>
      <c r="B54" s="11" t="s">
        <v>36</v>
      </c>
      <c r="C54" s="11" t="s">
        <v>37</v>
      </c>
      <c r="D54" s="29">
        <v>1</v>
      </c>
      <c r="E54" s="29">
        <v>30</v>
      </c>
      <c r="F54" s="11">
        <v>45903</v>
      </c>
      <c r="G54" s="10">
        <v>0.375</v>
      </c>
      <c r="H54" s="11">
        <v>45902</v>
      </c>
      <c r="I54" s="10">
        <v>0.9375</v>
      </c>
      <c r="J54" s="9">
        <f t="shared" si="1"/>
        <v>-2</v>
      </c>
      <c r="K54" s="8">
        <v>1</v>
      </c>
      <c r="L54" s="7">
        <v>32</v>
      </c>
      <c r="M54" s="6" t="s">
        <v>132</v>
      </c>
    </row>
    <row r="55" spans="1:13" s="5" customFormat="1" ht="35.4" customHeight="1" x14ac:dyDescent="0.2">
      <c r="A55" s="33" t="s">
        <v>131</v>
      </c>
      <c r="B55" s="11" t="s">
        <v>42</v>
      </c>
      <c r="C55" s="11" t="s">
        <v>43</v>
      </c>
      <c r="D55" s="29">
        <v>1</v>
      </c>
      <c r="E55" s="29">
        <v>30</v>
      </c>
      <c r="F55" s="11">
        <v>45903</v>
      </c>
      <c r="G55" s="10">
        <v>0.375</v>
      </c>
      <c r="H55" s="11">
        <v>45902</v>
      </c>
      <c r="I55" s="10">
        <v>0.9375</v>
      </c>
      <c r="J55" s="9">
        <f t="shared" si="1"/>
        <v>-2</v>
      </c>
      <c r="K55" s="8">
        <v>1</v>
      </c>
      <c r="L55" s="7">
        <v>32</v>
      </c>
      <c r="M55" s="6" t="s">
        <v>132</v>
      </c>
    </row>
    <row r="56" spans="1:13" s="5" customFormat="1" ht="35.4" customHeight="1" x14ac:dyDescent="0.2">
      <c r="A56" s="33" t="s">
        <v>131</v>
      </c>
      <c r="B56" s="11" t="s">
        <v>30</v>
      </c>
      <c r="C56" s="11" t="s">
        <v>31</v>
      </c>
      <c r="D56" s="29">
        <v>1</v>
      </c>
      <c r="E56" s="29">
        <v>30</v>
      </c>
      <c r="F56" s="11">
        <v>45903</v>
      </c>
      <c r="G56" s="10">
        <v>0.375</v>
      </c>
      <c r="H56" s="11">
        <v>45902</v>
      </c>
      <c r="I56" s="10">
        <v>0.9375</v>
      </c>
      <c r="J56" s="9">
        <f t="shared" si="1"/>
        <v>-2</v>
      </c>
      <c r="K56" s="8">
        <v>1</v>
      </c>
      <c r="L56" s="7">
        <v>32</v>
      </c>
      <c r="M56" s="6" t="s">
        <v>132</v>
      </c>
    </row>
    <row r="57" spans="1:13" s="5" customFormat="1" ht="35.4" customHeight="1" x14ac:dyDescent="0.2">
      <c r="A57" s="33" t="s">
        <v>131</v>
      </c>
      <c r="B57" s="11" t="s">
        <v>21</v>
      </c>
      <c r="C57" s="11" t="s">
        <v>22</v>
      </c>
      <c r="D57" s="29">
        <v>1</v>
      </c>
      <c r="E57" s="29">
        <v>30</v>
      </c>
      <c r="F57" s="11">
        <v>45903</v>
      </c>
      <c r="G57" s="10">
        <v>0.375</v>
      </c>
      <c r="H57" s="11">
        <v>45902</v>
      </c>
      <c r="I57" s="10">
        <v>0.9375</v>
      </c>
      <c r="J57" s="9">
        <f t="shared" si="1"/>
        <v>-2</v>
      </c>
      <c r="K57" s="8">
        <v>1</v>
      </c>
      <c r="L57" s="7">
        <v>32</v>
      </c>
      <c r="M57" s="6" t="s">
        <v>132</v>
      </c>
    </row>
    <row r="58" spans="1:13" s="5" customFormat="1" ht="35.4" customHeight="1" x14ac:dyDescent="0.2">
      <c r="A58" s="33" t="s">
        <v>131</v>
      </c>
      <c r="B58" s="11" t="s">
        <v>136</v>
      </c>
      <c r="C58" s="11" t="s">
        <v>34</v>
      </c>
      <c r="D58" s="29">
        <v>1</v>
      </c>
      <c r="E58" s="29">
        <v>30</v>
      </c>
      <c r="F58" s="11">
        <v>45903</v>
      </c>
      <c r="G58" s="10">
        <v>0.375</v>
      </c>
      <c r="H58" s="11">
        <v>45902</v>
      </c>
      <c r="I58" s="10">
        <v>0.9375</v>
      </c>
      <c r="J58" s="9">
        <f t="shared" si="1"/>
        <v>-2</v>
      </c>
      <c r="K58" s="8">
        <v>1</v>
      </c>
      <c r="L58" s="7">
        <v>32</v>
      </c>
      <c r="M58" s="6" t="s">
        <v>132</v>
      </c>
    </row>
    <row r="59" spans="1:13" s="5" customFormat="1" ht="35.4" customHeight="1" x14ac:dyDescent="0.2">
      <c r="A59" s="33" t="s">
        <v>131</v>
      </c>
      <c r="B59" s="11" t="s">
        <v>39</v>
      </c>
      <c r="C59" s="11" t="s">
        <v>40</v>
      </c>
      <c r="D59" s="29">
        <v>1</v>
      </c>
      <c r="E59" s="29">
        <v>30</v>
      </c>
      <c r="F59" s="11">
        <v>45903</v>
      </c>
      <c r="G59" s="10">
        <v>0.375</v>
      </c>
      <c r="H59" s="11">
        <v>45902</v>
      </c>
      <c r="I59" s="10">
        <v>0.9375</v>
      </c>
      <c r="J59" s="9">
        <f t="shared" si="1"/>
        <v>-2</v>
      </c>
      <c r="K59" s="8">
        <v>1</v>
      </c>
      <c r="L59" s="7">
        <v>32</v>
      </c>
      <c r="M59" s="6" t="s">
        <v>132</v>
      </c>
    </row>
    <row r="60" spans="1:13" s="5" customFormat="1" ht="35.4" customHeight="1" x14ac:dyDescent="0.2">
      <c r="A60" s="33" t="s">
        <v>133</v>
      </c>
      <c r="B60" s="11" t="s">
        <v>21</v>
      </c>
      <c r="C60" s="11" t="s">
        <v>22</v>
      </c>
      <c r="D60" s="29">
        <v>3</v>
      </c>
      <c r="E60" s="29">
        <v>20</v>
      </c>
      <c r="F60" s="11">
        <v>45903</v>
      </c>
      <c r="G60" s="10">
        <v>0.375</v>
      </c>
      <c r="H60" s="11">
        <v>45903</v>
      </c>
      <c r="I60" s="10">
        <v>0.375</v>
      </c>
      <c r="J60" s="9">
        <f t="shared" si="1"/>
        <v>5</v>
      </c>
      <c r="K60" s="8">
        <v>3</v>
      </c>
      <c r="L60" s="7">
        <v>15</v>
      </c>
      <c r="M60" s="6" t="s">
        <v>134</v>
      </c>
    </row>
    <row r="61" spans="1:13" s="5" customFormat="1" ht="35.4" customHeight="1" x14ac:dyDescent="0.25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s="5" customFormat="1" ht="35.4" customHeight="1" x14ac:dyDescent="0.25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</row>
    <row r="63" spans="1:13" s="5" customFormat="1" ht="35.4" customHeight="1" x14ac:dyDescent="0.25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</row>
    <row r="64" spans="1:13" s="5" customFormat="1" ht="35.4" customHeight="1" x14ac:dyDescent="0.25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</row>
    <row r="65" spans="1:13" s="5" customFormat="1" ht="35.4" customHeight="1" x14ac:dyDescent="0.25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35.4" customHeight="1" x14ac:dyDescent="0.25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" customHeight="1" x14ac:dyDescent="0.25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7.5" customHeight="1" x14ac:dyDescent="0.25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77" spans="1:13" ht="34.200000000000003" x14ac:dyDescent="0.25">
      <c r="B77" s="11" t="s">
        <v>30</v>
      </c>
      <c r="C77" s="11" t="s">
        <v>83</v>
      </c>
      <c r="D77" s="20">
        <v>1</v>
      </c>
      <c r="E77" s="29">
        <v>50</v>
      </c>
      <c r="F77" s="11">
        <v>45882</v>
      </c>
      <c r="G77" s="10">
        <v>0.375</v>
      </c>
      <c r="H77" s="11">
        <v>45880</v>
      </c>
      <c r="I77" s="10">
        <v>0.95833333333333337</v>
      </c>
      <c r="J77" s="9">
        <f>E77-L77</f>
        <v>-4</v>
      </c>
      <c r="K77" s="8">
        <v>1</v>
      </c>
      <c r="L77" s="7">
        <v>54</v>
      </c>
      <c r="M77" s="6" t="s">
        <v>84</v>
      </c>
    </row>
    <row r="78" spans="1:13" x14ac:dyDescent="0.25">
      <c r="A78" s="23" t="s">
        <v>82</v>
      </c>
    </row>
    <row r="97" spans="1:20" ht="30" customHeight="1" x14ac:dyDescent="0.25"/>
    <row r="98" spans="1:20" ht="23.25" customHeight="1" x14ac:dyDescent="0.25"/>
    <row r="105" spans="1:20" s="5" customFormat="1" ht="12" customHeight="1" x14ac:dyDescent="0.25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</row>
    <row r="109" spans="1:20" x14ac:dyDescent="0.25">
      <c r="Q109" s="42" t="e">
        <f>SUM(#REF!)</f>
        <v>#REF!</v>
      </c>
      <c r="R109" s="42" t="e">
        <f>SUM(#REF!)</f>
        <v>#REF!</v>
      </c>
      <c r="S109" s="42" t="e">
        <f>SUM(#REF!)</f>
        <v>#REF!</v>
      </c>
      <c r="T109" s="42" t="e">
        <f>SUM(#REF!)</f>
        <v>#REF!</v>
      </c>
    </row>
    <row r="110" spans="1:20" ht="35.25" customHeight="1" x14ac:dyDescent="0.25"/>
    <row r="111" spans="1:20" ht="36.75" customHeight="1" x14ac:dyDescent="0.25"/>
    <row r="112" spans="1:20" ht="33.75" customHeight="1" x14ac:dyDescent="0.25"/>
    <row r="113" ht="26.25" customHeight="1" x14ac:dyDescent="0.25"/>
    <row r="114" ht="27.75" customHeight="1" x14ac:dyDescent="0.25"/>
    <row r="115" ht="40.5" customHeight="1" x14ac:dyDescent="0.25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5876-5662-4198-9D28-C7F3B9127FCE}">
  <dimension ref="A1:T129"/>
  <sheetViews>
    <sheetView topLeftCell="B1" zoomScale="84" zoomScaleNormal="76" workbookViewId="0">
      <selection activeCell="O8" sqref="O8"/>
    </sheetView>
  </sheetViews>
  <sheetFormatPr baseColWidth="10" defaultColWidth="11.44140625" defaultRowHeight="13.2" x14ac:dyDescent="0.25"/>
  <cols>
    <col min="1" max="1" width="54.6640625" style="4" bestFit="1" customWidth="1"/>
    <col min="2" max="2" width="15.44140625" style="4" customWidth="1"/>
    <col min="3" max="3" width="13.109375" style="4" customWidth="1"/>
    <col min="4" max="5" width="12.33203125" style="4" customWidth="1"/>
    <col min="6" max="8" width="10.6640625" style="4" customWidth="1"/>
    <col min="9" max="10" width="10.6640625" style="3" customWidth="1"/>
    <col min="11" max="11" width="10.6640625" style="2" customWidth="1"/>
    <col min="12" max="12" width="10.6640625" style="1" customWidth="1"/>
    <col min="13" max="13" width="48.109375" style="1" bestFit="1" customWidth="1"/>
    <col min="14" max="14" width="10.6640625" customWidth="1"/>
  </cols>
  <sheetData>
    <row r="1" spans="1:20" ht="32.25" customHeight="1" x14ac:dyDescent="0.25">
      <c r="A1" s="175"/>
      <c r="B1" s="177" t="s">
        <v>0</v>
      </c>
      <c r="C1" s="177"/>
      <c r="D1" s="177"/>
      <c r="E1" s="177"/>
      <c r="F1" s="177"/>
      <c r="G1" s="177"/>
      <c r="H1" s="177"/>
      <c r="I1" s="177"/>
      <c r="J1" s="177"/>
      <c r="K1" s="177"/>
      <c r="L1" s="179"/>
      <c r="M1" s="180"/>
    </row>
    <row r="2" spans="1:20" ht="20.25" customHeight="1" x14ac:dyDescent="0.25">
      <c r="A2" s="176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81"/>
      <c r="M2" s="182"/>
    </row>
    <row r="3" spans="1:20" ht="12.75" customHeight="1" x14ac:dyDescent="0.25">
      <c r="A3" s="183" t="s">
        <v>1</v>
      </c>
      <c r="B3" s="185" t="s">
        <v>2</v>
      </c>
      <c r="C3" s="185"/>
      <c r="D3" s="185"/>
      <c r="E3" s="185"/>
      <c r="F3" s="185"/>
      <c r="G3" s="185"/>
      <c r="H3" s="185"/>
      <c r="I3" s="185"/>
      <c r="J3" s="185"/>
      <c r="K3" s="185"/>
      <c r="L3" s="187" t="s">
        <v>3</v>
      </c>
      <c r="M3" s="188"/>
    </row>
    <row r="4" spans="1:20" ht="13.8" thickBot="1" x14ac:dyDescent="0.3">
      <c r="A4" s="184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6" t="s">
        <v>4</v>
      </c>
      <c r="M4" s="15"/>
    </row>
    <row r="5" spans="1:20" ht="13.8" thickBot="1" x14ac:dyDescent="0.3"/>
    <row r="6" spans="1:20" ht="14.4" thickBot="1" x14ac:dyDescent="0.3">
      <c r="A6" s="24" t="s">
        <v>5</v>
      </c>
      <c r="B6" s="171" t="s">
        <v>6</v>
      </c>
      <c r="C6" s="171"/>
      <c r="D6" s="171"/>
      <c r="E6" s="171"/>
      <c r="F6" s="171"/>
      <c r="G6" s="171"/>
      <c r="H6" s="172" t="s">
        <v>7</v>
      </c>
      <c r="I6" s="173"/>
      <c r="J6" s="173"/>
      <c r="K6" s="173"/>
      <c r="L6" s="174"/>
      <c r="M6" s="25"/>
    </row>
    <row r="7" spans="1:20" s="14" customFormat="1" ht="49.5" customHeight="1" x14ac:dyDescent="0.25">
      <c r="A7" s="18" cm="1">
        <f t="array" aca="1" ref="A7" ca="1">+A77+A1:L7+A7:L7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144</v>
      </c>
      <c r="B8" s="89" t="s">
        <v>30</v>
      </c>
      <c r="C8" s="90" t="s">
        <v>31</v>
      </c>
      <c r="D8" s="84">
        <v>1</v>
      </c>
      <c r="E8" s="8">
        <v>30</v>
      </c>
      <c r="F8" s="85">
        <v>45909</v>
      </c>
      <c r="G8" s="86">
        <v>0.375</v>
      </c>
      <c r="H8" s="85">
        <v>45905</v>
      </c>
      <c r="I8" s="86">
        <v>0.45833333333333331</v>
      </c>
      <c r="J8" s="87">
        <f>E8-L8</f>
        <v>0</v>
      </c>
      <c r="K8" s="8">
        <v>1</v>
      </c>
      <c r="L8" s="88">
        <v>30</v>
      </c>
      <c r="M8" s="91" t="s">
        <v>156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85" t="s">
        <v>36</v>
      </c>
      <c r="C9" s="85" t="s">
        <v>37</v>
      </c>
      <c r="D9" s="84">
        <v>1</v>
      </c>
      <c r="E9" s="49">
        <v>30</v>
      </c>
      <c r="F9" s="85">
        <v>45909</v>
      </c>
      <c r="G9" s="86">
        <v>0.375</v>
      </c>
      <c r="H9" s="85">
        <v>45905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75</v>
      </c>
      <c r="O9" s="5" t="s">
        <v>155</v>
      </c>
    </row>
    <row r="10" spans="1:20" s="5" customFormat="1" ht="39" customHeight="1" x14ac:dyDescent="0.25">
      <c r="A10" s="53" t="s">
        <v>252</v>
      </c>
      <c r="B10" s="53" t="s">
        <v>36</v>
      </c>
      <c r="C10" s="53" t="s">
        <v>37</v>
      </c>
      <c r="D10" s="53">
        <v>2</v>
      </c>
      <c r="E10" s="53">
        <v>30</v>
      </c>
      <c r="F10" s="80">
        <v>45909</v>
      </c>
      <c r="G10" s="81">
        <v>0.375</v>
      </c>
      <c r="H10" s="80">
        <v>45907</v>
      </c>
      <c r="I10" s="81">
        <v>0.52083333333333337</v>
      </c>
      <c r="J10" s="87">
        <f>E10-L10</f>
        <v>0</v>
      </c>
      <c r="K10" s="53">
        <v>2</v>
      </c>
      <c r="L10" s="53">
        <v>30</v>
      </c>
      <c r="M10" s="79" t="s">
        <v>253</v>
      </c>
    </row>
    <row r="11" spans="1:20" s="5" customFormat="1" ht="43.5" customHeight="1" x14ac:dyDescent="0.25">
      <c r="A11" s="53" t="s">
        <v>252</v>
      </c>
      <c r="B11" s="53" t="s">
        <v>42</v>
      </c>
      <c r="C11" s="53" t="s">
        <v>43</v>
      </c>
      <c r="D11" s="53">
        <v>2</v>
      </c>
      <c r="E11" s="53">
        <v>30</v>
      </c>
      <c r="F11" s="80">
        <v>45909</v>
      </c>
      <c r="G11" s="81">
        <v>0.375</v>
      </c>
      <c r="H11" s="80">
        <v>45907</v>
      </c>
      <c r="I11" s="81">
        <v>0.54166666666666663</v>
      </c>
      <c r="J11" s="87">
        <f t="shared" ref="J11:J74" si="0">E11-L11</f>
        <v>0</v>
      </c>
      <c r="K11" s="53">
        <v>2</v>
      </c>
      <c r="L11" s="53">
        <v>30</v>
      </c>
      <c r="M11" s="79" t="s">
        <v>253</v>
      </c>
    </row>
    <row r="12" spans="1:20" s="5" customFormat="1" ht="35.1" customHeight="1" x14ac:dyDescent="0.25">
      <c r="A12" s="53" t="s">
        <v>254</v>
      </c>
      <c r="B12" s="53" t="s">
        <v>36</v>
      </c>
      <c r="C12" s="53" t="s">
        <v>37</v>
      </c>
      <c r="D12" s="53">
        <v>1</v>
      </c>
      <c r="E12" s="53">
        <v>30</v>
      </c>
      <c r="F12" s="80">
        <v>45909</v>
      </c>
      <c r="G12" s="81">
        <v>0.375</v>
      </c>
      <c r="H12" s="80">
        <v>45907</v>
      </c>
      <c r="I12" s="81">
        <v>0.5625</v>
      </c>
      <c r="J12" s="87">
        <f t="shared" si="0"/>
        <v>0</v>
      </c>
      <c r="K12" s="53">
        <v>1</v>
      </c>
      <c r="L12" s="53">
        <v>30</v>
      </c>
      <c r="M12" s="79" t="s">
        <v>255</v>
      </c>
    </row>
    <row r="13" spans="1:20" s="5" customFormat="1" ht="35.1" customHeight="1" x14ac:dyDescent="0.25">
      <c r="A13" s="79" t="s">
        <v>254</v>
      </c>
      <c r="B13" s="53" t="s">
        <v>42</v>
      </c>
      <c r="C13" s="53" t="s">
        <v>43</v>
      </c>
      <c r="D13" s="53">
        <v>1</v>
      </c>
      <c r="E13" s="53">
        <v>30</v>
      </c>
      <c r="F13" s="80">
        <v>45909</v>
      </c>
      <c r="G13" s="81">
        <v>0.375</v>
      </c>
      <c r="H13" s="80">
        <v>45907</v>
      </c>
      <c r="I13" s="81">
        <v>0.58333333333333337</v>
      </c>
      <c r="J13" s="87">
        <f t="shared" si="0"/>
        <v>0</v>
      </c>
      <c r="K13" s="53">
        <v>2</v>
      </c>
      <c r="L13" s="53">
        <v>30</v>
      </c>
      <c r="M13" s="79" t="s">
        <v>255</v>
      </c>
    </row>
    <row r="14" spans="1:20" s="5" customFormat="1" ht="35.1" customHeight="1" x14ac:dyDescent="0.25">
      <c r="A14" s="53" t="s">
        <v>256</v>
      </c>
      <c r="B14" s="53" t="s">
        <v>36</v>
      </c>
      <c r="C14" s="53" t="s">
        <v>37</v>
      </c>
      <c r="D14" s="53">
        <v>2</v>
      </c>
      <c r="E14" s="53">
        <v>30</v>
      </c>
      <c r="F14" s="80">
        <v>45909</v>
      </c>
      <c r="G14" s="81">
        <v>0.375</v>
      </c>
      <c r="H14" s="80">
        <v>45907</v>
      </c>
      <c r="I14" s="81">
        <v>0.58333333333333337</v>
      </c>
      <c r="J14" s="53">
        <f t="shared" si="0"/>
        <v>0</v>
      </c>
      <c r="K14" s="53">
        <v>2</v>
      </c>
      <c r="L14" s="53">
        <v>30</v>
      </c>
      <c r="M14" s="79" t="s">
        <v>257</v>
      </c>
    </row>
    <row r="15" spans="1:20" s="5" customFormat="1" ht="35.1" customHeight="1" x14ac:dyDescent="0.25">
      <c r="A15" s="79" t="s">
        <v>256</v>
      </c>
      <c r="B15" s="53" t="s">
        <v>42</v>
      </c>
      <c r="C15" s="53" t="s">
        <v>43</v>
      </c>
      <c r="D15" s="53">
        <v>2</v>
      </c>
      <c r="E15" s="53">
        <v>30</v>
      </c>
      <c r="F15" s="80">
        <v>45909</v>
      </c>
      <c r="G15" s="81">
        <v>0.375</v>
      </c>
      <c r="H15" s="80">
        <v>45907</v>
      </c>
      <c r="I15" s="81">
        <v>0.58333333333333337</v>
      </c>
      <c r="J15" s="53">
        <f t="shared" si="0"/>
        <v>0</v>
      </c>
      <c r="K15" s="53">
        <v>2</v>
      </c>
      <c r="L15" s="53">
        <v>30</v>
      </c>
      <c r="M15" s="79" t="s">
        <v>257</v>
      </c>
    </row>
    <row r="16" spans="1:20" s="5" customFormat="1" ht="38.4" customHeight="1" x14ac:dyDescent="0.25">
      <c r="A16" s="79" t="s">
        <v>258</v>
      </c>
      <c r="B16" s="53" t="s">
        <v>36</v>
      </c>
      <c r="C16" s="53" t="s">
        <v>37</v>
      </c>
      <c r="D16" s="53">
        <v>2</v>
      </c>
      <c r="E16" s="53">
        <v>30</v>
      </c>
      <c r="F16" s="80">
        <v>45909</v>
      </c>
      <c r="G16" s="81">
        <v>0.375</v>
      </c>
      <c r="H16" s="80">
        <v>45907</v>
      </c>
      <c r="I16" s="81">
        <v>0.58333333333333337</v>
      </c>
      <c r="J16" s="53">
        <f t="shared" si="0"/>
        <v>0</v>
      </c>
      <c r="K16" s="53">
        <v>1</v>
      </c>
      <c r="L16" s="53">
        <v>30</v>
      </c>
      <c r="M16" s="79" t="s">
        <v>259</v>
      </c>
    </row>
    <row r="17" spans="1:13" s="5" customFormat="1" ht="30.75" customHeight="1" x14ac:dyDescent="0.25">
      <c r="A17" s="79" t="s">
        <v>258</v>
      </c>
      <c r="B17" s="53" t="s">
        <v>42</v>
      </c>
      <c r="C17" s="53" t="s">
        <v>43</v>
      </c>
      <c r="D17" s="53">
        <v>2</v>
      </c>
      <c r="E17" s="53">
        <v>30</v>
      </c>
      <c r="F17" s="80">
        <v>45909</v>
      </c>
      <c r="G17" s="81">
        <v>0.375</v>
      </c>
      <c r="H17" s="80">
        <v>45907</v>
      </c>
      <c r="I17" s="81">
        <v>0.58333333333333337</v>
      </c>
      <c r="J17" s="53">
        <f t="shared" si="0"/>
        <v>0</v>
      </c>
      <c r="K17" s="53">
        <v>1</v>
      </c>
      <c r="L17" s="53">
        <v>30</v>
      </c>
      <c r="M17" s="79" t="s">
        <v>259</v>
      </c>
    </row>
    <row r="18" spans="1:13" s="5" customFormat="1" ht="27" customHeight="1" x14ac:dyDescent="0.25">
      <c r="A18" s="53" t="s">
        <v>260</v>
      </c>
      <c r="B18" s="53" t="s">
        <v>36</v>
      </c>
      <c r="C18" s="53" t="s">
        <v>37</v>
      </c>
      <c r="D18" s="53">
        <v>1</v>
      </c>
      <c r="E18" s="53">
        <v>30</v>
      </c>
      <c r="F18" s="80">
        <v>45909</v>
      </c>
      <c r="G18" s="81">
        <v>0.375</v>
      </c>
      <c r="H18" s="80">
        <v>45907</v>
      </c>
      <c r="I18" s="81">
        <v>0.58333333333333337</v>
      </c>
      <c r="J18" s="53">
        <f t="shared" si="0"/>
        <v>0</v>
      </c>
      <c r="K18" s="53">
        <v>3</v>
      </c>
      <c r="L18" s="53">
        <v>30</v>
      </c>
      <c r="M18" s="79" t="s">
        <v>261</v>
      </c>
    </row>
    <row r="19" spans="1:13" s="5" customFormat="1" ht="38.25" customHeight="1" x14ac:dyDescent="0.25">
      <c r="A19" s="53" t="s">
        <v>260</v>
      </c>
      <c r="B19" s="53" t="s">
        <v>42</v>
      </c>
      <c r="C19" s="53" t="s">
        <v>43</v>
      </c>
      <c r="D19" s="53">
        <v>1</v>
      </c>
      <c r="E19" s="53">
        <v>30</v>
      </c>
      <c r="F19" s="80">
        <v>45909</v>
      </c>
      <c r="G19" s="81">
        <v>0.375</v>
      </c>
      <c r="H19" s="80">
        <v>45907</v>
      </c>
      <c r="I19" s="81">
        <v>0.58333333333333337</v>
      </c>
      <c r="J19" s="53">
        <f t="shared" si="0"/>
        <v>0</v>
      </c>
      <c r="K19" s="53">
        <v>2</v>
      </c>
      <c r="L19" s="53">
        <v>30</v>
      </c>
      <c r="M19" s="79" t="s">
        <v>261</v>
      </c>
    </row>
    <row r="20" spans="1:13" s="5" customFormat="1" ht="40.5" customHeight="1" x14ac:dyDescent="0.25">
      <c r="A20" s="53" t="s">
        <v>262</v>
      </c>
      <c r="B20" s="53" t="s">
        <v>36</v>
      </c>
      <c r="C20" s="53" t="s">
        <v>37</v>
      </c>
      <c r="D20" s="53">
        <v>1</v>
      </c>
      <c r="E20" s="53">
        <v>30</v>
      </c>
      <c r="F20" s="80">
        <v>45909</v>
      </c>
      <c r="G20" s="81">
        <v>0.375</v>
      </c>
      <c r="H20" s="80">
        <v>45907</v>
      </c>
      <c r="I20" s="81">
        <v>0.58333333333333337</v>
      </c>
      <c r="J20" s="53">
        <f t="shared" si="0"/>
        <v>0</v>
      </c>
      <c r="K20" s="53">
        <v>2</v>
      </c>
      <c r="L20" s="53">
        <v>30</v>
      </c>
      <c r="M20" s="79" t="s">
        <v>263</v>
      </c>
    </row>
    <row r="21" spans="1:13" s="5" customFormat="1" ht="27" customHeight="1" x14ac:dyDescent="0.25">
      <c r="A21" s="79" t="s">
        <v>262</v>
      </c>
      <c r="B21" s="53" t="s">
        <v>42</v>
      </c>
      <c r="C21" s="53" t="s">
        <v>43</v>
      </c>
      <c r="D21" s="53">
        <v>1</v>
      </c>
      <c r="E21" s="53">
        <v>30</v>
      </c>
      <c r="F21" s="80">
        <v>45909</v>
      </c>
      <c r="G21" s="81">
        <v>0.375</v>
      </c>
      <c r="H21" s="80">
        <v>45907</v>
      </c>
      <c r="I21" s="81">
        <v>0.58333333333333337</v>
      </c>
      <c r="J21" s="53">
        <f t="shared" si="0"/>
        <v>0</v>
      </c>
      <c r="K21" s="53">
        <v>1</v>
      </c>
      <c r="L21" s="53">
        <v>30</v>
      </c>
      <c r="M21" s="79" t="s">
        <v>263</v>
      </c>
    </row>
    <row r="22" spans="1:13" s="5" customFormat="1" ht="27" customHeight="1" x14ac:dyDescent="0.25">
      <c r="A22" s="79" t="s">
        <v>264</v>
      </c>
      <c r="B22" s="53" t="s">
        <v>36</v>
      </c>
      <c r="C22" s="53" t="s">
        <v>37</v>
      </c>
      <c r="D22" s="53">
        <v>1</v>
      </c>
      <c r="E22" s="53">
        <v>30</v>
      </c>
      <c r="F22" s="80">
        <v>45909</v>
      </c>
      <c r="G22" s="81">
        <v>0.375</v>
      </c>
      <c r="H22" s="80">
        <v>45907</v>
      </c>
      <c r="I22" s="81">
        <v>0.58333333333333337</v>
      </c>
      <c r="J22" s="53">
        <f t="shared" si="0"/>
        <v>0</v>
      </c>
      <c r="K22" s="53">
        <v>1</v>
      </c>
      <c r="L22" s="53">
        <v>30</v>
      </c>
      <c r="M22" s="79" t="s">
        <v>265</v>
      </c>
    </row>
    <row r="23" spans="1:13" s="5" customFormat="1" ht="27" customHeight="1" x14ac:dyDescent="0.25">
      <c r="A23" s="79" t="s">
        <v>264</v>
      </c>
      <c r="B23" s="53" t="s">
        <v>42</v>
      </c>
      <c r="C23" s="53" t="s">
        <v>43</v>
      </c>
      <c r="D23" s="53">
        <v>1</v>
      </c>
      <c r="E23" s="53">
        <v>30</v>
      </c>
      <c r="F23" s="80">
        <v>45909</v>
      </c>
      <c r="G23" s="81">
        <v>0.375</v>
      </c>
      <c r="H23" s="80">
        <v>45907</v>
      </c>
      <c r="I23" s="81">
        <v>0.58333333333333337</v>
      </c>
      <c r="J23" s="53">
        <f t="shared" si="0"/>
        <v>0</v>
      </c>
      <c r="K23" s="53">
        <v>1</v>
      </c>
      <c r="L23" s="53">
        <v>30</v>
      </c>
      <c r="M23" s="79" t="s">
        <v>265</v>
      </c>
    </row>
    <row r="24" spans="1:13" s="5" customFormat="1" ht="27" customHeight="1" x14ac:dyDescent="0.25">
      <c r="A24" s="79" t="s">
        <v>266</v>
      </c>
      <c r="B24" s="53" t="s">
        <v>36</v>
      </c>
      <c r="C24" s="53" t="s">
        <v>37</v>
      </c>
      <c r="D24" s="53">
        <v>1</v>
      </c>
      <c r="E24" s="53">
        <v>20</v>
      </c>
      <c r="F24" s="80">
        <v>45909</v>
      </c>
      <c r="G24" s="81">
        <v>0.375</v>
      </c>
      <c r="H24" s="80">
        <v>45907</v>
      </c>
      <c r="I24" s="81">
        <v>0.58333333333333337</v>
      </c>
      <c r="J24" s="53">
        <f t="shared" si="0"/>
        <v>-10</v>
      </c>
      <c r="K24" s="53">
        <v>1</v>
      </c>
      <c r="L24" s="53">
        <v>30</v>
      </c>
      <c r="M24" s="79" t="s">
        <v>267</v>
      </c>
    </row>
    <row r="25" spans="1:13" s="5" customFormat="1" ht="27" customHeight="1" x14ac:dyDescent="0.25">
      <c r="A25" s="79" t="s">
        <v>266</v>
      </c>
      <c r="B25" s="53" t="s">
        <v>42</v>
      </c>
      <c r="C25" s="53" t="s">
        <v>43</v>
      </c>
      <c r="D25" s="53">
        <v>1</v>
      </c>
      <c r="E25" s="53">
        <v>20</v>
      </c>
      <c r="F25" s="80">
        <v>45909</v>
      </c>
      <c r="G25" s="81">
        <v>0.375</v>
      </c>
      <c r="H25" s="80">
        <v>45907</v>
      </c>
      <c r="I25" s="81">
        <v>0.58333333333333337</v>
      </c>
      <c r="J25" s="53">
        <f t="shared" si="0"/>
        <v>-10</v>
      </c>
      <c r="K25" s="53">
        <v>1</v>
      </c>
      <c r="L25" s="53">
        <v>30</v>
      </c>
      <c r="M25" s="79" t="s">
        <v>267</v>
      </c>
    </row>
    <row r="26" spans="1:13" s="5" customFormat="1" ht="27" customHeight="1" x14ac:dyDescent="0.25">
      <c r="A26" s="79" t="s">
        <v>268</v>
      </c>
      <c r="B26" s="53" t="s">
        <v>36</v>
      </c>
      <c r="C26" s="53" t="s">
        <v>37</v>
      </c>
      <c r="D26" s="53">
        <v>1</v>
      </c>
      <c r="E26" s="53">
        <v>20</v>
      </c>
      <c r="F26" s="80">
        <v>45909</v>
      </c>
      <c r="G26" s="81">
        <v>0.375</v>
      </c>
      <c r="H26" s="80">
        <v>45907</v>
      </c>
      <c r="I26" s="81">
        <v>0.58333333333333337</v>
      </c>
      <c r="J26" s="53">
        <f t="shared" si="0"/>
        <v>-10</v>
      </c>
      <c r="K26" s="53">
        <v>1</v>
      </c>
      <c r="L26" s="53">
        <v>30</v>
      </c>
      <c r="M26" s="79" t="s">
        <v>269</v>
      </c>
    </row>
    <row r="27" spans="1:13" s="5" customFormat="1" ht="27" customHeight="1" x14ac:dyDescent="0.25">
      <c r="A27" s="79" t="s">
        <v>268</v>
      </c>
      <c r="B27" s="53" t="s">
        <v>42</v>
      </c>
      <c r="C27" s="53" t="s">
        <v>43</v>
      </c>
      <c r="D27" s="53">
        <v>1</v>
      </c>
      <c r="E27" s="53">
        <v>20</v>
      </c>
      <c r="F27" s="80">
        <v>45909</v>
      </c>
      <c r="G27" s="81">
        <v>0.375</v>
      </c>
      <c r="H27" s="80">
        <v>45907</v>
      </c>
      <c r="I27" s="81">
        <v>0.58333333333333337</v>
      </c>
      <c r="J27" s="53">
        <f t="shared" si="0"/>
        <v>0</v>
      </c>
      <c r="K27" s="53">
        <v>1</v>
      </c>
      <c r="L27" s="53">
        <v>20</v>
      </c>
      <c r="M27" s="79" t="s">
        <v>269</v>
      </c>
    </row>
    <row r="28" spans="1:13" s="5" customFormat="1" ht="27" customHeight="1" x14ac:dyDescent="0.25">
      <c r="A28" s="79" t="s">
        <v>270</v>
      </c>
      <c r="B28" s="53" t="s">
        <v>36</v>
      </c>
      <c r="C28" s="53" t="s">
        <v>37</v>
      </c>
      <c r="D28" s="53">
        <v>1</v>
      </c>
      <c r="E28" s="53">
        <v>20</v>
      </c>
      <c r="F28" s="80">
        <v>45909</v>
      </c>
      <c r="G28" s="81">
        <v>0.375</v>
      </c>
      <c r="H28" s="80">
        <v>45907</v>
      </c>
      <c r="I28" s="81">
        <v>0.58333333333333337</v>
      </c>
      <c r="J28" s="53">
        <f t="shared" si="0"/>
        <v>1</v>
      </c>
      <c r="K28" s="53">
        <v>2</v>
      </c>
      <c r="L28" s="53">
        <v>19</v>
      </c>
      <c r="M28" s="79" t="s">
        <v>273</v>
      </c>
    </row>
    <row r="29" spans="1:13" s="5" customFormat="1" ht="36.75" customHeight="1" x14ac:dyDescent="0.25">
      <c r="A29" s="79" t="s">
        <v>271</v>
      </c>
      <c r="B29" s="53" t="s">
        <v>42</v>
      </c>
      <c r="C29" s="53" t="s">
        <v>43</v>
      </c>
      <c r="D29" s="53">
        <v>1</v>
      </c>
      <c r="E29" s="53">
        <v>20</v>
      </c>
      <c r="F29" s="80">
        <v>45909</v>
      </c>
      <c r="G29" s="81">
        <v>0.375</v>
      </c>
      <c r="H29" s="80">
        <v>45907</v>
      </c>
      <c r="I29" s="81">
        <v>0.58333333333333337</v>
      </c>
      <c r="J29" s="53">
        <f t="shared" si="0"/>
        <v>0</v>
      </c>
      <c r="K29" s="53">
        <v>2</v>
      </c>
      <c r="L29" s="53">
        <v>20</v>
      </c>
      <c r="M29" s="79" t="s">
        <v>273</v>
      </c>
    </row>
    <row r="30" spans="1:13" s="5" customFormat="1" ht="37.5" customHeight="1" x14ac:dyDescent="0.25">
      <c r="A30" s="79" t="s">
        <v>272</v>
      </c>
      <c r="B30" s="53" t="s">
        <v>36</v>
      </c>
      <c r="C30" s="53" t="s">
        <v>37</v>
      </c>
      <c r="D30" s="53">
        <v>1</v>
      </c>
      <c r="E30" s="53">
        <v>15</v>
      </c>
      <c r="F30" s="80">
        <v>45909</v>
      </c>
      <c r="G30" s="81">
        <v>0.375</v>
      </c>
      <c r="H30" s="80">
        <v>45907</v>
      </c>
      <c r="I30" s="81">
        <v>0.58333333333333337</v>
      </c>
      <c r="J30" s="53">
        <f t="shared" si="0"/>
        <v>5</v>
      </c>
      <c r="K30" s="53">
        <v>1</v>
      </c>
      <c r="L30" s="53">
        <v>10</v>
      </c>
      <c r="M30" s="79" t="s">
        <v>274</v>
      </c>
    </row>
    <row r="31" spans="1:13" s="5" customFormat="1" ht="38.25" customHeight="1" x14ac:dyDescent="0.25">
      <c r="A31" s="79" t="s">
        <v>272</v>
      </c>
      <c r="B31" s="53" t="s">
        <v>42</v>
      </c>
      <c r="C31" s="53" t="s">
        <v>43</v>
      </c>
      <c r="D31" s="53">
        <v>1</v>
      </c>
      <c r="E31" s="53">
        <v>15</v>
      </c>
      <c r="F31" s="80">
        <v>45909</v>
      </c>
      <c r="G31" s="81">
        <v>0.375</v>
      </c>
      <c r="H31" s="80">
        <v>45907</v>
      </c>
      <c r="I31" s="81">
        <v>0.58333333333333337</v>
      </c>
      <c r="J31" s="53">
        <f t="shared" si="0"/>
        <v>5</v>
      </c>
      <c r="K31" s="53">
        <v>1</v>
      </c>
      <c r="L31" s="53">
        <v>10</v>
      </c>
      <c r="M31" s="79" t="s">
        <v>274</v>
      </c>
    </row>
    <row r="32" spans="1:13" s="5" customFormat="1" ht="36.75" customHeight="1" x14ac:dyDescent="0.25">
      <c r="A32" s="79" t="s">
        <v>275</v>
      </c>
      <c r="B32" s="53" t="s">
        <v>36</v>
      </c>
      <c r="C32" s="53" t="s">
        <v>37</v>
      </c>
      <c r="D32" s="53">
        <v>1</v>
      </c>
      <c r="E32" s="53">
        <v>20</v>
      </c>
      <c r="F32" s="80">
        <v>45909</v>
      </c>
      <c r="G32" s="81">
        <v>0.375</v>
      </c>
      <c r="H32" s="80">
        <v>45907</v>
      </c>
      <c r="I32" s="81">
        <v>0.58333333333333337</v>
      </c>
      <c r="J32" s="53">
        <f t="shared" si="0"/>
        <v>10</v>
      </c>
      <c r="K32" s="53">
        <v>1</v>
      </c>
      <c r="L32" s="53">
        <v>10</v>
      </c>
      <c r="M32" s="79" t="s">
        <v>276</v>
      </c>
    </row>
    <row r="33" spans="1:13" s="5" customFormat="1" ht="42" customHeight="1" x14ac:dyDescent="0.25">
      <c r="A33" s="79" t="s">
        <v>275</v>
      </c>
      <c r="B33" s="53" t="s">
        <v>42</v>
      </c>
      <c r="C33" s="53" t="s">
        <v>43</v>
      </c>
      <c r="D33" s="53">
        <v>1</v>
      </c>
      <c r="E33" s="53">
        <v>20</v>
      </c>
      <c r="F33" s="80">
        <v>45909</v>
      </c>
      <c r="G33" s="81">
        <v>0.375</v>
      </c>
      <c r="H33" s="80">
        <v>45907</v>
      </c>
      <c r="I33" s="81">
        <v>0.58333333333333337</v>
      </c>
      <c r="J33" s="53">
        <f t="shared" si="0"/>
        <v>10</v>
      </c>
      <c r="K33" s="53">
        <v>1</v>
      </c>
      <c r="L33" s="53">
        <v>10</v>
      </c>
      <c r="M33" s="79" t="s">
        <v>276</v>
      </c>
    </row>
    <row r="34" spans="1:13" s="5" customFormat="1" ht="39" customHeight="1" x14ac:dyDescent="0.25">
      <c r="A34" s="79" t="s">
        <v>277</v>
      </c>
      <c r="B34" s="53" t="s">
        <v>21</v>
      </c>
      <c r="C34" s="53" t="s">
        <v>22</v>
      </c>
      <c r="D34" s="53">
        <v>1</v>
      </c>
      <c r="E34" s="53">
        <v>55</v>
      </c>
      <c r="F34" s="80">
        <v>45909</v>
      </c>
      <c r="G34" s="81">
        <v>0.375</v>
      </c>
      <c r="H34" s="80">
        <v>45906</v>
      </c>
      <c r="I34" s="81">
        <v>0.35416666666666669</v>
      </c>
      <c r="J34" s="53">
        <f t="shared" si="0"/>
        <v>-5</v>
      </c>
      <c r="K34" s="53">
        <v>2</v>
      </c>
      <c r="L34" s="53">
        <v>60</v>
      </c>
      <c r="M34" s="79" t="s">
        <v>278</v>
      </c>
    </row>
    <row r="35" spans="1:13" s="5" customFormat="1" ht="42" customHeight="1" x14ac:dyDescent="0.25">
      <c r="A35" s="79" t="s">
        <v>277</v>
      </c>
      <c r="B35" s="53" t="s">
        <v>136</v>
      </c>
      <c r="C35" s="53" t="s">
        <v>34</v>
      </c>
      <c r="D35" s="53">
        <v>1</v>
      </c>
      <c r="E35" s="53">
        <v>55</v>
      </c>
      <c r="F35" s="80">
        <v>45909</v>
      </c>
      <c r="G35" s="81">
        <v>0.375</v>
      </c>
      <c r="H35" s="80">
        <v>45906</v>
      </c>
      <c r="I35" s="81">
        <v>0.39583333333333298</v>
      </c>
      <c r="J35" s="53">
        <f t="shared" si="0"/>
        <v>-5</v>
      </c>
      <c r="K35" s="53">
        <v>1</v>
      </c>
      <c r="L35" s="53">
        <v>60</v>
      </c>
      <c r="M35" s="79" t="s">
        <v>278</v>
      </c>
    </row>
    <row r="36" spans="1:13" s="5" customFormat="1" ht="47.25" customHeight="1" x14ac:dyDescent="0.25">
      <c r="A36" s="79" t="s">
        <v>279</v>
      </c>
      <c r="B36" s="53" t="s">
        <v>21</v>
      </c>
      <c r="C36" s="53" t="s">
        <v>22</v>
      </c>
      <c r="D36" s="53">
        <v>1</v>
      </c>
      <c r="E36" s="53">
        <v>60</v>
      </c>
      <c r="F36" s="80">
        <v>45909</v>
      </c>
      <c r="G36" s="81">
        <v>0.375</v>
      </c>
      <c r="H36" s="80">
        <v>45906</v>
      </c>
      <c r="I36" s="81">
        <v>0.4375</v>
      </c>
      <c r="J36" s="53">
        <f t="shared" si="0"/>
        <v>0</v>
      </c>
      <c r="K36" s="53">
        <v>3</v>
      </c>
      <c r="L36" s="53">
        <v>60</v>
      </c>
      <c r="M36" s="79" t="s">
        <v>280</v>
      </c>
    </row>
    <row r="37" spans="1:13" s="5" customFormat="1" ht="33.9" customHeight="1" x14ac:dyDescent="0.25">
      <c r="A37" s="79" t="s">
        <v>279</v>
      </c>
      <c r="B37" s="53" t="s">
        <v>136</v>
      </c>
      <c r="C37" s="53" t="s">
        <v>34</v>
      </c>
      <c r="D37" s="53">
        <v>1</v>
      </c>
      <c r="E37" s="53">
        <v>60</v>
      </c>
      <c r="F37" s="80">
        <v>45909</v>
      </c>
      <c r="G37" s="81">
        <v>0.375</v>
      </c>
      <c r="H37" s="80">
        <v>45906</v>
      </c>
      <c r="I37" s="81">
        <v>0.47916666666666702</v>
      </c>
      <c r="J37" s="53">
        <f t="shared" si="0"/>
        <v>0</v>
      </c>
      <c r="K37" s="53">
        <v>1</v>
      </c>
      <c r="L37" s="53">
        <v>60</v>
      </c>
      <c r="M37" s="79" t="s">
        <v>280</v>
      </c>
    </row>
    <row r="38" spans="1:13" s="5" customFormat="1" ht="28.5" customHeight="1" x14ac:dyDescent="0.25">
      <c r="A38" s="79" t="s">
        <v>281</v>
      </c>
      <c r="B38" s="53" t="s">
        <v>21</v>
      </c>
      <c r="C38" s="53" t="s">
        <v>22</v>
      </c>
      <c r="D38" s="53">
        <v>1</v>
      </c>
      <c r="E38" s="53">
        <v>30</v>
      </c>
      <c r="F38" s="80">
        <v>45909</v>
      </c>
      <c r="G38" s="81">
        <v>0.375</v>
      </c>
      <c r="H38" s="80">
        <v>45906</v>
      </c>
      <c r="I38" s="81">
        <v>0.5</v>
      </c>
      <c r="J38" s="53">
        <f t="shared" si="0"/>
        <v>0</v>
      </c>
      <c r="K38" s="53">
        <v>1</v>
      </c>
      <c r="L38" s="53">
        <v>30</v>
      </c>
      <c r="M38" s="79" t="s">
        <v>282</v>
      </c>
    </row>
    <row r="39" spans="1:13" s="5" customFormat="1" ht="39" customHeight="1" x14ac:dyDescent="0.25">
      <c r="A39" s="79" t="s">
        <v>281</v>
      </c>
      <c r="B39" s="53" t="s">
        <v>136</v>
      </c>
      <c r="C39" s="53" t="s">
        <v>34</v>
      </c>
      <c r="D39" s="53">
        <v>1</v>
      </c>
      <c r="E39" s="53">
        <v>30</v>
      </c>
      <c r="F39" s="80">
        <v>45909</v>
      </c>
      <c r="G39" s="81">
        <v>0.375</v>
      </c>
      <c r="H39" s="80">
        <v>45906</v>
      </c>
      <c r="I39" s="81">
        <v>0.52083333333333337</v>
      </c>
      <c r="J39" s="53">
        <f t="shared" si="0"/>
        <v>2</v>
      </c>
      <c r="K39" s="53">
        <v>1</v>
      </c>
      <c r="L39" s="53">
        <v>28</v>
      </c>
      <c r="M39" s="79" t="s">
        <v>282</v>
      </c>
    </row>
    <row r="40" spans="1:13" s="5" customFormat="1" ht="38.25" customHeight="1" x14ac:dyDescent="0.25">
      <c r="A40" s="79" t="s">
        <v>283</v>
      </c>
      <c r="B40" s="53" t="s">
        <v>21</v>
      </c>
      <c r="C40" s="53" t="s">
        <v>22</v>
      </c>
      <c r="D40" s="53">
        <v>1</v>
      </c>
      <c r="E40" s="53">
        <v>30</v>
      </c>
      <c r="F40" s="80">
        <v>45909</v>
      </c>
      <c r="G40" s="81">
        <v>0.375</v>
      </c>
      <c r="H40" s="80">
        <v>45906</v>
      </c>
      <c r="I40" s="81">
        <v>0.54166666666666663</v>
      </c>
      <c r="J40" s="53">
        <f t="shared" si="0"/>
        <v>0</v>
      </c>
      <c r="K40" s="53">
        <v>1</v>
      </c>
      <c r="L40" s="53">
        <v>30</v>
      </c>
      <c r="M40" s="79" t="s">
        <v>284</v>
      </c>
    </row>
    <row r="41" spans="1:13" s="5" customFormat="1" ht="38.25" customHeight="1" x14ac:dyDescent="0.25">
      <c r="A41" s="79" t="s">
        <v>283</v>
      </c>
      <c r="B41" s="53" t="s">
        <v>136</v>
      </c>
      <c r="C41" s="53" t="s">
        <v>34</v>
      </c>
      <c r="D41" s="53">
        <v>1</v>
      </c>
      <c r="E41" s="53">
        <v>30</v>
      </c>
      <c r="F41" s="80">
        <v>45909</v>
      </c>
      <c r="G41" s="81">
        <v>0.375</v>
      </c>
      <c r="H41" s="80">
        <v>45906</v>
      </c>
      <c r="I41" s="81">
        <v>0.5625</v>
      </c>
      <c r="J41" s="53">
        <f t="shared" si="0"/>
        <v>1</v>
      </c>
      <c r="K41" s="53">
        <v>1</v>
      </c>
      <c r="L41" s="53">
        <v>29</v>
      </c>
      <c r="M41" s="79" t="s">
        <v>284</v>
      </c>
    </row>
    <row r="42" spans="1:13" s="5" customFormat="1" ht="42" customHeight="1" x14ac:dyDescent="0.25">
      <c r="A42" s="79" t="s">
        <v>285</v>
      </c>
      <c r="B42" s="53" t="s">
        <v>21</v>
      </c>
      <c r="C42" s="53" t="s">
        <v>22</v>
      </c>
      <c r="D42" s="53">
        <v>1</v>
      </c>
      <c r="E42" s="53">
        <v>30</v>
      </c>
      <c r="F42" s="80">
        <v>45909</v>
      </c>
      <c r="G42" s="81">
        <v>0.375</v>
      </c>
      <c r="H42" s="80">
        <v>45906</v>
      </c>
      <c r="I42" s="81">
        <v>0.58333333333333337</v>
      </c>
      <c r="J42" s="53">
        <f t="shared" si="0"/>
        <v>0</v>
      </c>
      <c r="K42" s="53">
        <v>1</v>
      </c>
      <c r="L42" s="53">
        <v>30</v>
      </c>
      <c r="M42" s="79" t="s">
        <v>286</v>
      </c>
    </row>
    <row r="43" spans="1:13" s="5" customFormat="1" ht="32.4" customHeight="1" x14ac:dyDescent="0.25">
      <c r="A43" s="79" t="s">
        <v>285</v>
      </c>
      <c r="B43" s="53" t="s">
        <v>136</v>
      </c>
      <c r="C43" s="53" t="s">
        <v>34</v>
      </c>
      <c r="D43" s="53">
        <v>1</v>
      </c>
      <c r="E43" s="53">
        <v>30</v>
      </c>
      <c r="F43" s="80">
        <v>45909</v>
      </c>
      <c r="G43" s="81">
        <v>0.375</v>
      </c>
      <c r="H43" s="80">
        <v>45906</v>
      </c>
      <c r="I43" s="81">
        <v>0.58333333333333337</v>
      </c>
      <c r="J43" s="53">
        <f t="shared" si="0"/>
        <v>0</v>
      </c>
      <c r="K43" s="53">
        <v>1</v>
      </c>
      <c r="L43" s="53">
        <v>30</v>
      </c>
      <c r="M43" s="79" t="s">
        <v>286</v>
      </c>
    </row>
    <row r="44" spans="1:13" ht="35.25" customHeight="1" x14ac:dyDescent="0.25">
      <c r="A44" s="79" t="s">
        <v>287</v>
      </c>
      <c r="B44" s="53" t="s">
        <v>21</v>
      </c>
      <c r="C44" s="53" t="s">
        <v>22</v>
      </c>
      <c r="D44" s="53">
        <v>1</v>
      </c>
      <c r="E44" s="53">
        <v>30</v>
      </c>
      <c r="F44" s="80">
        <v>45909</v>
      </c>
      <c r="G44" s="81">
        <v>0.375</v>
      </c>
      <c r="H44" s="80">
        <v>45906</v>
      </c>
      <c r="I44" s="81">
        <v>0.60416666666666663</v>
      </c>
      <c r="J44" s="53">
        <f t="shared" si="0"/>
        <v>0</v>
      </c>
      <c r="K44" s="53">
        <v>1</v>
      </c>
      <c r="L44" s="53">
        <v>30</v>
      </c>
      <c r="M44" s="79" t="s">
        <v>288</v>
      </c>
    </row>
    <row r="45" spans="1:13" s="5" customFormat="1" ht="47.1" customHeight="1" x14ac:dyDescent="0.25">
      <c r="A45" s="79" t="s">
        <v>287</v>
      </c>
      <c r="B45" s="53" t="s">
        <v>136</v>
      </c>
      <c r="C45" s="53" t="s">
        <v>34</v>
      </c>
      <c r="D45" s="53">
        <v>1</v>
      </c>
      <c r="E45" s="53">
        <v>30</v>
      </c>
      <c r="F45" s="80">
        <v>45909</v>
      </c>
      <c r="G45" s="81">
        <v>0.375</v>
      </c>
      <c r="H45" s="80">
        <v>45906</v>
      </c>
      <c r="I45" s="81">
        <v>0.60416666666666663</v>
      </c>
      <c r="J45" s="53">
        <f t="shared" si="0"/>
        <v>5</v>
      </c>
      <c r="K45" s="53">
        <v>1</v>
      </c>
      <c r="L45" s="53">
        <v>25</v>
      </c>
      <c r="M45" s="79" t="s">
        <v>288</v>
      </c>
    </row>
    <row r="46" spans="1:13" s="5" customFormat="1" ht="43.5" customHeight="1" x14ac:dyDescent="0.25">
      <c r="A46" s="79" t="s">
        <v>289</v>
      </c>
      <c r="B46" s="53" t="s">
        <v>21</v>
      </c>
      <c r="C46" s="53" t="s">
        <v>22</v>
      </c>
      <c r="D46" s="53">
        <v>1</v>
      </c>
      <c r="E46" s="53">
        <v>30</v>
      </c>
      <c r="F46" s="80">
        <v>45909</v>
      </c>
      <c r="G46" s="81">
        <v>0.375</v>
      </c>
      <c r="H46" s="80">
        <v>45906</v>
      </c>
      <c r="I46" s="81">
        <v>0.625</v>
      </c>
      <c r="J46" s="53">
        <f t="shared" si="0"/>
        <v>5</v>
      </c>
      <c r="K46" s="53">
        <v>1</v>
      </c>
      <c r="L46" s="53">
        <v>25</v>
      </c>
      <c r="M46" s="79" t="s">
        <v>290</v>
      </c>
    </row>
    <row r="47" spans="1:13" s="5" customFormat="1" ht="42.75" customHeight="1" x14ac:dyDescent="0.25">
      <c r="A47" s="53" t="s">
        <v>289</v>
      </c>
      <c r="B47" s="53" t="s">
        <v>136</v>
      </c>
      <c r="C47" s="53" t="s">
        <v>34</v>
      </c>
      <c r="D47" s="53">
        <v>1</v>
      </c>
      <c r="E47" s="53">
        <v>30</v>
      </c>
      <c r="F47" s="80">
        <v>45909</v>
      </c>
      <c r="G47" s="81">
        <v>0.375</v>
      </c>
      <c r="H47" s="80">
        <v>45906</v>
      </c>
      <c r="I47" s="81">
        <v>0.625</v>
      </c>
      <c r="J47" s="53">
        <f t="shared" si="0"/>
        <v>0</v>
      </c>
      <c r="K47" s="53">
        <v>1</v>
      </c>
      <c r="L47" s="53">
        <v>30</v>
      </c>
      <c r="M47" s="79" t="s">
        <v>290</v>
      </c>
    </row>
    <row r="48" spans="1:13" s="5" customFormat="1" ht="39" customHeight="1" x14ac:dyDescent="0.25">
      <c r="A48" s="79" t="s">
        <v>291</v>
      </c>
      <c r="B48" s="53" t="s">
        <v>21</v>
      </c>
      <c r="C48" s="53" t="s">
        <v>22</v>
      </c>
      <c r="D48" s="53">
        <v>1</v>
      </c>
      <c r="E48" s="53">
        <v>30</v>
      </c>
      <c r="F48" s="80">
        <v>45909</v>
      </c>
      <c r="G48" s="81">
        <v>0.375</v>
      </c>
      <c r="H48" s="80">
        <v>45906</v>
      </c>
      <c r="I48" s="81">
        <v>0.64583333333333337</v>
      </c>
      <c r="J48" s="53">
        <f t="shared" si="0"/>
        <v>0</v>
      </c>
      <c r="K48" s="53">
        <v>1</v>
      </c>
      <c r="L48" s="53">
        <v>30</v>
      </c>
      <c r="M48" s="79" t="s">
        <v>292</v>
      </c>
    </row>
    <row r="49" spans="1:13" s="5" customFormat="1" ht="29.25" customHeight="1" x14ac:dyDescent="0.25">
      <c r="A49" s="79" t="s">
        <v>291</v>
      </c>
      <c r="B49" s="53" t="s">
        <v>136</v>
      </c>
      <c r="C49" s="53" t="s">
        <v>34</v>
      </c>
      <c r="D49" s="53">
        <v>1</v>
      </c>
      <c r="E49" s="53">
        <v>30</v>
      </c>
      <c r="F49" s="80">
        <v>45909</v>
      </c>
      <c r="G49" s="81">
        <v>0.375</v>
      </c>
      <c r="H49" s="80">
        <v>45906</v>
      </c>
      <c r="I49" s="81">
        <v>0.64583333333333337</v>
      </c>
      <c r="J49" s="53">
        <f t="shared" si="0"/>
        <v>0</v>
      </c>
      <c r="K49" s="53">
        <v>1</v>
      </c>
      <c r="L49" s="53">
        <v>30</v>
      </c>
      <c r="M49" s="79" t="s">
        <v>292</v>
      </c>
    </row>
    <row r="50" spans="1:13" s="5" customFormat="1" ht="31.5" customHeight="1" x14ac:dyDescent="0.25">
      <c r="A50" s="79" t="s">
        <v>293</v>
      </c>
      <c r="B50" s="53" t="s">
        <v>21</v>
      </c>
      <c r="C50" s="53" t="s">
        <v>22</v>
      </c>
      <c r="D50" s="53">
        <v>2</v>
      </c>
      <c r="E50" s="53">
        <v>60</v>
      </c>
      <c r="F50" s="80">
        <v>45909</v>
      </c>
      <c r="G50" s="81">
        <v>0.375</v>
      </c>
      <c r="H50" s="80">
        <v>45906</v>
      </c>
      <c r="I50" s="81">
        <v>0.66666666666666663</v>
      </c>
      <c r="J50" s="53">
        <f t="shared" si="0"/>
        <v>35</v>
      </c>
      <c r="K50" s="53">
        <v>1</v>
      </c>
      <c r="L50" s="53">
        <v>25</v>
      </c>
      <c r="M50" s="79" t="s">
        <v>294</v>
      </c>
    </row>
    <row r="51" spans="1:13" s="5" customFormat="1" ht="26.4" customHeight="1" x14ac:dyDescent="0.25">
      <c r="A51" s="79" t="s">
        <v>293</v>
      </c>
      <c r="B51" s="53" t="s">
        <v>136</v>
      </c>
      <c r="C51" s="53" t="s">
        <v>34</v>
      </c>
      <c r="D51" s="53">
        <v>2</v>
      </c>
      <c r="E51" s="53">
        <v>60</v>
      </c>
      <c r="F51" s="80">
        <v>45909</v>
      </c>
      <c r="G51" s="81">
        <v>0.375</v>
      </c>
      <c r="H51" s="80">
        <v>45906</v>
      </c>
      <c r="I51" s="81">
        <v>0.66666666666666663</v>
      </c>
      <c r="J51" s="53">
        <f t="shared" si="0"/>
        <v>35</v>
      </c>
      <c r="K51" s="53">
        <v>1</v>
      </c>
      <c r="L51" s="53">
        <v>25</v>
      </c>
      <c r="M51" s="79" t="s">
        <v>294</v>
      </c>
    </row>
    <row r="52" spans="1:13" s="5" customFormat="1" ht="29.1" customHeight="1" x14ac:dyDescent="0.25">
      <c r="A52" s="79" t="s">
        <v>295</v>
      </c>
      <c r="B52" s="53" t="s">
        <v>21</v>
      </c>
      <c r="C52" s="53" t="s">
        <v>22</v>
      </c>
      <c r="D52" s="53">
        <v>2</v>
      </c>
      <c r="E52" s="53">
        <v>60</v>
      </c>
      <c r="F52" s="80">
        <v>45909</v>
      </c>
      <c r="G52" s="81">
        <v>0.375</v>
      </c>
      <c r="H52" s="80">
        <v>45906</v>
      </c>
      <c r="I52" s="81">
        <v>0.70833333333333337</v>
      </c>
      <c r="J52" s="53">
        <f t="shared" si="0"/>
        <v>38</v>
      </c>
      <c r="K52" s="53">
        <v>1</v>
      </c>
      <c r="L52" s="53">
        <v>22</v>
      </c>
      <c r="M52" s="79" t="s">
        <v>296</v>
      </c>
    </row>
    <row r="53" spans="1:13" s="5" customFormat="1" ht="31.5" customHeight="1" x14ac:dyDescent="0.25">
      <c r="A53" s="79" t="s">
        <v>295</v>
      </c>
      <c r="B53" s="53" t="s">
        <v>136</v>
      </c>
      <c r="C53" s="53" t="s">
        <v>34</v>
      </c>
      <c r="D53" s="53">
        <v>2</v>
      </c>
      <c r="E53" s="53">
        <v>60</v>
      </c>
      <c r="F53" s="80">
        <v>45909</v>
      </c>
      <c r="G53" s="81">
        <v>0.375</v>
      </c>
      <c r="H53" s="80">
        <v>45906</v>
      </c>
      <c r="I53" s="81">
        <v>0.75</v>
      </c>
      <c r="J53" s="53">
        <f t="shared" si="0"/>
        <v>38</v>
      </c>
      <c r="K53" s="53">
        <v>2</v>
      </c>
      <c r="L53" s="53">
        <v>22</v>
      </c>
      <c r="M53" s="79" t="s">
        <v>296</v>
      </c>
    </row>
    <row r="54" spans="1:13" s="5" customFormat="1" ht="26.1" customHeight="1" x14ac:dyDescent="0.25">
      <c r="A54" s="79" t="s">
        <v>297</v>
      </c>
      <c r="B54" s="53" t="s">
        <v>21</v>
      </c>
      <c r="C54" s="53" t="s">
        <v>22</v>
      </c>
      <c r="D54" s="53">
        <v>2</v>
      </c>
      <c r="E54" s="53">
        <v>60</v>
      </c>
      <c r="F54" s="80">
        <v>45909</v>
      </c>
      <c r="G54" s="81">
        <v>0.375</v>
      </c>
      <c r="H54" s="80">
        <v>45906</v>
      </c>
      <c r="I54" s="81">
        <v>0.79166666666666696</v>
      </c>
      <c r="J54" s="53">
        <f t="shared" si="0"/>
        <v>39</v>
      </c>
      <c r="K54" s="53">
        <v>2</v>
      </c>
      <c r="L54" s="53">
        <v>21</v>
      </c>
      <c r="M54" s="79" t="s">
        <v>298</v>
      </c>
    </row>
    <row r="55" spans="1:13" s="5" customFormat="1" ht="39" customHeight="1" x14ac:dyDescent="0.25">
      <c r="A55" s="79" t="s">
        <v>297</v>
      </c>
      <c r="B55" s="53" t="s">
        <v>136</v>
      </c>
      <c r="C55" s="53" t="s">
        <v>34</v>
      </c>
      <c r="D55" s="53">
        <v>2</v>
      </c>
      <c r="E55" s="53">
        <v>60</v>
      </c>
      <c r="F55" s="80">
        <v>45909</v>
      </c>
      <c r="G55" s="81">
        <v>0.375</v>
      </c>
      <c r="H55" s="80">
        <v>45906</v>
      </c>
      <c r="I55" s="81">
        <v>0.83333333333333304</v>
      </c>
      <c r="J55" s="53">
        <f t="shared" si="0"/>
        <v>39</v>
      </c>
      <c r="K55" s="53">
        <v>2</v>
      </c>
      <c r="L55" s="53">
        <v>21</v>
      </c>
      <c r="M55" s="79" t="s">
        <v>298</v>
      </c>
    </row>
    <row r="56" spans="1:13" s="5" customFormat="1" ht="40.5" customHeight="1" x14ac:dyDescent="0.25">
      <c r="A56" s="79" t="s">
        <v>299</v>
      </c>
      <c r="B56" s="53" t="s">
        <v>30</v>
      </c>
      <c r="C56" s="53" t="s">
        <v>31</v>
      </c>
      <c r="D56" s="53">
        <v>1</v>
      </c>
      <c r="E56" s="53">
        <v>30</v>
      </c>
      <c r="F56" s="80">
        <v>45909</v>
      </c>
      <c r="G56" s="81">
        <v>0.375</v>
      </c>
      <c r="H56" s="80">
        <v>45907</v>
      </c>
      <c r="I56" s="81">
        <v>0.5</v>
      </c>
      <c r="J56" s="53">
        <f t="shared" si="0"/>
        <v>0</v>
      </c>
      <c r="K56" s="53">
        <v>2</v>
      </c>
      <c r="L56" s="53">
        <v>30</v>
      </c>
      <c r="M56" s="79" t="s">
        <v>300</v>
      </c>
    </row>
    <row r="57" spans="1:13" s="5" customFormat="1" ht="40.5" customHeight="1" x14ac:dyDescent="0.25">
      <c r="A57" s="53" t="s">
        <v>299</v>
      </c>
      <c r="B57" s="53" t="s">
        <v>39</v>
      </c>
      <c r="C57" s="53" t="s">
        <v>40</v>
      </c>
      <c r="D57" s="53">
        <v>1</v>
      </c>
      <c r="E57" s="53">
        <v>30</v>
      </c>
      <c r="F57" s="80">
        <v>45909</v>
      </c>
      <c r="G57" s="81">
        <v>0.375</v>
      </c>
      <c r="H57" s="80">
        <v>45907</v>
      </c>
      <c r="I57" s="81">
        <v>0.52083333333333337</v>
      </c>
      <c r="J57" s="53">
        <f t="shared" si="0"/>
        <v>0</v>
      </c>
      <c r="K57" s="53">
        <v>2</v>
      </c>
      <c r="L57" s="53">
        <v>30</v>
      </c>
      <c r="M57" s="79" t="s">
        <v>300</v>
      </c>
    </row>
    <row r="58" spans="1:13" s="5" customFormat="1" ht="38.25" customHeight="1" x14ac:dyDescent="0.25">
      <c r="A58" s="79" t="s">
        <v>301</v>
      </c>
      <c r="B58" s="53" t="s">
        <v>30</v>
      </c>
      <c r="C58" s="53" t="s">
        <v>31</v>
      </c>
      <c r="D58" s="53">
        <v>1</v>
      </c>
      <c r="E58" s="53">
        <v>30</v>
      </c>
      <c r="F58" s="80">
        <v>45909</v>
      </c>
      <c r="G58" s="81">
        <v>0.375</v>
      </c>
      <c r="H58" s="80">
        <v>45907</v>
      </c>
      <c r="I58" s="81">
        <v>0.54166666666666663</v>
      </c>
      <c r="J58" s="53">
        <f t="shared" si="0"/>
        <v>0</v>
      </c>
      <c r="K58" s="53">
        <v>2</v>
      </c>
      <c r="L58" s="53">
        <v>30</v>
      </c>
      <c r="M58" s="79" t="s">
        <v>302</v>
      </c>
    </row>
    <row r="59" spans="1:13" s="5" customFormat="1" ht="38.25" customHeight="1" x14ac:dyDescent="0.25">
      <c r="A59" s="79" t="s">
        <v>301</v>
      </c>
      <c r="B59" s="53" t="s">
        <v>39</v>
      </c>
      <c r="C59" s="53" t="s">
        <v>40</v>
      </c>
      <c r="D59" s="53">
        <v>1</v>
      </c>
      <c r="E59" s="53">
        <v>30</v>
      </c>
      <c r="F59" s="80">
        <v>45909</v>
      </c>
      <c r="G59" s="81">
        <v>0.375</v>
      </c>
      <c r="H59" s="80">
        <v>45907</v>
      </c>
      <c r="I59" s="81">
        <v>0.5625</v>
      </c>
      <c r="J59" s="53">
        <f t="shared" si="0"/>
        <v>0</v>
      </c>
      <c r="K59" s="53">
        <v>1</v>
      </c>
      <c r="L59" s="53">
        <v>30</v>
      </c>
      <c r="M59" s="79" t="s">
        <v>302</v>
      </c>
    </row>
    <row r="60" spans="1:13" s="5" customFormat="1" ht="27" customHeight="1" x14ac:dyDescent="0.25">
      <c r="A60" s="79" t="s">
        <v>303</v>
      </c>
      <c r="B60" s="53" t="s">
        <v>30</v>
      </c>
      <c r="C60" s="53" t="s">
        <v>31</v>
      </c>
      <c r="D60" s="53">
        <v>1</v>
      </c>
      <c r="E60" s="53">
        <v>30</v>
      </c>
      <c r="F60" s="80">
        <v>45909</v>
      </c>
      <c r="G60" s="81">
        <v>0.375</v>
      </c>
      <c r="H60" s="80">
        <v>45907</v>
      </c>
      <c r="I60" s="81">
        <v>0.58333333333333337</v>
      </c>
      <c r="J60" s="53">
        <f t="shared" si="0"/>
        <v>-5</v>
      </c>
      <c r="K60" s="53">
        <v>1</v>
      </c>
      <c r="L60" s="53">
        <v>35</v>
      </c>
      <c r="M60" s="79" t="s">
        <v>304</v>
      </c>
    </row>
    <row r="61" spans="1:13" s="5" customFormat="1" ht="33" customHeight="1" x14ac:dyDescent="0.25">
      <c r="A61" s="79" t="s">
        <v>303</v>
      </c>
      <c r="B61" s="53" t="s">
        <v>39</v>
      </c>
      <c r="C61" s="53" t="s">
        <v>40</v>
      </c>
      <c r="D61" s="53">
        <v>1</v>
      </c>
      <c r="E61" s="53">
        <v>30</v>
      </c>
      <c r="F61" s="80">
        <v>45909</v>
      </c>
      <c r="G61" s="81">
        <v>0.375</v>
      </c>
      <c r="H61" s="80">
        <v>45907</v>
      </c>
      <c r="I61" s="81">
        <v>0.60416666666666663</v>
      </c>
      <c r="J61" s="53">
        <f t="shared" si="0"/>
        <v>6</v>
      </c>
      <c r="K61" s="53">
        <v>1</v>
      </c>
      <c r="L61" s="53">
        <v>24</v>
      </c>
      <c r="M61" s="79" t="s">
        <v>304</v>
      </c>
    </row>
    <row r="62" spans="1:13" s="5" customFormat="1" ht="33.75" customHeight="1" x14ac:dyDescent="0.25">
      <c r="A62" s="79" t="s">
        <v>305</v>
      </c>
      <c r="B62" s="53" t="s">
        <v>30</v>
      </c>
      <c r="C62" s="53" t="s">
        <v>31</v>
      </c>
      <c r="D62" s="53">
        <v>2</v>
      </c>
      <c r="E62" s="53">
        <v>20</v>
      </c>
      <c r="F62" s="80">
        <v>45909</v>
      </c>
      <c r="G62" s="81">
        <v>0.375</v>
      </c>
      <c r="H62" s="80">
        <v>45907</v>
      </c>
      <c r="I62" s="81">
        <v>0.625</v>
      </c>
      <c r="J62" s="53">
        <f t="shared" si="0"/>
        <v>0</v>
      </c>
      <c r="K62" s="53">
        <v>1</v>
      </c>
      <c r="L62" s="53">
        <v>20</v>
      </c>
      <c r="M62" s="53" t="s">
        <v>306</v>
      </c>
    </row>
    <row r="63" spans="1:13" s="5" customFormat="1" ht="32.25" customHeight="1" x14ac:dyDescent="0.25">
      <c r="A63" s="79" t="s">
        <v>305</v>
      </c>
      <c r="B63" s="53" t="s">
        <v>39</v>
      </c>
      <c r="C63" s="53" t="s">
        <v>40</v>
      </c>
      <c r="D63" s="53">
        <v>2</v>
      </c>
      <c r="E63" s="53">
        <v>20</v>
      </c>
      <c r="F63" s="80">
        <v>45909</v>
      </c>
      <c r="G63" s="81">
        <v>0.375</v>
      </c>
      <c r="H63" s="80">
        <v>45907</v>
      </c>
      <c r="I63" s="81">
        <v>0.63888888888888884</v>
      </c>
      <c r="J63" s="53">
        <f t="shared" si="0"/>
        <v>0</v>
      </c>
      <c r="K63" s="53">
        <v>1</v>
      </c>
      <c r="L63" s="53">
        <v>20</v>
      </c>
      <c r="M63" t="s">
        <v>306</v>
      </c>
    </row>
    <row r="64" spans="1:13" s="5" customFormat="1" ht="27" customHeight="1" x14ac:dyDescent="0.25">
      <c r="A64" s="79" t="s">
        <v>308</v>
      </c>
      <c r="B64" s="53" t="s">
        <v>30</v>
      </c>
      <c r="C64" s="53" t="s">
        <v>31</v>
      </c>
      <c r="D64" s="53">
        <v>1</v>
      </c>
      <c r="E64" s="53">
        <v>20</v>
      </c>
      <c r="F64" s="80">
        <v>45909</v>
      </c>
      <c r="G64" s="81">
        <v>0.375</v>
      </c>
      <c r="H64" s="80">
        <v>45907</v>
      </c>
      <c r="I64" s="81">
        <v>0.65277777777777779</v>
      </c>
      <c r="J64" s="53">
        <f t="shared" si="0"/>
        <v>0</v>
      </c>
      <c r="K64" s="53">
        <v>1</v>
      </c>
      <c r="L64" s="53">
        <v>20</v>
      </c>
      <c r="M64" s="79" t="s">
        <v>307</v>
      </c>
    </row>
    <row r="65" spans="1:13" s="5" customFormat="1" ht="24.9" customHeight="1" x14ac:dyDescent="0.25">
      <c r="A65" s="79" t="s">
        <v>308</v>
      </c>
      <c r="B65" s="53" t="s">
        <v>39</v>
      </c>
      <c r="C65" s="53" t="s">
        <v>40</v>
      </c>
      <c r="D65" s="53">
        <v>1</v>
      </c>
      <c r="E65" s="53">
        <v>20</v>
      </c>
      <c r="F65" s="80">
        <v>45909</v>
      </c>
      <c r="G65" s="81">
        <v>0.375</v>
      </c>
      <c r="H65" s="80">
        <v>45907</v>
      </c>
      <c r="I65" s="81">
        <v>0.66666666666666663</v>
      </c>
      <c r="J65" s="53">
        <f t="shared" si="0"/>
        <v>-5</v>
      </c>
      <c r="K65" s="53">
        <v>1</v>
      </c>
      <c r="L65" s="53">
        <v>25</v>
      </c>
      <c r="M65" s="79" t="s">
        <v>307</v>
      </c>
    </row>
    <row r="66" spans="1:13" s="5" customFormat="1" ht="28.5" customHeight="1" x14ac:dyDescent="0.25">
      <c r="A66" s="79" t="s">
        <v>309</v>
      </c>
      <c r="B66" s="53" t="s">
        <v>30</v>
      </c>
      <c r="C66" s="53" t="s">
        <v>31</v>
      </c>
      <c r="D66" s="53">
        <v>1</v>
      </c>
      <c r="E66" s="53">
        <v>20</v>
      </c>
      <c r="F66" s="80">
        <v>45909</v>
      </c>
      <c r="G66" s="81">
        <v>0.375</v>
      </c>
      <c r="H66" s="80">
        <v>45907</v>
      </c>
      <c r="I66" s="81">
        <v>0.68055555555555558</v>
      </c>
      <c r="J66" s="53">
        <f t="shared" si="0"/>
        <v>-5</v>
      </c>
      <c r="K66" s="53">
        <v>1</v>
      </c>
      <c r="L66" s="53">
        <v>25</v>
      </c>
      <c r="M66" s="79" t="s">
        <v>310</v>
      </c>
    </row>
    <row r="67" spans="1:13" s="5" customFormat="1" ht="35.4" customHeight="1" x14ac:dyDescent="0.25">
      <c r="A67" s="79" t="s">
        <v>309</v>
      </c>
      <c r="B67" s="53" t="s">
        <v>39</v>
      </c>
      <c r="C67" s="53" t="s">
        <v>40</v>
      </c>
      <c r="D67" s="53">
        <v>1</v>
      </c>
      <c r="E67" s="53">
        <v>20</v>
      </c>
      <c r="F67" s="80">
        <v>45909</v>
      </c>
      <c r="G67" s="81">
        <v>0.375</v>
      </c>
      <c r="H67" s="80">
        <v>45907</v>
      </c>
      <c r="I67" s="81">
        <v>0.69444444444444442</v>
      </c>
      <c r="J67" s="53">
        <f t="shared" si="0"/>
        <v>5</v>
      </c>
      <c r="K67" s="53">
        <v>1</v>
      </c>
      <c r="L67" s="53">
        <v>15</v>
      </c>
      <c r="M67" s="79" t="s">
        <v>310</v>
      </c>
    </row>
    <row r="68" spans="1:13" s="5" customFormat="1" ht="36.6" customHeight="1" x14ac:dyDescent="0.25">
      <c r="A68" s="79" t="s">
        <v>311</v>
      </c>
      <c r="B68" s="53" t="s">
        <v>30</v>
      </c>
      <c r="C68" s="53" t="s">
        <v>31</v>
      </c>
      <c r="D68" s="53">
        <v>1</v>
      </c>
      <c r="E68" s="53">
        <v>20</v>
      </c>
      <c r="F68" s="80">
        <v>45909</v>
      </c>
      <c r="G68" s="81">
        <v>0.375</v>
      </c>
      <c r="H68" s="80">
        <v>45907</v>
      </c>
      <c r="I68" s="81">
        <v>0.70833333333333337</v>
      </c>
      <c r="J68" s="53">
        <f t="shared" si="0"/>
        <v>10</v>
      </c>
      <c r="K68" s="53">
        <v>1</v>
      </c>
      <c r="L68" s="53">
        <v>10</v>
      </c>
      <c r="M68" s="53" t="s">
        <v>312</v>
      </c>
    </row>
    <row r="69" spans="1:13" s="5" customFormat="1" ht="36.6" customHeight="1" x14ac:dyDescent="0.25">
      <c r="A69" s="79" t="s">
        <v>311</v>
      </c>
      <c r="B69" s="53" t="s">
        <v>39</v>
      </c>
      <c r="C69" s="53" t="s">
        <v>40</v>
      </c>
      <c r="D69" s="53">
        <v>1</v>
      </c>
      <c r="E69" s="53">
        <v>20</v>
      </c>
      <c r="F69" s="80">
        <v>45909</v>
      </c>
      <c r="G69" s="81">
        <v>0.375</v>
      </c>
      <c r="H69" s="80">
        <v>45907</v>
      </c>
      <c r="I69" s="81">
        <v>0.72222222222222221</v>
      </c>
      <c r="J69" s="53">
        <f t="shared" si="0"/>
        <v>10</v>
      </c>
      <c r="K69" s="53">
        <v>1</v>
      </c>
      <c r="L69" s="53">
        <v>10</v>
      </c>
      <c r="M69" s="53" t="s">
        <v>312</v>
      </c>
    </row>
    <row r="70" spans="1:13" s="5" customFormat="1" ht="35.4" customHeight="1" x14ac:dyDescent="0.25">
      <c r="A70" s="79" t="s">
        <v>313</v>
      </c>
      <c r="B70" s="53" t="s">
        <v>30</v>
      </c>
      <c r="C70" s="53" t="s">
        <v>31</v>
      </c>
      <c r="D70" s="53">
        <v>1</v>
      </c>
      <c r="E70" s="53">
        <v>20</v>
      </c>
      <c r="F70" s="80">
        <v>45909</v>
      </c>
      <c r="G70" s="81">
        <v>0.375</v>
      </c>
      <c r="H70" s="80">
        <v>45907</v>
      </c>
      <c r="I70" s="81">
        <v>0.73611111111111116</v>
      </c>
      <c r="J70" s="53">
        <f t="shared" si="0"/>
        <v>10</v>
      </c>
      <c r="K70" s="53">
        <v>1</v>
      </c>
      <c r="L70" s="53">
        <v>10</v>
      </c>
      <c r="M70" s="79" t="s">
        <v>314</v>
      </c>
    </row>
    <row r="71" spans="1:13" s="5" customFormat="1" ht="35.4" customHeight="1" x14ac:dyDescent="0.25">
      <c r="A71" s="79" t="s">
        <v>313</v>
      </c>
      <c r="B71" s="53" t="s">
        <v>39</v>
      </c>
      <c r="C71" s="53" t="s">
        <v>40</v>
      </c>
      <c r="D71" s="53">
        <v>1</v>
      </c>
      <c r="E71" s="53">
        <v>20</v>
      </c>
      <c r="F71" s="80">
        <v>45909</v>
      </c>
      <c r="G71" s="81">
        <v>0.375</v>
      </c>
      <c r="H71" s="80">
        <v>45907</v>
      </c>
      <c r="I71" s="81">
        <v>0.75</v>
      </c>
      <c r="J71" s="53">
        <f t="shared" si="0"/>
        <v>5</v>
      </c>
      <c r="K71" s="53">
        <v>1</v>
      </c>
      <c r="L71" s="53">
        <v>15</v>
      </c>
      <c r="M71" s="79" t="s">
        <v>314</v>
      </c>
    </row>
    <row r="72" spans="1:13" s="5" customFormat="1" ht="35.4" customHeight="1" x14ac:dyDescent="0.25">
      <c r="A72" s="79" t="s">
        <v>315</v>
      </c>
      <c r="B72" s="53" t="s">
        <v>30</v>
      </c>
      <c r="C72" s="53" t="s">
        <v>31</v>
      </c>
      <c r="D72" s="53">
        <v>1</v>
      </c>
      <c r="E72" s="53">
        <v>10</v>
      </c>
      <c r="F72" s="80">
        <v>45909</v>
      </c>
      <c r="G72" s="81">
        <v>0.375</v>
      </c>
      <c r="H72" s="80">
        <v>45907</v>
      </c>
      <c r="I72" s="81">
        <v>0.75694444444444442</v>
      </c>
      <c r="J72" s="53">
        <f t="shared" si="0"/>
        <v>0</v>
      </c>
      <c r="K72" s="53">
        <v>1</v>
      </c>
      <c r="L72" s="53">
        <v>10</v>
      </c>
      <c r="M72" s="79" t="s">
        <v>316</v>
      </c>
    </row>
    <row r="73" spans="1:13" s="5" customFormat="1" ht="35.4" customHeight="1" x14ac:dyDescent="0.25">
      <c r="A73" s="79" t="s">
        <v>315</v>
      </c>
      <c r="B73" s="53" t="s">
        <v>39</v>
      </c>
      <c r="C73" s="53" t="s">
        <v>40</v>
      </c>
      <c r="D73" s="53">
        <v>1</v>
      </c>
      <c r="E73" s="53">
        <v>10</v>
      </c>
      <c r="F73" s="80">
        <v>45909</v>
      </c>
      <c r="G73" s="81">
        <v>0.375</v>
      </c>
      <c r="H73" s="80">
        <v>45907</v>
      </c>
      <c r="I73" s="81">
        <v>0.76388888888888884</v>
      </c>
      <c r="J73" s="53">
        <f t="shared" si="0"/>
        <v>0</v>
      </c>
      <c r="K73" s="53">
        <v>1</v>
      </c>
      <c r="L73" s="53">
        <v>10</v>
      </c>
      <c r="M73" s="79" t="s">
        <v>316</v>
      </c>
    </row>
    <row r="74" spans="1:13" s="5" customFormat="1" ht="35.4" customHeight="1" x14ac:dyDescent="0.2">
      <c r="A74" s="92" t="s">
        <v>123</v>
      </c>
      <c r="B74" s="85" t="s">
        <v>36</v>
      </c>
      <c r="C74" s="85" t="s">
        <v>37</v>
      </c>
      <c r="D74" s="49">
        <v>1</v>
      </c>
      <c r="E74" s="49">
        <v>20</v>
      </c>
      <c r="F74" s="85">
        <v>45909</v>
      </c>
      <c r="G74" s="86">
        <v>0.375</v>
      </c>
      <c r="H74" s="85">
        <v>45907</v>
      </c>
      <c r="I74" s="86">
        <v>0.80555555555555558</v>
      </c>
      <c r="J74" s="87">
        <f t="shared" si="0"/>
        <v>0</v>
      </c>
      <c r="K74" s="8">
        <v>1</v>
      </c>
      <c r="L74" s="88">
        <v>20</v>
      </c>
      <c r="M74" s="93" t="s">
        <v>124</v>
      </c>
    </row>
    <row r="75" spans="1:13" s="5" customFormat="1" ht="35.4" customHeight="1" x14ac:dyDescent="0.2">
      <c r="A75" s="38" t="s">
        <v>123</v>
      </c>
      <c r="B75" s="85" t="s">
        <v>143</v>
      </c>
      <c r="C75" s="85" t="s">
        <v>43</v>
      </c>
      <c r="D75" s="49">
        <v>1</v>
      </c>
      <c r="E75" s="49">
        <v>20</v>
      </c>
      <c r="F75" s="85">
        <v>45909</v>
      </c>
      <c r="G75" s="86">
        <v>0.375</v>
      </c>
      <c r="H75" s="85">
        <v>45907</v>
      </c>
      <c r="I75" s="86">
        <v>0.80555555555555558</v>
      </c>
      <c r="J75" s="87">
        <f t="shared" ref="J75:J96" si="1">E75-L75</f>
        <v>0</v>
      </c>
      <c r="K75" s="8">
        <v>1</v>
      </c>
      <c r="L75" s="88">
        <v>20</v>
      </c>
      <c r="M75" s="93" t="s">
        <v>124</v>
      </c>
    </row>
    <row r="76" spans="1:13" s="5" customFormat="1" ht="35.4" customHeight="1" x14ac:dyDescent="0.25">
      <c r="A76" s="13" t="s">
        <v>175</v>
      </c>
      <c r="B76" s="13" t="s">
        <v>36</v>
      </c>
      <c r="C76" s="13" t="s">
        <v>37</v>
      </c>
      <c r="D76" s="53">
        <v>1</v>
      </c>
      <c r="E76" s="53">
        <v>30</v>
      </c>
      <c r="F76" s="13">
        <v>45909</v>
      </c>
      <c r="G76" s="86">
        <v>0.375</v>
      </c>
      <c r="H76" s="13">
        <v>45907</v>
      </c>
      <c r="I76" s="12">
        <v>0.83333333333333337</v>
      </c>
      <c r="J76" s="53">
        <f t="shared" si="1"/>
        <v>6</v>
      </c>
      <c r="K76" s="50">
        <v>1</v>
      </c>
      <c r="L76" s="68">
        <v>24</v>
      </c>
      <c r="M76" s="52" t="s">
        <v>176</v>
      </c>
    </row>
    <row r="77" spans="1:13" s="5" customFormat="1" ht="35.4" customHeight="1" x14ac:dyDescent="0.25">
      <c r="A77" s="13" t="s">
        <v>177</v>
      </c>
      <c r="B77" s="13" t="s">
        <v>39</v>
      </c>
      <c r="C77" s="13" t="s">
        <v>40</v>
      </c>
      <c r="D77" s="53">
        <v>1</v>
      </c>
      <c r="E77" s="53">
        <v>30</v>
      </c>
      <c r="F77" s="13">
        <v>45909</v>
      </c>
      <c r="G77" s="86">
        <v>0.375</v>
      </c>
      <c r="H77" s="13">
        <v>45907</v>
      </c>
      <c r="I77" s="12">
        <v>0.83333333333333337</v>
      </c>
      <c r="J77" s="53">
        <f t="shared" si="1"/>
        <v>0</v>
      </c>
      <c r="K77" s="50">
        <v>1</v>
      </c>
      <c r="L77" s="68">
        <v>30</v>
      </c>
      <c r="M77" s="52" t="s">
        <v>178</v>
      </c>
    </row>
    <row r="78" spans="1:13" s="5" customFormat="1" ht="35.4" customHeight="1" x14ac:dyDescent="0.25">
      <c r="A78" s="61" t="s">
        <v>179</v>
      </c>
      <c r="B78" s="13" t="s">
        <v>39</v>
      </c>
      <c r="C78" s="13" t="s">
        <v>40</v>
      </c>
      <c r="D78" s="53">
        <v>5</v>
      </c>
      <c r="E78" s="53">
        <v>50</v>
      </c>
      <c r="F78" s="13">
        <v>45909</v>
      </c>
      <c r="G78" s="86">
        <v>0.375</v>
      </c>
      <c r="H78" s="13">
        <v>45907</v>
      </c>
      <c r="I78" s="12">
        <v>0.86805555555555558</v>
      </c>
      <c r="J78" s="53">
        <f t="shared" si="1"/>
        <v>5</v>
      </c>
      <c r="K78" s="50">
        <v>5</v>
      </c>
      <c r="L78" s="68">
        <v>45</v>
      </c>
      <c r="M78" s="52" t="s">
        <v>180</v>
      </c>
    </row>
    <row r="79" spans="1:13" s="5" customFormat="1" ht="35.4" customHeight="1" x14ac:dyDescent="0.2">
      <c r="A79" s="23" t="s">
        <v>146</v>
      </c>
      <c r="B79" s="85" t="s">
        <v>30</v>
      </c>
      <c r="C79" s="90" t="s">
        <v>207</v>
      </c>
      <c r="D79" s="84">
        <v>1</v>
      </c>
      <c r="E79" s="49">
        <v>60</v>
      </c>
      <c r="F79" s="85">
        <v>45909</v>
      </c>
      <c r="G79" s="86">
        <v>0.375</v>
      </c>
      <c r="H79" s="85">
        <v>45907</v>
      </c>
      <c r="I79" s="86">
        <v>0.91666666666666663</v>
      </c>
      <c r="J79" s="87">
        <f t="shared" si="1"/>
        <v>50</v>
      </c>
      <c r="K79" s="8">
        <v>1</v>
      </c>
      <c r="L79" s="88">
        <v>10</v>
      </c>
      <c r="M79" s="91" t="s">
        <v>149</v>
      </c>
    </row>
    <row r="80" spans="1:13" s="5" customFormat="1" ht="35.4" customHeight="1" x14ac:dyDescent="0.2">
      <c r="A80" s="23" t="s">
        <v>146</v>
      </c>
      <c r="B80" s="85" t="s">
        <v>42</v>
      </c>
      <c r="C80" s="85" t="s">
        <v>77</v>
      </c>
      <c r="D80" s="84">
        <v>1</v>
      </c>
      <c r="E80" s="49">
        <v>60</v>
      </c>
      <c r="F80" s="85">
        <v>45909</v>
      </c>
      <c r="G80" s="86">
        <v>0.375</v>
      </c>
      <c r="H80" s="85">
        <v>45907</v>
      </c>
      <c r="I80" s="86">
        <v>0.91666666666666663</v>
      </c>
      <c r="J80" s="87">
        <f t="shared" si="1"/>
        <v>50</v>
      </c>
      <c r="K80" s="8">
        <v>1</v>
      </c>
      <c r="L80" s="88">
        <v>10</v>
      </c>
      <c r="M80" s="91" t="s">
        <v>149</v>
      </c>
    </row>
    <row r="81" spans="1:13" s="5" customFormat="1" ht="35.4" customHeight="1" x14ac:dyDescent="0.2">
      <c r="A81" s="23" t="s">
        <v>146</v>
      </c>
      <c r="B81" s="85" t="s">
        <v>21</v>
      </c>
      <c r="C81" s="85" t="s">
        <v>86</v>
      </c>
      <c r="D81" s="84">
        <v>1</v>
      </c>
      <c r="E81" s="49">
        <v>60</v>
      </c>
      <c r="F81" s="85">
        <v>45909</v>
      </c>
      <c r="G81" s="86">
        <v>0.375</v>
      </c>
      <c r="H81" s="85">
        <v>45907</v>
      </c>
      <c r="I81" s="86">
        <v>0.91666666666666663</v>
      </c>
      <c r="J81" s="87">
        <f t="shared" si="1"/>
        <v>50</v>
      </c>
      <c r="K81" s="8">
        <v>1</v>
      </c>
      <c r="L81" s="88">
        <v>10</v>
      </c>
      <c r="M81" s="91" t="s">
        <v>149</v>
      </c>
    </row>
    <row r="82" spans="1:13" s="5" customFormat="1" ht="37.5" customHeight="1" x14ac:dyDescent="0.2">
      <c r="A82" s="23" t="s">
        <v>146</v>
      </c>
      <c r="B82" s="85" t="s">
        <v>136</v>
      </c>
      <c r="C82" s="85" t="s">
        <v>151</v>
      </c>
      <c r="D82" s="84">
        <v>1</v>
      </c>
      <c r="E82" s="49">
        <v>60</v>
      </c>
      <c r="F82" s="85">
        <v>45909</v>
      </c>
      <c r="G82" s="86">
        <v>0.375</v>
      </c>
      <c r="H82" s="85">
        <v>45907</v>
      </c>
      <c r="I82" s="86">
        <v>0.91666666666666663</v>
      </c>
      <c r="J82" s="87">
        <f t="shared" si="1"/>
        <v>50</v>
      </c>
      <c r="K82" s="8">
        <v>1</v>
      </c>
      <c r="L82" s="88">
        <v>10</v>
      </c>
      <c r="M82" s="91" t="s">
        <v>149</v>
      </c>
    </row>
    <row r="83" spans="1:13" ht="23.4" x14ac:dyDescent="0.25">
      <c r="A83" s="23" t="s">
        <v>146</v>
      </c>
      <c r="B83" s="85" t="s">
        <v>36</v>
      </c>
      <c r="C83" s="85" t="s">
        <v>80</v>
      </c>
      <c r="D83" s="84">
        <v>1</v>
      </c>
      <c r="E83" s="49">
        <v>60</v>
      </c>
      <c r="F83" s="85">
        <v>45909</v>
      </c>
      <c r="G83" s="86">
        <v>0.375</v>
      </c>
      <c r="H83" s="85">
        <v>45907</v>
      </c>
      <c r="I83" s="86">
        <v>0.91666666666666663</v>
      </c>
      <c r="J83" s="87">
        <f t="shared" si="1"/>
        <v>50</v>
      </c>
      <c r="K83" s="8">
        <v>1</v>
      </c>
      <c r="L83" s="88">
        <v>10</v>
      </c>
      <c r="M83" s="91" t="s">
        <v>149</v>
      </c>
    </row>
    <row r="84" spans="1:13" ht="23.4" x14ac:dyDescent="0.25">
      <c r="A84" s="23" t="s">
        <v>146</v>
      </c>
      <c r="B84" s="85" t="s">
        <v>39</v>
      </c>
      <c r="C84" s="85" t="s">
        <v>150</v>
      </c>
      <c r="D84" s="84">
        <v>1</v>
      </c>
      <c r="E84" s="49">
        <v>60</v>
      </c>
      <c r="F84" s="85">
        <v>45909</v>
      </c>
      <c r="G84" s="86">
        <v>0.375</v>
      </c>
      <c r="H84" s="85">
        <v>45907</v>
      </c>
      <c r="I84" s="86">
        <v>0.91666666666666663</v>
      </c>
      <c r="J84" s="87">
        <f t="shared" si="1"/>
        <v>50</v>
      </c>
      <c r="K84" s="8">
        <v>1</v>
      </c>
      <c r="L84" s="88">
        <v>10</v>
      </c>
      <c r="M84" s="91" t="s">
        <v>149</v>
      </c>
    </row>
    <row r="85" spans="1:13" x14ac:dyDescent="0.25">
      <c r="A85" s="23" t="s">
        <v>52</v>
      </c>
      <c r="B85" s="89" t="s">
        <v>21</v>
      </c>
      <c r="C85" s="90" t="s">
        <v>22</v>
      </c>
      <c r="D85" s="84">
        <v>1</v>
      </c>
      <c r="E85" s="49">
        <v>30</v>
      </c>
      <c r="F85" s="85">
        <v>45909</v>
      </c>
      <c r="G85" s="86">
        <v>0.375</v>
      </c>
      <c r="H85" s="85">
        <v>45907</v>
      </c>
      <c r="I85" s="86">
        <v>0.91666666666666663</v>
      </c>
      <c r="J85" s="87">
        <f t="shared" si="1"/>
        <v>0</v>
      </c>
      <c r="K85" s="8">
        <v>1</v>
      </c>
      <c r="L85" s="88">
        <v>30</v>
      </c>
      <c r="M85" s="91" t="s">
        <v>53</v>
      </c>
    </row>
    <row r="86" spans="1:13" x14ac:dyDescent="0.25">
      <c r="A86" s="23" t="s">
        <v>153</v>
      </c>
      <c r="B86" s="89" t="s">
        <v>36</v>
      </c>
      <c r="C86" s="90" t="s">
        <v>37</v>
      </c>
      <c r="D86" s="84">
        <v>1</v>
      </c>
      <c r="E86" s="5">
        <v>30</v>
      </c>
      <c r="F86" s="85">
        <v>45909</v>
      </c>
      <c r="G86" s="86">
        <v>0.375</v>
      </c>
      <c r="H86" s="85">
        <v>45907</v>
      </c>
      <c r="I86" s="86">
        <v>0.91666666666666663</v>
      </c>
      <c r="J86" s="87">
        <f t="shared" si="1"/>
        <v>0</v>
      </c>
      <c r="K86" s="8">
        <v>1</v>
      </c>
      <c r="L86" s="88">
        <v>30</v>
      </c>
      <c r="M86" s="91" t="s">
        <v>53</v>
      </c>
    </row>
    <row r="87" spans="1:13" ht="23.4" x14ac:dyDescent="0.25">
      <c r="A87" s="23" t="s">
        <v>79</v>
      </c>
      <c r="B87" s="85" t="s">
        <v>36</v>
      </c>
      <c r="C87" s="90" t="s">
        <v>37</v>
      </c>
      <c r="D87" s="84">
        <v>1</v>
      </c>
      <c r="E87" s="49">
        <v>45</v>
      </c>
      <c r="F87" s="85">
        <v>45909</v>
      </c>
      <c r="G87" s="86">
        <v>0.375</v>
      </c>
      <c r="H87" s="85">
        <v>45907</v>
      </c>
      <c r="I87" s="86">
        <v>0.9375</v>
      </c>
      <c r="J87" s="87">
        <f t="shared" si="1"/>
        <v>-35</v>
      </c>
      <c r="K87" s="8">
        <v>1</v>
      </c>
      <c r="L87" s="88">
        <v>80</v>
      </c>
      <c r="M87" s="91" t="s">
        <v>81</v>
      </c>
    </row>
    <row r="88" spans="1:13" x14ac:dyDescent="0.25">
      <c r="A88" s="23" t="s">
        <v>85</v>
      </c>
      <c r="B88" s="85" t="s">
        <v>21</v>
      </c>
      <c r="C88" s="90" t="s">
        <v>22</v>
      </c>
      <c r="D88" s="84">
        <v>1</v>
      </c>
      <c r="E88" s="49">
        <v>60</v>
      </c>
      <c r="F88" s="85">
        <v>45909</v>
      </c>
      <c r="G88" s="86">
        <v>0.375</v>
      </c>
      <c r="H88" s="85">
        <v>45907</v>
      </c>
      <c r="I88" s="86">
        <v>0.9375</v>
      </c>
      <c r="J88" s="87">
        <f t="shared" si="1"/>
        <v>10</v>
      </c>
      <c r="K88" s="8">
        <v>1</v>
      </c>
      <c r="L88" s="88">
        <v>50</v>
      </c>
      <c r="M88" s="91" t="s">
        <v>87</v>
      </c>
    </row>
    <row r="89" spans="1:13" x14ac:dyDescent="0.25">
      <c r="A89" s="23" t="s">
        <v>88</v>
      </c>
      <c r="B89" s="85" t="s">
        <v>21</v>
      </c>
      <c r="C89" s="85" t="s">
        <v>22</v>
      </c>
      <c r="D89" s="84">
        <v>1</v>
      </c>
      <c r="E89" s="49">
        <v>55</v>
      </c>
      <c r="F89" s="85">
        <v>45909</v>
      </c>
      <c r="G89" s="86">
        <v>0.375</v>
      </c>
      <c r="H89" s="85">
        <v>45907</v>
      </c>
      <c r="I89" s="86">
        <v>0.9375</v>
      </c>
      <c r="J89" s="87">
        <f t="shared" si="1"/>
        <v>0</v>
      </c>
      <c r="K89" s="8">
        <v>1</v>
      </c>
      <c r="L89" s="88">
        <v>55</v>
      </c>
      <c r="M89" s="91" t="s">
        <v>89</v>
      </c>
    </row>
    <row r="90" spans="1:13" ht="23.4" x14ac:dyDescent="0.25">
      <c r="A90" s="33" t="s">
        <v>131</v>
      </c>
      <c r="B90" s="85" t="s">
        <v>36</v>
      </c>
      <c r="C90" s="85" t="s">
        <v>37</v>
      </c>
      <c r="D90" s="49">
        <v>1</v>
      </c>
      <c r="E90" s="49">
        <v>30</v>
      </c>
      <c r="F90" s="85">
        <v>45909</v>
      </c>
      <c r="G90" s="86">
        <v>0.375</v>
      </c>
      <c r="H90" s="85">
        <v>45907</v>
      </c>
      <c r="I90" s="86">
        <v>0.9375</v>
      </c>
      <c r="J90" s="87">
        <f t="shared" si="1"/>
        <v>-2</v>
      </c>
      <c r="K90" s="8">
        <v>1</v>
      </c>
      <c r="L90" s="88">
        <v>32</v>
      </c>
      <c r="M90" s="91" t="s">
        <v>132</v>
      </c>
    </row>
    <row r="91" spans="1:13" ht="23.4" x14ac:dyDescent="0.25">
      <c r="A91" s="33" t="s">
        <v>131</v>
      </c>
      <c r="B91" s="85" t="s">
        <v>42</v>
      </c>
      <c r="C91" s="85" t="s">
        <v>43</v>
      </c>
      <c r="D91" s="49">
        <v>1</v>
      </c>
      <c r="E91" s="49">
        <v>30</v>
      </c>
      <c r="F91" s="85">
        <v>45909</v>
      </c>
      <c r="G91" s="86">
        <v>0.375</v>
      </c>
      <c r="H91" s="85">
        <v>45907</v>
      </c>
      <c r="I91" s="86">
        <v>0.9375</v>
      </c>
      <c r="J91" s="87">
        <f t="shared" si="1"/>
        <v>-2</v>
      </c>
      <c r="K91" s="8">
        <v>1</v>
      </c>
      <c r="L91" s="88">
        <v>32</v>
      </c>
      <c r="M91" s="91" t="s">
        <v>132</v>
      </c>
    </row>
    <row r="92" spans="1:13" ht="23.4" x14ac:dyDescent="0.25">
      <c r="A92" s="33" t="s">
        <v>131</v>
      </c>
      <c r="B92" s="85" t="s">
        <v>30</v>
      </c>
      <c r="C92" s="85" t="s">
        <v>31</v>
      </c>
      <c r="D92" s="49">
        <v>1</v>
      </c>
      <c r="E92" s="49">
        <v>30</v>
      </c>
      <c r="F92" s="85">
        <v>45909</v>
      </c>
      <c r="G92" s="86">
        <v>0.375</v>
      </c>
      <c r="H92" s="85">
        <v>45907</v>
      </c>
      <c r="I92" s="86">
        <v>0.9375</v>
      </c>
      <c r="J92" s="87">
        <f t="shared" si="1"/>
        <v>-2</v>
      </c>
      <c r="K92" s="8">
        <v>1</v>
      </c>
      <c r="L92" s="88">
        <v>32</v>
      </c>
      <c r="M92" s="91" t="s">
        <v>132</v>
      </c>
    </row>
    <row r="93" spans="1:13" ht="23.4" x14ac:dyDescent="0.25">
      <c r="A93" s="33" t="s">
        <v>131</v>
      </c>
      <c r="B93" s="85" t="s">
        <v>21</v>
      </c>
      <c r="C93" s="85" t="s">
        <v>22</v>
      </c>
      <c r="D93" s="49">
        <v>1</v>
      </c>
      <c r="E93" s="49">
        <v>30</v>
      </c>
      <c r="F93" s="85">
        <v>45909</v>
      </c>
      <c r="G93" s="86">
        <v>0.375</v>
      </c>
      <c r="H93" s="85">
        <v>45907</v>
      </c>
      <c r="I93" s="86">
        <v>0.9375</v>
      </c>
      <c r="J93" s="87">
        <f t="shared" si="1"/>
        <v>-2</v>
      </c>
      <c r="K93" s="8">
        <v>1</v>
      </c>
      <c r="L93" s="88">
        <v>32</v>
      </c>
      <c r="M93" s="91" t="s">
        <v>132</v>
      </c>
    </row>
    <row r="94" spans="1:13" ht="23.4" x14ac:dyDescent="0.25">
      <c r="A94" s="33" t="s">
        <v>131</v>
      </c>
      <c r="B94" s="85" t="s">
        <v>136</v>
      </c>
      <c r="C94" s="85" t="s">
        <v>34</v>
      </c>
      <c r="D94" s="49">
        <v>1</v>
      </c>
      <c r="E94" s="49">
        <v>30</v>
      </c>
      <c r="F94" s="85">
        <v>45909</v>
      </c>
      <c r="G94" s="86">
        <v>0.375</v>
      </c>
      <c r="H94" s="85">
        <v>45907</v>
      </c>
      <c r="I94" s="86">
        <v>0.9375</v>
      </c>
      <c r="J94" s="87">
        <f t="shared" si="1"/>
        <v>-2</v>
      </c>
      <c r="K94" s="8">
        <v>1</v>
      </c>
      <c r="L94" s="88">
        <v>32</v>
      </c>
      <c r="M94" s="91" t="s">
        <v>132</v>
      </c>
    </row>
    <row r="95" spans="1:13" ht="23.4" x14ac:dyDescent="0.25">
      <c r="A95" s="33" t="s">
        <v>131</v>
      </c>
      <c r="B95" s="85" t="s">
        <v>39</v>
      </c>
      <c r="C95" s="85" t="s">
        <v>40</v>
      </c>
      <c r="D95" s="49">
        <v>1</v>
      </c>
      <c r="E95" s="49">
        <v>30</v>
      </c>
      <c r="F95" s="85">
        <v>45909</v>
      </c>
      <c r="G95" s="86">
        <v>0.375</v>
      </c>
      <c r="H95" s="85">
        <v>45907</v>
      </c>
      <c r="I95" s="86">
        <v>0.9375</v>
      </c>
      <c r="J95" s="87">
        <f t="shared" si="1"/>
        <v>-2</v>
      </c>
      <c r="K95" s="8">
        <v>1</v>
      </c>
      <c r="L95" s="88">
        <v>32</v>
      </c>
      <c r="M95" s="91" t="s">
        <v>132</v>
      </c>
    </row>
    <row r="96" spans="1:13" ht="23.4" x14ac:dyDescent="0.25">
      <c r="A96" s="33" t="s">
        <v>133</v>
      </c>
      <c r="B96" s="85" t="s">
        <v>21</v>
      </c>
      <c r="C96" s="85" t="s">
        <v>22</v>
      </c>
      <c r="D96" s="49">
        <v>3</v>
      </c>
      <c r="E96" s="49">
        <v>20</v>
      </c>
      <c r="F96" s="85">
        <v>45909</v>
      </c>
      <c r="G96" s="86">
        <v>0.375</v>
      </c>
      <c r="H96" s="85">
        <v>45908</v>
      </c>
      <c r="I96" s="86">
        <v>0.375</v>
      </c>
      <c r="J96" s="87">
        <f t="shared" si="1"/>
        <v>5</v>
      </c>
      <c r="K96" s="8">
        <v>3</v>
      </c>
      <c r="L96" s="88">
        <v>15</v>
      </c>
      <c r="M96" s="91" t="s">
        <v>134</v>
      </c>
    </row>
    <row r="97" spans="1:13" x14ac:dyDescent="0.25">
      <c r="A97"/>
      <c r="B97"/>
      <c r="C97"/>
      <c r="D97"/>
      <c r="E97"/>
      <c r="F97"/>
      <c r="G97"/>
      <c r="H97"/>
      <c r="I97"/>
      <c r="J97"/>
      <c r="K97"/>
      <c r="L97"/>
      <c r="M97"/>
    </row>
    <row r="111" spans="1:13" ht="30" customHeight="1" x14ac:dyDescent="0.25"/>
    <row r="112" spans="1:13" ht="23.25" customHeight="1" x14ac:dyDescent="0.25"/>
    <row r="113" spans="1:20" ht="34.200000000000003" x14ac:dyDescent="0.25">
      <c r="B113" s="11" t="s">
        <v>30</v>
      </c>
      <c r="C113" s="11" t="s">
        <v>83</v>
      </c>
      <c r="D113" s="20">
        <v>1</v>
      </c>
      <c r="E113" s="29">
        <v>50</v>
      </c>
      <c r="F113" s="11">
        <v>45882</v>
      </c>
      <c r="G113" s="10">
        <v>0.375</v>
      </c>
      <c r="H113" s="11">
        <v>45880</v>
      </c>
      <c r="I113" s="10">
        <v>0.95833333333333337</v>
      </c>
      <c r="J113" s="9">
        <f>E113-L113</f>
        <v>-4</v>
      </c>
      <c r="K113" s="8">
        <v>1</v>
      </c>
      <c r="L113" s="7">
        <v>54</v>
      </c>
      <c r="M113" s="6" t="s">
        <v>84</v>
      </c>
    </row>
    <row r="114" spans="1:20" x14ac:dyDescent="0.25">
      <c r="A114" s="23" t="s">
        <v>82</v>
      </c>
    </row>
    <row r="119" spans="1:20" s="5" customFormat="1" ht="12" customHeight="1" x14ac:dyDescent="0.25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5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5"/>
    <row r="125" spans="1:20" ht="36.75" customHeight="1" x14ac:dyDescent="0.25"/>
    <row r="126" spans="1:20" ht="33.75" customHeight="1" x14ac:dyDescent="0.25"/>
    <row r="127" spans="1:20" ht="26.25" customHeight="1" x14ac:dyDescent="0.25"/>
    <row r="128" spans="1:20" ht="27.75" customHeight="1" x14ac:dyDescent="0.25"/>
    <row r="129" ht="40.5" customHeight="1" x14ac:dyDescent="0.25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057B-3453-4C89-928C-9D8C19014DE2}">
  <dimension ref="A1:T129"/>
  <sheetViews>
    <sheetView topLeftCell="A47" zoomScale="84" zoomScaleNormal="76" workbookViewId="0">
      <selection activeCell="F56" sqref="F56"/>
    </sheetView>
  </sheetViews>
  <sheetFormatPr baseColWidth="10" defaultColWidth="11.44140625" defaultRowHeight="13.2" x14ac:dyDescent="0.25"/>
  <cols>
    <col min="1" max="1" width="54.6640625" style="4" bestFit="1" customWidth="1"/>
    <col min="2" max="2" width="15.44140625" style="4" customWidth="1"/>
    <col min="3" max="3" width="13.109375" style="4" customWidth="1"/>
    <col min="4" max="5" width="12.33203125" style="4" customWidth="1"/>
    <col min="6" max="8" width="10.6640625" style="4" customWidth="1"/>
    <col min="9" max="10" width="10.6640625" style="3" customWidth="1"/>
    <col min="11" max="11" width="10.6640625" style="2" customWidth="1"/>
    <col min="12" max="12" width="10.6640625" style="1" customWidth="1"/>
    <col min="13" max="13" width="48.109375" style="1" bestFit="1" customWidth="1"/>
    <col min="14" max="14" width="10.6640625" customWidth="1"/>
  </cols>
  <sheetData>
    <row r="1" spans="1:20" ht="32.25" customHeight="1" x14ac:dyDescent="0.25">
      <c r="A1" s="175"/>
      <c r="B1" s="177" t="s">
        <v>0</v>
      </c>
      <c r="C1" s="177"/>
      <c r="D1" s="177"/>
      <c r="E1" s="177"/>
      <c r="F1" s="177"/>
      <c r="G1" s="177"/>
      <c r="H1" s="177"/>
      <c r="I1" s="177"/>
      <c r="J1" s="177"/>
      <c r="K1" s="177"/>
      <c r="L1" s="179"/>
      <c r="M1" s="180"/>
    </row>
    <row r="2" spans="1:20" ht="20.25" customHeight="1" x14ac:dyDescent="0.25">
      <c r="A2" s="176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81"/>
      <c r="M2" s="182"/>
    </row>
    <row r="3" spans="1:20" ht="12.75" customHeight="1" x14ac:dyDescent="0.25">
      <c r="A3" s="183" t="s">
        <v>1</v>
      </c>
      <c r="B3" s="185" t="s">
        <v>2</v>
      </c>
      <c r="C3" s="185"/>
      <c r="D3" s="185"/>
      <c r="E3" s="185"/>
      <c r="F3" s="185"/>
      <c r="G3" s="185"/>
      <c r="H3" s="185"/>
      <c r="I3" s="185"/>
      <c r="J3" s="185"/>
      <c r="K3" s="185"/>
      <c r="L3" s="187" t="s">
        <v>3</v>
      </c>
      <c r="M3" s="188"/>
    </row>
    <row r="4" spans="1:20" ht="13.8" thickBot="1" x14ac:dyDescent="0.3">
      <c r="A4" s="184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6" t="s">
        <v>4</v>
      </c>
      <c r="M4" s="15"/>
    </row>
    <row r="5" spans="1:20" ht="13.8" thickBot="1" x14ac:dyDescent="0.3"/>
    <row r="6" spans="1:20" ht="14.4" thickBot="1" x14ac:dyDescent="0.3">
      <c r="A6" s="24" t="s">
        <v>5</v>
      </c>
      <c r="B6" s="171" t="s">
        <v>6</v>
      </c>
      <c r="C6" s="171"/>
      <c r="D6" s="171"/>
      <c r="E6" s="171"/>
      <c r="F6" s="171"/>
      <c r="G6" s="171"/>
      <c r="H6" s="172" t="s">
        <v>7</v>
      </c>
      <c r="I6" s="173"/>
      <c r="J6" s="173"/>
      <c r="K6" s="173"/>
      <c r="L6" s="174"/>
      <c r="M6" s="25"/>
    </row>
    <row r="7" spans="1:20" s="14" customFormat="1" ht="49.5" customHeight="1" x14ac:dyDescent="0.25">
      <c r="A7" s="18" cm="1">
        <f t="array" aca="1" ref="A7" ca="1">+A36+A1:L7+A7:L7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45917</v>
      </c>
      <c r="G8" s="86">
        <v>0.375</v>
      </c>
      <c r="H8" s="85">
        <v>45915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85" t="s">
        <v>30</v>
      </c>
      <c r="C9" s="85" t="s">
        <v>37</v>
      </c>
      <c r="D9" s="84">
        <v>1</v>
      </c>
      <c r="E9" s="49">
        <v>30</v>
      </c>
      <c r="F9" s="85">
        <v>45917</v>
      </c>
      <c r="G9" s="86">
        <v>0.375</v>
      </c>
      <c r="H9" s="85">
        <v>45915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5">
      <c r="A10" s="79" t="s">
        <v>322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45917</v>
      </c>
      <c r="G10" s="81">
        <v>0.375</v>
      </c>
      <c r="H10" s="80">
        <v>45916</v>
      </c>
      <c r="I10" s="81">
        <v>0.54166666666666663</v>
      </c>
      <c r="J10" s="87">
        <f>E10-L10</f>
        <v>0</v>
      </c>
      <c r="K10" s="53">
        <v>1</v>
      </c>
      <c r="L10" s="53">
        <v>30</v>
      </c>
      <c r="M10" s="79" t="s">
        <v>323</v>
      </c>
    </row>
    <row r="11" spans="1:20" s="5" customFormat="1" ht="43.5" customHeight="1" x14ac:dyDescent="0.25">
      <c r="A11" s="79" t="s">
        <v>324</v>
      </c>
      <c r="B11" s="53" t="s">
        <v>30</v>
      </c>
      <c r="C11" s="53" t="s">
        <v>31</v>
      </c>
      <c r="D11" s="53">
        <v>2</v>
      </c>
      <c r="E11" s="53">
        <v>30</v>
      </c>
      <c r="F11" s="80">
        <v>45917</v>
      </c>
      <c r="G11" s="81">
        <v>0.375</v>
      </c>
      <c r="H11" s="80">
        <v>45916</v>
      </c>
      <c r="I11" s="81">
        <v>0.54166666666666663</v>
      </c>
      <c r="J11" s="87">
        <f t="shared" ref="J11:J32" si="0">E11-L11</f>
        <v>2</v>
      </c>
      <c r="K11" s="53">
        <v>2</v>
      </c>
      <c r="L11" s="53">
        <v>28</v>
      </c>
      <c r="M11" s="79" t="s">
        <v>325</v>
      </c>
    </row>
    <row r="12" spans="1:20" s="5" customFormat="1" ht="35.1" customHeight="1" x14ac:dyDescent="0.25">
      <c r="A12" s="53" t="s">
        <v>326</v>
      </c>
      <c r="B12" s="53" t="s">
        <v>30</v>
      </c>
      <c r="C12" s="53" t="s">
        <v>31</v>
      </c>
      <c r="D12" s="53">
        <v>1</v>
      </c>
      <c r="E12" s="53">
        <v>30</v>
      </c>
      <c r="F12" s="80">
        <v>45917</v>
      </c>
      <c r="G12" s="81">
        <v>0.375</v>
      </c>
      <c r="H12" s="80">
        <v>45916</v>
      </c>
      <c r="I12" s="81">
        <v>0.5625</v>
      </c>
      <c r="J12" s="87">
        <f t="shared" si="0"/>
        <v>0</v>
      </c>
      <c r="K12" s="53">
        <v>2</v>
      </c>
      <c r="L12" s="53">
        <v>30</v>
      </c>
      <c r="M12" s="79" t="s">
        <v>331</v>
      </c>
    </row>
    <row r="13" spans="1:20" s="5" customFormat="1" ht="35.1" customHeight="1" x14ac:dyDescent="0.25">
      <c r="A13" s="79" t="s">
        <v>327</v>
      </c>
      <c r="B13" s="53" t="s">
        <v>136</v>
      </c>
      <c r="C13" s="53" t="s">
        <v>34</v>
      </c>
      <c r="D13" s="53">
        <v>2</v>
      </c>
      <c r="E13" s="53">
        <v>30</v>
      </c>
      <c r="F13" s="80">
        <v>45917</v>
      </c>
      <c r="G13" s="81">
        <v>0.375</v>
      </c>
      <c r="H13" s="80">
        <v>45916</v>
      </c>
      <c r="I13" s="81">
        <v>0.54166666666666663</v>
      </c>
      <c r="J13" s="87">
        <f t="shared" si="0"/>
        <v>0</v>
      </c>
      <c r="K13" s="53">
        <v>2</v>
      </c>
      <c r="L13" s="53">
        <v>30</v>
      </c>
      <c r="M13" s="79" t="s">
        <v>330</v>
      </c>
    </row>
    <row r="14" spans="1:20" s="5" customFormat="1" ht="35.1" customHeight="1" x14ac:dyDescent="0.25">
      <c r="A14" s="53" t="s">
        <v>328</v>
      </c>
      <c r="B14" s="53" t="s">
        <v>136</v>
      </c>
      <c r="C14" s="53" t="s">
        <v>34</v>
      </c>
      <c r="D14" s="53">
        <v>2</v>
      </c>
      <c r="E14" s="53">
        <v>30</v>
      </c>
      <c r="F14" s="80">
        <v>45917</v>
      </c>
      <c r="G14" s="81">
        <v>0.375</v>
      </c>
      <c r="H14" s="80">
        <v>45916</v>
      </c>
      <c r="I14" s="81">
        <v>0.5625</v>
      </c>
      <c r="J14" s="87">
        <f t="shared" si="0"/>
        <v>7</v>
      </c>
      <c r="K14" s="53">
        <v>1</v>
      </c>
      <c r="L14" s="53">
        <v>23</v>
      </c>
      <c r="M14" s="79" t="s">
        <v>329</v>
      </c>
    </row>
    <row r="15" spans="1:20" s="5" customFormat="1" ht="35.1" customHeight="1" x14ac:dyDescent="0.25">
      <c r="A15" s="79" t="s">
        <v>332</v>
      </c>
      <c r="B15" s="53" t="s">
        <v>136</v>
      </c>
      <c r="C15" s="53" t="s">
        <v>34</v>
      </c>
      <c r="D15" s="53">
        <v>1</v>
      </c>
      <c r="E15" s="53">
        <v>30</v>
      </c>
      <c r="F15" s="80">
        <v>45917</v>
      </c>
      <c r="G15" s="81">
        <v>0.375</v>
      </c>
      <c r="H15" s="80">
        <v>45916</v>
      </c>
      <c r="I15" s="81">
        <v>0.58333333333333337</v>
      </c>
      <c r="J15" s="87">
        <f t="shared" si="0"/>
        <v>0</v>
      </c>
      <c r="K15" s="53">
        <v>1</v>
      </c>
      <c r="L15" s="53">
        <v>30</v>
      </c>
      <c r="M15" s="79" t="s">
        <v>333</v>
      </c>
    </row>
    <row r="16" spans="1:20" s="5" customFormat="1" ht="38.4" customHeight="1" x14ac:dyDescent="0.25">
      <c r="A16" s="79" t="s">
        <v>334</v>
      </c>
      <c r="B16" s="53" t="s">
        <v>21</v>
      </c>
      <c r="C16" s="53" t="s">
        <v>22</v>
      </c>
      <c r="D16" s="53">
        <v>1</v>
      </c>
      <c r="E16" s="53">
        <v>30</v>
      </c>
      <c r="F16" s="80">
        <v>45917</v>
      </c>
      <c r="G16" s="81">
        <v>0.375</v>
      </c>
      <c r="H16" s="80">
        <v>45916</v>
      </c>
      <c r="I16" s="81">
        <v>0.5625</v>
      </c>
      <c r="J16" s="87">
        <f t="shared" si="0"/>
        <v>5</v>
      </c>
      <c r="K16" s="53">
        <v>2</v>
      </c>
      <c r="L16" s="53">
        <v>25</v>
      </c>
      <c r="M16" s="79" t="s">
        <v>335</v>
      </c>
    </row>
    <row r="17" spans="1:13" s="5" customFormat="1" ht="30.75" customHeight="1" x14ac:dyDescent="0.25">
      <c r="A17" s="79" t="s">
        <v>336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45917</v>
      </c>
      <c r="G17" s="81">
        <v>0.375</v>
      </c>
      <c r="H17" s="80">
        <v>45916</v>
      </c>
      <c r="I17" s="81">
        <v>0.60416666666666663</v>
      </c>
      <c r="J17" s="87">
        <f t="shared" si="0"/>
        <v>-5</v>
      </c>
      <c r="K17" s="53">
        <v>1</v>
      </c>
      <c r="L17" s="53">
        <v>65</v>
      </c>
      <c r="M17" s="79" t="s">
        <v>337</v>
      </c>
    </row>
    <row r="18" spans="1:13" s="5" customFormat="1" ht="27" customHeight="1" x14ac:dyDescent="0.25">
      <c r="A18" s="53" t="s">
        <v>319</v>
      </c>
      <c r="B18" s="53" t="s">
        <v>136</v>
      </c>
      <c r="C18" s="53" t="s">
        <v>34</v>
      </c>
      <c r="D18" s="53">
        <v>1</v>
      </c>
      <c r="E18" s="53">
        <v>60</v>
      </c>
      <c r="F18" s="80">
        <v>45917</v>
      </c>
      <c r="G18" s="81">
        <v>0.375</v>
      </c>
      <c r="H18" s="80">
        <v>45916</v>
      </c>
      <c r="I18" s="81">
        <v>0.625</v>
      </c>
      <c r="J18" s="87">
        <f t="shared" si="0"/>
        <v>0</v>
      </c>
      <c r="K18" s="53">
        <v>1</v>
      </c>
      <c r="L18" s="53">
        <v>60</v>
      </c>
      <c r="M18" s="79" t="s">
        <v>320</v>
      </c>
    </row>
    <row r="19" spans="1:13" s="5" customFormat="1" ht="38.25" customHeight="1" x14ac:dyDescent="0.25">
      <c r="A19" s="53" t="s">
        <v>338</v>
      </c>
      <c r="B19" s="53" t="s">
        <v>21</v>
      </c>
      <c r="C19" s="53" t="s">
        <v>22</v>
      </c>
      <c r="D19" s="53">
        <v>1</v>
      </c>
      <c r="E19" s="53">
        <v>60</v>
      </c>
      <c r="F19" s="80">
        <v>45917</v>
      </c>
      <c r="G19" s="81">
        <v>0.375</v>
      </c>
      <c r="H19" s="80">
        <v>45916</v>
      </c>
      <c r="I19" s="81">
        <v>0.60416666666666663</v>
      </c>
      <c r="J19" s="87">
        <f t="shared" si="0"/>
        <v>5</v>
      </c>
      <c r="K19" s="53">
        <v>1</v>
      </c>
      <c r="L19" s="53">
        <v>55</v>
      </c>
      <c r="M19" s="79" t="s">
        <v>321</v>
      </c>
    </row>
    <row r="20" spans="1:13" s="5" customFormat="1" ht="40.5" customHeight="1" x14ac:dyDescent="0.25">
      <c r="A20" s="79" t="s">
        <v>339</v>
      </c>
      <c r="B20" s="53" t="s">
        <v>36</v>
      </c>
      <c r="C20" s="53" t="s">
        <v>37</v>
      </c>
      <c r="D20" s="53">
        <v>1</v>
      </c>
      <c r="E20" s="53">
        <v>60</v>
      </c>
      <c r="F20" s="80">
        <v>45917</v>
      </c>
      <c r="G20" s="81">
        <v>0.375</v>
      </c>
      <c r="H20" s="80">
        <v>45916</v>
      </c>
      <c r="I20" s="81">
        <v>0.58333333333333337</v>
      </c>
      <c r="J20" s="87">
        <f t="shared" si="0"/>
        <v>0</v>
      </c>
      <c r="K20" s="53">
        <v>1</v>
      </c>
      <c r="L20" s="53">
        <v>60</v>
      </c>
      <c r="M20" s="79" t="s">
        <v>340</v>
      </c>
    </row>
    <row r="21" spans="1:13" s="5" customFormat="1" ht="27" customHeight="1" x14ac:dyDescent="0.25">
      <c r="A21" s="79" t="s">
        <v>341</v>
      </c>
      <c r="B21" s="53" t="s">
        <v>42</v>
      </c>
      <c r="C21" s="53" t="s">
        <v>43</v>
      </c>
      <c r="D21" s="53">
        <v>1</v>
      </c>
      <c r="E21" s="53">
        <v>60</v>
      </c>
      <c r="F21" s="80">
        <v>45917</v>
      </c>
      <c r="G21" s="81">
        <v>0.375</v>
      </c>
      <c r="H21" s="80">
        <v>45916</v>
      </c>
      <c r="I21" s="81">
        <v>0.58333333333333337</v>
      </c>
      <c r="J21" s="87">
        <f t="shared" si="0"/>
        <v>6</v>
      </c>
      <c r="K21" s="53">
        <v>1</v>
      </c>
      <c r="L21" s="53">
        <v>54</v>
      </c>
      <c r="M21" s="79" t="s">
        <v>342</v>
      </c>
    </row>
    <row r="22" spans="1:13" s="5" customFormat="1" ht="27" customHeight="1" x14ac:dyDescent="0.25">
      <c r="A22" s="79" t="s">
        <v>343</v>
      </c>
      <c r="B22" s="53" t="s">
        <v>39</v>
      </c>
      <c r="C22" s="53" t="s">
        <v>40</v>
      </c>
      <c r="D22" s="53">
        <v>1</v>
      </c>
      <c r="E22" s="53">
        <v>60</v>
      </c>
      <c r="F22" s="80">
        <v>45917</v>
      </c>
      <c r="G22" s="81">
        <v>0.375</v>
      </c>
      <c r="H22" s="80">
        <v>45916</v>
      </c>
      <c r="I22" s="81">
        <v>0.58333333333333337</v>
      </c>
      <c r="J22" s="87">
        <f t="shared" si="0"/>
        <v>0</v>
      </c>
      <c r="K22" s="53">
        <v>1</v>
      </c>
      <c r="L22" s="53">
        <v>60</v>
      </c>
      <c r="M22" s="79" t="s">
        <v>344</v>
      </c>
    </row>
    <row r="23" spans="1:13" s="5" customFormat="1" ht="27" customHeight="1" x14ac:dyDescent="0.25">
      <c r="A23" s="79" t="s">
        <v>345</v>
      </c>
      <c r="B23" s="53" t="s">
        <v>21</v>
      </c>
      <c r="C23" s="53" t="s">
        <v>22</v>
      </c>
      <c r="D23" s="53">
        <v>1</v>
      </c>
      <c r="E23" s="53">
        <v>60</v>
      </c>
      <c r="F23" s="80">
        <v>45917</v>
      </c>
      <c r="G23" s="81">
        <v>0.375</v>
      </c>
      <c r="H23" s="80">
        <v>45916</v>
      </c>
      <c r="I23" s="81">
        <v>0.64583333333333337</v>
      </c>
      <c r="J23" s="87">
        <f t="shared" si="0"/>
        <v>0</v>
      </c>
      <c r="K23" s="53">
        <v>1</v>
      </c>
      <c r="L23" s="53">
        <v>60</v>
      </c>
      <c r="M23" s="79" t="s">
        <v>348</v>
      </c>
    </row>
    <row r="24" spans="1:13" s="5" customFormat="1" ht="27" customHeight="1" x14ac:dyDescent="0.25">
      <c r="A24" s="79" t="s">
        <v>346</v>
      </c>
      <c r="B24" s="53" t="s">
        <v>36</v>
      </c>
      <c r="C24" s="53" t="s">
        <v>37</v>
      </c>
      <c r="D24" s="53">
        <v>2</v>
      </c>
      <c r="E24" s="53">
        <v>60</v>
      </c>
      <c r="F24" s="80">
        <v>45917</v>
      </c>
      <c r="G24" s="81">
        <v>0.375</v>
      </c>
      <c r="H24" s="80">
        <v>45916</v>
      </c>
      <c r="I24" s="81">
        <v>0.625</v>
      </c>
      <c r="J24" s="87">
        <f t="shared" si="0"/>
        <v>-1</v>
      </c>
      <c r="K24" s="53">
        <v>1</v>
      </c>
      <c r="L24" s="53">
        <v>61</v>
      </c>
      <c r="M24" s="79" t="s">
        <v>347</v>
      </c>
    </row>
    <row r="25" spans="1:13" s="5" customFormat="1" ht="27" customHeight="1" x14ac:dyDescent="0.25">
      <c r="A25" s="79" t="s">
        <v>349</v>
      </c>
      <c r="B25" s="53" t="s">
        <v>42</v>
      </c>
      <c r="C25" s="53" t="s">
        <v>43</v>
      </c>
      <c r="D25" s="53">
        <v>2</v>
      </c>
      <c r="E25" s="53">
        <v>60</v>
      </c>
      <c r="F25" s="80">
        <v>45917</v>
      </c>
      <c r="G25" s="81">
        <v>0.375</v>
      </c>
      <c r="H25" s="80">
        <v>45916</v>
      </c>
      <c r="I25" s="81">
        <v>0.66666666666666696</v>
      </c>
      <c r="J25" s="87">
        <f t="shared" si="0"/>
        <v>0</v>
      </c>
      <c r="K25" s="53">
        <v>1</v>
      </c>
      <c r="L25" s="53">
        <v>60</v>
      </c>
      <c r="M25" s="79" t="s">
        <v>350</v>
      </c>
    </row>
    <row r="26" spans="1:13" s="5" customFormat="1" ht="27" customHeight="1" x14ac:dyDescent="0.25">
      <c r="A26" s="79" t="s">
        <v>352</v>
      </c>
      <c r="B26" s="53" t="s">
        <v>39</v>
      </c>
      <c r="C26" s="53" t="s">
        <v>40</v>
      </c>
      <c r="D26" s="53">
        <v>2</v>
      </c>
      <c r="E26" s="53">
        <v>60</v>
      </c>
      <c r="F26" s="80">
        <v>45917</v>
      </c>
      <c r="G26" s="81">
        <v>0.375</v>
      </c>
      <c r="H26" s="80">
        <v>45916</v>
      </c>
      <c r="I26" s="81">
        <v>0.70833333333333304</v>
      </c>
      <c r="J26" s="87">
        <f t="shared" si="0"/>
        <v>3</v>
      </c>
      <c r="K26" s="53">
        <v>1</v>
      </c>
      <c r="L26" s="53">
        <v>57</v>
      </c>
      <c r="M26" s="79" t="s">
        <v>351</v>
      </c>
    </row>
    <row r="27" spans="1:13" s="5" customFormat="1" ht="27" customHeight="1" x14ac:dyDescent="0.25">
      <c r="A27" s="79" t="s">
        <v>353</v>
      </c>
      <c r="B27" s="53" t="s">
        <v>30</v>
      </c>
      <c r="C27" s="53" t="s">
        <v>31</v>
      </c>
      <c r="D27" s="53">
        <v>1</v>
      </c>
      <c r="E27" s="53">
        <v>30</v>
      </c>
      <c r="F27" s="80">
        <v>45917</v>
      </c>
      <c r="G27" s="81">
        <v>0.375</v>
      </c>
      <c r="H27" s="80">
        <v>45916</v>
      </c>
      <c r="I27" s="81">
        <v>0.79166666666666663</v>
      </c>
      <c r="J27" s="87">
        <f t="shared" si="0"/>
        <v>5</v>
      </c>
      <c r="K27" s="53">
        <v>1</v>
      </c>
      <c r="L27" s="53">
        <v>25</v>
      </c>
      <c r="M27" s="79" t="s">
        <v>354</v>
      </c>
    </row>
    <row r="28" spans="1:13" s="5" customFormat="1" ht="27" customHeight="1" x14ac:dyDescent="0.25">
      <c r="A28" s="79" t="s">
        <v>353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45917</v>
      </c>
      <c r="G28" s="81">
        <v>0.375</v>
      </c>
      <c r="H28" s="80">
        <v>45916</v>
      </c>
      <c r="I28" s="81">
        <v>0.79166666666666663</v>
      </c>
      <c r="J28" s="87">
        <f t="shared" si="0"/>
        <v>5</v>
      </c>
      <c r="K28" s="53">
        <v>1</v>
      </c>
      <c r="L28" s="53">
        <v>25</v>
      </c>
      <c r="M28" s="79" t="s">
        <v>354</v>
      </c>
    </row>
    <row r="29" spans="1:13" s="5" customFormat="1" ht="36.75" customHeight="1" x14ac:dyDescent="0.25">
      <c r="A29" s="79" t="s">
        <v>353</v>
      </c>
      <c r="B29" s="53" t="s">
        <v>36</v>
      </c>
      <c r="C29" s="53" t="s">
        <v>37</v>
      </c>
      <c r="D29" s="53">
        <v>1</v>
      </c>
      <c r="E29" s="53">
        <v>30</v>
      </c>
      <c r="F29" s="80">
        <v>45917</v>
      </c>
      <c r="G29" s="81">
        <v>0.375</v>
      </c>
      <c r="H29" s="80">
        <v>45916</v>
      </c>
      <c r="I29" s="81">
        <v>0.79166666666666663</v>
      </c>
      <c r="J29" s="87">
        <f t="shared" si="0"/>
        <v>5</v>
      </c>
      <c r="K29" s="53">
        <v>1</v>
      </c>
      <c r="L29" s="53">
        <v>25</v>
      </c>
      <c r="M29" s="79" t="s">
        <v>354</v>
      </c>
    </row>
    <row r="30" spans="1:13" s="5" customFormat="1" ht="37.5" customHeight="1" x14ac:dyDescent="0.25">
      <c r="A30" s="79" t="s">
        <v>353</v>
      </c>
      <c r="B30" s="53" t="s">
        <v>136</v>
      </c>
      <c r="C30" s="53" t="s">
        <v>34</v>
      </c>
      <c r="D30" s="53">
        <v>1</v>
      </c>
      <c r="E30" s="53">
        <v>30</v>
      </c>
      <c r="F30" s="80">
        <v>45917</v>
      </c>
      <c r="G30" s="81">
        <v>0.375</v>
      </c>
      <c r="H30" s="80">
        <v>45916</v>
      </c>
      <c r="I30" s="81">
        <v>0.79166666666666663</v>
      </c>
      <c r="J30" s="87">
        <f t="shared" si="0"/>
        <v>5</v>
      </c>
      <c r="K30" s="53">
        <v>1</v>
      </c>
      <c r="L30" s="53">
        <v>25</v>
      </c>
      <c r="M30" s="79" t="s">
        <v>354</v>
      </c>
    </row>
    <row r="31" spans="1:13" s="5" customFormat="1" ht="38.25" customHeight="1" x14ac:dyDescent="0.25">
      <c r="A31" s="79" t="s">
        <v>353</v>
      </c>
      <c r="B31" s="53" t="s">
        <v>39</v>
      </c>
      <c r="C31" s="53" t="s">
        <v>40</v>
      </c>
      <c r="D31" s="53">
        <v>1</v>
      </c>
      <c r="E31" s="53">
        <v>30</v>
      </c>
      <c r="F31" s="80">
        <v>45917</v>
      </c>
      <c r="G31" s="81">
        <v>0.375</v>
      </c>
      <c r="H31" s="80">
        <v>45916</v>
      </c>
      <c r="I31" s="81">
        <v>0.79166666666666663</v>
      </c>
      <c r="J31" s="87">
        <f t="shared" si="0"/>
        <v>5</v>
      </c>
      <c r="K31" s="53">
        <v>1</v>
      </c>
      <c r="L31" s="53">
        <v>25</v>
      </c>
      <c r="M31" s="79" t="s">
        <v>354</v>
      </c>
    </row>
    <row r="32" spans="1:13" s="5" customFormat="1" ht="36.75" customHeight="1" x14ac:dyDescent="0.25">
      <c r="A32" s="79" t="s">
        <v>353</v>
      </c>
      <c r="B32" s="53" t="s">
        <v>42</v>
      </c>
      <c r="C32" s="53" t="s">
        <v>43</v>
      </c>
      <c r="D32" s="53">
        <v>1</v>
      </c>
      <c r="E32" s="53">
        <v>30</v>
      </c>
      <c r="F32" s="80">
        <v>45917</v>
      </c>
      <c r="G32" s="81">
        <v>0.375</v>
      </c>
      <c r="H32" s="80">
        <v>45916</v>
      </c>
      <c r="I32" s="81">
        <v>0.79166666666666663</v>
      </c>
      <c r="J32" s="87">
        <f t="shared" si="0"/>
        <v>5</v>
      </c>
      <c r="K32" s="53">
        <v>1</v>
      </c>
      <c r="L32" s="53">
        <v>25</v>
      </c>
      <c r="M32" s="79" t="s">
        <v>354</v>
      </c>
    </row>
    <row r="33" spans="1:13" s="5" customFormat="1" ht="42" customHeight="1" x14ac:dyDescent="0.2">
      <c r="A33" s="98" t="s">
        <v>123</v>
      </c>
      <c r="B33" s="85" t="s">
        <v>36</v>
      </c>
      <c r="C33" s="85" t="s">
        <v>37</v>
      </c>
      <c r="D33" s="49">
        <v>1</v>
      </c>
      <c r="E33" s="49">
        <v>20</v>
      </c>
      <c r="F33" s="85">
        <v>45917</v>
      </c>
      <c r="G33" s="86">
        <v>0.375</v>
      </c>
      <c r="H33" s="85">
        <v>45916</v>
      </c>
      <c r="I33" s="86">
        <v>0.80555555555555558</v>
      </c>
      <c r="J33" s="87">
        <f>E33-L33</f>
        <v>0</v>
      </c>
      <c r="K33" s="8">
        <v>1</v>
      </c>
      <c r="L33" s="88">
        <v>20</v>
      </c>
      <c r="M33" s="93" t="s">
        <v>124</v>
      </c>
    </row>
    <row r="34" spans="1:13" s="5" customFormat="1" ht="39" customHeight="1" x14ac:dyDescent="0.2">
      <c r="A34" s="38" t="s">
        <v>123</v>
      </c>
      <c r="B34" s="85" t="s">
        <v>143</v>
      </c>
      <c r="C34" s="85" t="s">
        <v>43</v>
      </c>
      <c r="D34" s="49">
        <v>1</v>
      </c>
      <c r="E34" s="49">
        <v>20</v>
      </c>
      <c r="F34" s="85">
        <v>45917</v>
      </c>
      <c r="G34" s="86">
        <v>0.375</v>
      </c>
      <c r="H34" s="85">
        <v>45916</v>
      </c>
      <c r="I34" s="86">
        <v>0.80555555555555558</v>
      </c>
      <c r="J34" s="87">
        <f t="shared" ref="J34:J55" si="1">E34-L34</f>
        <v>0</v>
      </c>
      <c r="K34" s="8">
        <v>1</v>
      </c>
      <c r="L34" s="88">
        <v>20</v>
      </c>
      <c r="M34" s="93" t="s">
        <v>124</v>
      </c>
    </row>
    <row r="35" spans="1:13" s="5" customFormat="1" ht="42" customHeight="1" x14ac:dyDescent="0.25">
      <c r="A35" s="13" t="s">
        <v>175</v>
      </c>
      <c r="B35" s="13" t="s">
        <v>36</v>
      </c>
      <c r="C35" s="13" t="s">
        <v>37</v>
      </c>
      <c r="D35" s="53">
        <v>1</v>
      </c>
      <c r="E35" s="53">
        <v>30</v>
      </c>
      <c r="F35" s="13">
        <v>45917</v>
      </c>
      <c r="G35" s="86">
        <v>0.375</v>
      </c>
      <c r="H35" s="13">
        <v>45916</v>
      </c>
      <c r="I35" s="12">
        <v>0.83333333333333337</v>
      </c>
      <c r="J35" s="53">
        <f t="shared" si="1"/>
        <v>6</v>
      </c>
      <c r="K35" s="50">
        <v>1</v>
      </c>
      <c r="L35" s="68">
        <v>24</v>
      </c>
      <c r="M35" s="52" t="s">
        <v>176</v>
      </c>
    </row>
    <row r="36" spans="1:13" s="5" customFormat="1" ht="47.25" customHeight="1" x14ac:dyDescent="0.25">
      <c r="A36" s="13" t="s">
        <v>177</v>
      </c>
      <c r="B36" s="13" t="s">
        <v>39</v>
      </c>
      <c r="C36" s="13" t="s">
        <v>40</v>
      </c>
      <c r="D36" s="53">
        <v>1</v>
      </c>
      <c r="E36" s="53">
        <v>30</v>
      </c>
      <c r="F36" s="13">
        <v>45917</v>
      </c>
      <c r="G36" s="86">
        <v>0.375</v>
      </c>
      <c r="H36" s="13">
        <v>45916</v>
      </c>
      <c r="I36" s="12">
        <v>0.83333333333333337</v>
      </c>
      <c r="J36" s="53">
        <f t="shared" si="1"/>
        <v>0</v>
      </c>
      <c r="K36" s="50">
        <v>1</v>
      </c>
      <c r="L36" s="68">
        <v>30</v>
      </c>
      <c r="M36" s="52" t="s">
        <v>178</v>
      </c>
    </row>
    <row r="37" spans="1:13" s="5" customFormat="1" ht="33.9" customHeight="1" x14ac:dyDescent="0.25">
      <c r="A37" s="61" t="s">
        <v>179</v>
      </c>
      <c r="B37" s="13" t="s">
        <v>39</v>
      </c>
      <c r="C37" s="13" t="s">
        <v>40</v>
      </c>
      <c r="D37" s="53">
        <v>5</v>
      </c>
      <c r="E37" s="53">
        <v>50</v>
      </c>
      <c r="F37" s="13">
        <v>45917</v>
      </c>
      <c r="G37" s="86">
        <v>0.375</v>
      </c>
      <c r="H37" s="13">
        <v>45916</v>
      </c>
      <c r="I37" s="12">
        <v>0.86805555555555558</v>
      </c>
      <c r="J37" s="53">
        <f t="shared" si="1"/>
        <v>5</v>
      </c>
      <c r="K37" s="50">
        <v>5</v>
      </c>
      <c r="L37" s="68">
        <v>45</v>
      </c>
      <c r="M37" s="52" t="s">
        <v>180</v>
      </c>
    </row>
    <row r="38" spans="1:13" s="5" customFormat="1" ht="28.5" customHeight="1" x14ac:dyDescent="0.2">
      <c r="A38" s="23" t="s">
        <v>146</v>
      </c>
      <c r="B38" s="85" t="s">
        <v>30</v>
      </c>
      <c r="C38" s="90" t="s">
        <v>207</v>
      </c>
      <c r="D38" s="84">
        <v>1</v>
      </c>
      <c r="E38" s="49">
        <v>60</v>
      </c>
      <c r="F38" s="85">
        <v>45917</v>
      </c>
      <c r="G38" s="86">
        <v>0.375</v>
      </c>
      <c r="H38" s="85">
        <v>45916</v>
      </c>
      <c r="I38" s="86">
        <v>0.91666666666666663</v>
      </c>
      <c r="J38" s="87">
        <f t="shared" si="1"/>
        <v>50</v>
      </c>
      <c r="K38" s="8">
        <v>1</v>
      </c>
      <c r="L38" s="88">
        <v>10</v>
      </c>
      <c r="M38" s="91" t="s">
        <v>149</v>
      </c>
    </row>
    <row r="39" spans="1:13" s="5" customFormat="1" ht="39" customHeight="1" x14ac:dyDescent="0.2">
      <c r="A39" s="23" t="s">
        <v>146</v>
      </c>
      <c r="B39" s="85" t="s">
        <v>42</v>
      </c>
      <c r="C39" s="85" t="s">
        <v>77</v>
      </c>
      <c r="D39" s="84">
        <v>1</v>
      </c>
      <c r="E39" s="49">
        <v>60</v>
      </c>
      <c r="F39" s="85">
        <v>45917</v>
      </c>
      <c r="G39" s="86">
        <v>0.375</v>
      </c>
      <c r="H39" s="85">
        <v>45916</v>
      </c>
      <c r="I39" s="86">
        <v>0.91666666666666663</v>
      </c>
      <c r="J39" s="87">
        <f t="shared" si="1"/>
        <v>50</v>
      </c>
      <c r="K39" s="8">
        <v>1</v>
      </c>
      <c r="L39" s="88">
        <v>10</v>
      </c>
      <c r="M39" s="91" t="s">
        <v>149</v>
      </c>
    </row>
    <row r="40" spans="1:13" s="5" customFormat="1" ht="38.25" customHeight="1" x14ac:dyDescent="0.2">
      <c r="A40" s="23" t="s">
        <v>146</v>
      </c>
      <c r="B40" s="85" t="s">
        <v>21</v>
      </c>
      <c r="C40" s="85" t="s">
        <v>86</v>
      </c>
      <c r="D40" s="84">
        <v>1</v>
      </c>
      <c r="E40" s="49">
        <v>60</v>
      </c>
      <c r="F40" s="85">
        <v>45917</v>
      </c>
      <c r="G40" s="86">
        <v>0.375</v>
      </c>
      <c r="H40" s="85">
        <v>45916</v>
      </c>
      <c r="I40" s="86">
        <v>0.91666666666666663</v>
      </c>
      <c r="J40" s="87">
        <f t="shared" si="1"/>
        <v>50</v>
      </c>
      <c r="K40" s="8">
        <v>1</v>
      </c>
      <c r="L40" s="88">
        <v>10</v>
      </c>
      <c r="M40" s="91" t="s">
        <v>149</v>
      </c>
    </row>
    <row r="41" spans="1:13" s="5" customFormat="1" ht="38.25" customHeight="1" x14ac:dyDescent="0.2">
      <c r="A41" s="23" t="s">
        <v>146</v>
      </c>
      <c r="B41" s="85" t="s">
        <v>136</v>
      </c>
      <c r="C41" s="85" t="s">
        <v>151</v>
      </c>
      <c r="D41" s="84">
        <v>1</v>
      </c>
      <c r="E41" s="49">
        <v>60</v>
      </c>
      <c r="F41" s="85">
        <v>45917</v>
      </c>
      <c r="G41" s="86">
        <v>0.375</v>
      </c>
      <c r="H41" s="85">
        <v>45916</v>
      </c>
      <c r="I41" s="86">
        <v>0.91666666666666663</v>
      </c>
      <c r="J41" s="87">
        <f t="shared" si="1"/>
        <v>50</v>
      </c>
      <c r="K41" s="8">
        <v>1</v>
      </c>
      <c r="L41" s="88">
        <v>10</v>
      </c>
      <c r="M41" s="91" t="s">
        <v>149</v>
      </c>
    </row>
    <row r="42" spans="1:13" s="5" customFormat="1" ht="42" customHeight="1" x14ac:dyDescent="0.2">
      <c r="A42" s="23" t="s">
        <v>146</v>
      </c>
      <c r="B42" s="85" t="s">
        <v>36</v>
      </c>
      <c r="C42" s="85" t="s">
        <v>80</v>
      </c>
      <c r="D42" s="84">
        <v>1</v>
      </c>
      <c r="E42" s="49">
        <v>60</v>
      </c>
      <c r="F42" s="85">
        <v>45917</v>
      </c>
      <c r="G42" s="86">
        <v>0.375</v>
      </c>
      <c r="H42" s="85">
        <v>45916</v>
      </c>
      <c r="I42" s="86">
        <v>0.91666666666666663</v>
      </c>
      <c r="J42" s="87">
        <f t="shared" si="1"/>
        <v>50</v>
      </c>
      <c r="K42" s="8">
        <v>1</v>
      </c>
      <c r="L42" s="88">
        <v>10</v>
      </c>
      <c r="M42" s="91" t="s">
        <v>149</v>
      </c>
    </row>
    <row r="43" spans="1:13" s="5" customFormat="1" ht="32.4" customHeight="1" x14ac:dyDescent="0.2">
      <c r="A43" s="23" t="s">
        <v>146</v>
      </c>
      <c r="B43" s="85" t="s">
        <v>39</v>
      </c>
      <c r="C43" s="85" t="s">
        <v>150</v>
      </c>
      <c r="D43" s="84">
        <v>1</v>
      </c>
      <c r="E43" s="49">
        <v>60</v>
      </c>
      <c r="F43" s="85">
        <v>45917</v>
      </c>
      <c r="G43" s="86">
        <v>0.375</v>
      </c>
      <c r="H43" s="85">
        <v>45916</v>
      </c>
      <c r="I43" s="86">
        <v>0.91666666666666663</v>
      </c>
      <c r="J43" s="87">
        <f t="shared" si="1"/>
        <v>50</v>
      </c>
      <c r="K43" s="8">
        <v>1</v>
      </c>
      <c r="L43" s="88">
        <v>10</v>
      </c>
      <c r="M43" s="91" t="s">
        <v>149</v>
      </c>
    </row>
    <row r="44" spans="1:13" ht="35.25" customHeight="1" x14ac:dyDescent="0.25">
      <c r="A44" s="23" t="s">
        <v>52</v>
      </c>
      <c r="B44" s="89" t="s">
        <v>21</v>
      </c>
      <c r="C44" s="90" t="s">
        <v>22</v>
      </c>
      <c r="D44" s="84">
        <v>1</v>
      </c>
      <c r="E44" s="49">
        <v>30</v>
      </c>
      <c r="F44" s="85">
        <v>45917</v>
      </c>
      <c r="G44" s="86">
        <v>0.375</v>
      </c>
      <c r="H44" s="85">
        <v>45916</v>
      </c>
      <c r="I44" s="86">
        <v>0.91666666666666663</v>
      </c>
      <c r="J44" s="87">
        <f t="shared" si="1"/>
        <v>0</v>
      </c>
      <c r="K44" s="8">
        <v>1</v>
      </c>
      <c r="L44" s="88">
        <v>30</v>
      </c>
      <c r="M44" s="91" t="s">
        <v>53</v>
      </c>
    </row>
    <row r="45" spans="1:13" s="5" customFormat="1" ht="47.1" customHeight="1" x14ac:dyDescent="0.2">
      <c r="A45" s="23" t="s">
        <v>153</v>
      </c>
      <c r="B45" s="89" t="s">
        <v>36</v>
      </c>
      <c r="C45" s="90" t="s">
        <v>37</v>
      </c>
      <c r="D45" s="84">
        <v>1</v>
      </c>
      <c r="E45" s="5">
        <v>30</v>
      </c>
      <c r="F45" s="85">
        <v>45917</v>
      </c>
      <c r="G45" s="86">
        <v>0.375</v>
      </c>
      <c r="H45" s="85">
        <v>45916</v>
      </c>
      <c r="I45" s="86">
        <v>0.91666666666666663</v>
      </c>
      <c r="J45" s="87">
        <f t="shared" si="1"/>
        <v>0</v>
      </c>
      <c r="K45" s="8">
        <v>1</v>
      </c>
      <c r="L45" s="88">
        <v>30</v>
      </c>
      <c r="M45" s="91" t="s">
        <v>53</v>
      </c>
    </row>
    <row r="46" spans="1:13" s="5" customFormat="1" ht="43.5" customHeight="1" x14ac:dyDescent="0.2">
      <c r="A46" s="23" t="s">
        <v>79</v>
      </c>
      <c r="B46" s="85" t="s">
        <v>36</v>
      </c>
      <c r="C46" s="90" t="s">
        <v>37</v>
      </c>
      <c r="D46" s="84">
        <v>1</v>
      </c>
      <c r="E46" s="49">
        <v>45</v>
      </c>
      <c r="F46" s="85">
        <v>45917</v>
      </c>
      <c r="G46" s="86">
        <v>0.375</v>
      </c>
      <c r="H46" s="85">
        <v>45916</v>
      </c>
      <c r="I46" s="86">
        <v>0.9375</v>
      </c>
      <c r="J46" s="87">
        <f t="shared" si="1"/>
        <v>-35</v>
      </c>
      <c r="K46" s="8">
        <v>1</v>
      </c>
      <c r="L46" s="88">
        <v>80</v>
      </c>
      <c r="M46" s="91" t="s">
        <v>81</v>
      </c>
    </row>
    <row r="47" spans="1:13" s="5" customFormat="1" ht="42.75" customHeight="1" x14ac:dyDescent="0.2">
      <c r="A47" s="23" t="s">
        <v>85</v>
      </c>
      <c r="B47" s="85" t="s">
        <v>21</v>
      </c>
      <c r="C47" s="90" t="s">
        <v>22</v>
      </c>
      <c r="D47" s="84">
        <v>1</v>
      </c>
      <c r="E47" s="49">
        <v>60</v>
      </c>
      <c r="F47" s="85">
        <v>45917</v>
      </c>
      <c r="G47" s="86">
        <v>0.375</v>
      </c>
      <c r="H47" s="85">
        <v>45916</v>
      </c>
      <c r="I47" s="86">
        <v>0.9375</v>
      </c>
      <c r="J47" s="87">
        <f t="shared" si="1"/>
        <v>10</v>
      </c>
      <c r="K47" s="8">
        <v>1</v>
      </c>
      <c r="L47" s="88">
        <v>50</v>
      </c>
      <c r="M47" s="91" t="s">
        <v>87</v>
      </c>
    </row>
    <row r="48" spans="1:13" s="5" customFormat="1" ht="39" customHeight="1" x14ac:dyDescent="0.2">
      <c r="A48" s="23" t="s">
        <v>88</v>
      </c>
      <c r="B48" s="85" t="s">
        <v>21</v>
      </c>
      <c r="C48" s="85" t="s">
        <v>22</v>
      </c>
      <c r="D48" s="84">
        <v>1</v>
      </c>
      <c r="E48" s="49">
        <v>55</v>
      </c>
      <c r="F48" s="85">
        <v>45917</v>
      </c>
      <c r="G48" s="86">
        <v>0.375</v>
      </c>
      <c r="H48" s="85">
        <v>45916</v>
      </c>
      <c r="I48" s="86">
        <v>0.9375</v>
      </c>
      <c r="J48" s="87">
        <f t="shared" si="1"/>
        <v>0</v>
      </c>
      <c r="K48" s="8">
        <v>1</v>
      </c>
      <c r="L48" s="88">
        <v>55</v>
      </c>
      <c r="M48" s="91" t="s">
        <v>89</v>
      </c>
    </row>
    <row r="49" spans="1:13" s="5" customFormat="1" ht="29.25" customHeight="1" x14ac:dyDescent="0.2">
      <c r="A49" s="33" t="s">
        <v>131</v>
      </c>
      <c r="B49" s="85" t="s">
        <v>36</v>
      </c>
      <c r="C49" s="85" t="s">
        <v>37</v>
      </c>
      <c r="D49" s="49">
        <v>1</v>
      </c>
      <c r="E49" s="49">
        <v>30</v>
      </c>
      <c r="F49" s="85">
        <v>45917</v>
      </c>
      <c r="G49" s="86">
        <v>0.375</v>
      </c>
      <c r="H49" s="85">
        <v>45916</v>
      </c>
      <c r="I49" s="86">
        <v>0.9375</v>
      </c>
      <c r="J49" s="87">
        <f t="shared" si="1"/>
        <v>-2</v>
      </c>
      <c r="K49" s="8">
        <v>1</v>
      </c>
      <c r="L49" s="88">
        <v>32</v>
      </c>
      <c r="M49" s="91" t="s">
        <v>132</v>
      </c>
    </row>
    <row r="50" spans="1:13" s="5" customFormat="1" ht="31.5" customHeight="1" x14ac:dyDescent="0.2">
      <c r="A50" s="33" t="s">
        <v>131</v>
      </c>
      <c r="B50" s="85" t="s">
        <v>42</v>
      </c>
      <c r="C50" s="85" t="s">
        <v>43</v>
      </c>
      <c r="D50" s="49">
        <v>1</v>
      </c>
      <c r="E50" s="49">
        <v>30</v>
      </c>
      <c r="F50" s="85">
        <v>45917</v>
      </c>
      <c r="G50" s="86">
        <v>0.375</v>
      </c>
      <c r="H50" s="85">
        <v>45916</v>
      </c>
      <c r="I50" s="86">
        <v>0.9375</v>
      </c>
      <c r="J50" s="87">
        <f t="shared" si="1"/>
        <v>-2</v>
      </c>
      <c r="K50" s="8">
        <v>1</v>
      </c>
      <c r="L50" s="88">
        <v>32</v>
      </c>
      <c r="M50" s="91" t="s">
        <v>132</v>
      </c>
    </row>
    <row r="51" spans="1:13" s="5" customFormat="1" ht="26.4" customHeight="1" x14ac:dyDescent="0.2">
      <c r="A51" s="33" t="s">
        <v>131</v>
      </c>
      <c r="B51" s="85" t="s">
        <v>30</v>
      </c>
      <c r="C51" s="85" t="s">
        <v>31</v>
      </c>
      <c r="D51" s="49">
        <v>1</v>
      </c>
      <c r="E51" s="49">
        <v>30</v>
      </c>
      <c r="F51" s="85">
        <v>45917</v>
      </c>
      <c r="G51" s="86">
        <v>0.375</v>
      </c>
      <c r="H51" s="85">
        <v>45916</v>
      </c>
      <c r="I51" s="86">
        <v>0.9375</v>
      </c>
      <c r="J51" s="87">
        <f t="shared" si="1"/>
        <v>-2</v>
      </c>
      <c r="K51" s="8">
        <v>1</v>
      </c>
      <c r="L51" s="88">
        <v>32</v>
      </c>
      <c r="M51" s="91" t="s">
        <v>132</v>
      </c>
    </row>
    <row r="52" spans="1:13" s="5" customFormat="1" ht="29.1" customHeight="1" x14ac:dyDescent="0.2">
      <c r="A52" s="33" t="s">
        <v>131</v>
      </c>
      <c r="B52" s="85" t="s">
        <v>21</v>
      </c>
      <c r="C52" s="85" t="s">
        <v>22</v>
      </c>
      <c r="D52" s="49">
        <v>1</v>
      </c>
      <c r="E52" s="49">
        <v>30</v>
      </c>
      <c r="F52" s="85">
        <v>45917</v>
      </c>
      <c r="G52" s="86">
        <v>0.375</v>
      </c>
      <c r="H52" s="85">
        <v>45916</v>
      </c>
      <c r="I52" s="86">
        <v>0.9375</v>
      </c>
      <c r="J52" s="87">
        <f t="shared" si="1"/>
        <v>-2</v>
      </c>
      <c r="K52" s="8">
        <v>1</v>
      </c>
      <c r="L52" s="88">
        <v>32</v>
      </c>
      <c r="M52" s="91" t="s">
        <v>132</v>
      </c>
    </row>
    <row r="53" spans="1:13" s="5" customFormat="1" ht="31.5" customHeight="1" x14ac:dyDescent="0.2">
      <c r="A53" s="33" t="s">
        <v>131</v>
      </c>
      <c r="B53" s="85" t="s">
        <v>136</v>
      </c>
      <c r="C53" s="85" t="s">
        <v>34</v>
      </c>
      <c r="D53" s="49">
        <v>1</v>
      </c>
      <c r="E53" s="49">
        <v>30</v>
      </c>
      <c r="F53" s="85">
        <v>45917</v>
      </c>
      <c r="G53" s="86">
        <v>0.375</v>
      </c>
      <c r="H53" s="85">
        <v>45916</v>
      </c>
      <c r="I53" s="86">
        <v>0.9375</v>
      </c>
      <c r="J53" s="87">
        <f t="shared" si="1"/>
        <v>-2</v>
      </c>
      <c r="K53" s="8">
        <v>1</v>
      </c>
      <c r="L53" s="88">
        <v>32</v>
      </c>
      <c r="M53" s="91" t="s">
        <v>132</v>
      </c>
    </row>
    <row r="54" spans="1:13" s="5" customFormat="1" ht="26.1" customHeight="1" x14ac:dyDescent="0.2">
      <c r="A54" s="33" t="s">
        <v>131</v>
      </c>
      <c r="B54" s="85" t="s">
        <v>39</v>
      </c>
      <c r="C54" s="85" t="s">
        <v>40</v>
      </c>
      <c r="D54" s="49">
        <v>1</v>
      </c>
      <c r="E54" s="49">
        <v>30</v>
      </c>
      <c r="F54" s="85">
        <v>45917</v>
      </c>
      <c r="G54" s="86">
        <v>0.375</v>
      </c>
      <c r="H54" s="85">
        <v>45916</v>
      </c>
      <c r="I54" s="86">
        <v>0.9375</v>
      </c>
      <c r="J54" s="87">
        <f t="shared" si="1"/>
        <v>-2</v>
      </c>
      <c r="K54" s="8">
        <v>1</v>
      </c>
      <c r="L54" s="88">
        <v>32</v>
      </c>
      <c r="M54" s="91" t="s">
        <v>132</v>
      </c>
    </row>
    <row r="55" spans="1:13" s="5" customFormat="1" ht="39" customHeight="1" x14ac:dyDescent="0.2">
      <c r="A55" s="33" t="s">
        <v>133</v>
      </c>
      <c r="B55" s="85" t="s">
        <v>21</v>
      </c>
      <c r="C55" s="85" t="s">
        <v>22</v>
      </c>
      <c r="D55" s="49">
        <v>3</v>
      </c>
      <c r="E55" s="49">
        <v>20</v>
      </c>
      <c r="F55" s="85">
        <v>45917</v>
      </c>
      <c r="G55" s="86">
        <v>0.375</v>
      </c>
      <c r="H55" s="85">
        <v>45917</v>
      </c>
      <c r="I55" s="86">
        <v>0.375</v>
      </c>
      <c r="J55" s="87">
        <f t="shared" si="1"/>
        <v>5</v>
      </c>
      <c r="K55" s="8">
        <v>3</v>
      </c>
      <c r="L55" s="88">
        <v>15</v>
      </c>
      <c r="M55" s="91" t="s">
        <v>134</v>
      </c>
    </row>
    <row r="56" spans="1:13" s="5" customFormat="1" ht="40.5" customHeight="1" x14ac:dyDescent="0.25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s="5" customFormat="1" ht="40.5" customHeight="1" x14ac:dyDescent="0.25">
      <c r="A57" s="4"/>
      <c r="B57" s="4"/>
      <c r="C57" s="4"/>
      <c r="D57" s="4"/>
      <c r="E57" s="4"/>
      <c r="F57" s="4"/>
      <c r="G57" s="4"/>
      <c r="H57" s="4"/>
      <c r="I57" s="3"/>
      <c r="J57" s="3"/>
      <c r="K57" s="2"/>
      <c r="L57" s="1"/>
      <c r="M57" s="1"/>
    </row>
    <row r="58" spans="1:13" s="5" customFormat="1" ht="38.25" customHeight="1" x14ac:dyDescent="0.25">
      <c r="A58" s="4"/>
      <c r="B58" s="4"/>
      <c r="C58" s="4"/>
      <c r="D58" s="4"/>
      <c r="E58" s="4"/>
      <c r="F58" s="4"/>
      <c r="G58" s="4"/>
      <c r="H58" s="4"/>
      <c r="I58" s="3"/>
      <c r="J58" s="3"/>
      <c r="K58" s="2"/>
      <c r="L58" s="1"/>
      <c r="M58" s="1"/>
    </row>
    <row r="59" spans="1:13" s="5" customFormat="1" ht="38.25" customHeight="1" x14ac:dyDescent="0.25">
      <c r="A59" s="4"/>
      <c r="B59" s="4"/>
      <c r="C59" s="4"/>
      <c r="D59" s="4"/>
      <c r="E59" s="4"/>
      <c r="F59" s="4"/>
      <c r="G59" s="4"/>
      <c r="H59" s="4"/>
      <c r="I59" s="3"/>
      <c r="J59" s="3"/>
      <c r="K59" s="2"/>
      <c r="L59" s="1"/>
      <c r="M59" s="1"/>
    </row>
    <row r="60" spans="1:13" s="5" customFormat="1" ht="27" customHeight="1" x14ac:dyDescent="0.25">
      <c r="A60" s="4"/>
      <c r="B60" s="4"/>
      <c r="C60" s="4"/>
      <c r="D60" s="4"/>
      <c r="E60" s="4"/>
      <c r="F60" s="4"/>
      <c r="G60" s="4"/>
      <c r="H60" s="4"/>
      <c r="I60" s="3"/>
      <c r="J60" s="3"/>
      <c r="K60" s="2"/>
      <c r="L60" s="1"/>
      <c r="M60" s="1"/>
    </row>
    <row r="61" spans="1:13" s="5" customFormat="1" ht="33" customHeight="1" x14ac:dyDescent="0.25">
      <c r="A61" s="4"/>
      <c r="B61" s="4"/>
      <c r="C61" s="4"/>
      <c r="D61" s="4"/>
      <c r="E61" s="4"/>
      <c r="F61" s="4"/>
      <c r="G61" s="4"/>
      <c r="H61" s="4"/>
      <c r="I61" s="3"/>
      <c r="J61" s="3"/>
      <c r="K61" s="2"/>
      <c r="L61" s="1"/>
      <c r="M61" s="1"/>
    </row>
    <row r="62" spans="1:13" s="5" customFormat="1" ht="33.75" customHeight="1" x14ac:dyDescent="0.25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</row>
    <row r="63" spans="1:13" s="5" customFormat="1" ht="32.25" customHeight="1" x14ac:dyDescent="0.25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</row>
    <row r="64" spans="1:13" s="5" customFormat="1" ht="27" customHeight="1" x14ac:dyDescent="0.25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</row>
    <row r="65" spans="1:13" s="5" customFormat="1" ht="24.9" customHeight="1" x14ac:dyDescent="0.25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28.5" customHeight="1" x14ac:dyDescent="0.25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" customHeight="1" x14ac:dyDescent="0.25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6.6" customHeight="1" x14ac:dyDescent="0.25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6.6" customHeight="1" x14ac:dyDescent="0.25">
      <c r="A69" s="4"/>
      <c r="B69" s="4"/>
      <c r="C69" s="4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5.4" customHeight="1" x14ac:dyDescent="0.25">
      <c r="A70" s="4"/>
      <c r="B70" s="4"/>
      <c r="C70" s="4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5.4" customHeight="1" x14ac:dyDescent="0.25">
      <c r="A71" s="4"/>
      <c r="B71" s="4"/>
      <c r="C71" s="4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ht="35.4" customHeight="1" x14ac:dyDescent="0.25">
      <c r="A72" s="4"/>
      <c r="B72" s="11" t="s">
        <v>30</v>
      </c>
      <c r="C72" s="11" t="s">
        <v>83</v>
      </c>
      <c r="D72" s="20">
        <v>1</v>
      </c>
      <c r="E72" s="29">
        <v>50</v>
      </c>
      <c r="F72" s="11">
        <v>45882</v>
      </c>
      <c r="G72" s="10">
        <v>0.375</v>
      </c>
      <c r="H72" s="11">
        <v>45880</v>
      </c>
      <c r="I72" s="10">
        <v>0.95833333333333337</v>
      </c>
      <c r="J72" s="9">
        <f>E72-L72</f>
        <v>-4</v>
      </c>
      <c r="K72" s="8">
        <v>1</v>
      </c>
      <c r="L72" s="7">
        <v>54</v>
      </c>
      <c r="M72" s="6" t="s">
        <v>84</v>
      </c>
    </row>
    <row r="73" spans="1:13" s="5" customFormat="1" ht="35.4" customHeight="1" x14ac:dyDescent="0.25">
      <c r="A73" s="23" t="s">
        <v>82</v>
      </c>
      <c r="B73" s="4"/>
      <c r="C73" s="4"/>
      <c r="D73" s="4"/>
      <c r="E73" s="4"/>
      <c r="F73" s="4"/>
      <c r="G73" s="4"/>
      <c r="H73" s="4"/>
      <c r="I73" s="3"/>
      <c r="J73" s="3"/>
      <c r="K73" s="2"/>
      <c r="L73" s="1"/>
      <c r="M73" s="1"/>
    </row>
    <row r="74" spans="1:13" s="5" customFormat="1" ht="35.4" customHeight="1" x14ac:dyDescent="0.25">
      <c r="A74" s="4"/>
      <c r="B74" s="4"/>
      <c r="C74" s="4"/>
      <c r="D74" s="4"/>
      <c r="E74" s="4"/>
      <c r="F74" s="4"/>
      <c r="G74" s="4"/>
      <c r="H74" s="4"/>
      <c r="I74" s="3"/>
      <c r="J74" s="3"/>
      <c r="K74" s="2"/>
      <c r="L74" s="1"/>
      <c r="M74" s="1"/>
    </row>
    <row r="75" spans="1:13" s="5" customFormat="1" ht="35.4" customHeight="1" x14ac:dyDescent="0.25">
      <c r="A75" s="4"/>
      <c r="B75" s="4"/>
      <c r="C75" s="4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" customHeight="1" x14ac:dyDescent="0.25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" customHeight="1" x14ac:dyDescent="0.25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" customHeight="1" x14ac:dyDescent="0.25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" customHeight="1" x14ac:dyDescent="0.25">
      <c r="A79" s="4"/>
      <c r="B79" s="4"/>
      <c r="C79" s="4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" customHeight="1" x14ac:dyDescent="0.25">
      <c r="A80" s="4"/>
      <c r="B80" s="4"/>
      <c r="C80" s="4"/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ht="35.4" customHeight="1" x14ac:dyDescent="0.25">
      <c r="A81" s="4"/>
      <c r="B81" s="4"/>
      <c r="C81" s="4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7.5" customHeight="1" x14ac:dyDescent="0.25">
      <c r="A82" s="4"/>
      <c r="B82" s="4"/>
      <c r="C82" s="4"/>
      <c r="D82" s="4"/>
      <c r="E82" s="4"/>
      <c r="F82" s="4"/>
      <c r="G82" s="4"/>
      <c r="H82" s="4"/>
      <c r="I82" s="3"/>
      <c r="J82" s="3"/>
      <c r="K82" s="2"/>
      <c r="L82" s="1"/>
      <c r="M82" s="1"/>
    </row>
    <row r="111" ht="30" customHeight="1" x14ac:dyDescent="0.25"/>
    <row r="112" ht="23.25" customHeight="1" x14ac:dyDescent="0.25"/>
    <row r="119" spans="1:20" s="5" customFormat="1" ht="12" customHeight="1" x14ac:dyDescent="0.25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5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5"/>
    <row r="125" spans="1:20" ht="36.75" customHeight="1" x14ac:dyDescent="0.25"/>
    <row r="126" spans="1:20" ht="33.75" customHeight="1" x14ac:dyDescent="0.25"/>
    <row r="127" spans="1:20" ht="26.25" customHeight="1" x14ac:dyDescent="0.25"/>
    <row r="128" spans="1:20" ht="27.75" customHeight="1" x14ac:dyDescent="0.25"/>
    <row r="129" ht="40.5" customHeight="1" x14ac:dyDescent="0.25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2CFF-A9E5-403C-9DA4-CFC4A19C7F99}">
  <dimension ref="A1:T131"/>
  <sheetViews>
    <sheetView topLeftCell="A58" zoomScale="84" zoomScaleNormal="76" workbookViewId="0">
      <selection activeCell="J39" sqref="J39"/>
    </sheetView>
  </sheetViews>
  <sheetFormatPr baseColWidth="10" defaultColWidth="11.44140625" defaultRowHeight="13.2" x14ac:dyDescent="0.25"/>
  <cols>
    <col min="1" max="1" width="54.6640625" style="4" bestFit="1" customWidth="1"/>
    <col min="2" max="2" width="15.44140625" style="4" customWidth="1"/>
    <col min="3" max="3" width="13.109375" style="4" customWidth="1"/>
    <col min="4" max="5" width="12.33203125" style="4" customWidth="1"/>
    <col min="6" max="8" width="10.6640625" style="4" customWidth="1"/>
    <col min="9" max="10" width="10.6640625" style="3" customWidth="1"/>
    <col min="11" max="11" width="10.6640625" style="2" customWidth="1"/>
    <col min="12" max="12" width="10.6640625" style="1" customWidth="1"/>
    <col min="13" max="13" width="48.109375" style="1" bestFit="1" customWidth="1"/>
    <col min="14" max="14" width="10.6640625" customWidth="1"/>
  </cols>
  <sheetData>
    <row r="1" spans="1:20" ht="32.25" customHeight="1" x14ac:dyDescent="0.25">
      <c r="A1" s="175"/>
      <c r="B1" s="177" t="s">
        <v>0</v>
      </c>
      <c r="C1" s="177"/>
      <c r="D1" s="177"/>
      <c r="E1" s="177"/>
      <c r="F1" s="177"/>
      <c r="G1" s="177"/>
      <c r="H1" s="177"/>
      <c r="I1" s="177"/>
      <c r="J1" s="177"/>
      <c r="K1" s="177"/>
      <c r="L1" s="179"/>
      <c r="M1" s="180"/>
    </row>
    <row r="2" spans="1:20" ht="20.25" customHeight="1" x14ac:dyDescent="0.25">
      <c r="A2" s="176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81"/>
      <c r="M2" s="182"/>
    </row>
    <row r="3" spans="1:20" ht="12.75" customHeight="1" x14ac:dyDescent="0.25">
      <c r="A3" s="183" t="s">
        <v>1</v>
      </c>
      <c r="B3" s="185" t="s">
        <v>2</v>
      </c>
      <c r="C3" s="185"/>
      <c r="D3" s="185"/>
      <c r="E3" s="185"/>
      <c r="F3" s="185"/>
      <c r="G3" s="185"/>
      <c r="H3" s="185"/>
      <c r="I3" s="185"/>
      <c r="J3" s="185"/>
      <c r="K3" s="185"/>
      <c r="L3" s="187" t="s">
        <v>3</v>
      </c>
      <c r="M3" s="188"/>
    </row>
    <row r="4" spans="1:20" ht="13.8" thickBot="1" x14ac:dyDescent="0.3">
      <c r="A4" s="184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6" t="s">
        <v>4</v>
      </c>
      <c r="M4" s="15"/>
    </row>
    <row r="5" spans="1:20" ht="13.8" thickBot="1" x14ac:dyDescent="0.3"/>
    <row r="6" spans="1:20" ht="14.4" thickBot="1" x14ac:dyDescent="0.3">
      <c r="A6" s="24" t="s">
        <v>5</v>
      </c>
      <c r="B6" s="171" t="s">
        <v>6</v>
      </c>
      <c r="C6" s="171"/>
      <c r="D6" s="171"/>
      <c r="E6" s="171"/>
      <c r="F6" s="171"/>
      <c r="G6" s="171"/>
      <c r="H6" s="172" t="s">
        <v>7</v>
      </c>
      <c r="I6" s="173"/>
      <c r="J6" s="173"/>
      <c r="K6" s="173"/>
      <c r="L6" s="174"/>
      <c r="M6" s="25"/>
    </row>
    <row r="7" spans="1:20" s="14" customFormat="1" ht="49.5" customHeight="1" x14ac:dyDescent="0.25">
      <c r="A7" s="18" cm="1">
        <f t="array" aca="1" ref="A7" ca="1">+A44+A1:L7+A7:L7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45931</v>
      </c>
      <c r="G8" s="86">
        <v>0.375</v>
      </c>
      <c r="H8" s="85">
        <v>45922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356</v>
      </c>
      <c r="B9" s="85" t="s">
        <v>30</v>
      </c>
      <c r="C9" s="85" t="s">
        <v>31</v>
      </c>
      <c r="D9" s="84">
        <v>1</v>
      </c>
      <c r="E9" s="49">
        <v>30</v>
      </c>
      <c r="F9" s="85">
        <v>45931</v>
      </c>
      <c r="G9" s="86">
        <v>0.375</v>
      </c>
      <c r="H9" s="85">
        <v>45922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5">
      <c r="A10" s="79" t="s">
        <v>357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45931</v>
      </c>
      <c r="G10" s="81">
        <v>0.375</v>
      </c>
      <c r="H10" s="80">
        <v>45923</v>
      </c>
      <c r="I10" s="81">
        <v>0.33333333333333331</v>
      </c>
      <c r="J10" s="87">
        <f t="shared" ref="J10:J40" si="0">E10-L10</f>
        <v>0</v>
      </c>
      <c r="K10" s="53">
        <v>1</v>
      </c>
      <c r="L10" s="53">
        <v>30</v>
      </c>
      <c r="M10" s="79" t="s">
        <v>358</v>
      </c>
    </row>
    <row r="11" spans="1:20" s="5" customFormat="1" ht="43.5" customHeight="1" x14ac:dyDescent="0.25">
      <c r="A11" s="79" t="s">
        <v>359</v>
      </c>
      <c r="B11" s="53" t="s">
        <v>42</v>
      </c>
      <c r="C11" s="53" t="s">
        <v>43</v>
      </c>
      <c r="D11" s="53">
        <v>2</v>
      </c>
      <c r="E11" s="53">
        <v>60</v>
      </c>
      <c r="F11" s="80">
        <v>45931</v>
      </c>
      <c r="G11" s="81">
        <v>0.375</v>
      </c>
      <c r="H11" s="80">
        <v>45923</v>
      </c>
      <c r="I11" s="81">
        <v>0.67013888888888884</v>
      </c>
      <c r="J11" s="87">
        <f t="shared" si="0"/>
        <v>-5</v>
      </c>
      <c r="K11" s="53">
        <v>2</v>
      </c>
      <c r="L11" s="53">
        <v>65</v>
      </c>
      <c r="M11" s="79" t="s">
        <v>360</v>
      </c>
    </row>
    <row r="12" spans="1:20" s="5" customFormat="1" ht="43.5" customHeight="1" x14ac:dyDescent="0.25">
      <c r="A12" s="53" t="s">
        <v>361</v>
      </c>
      <c r="B12" s="53" t="s">
        <v>42</v>
      </c>
      <c r="C12" s="53" t="s">
        <v>43</v>
      </c>
      <c r="D12" s="53">
        <v>2</v>
      </c>
      <c r="E12" s="53">
        <v>60</v>
      </c>
      <c r="F12" s="80">
        <v>45931</v>
      </c>
      <c r="G12" s="81">
        <v>0.375</v>
      </c>
      <c r="H12" s="80">
        <v>45923</v>
      </c>
      <c r="I12" s="81">
        <v>0.70833333333333337</v>
      </c>
      <c r="J12" s="87">
        <f t="shared" si="0"/>
        <v>5</v>
      </c>
      <c r="K12" s="53">
        <v>2</v>
      </c>
      <c r="L12" s="53">
        <v>55</v>
      </c>
      <c r="M12" s="79" t="s">
        <v>362</v>
      </c>
    </row>
    <row r="13" spans="1:20" s="5" customFormat="1" ht="47.25" customHeight="1" x14ac:dyDescent="0.25">
      <c r="A13" s="79" t="s">
        <v>363</v>
      </c>
      <c r="B13" s="53" t="s">
        <v>42</v>
      </c>
      <c r="C13" s="53" t="s">
        <v>43</v>
      </c>
      <c r="D13" s="53">
        <v>2</v>
      </c>
      <c r="E13" s="53">
        <v>60</v>
      </c>
      <c r="F13" s="80">
        <v>45931</v>
      </c>
      <c r="G13" s="81">
        <v>0.375</v>
      </c>
      <c r="H13" s="80">
        <v>45923</v>
      </c>
      <c r="I13" s="81">
        <v>0.75</v>
      </c>
      <c r="J13" s="87">
        <f t="shared" si="0"/>
        <v>10</v>
      </c>
      <c r="K13" s="53">
        <v>2</v>
      </c>
      <c r="L13" s="53">
        <v>50</v>
      </c>
      <c r="M13" s="79" t="s">
        <v>364</v>
      </c>
    </row>
    <row r="14" spans="1:20" s="5" customFormat="1" ht="43.5" customHeight="1" x14ac:dyDescent="0.25">
      <c r="A14" s="79" t="s">
        <v>365</v>
      </c>
      <c r="B14" s="53" t="s">
        <v>136</v>
      </c>
      <c r="C14" s="53" t="s">
        <v>34</v>
      </c>
      <c r="D14" s="53">
        <v>2</v>
      </c>
      <c r="E14" s="53">
        <v>60</v>
      </c>
      <c r="F14" s="80">
        <v>45931</v>
      </c>
      <c r="G14" s="81">
        <v>0.375</v>
      </c>
      <c r="H14" s="80">
        <v>45924</v>
      </c>
      <c r="I14" s="81">
        <v>0.75</v>
      </c>
      <c r="J14" s="87">
        <f t="shared" si="0"/>
        <v>0</v>
      </c>
      <c r="K14" s="53">
        <v>1</v>
      </c>
      <c r="L14" s="53">
        <v>60</v>
      </c>
      <c r="M14" s="79" t="s">
        <v>366</v>
      </c>
    </row>
    <row r="15" spans="1:20" s="5" customFormat="1" ht="39.75" customHeight="1" x14ac:dyDescent="0.25">
      <c r="A15" s="79" t="s">
        <v>367</v>
      </c>
      <c r="B15" s="53" t="s">
        <v>21</v>
      </c>
      <c r="C15" s="53" t="s">
        <v>22</v>
      </c>
      <c r="D15" s="53">
        <v>2</v>
      </c>
      <c r="E15" s="53">
        <v>60</v>
      </c>
      <c r="F15" s="80">
        <v>45931</v>
      </c>
      <c r="G15" s="81">
        <v>0.375</v>
      </c>
      <c r="H15" s="80">
        <v>45923</v>
      </c>
      <c r="I15" s="81">
        <v>0.375</v>
      </c>
      <c r="J15" s="87">
        <f t="shared" si="0"/>
        <v>0</v>
      </c>
      <c r="K15" s="53">
        <v>2</v>
      </c>
      <c r="L15" s="53">
        <v>60</v>
      </c>
      <c r="M15" s="79" t="s">
        <v>368</v>
      </c>
    </row>
    <row r="16" spans="1:20" s="5" customFormat="1" ht="38.4" customHeight="1" x14ac:dyDescent="0.25">
      <c r="A16" s="79" t="s">
        <v>369</v>
      </c>
      <c r="B16" s="53" t="s">
        <v>21</v>
      </c>
      <c r="C16" s="53" t="s">
        <v>22</v>
      </c>
      <c r="D16" s="53">
        <v>1</v>
      </c>
      <c r="E16" s="53">
        <v>60</v>
      </c>
      <c r="F16" s="80">
        <v>45931</v>
      </c>
      <c r="G16" s="81">
        <v>0.375</v>
      </c>
      <c r="H16" s="80">
        <v>45923</v>
      </c>
      <c r="I16" s="81">
        <v>0.41666666666666669</v>
      </c>
      <c r="J16" s="87">
        <f t="shared" si="0"/>
        <v>5</v>
      </c>
      <c r="K16" s="53">
        <v>2</v>
      </c>
      <c r="L16" s="53">
        <v>55</v>
      </c>
      <c r="M16" s="79" t="s">
        <v>370</v>
      </c>
    </row>
    <row r="17" spans="1:13" s="5" customFormat="1" ht="30.75" customHeight="1" x14ac:dyDescent="0.25">
      <c r="A17" s="79" t="s">
        <v>371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45931</v>
      </c>
      <c r="G17" s="81">
        <v>0.375</v>
      </c>
      <c r="H17" s="80">
        <v>45925</v>
      </c>
      <c r="I17" s="81">
        <v>0.5</v>
      </c>
      <c r="J17" s="87">
        <f t="shared" si="0"/>
        <v>0</v>
      </c>
      <c r="K17" s="53">
        <v>2</v>
      </c>
      <c r="L17" s="53">
        <v>60</v>
      </c>
      <c r="M17" s="79" t="s">
        <v>372</v>
      </c>
    </row>
    <row r="18" spans="1:13" s="5" customFormat="1" ht="41.25" customHeight="1" x14ac:dyDescent="0.25">
      <c r="A18" s="79" t="s">
        <v>373</v>
      </c>
      <c r="B18" s="53" t="s">
        <v>36</v>
      </c>
      <c r="C18" s="53" t="s">
        <v>37</v>
      </c>
      <c r="D18" s="53">
        <v>1</v>
      </c>
      <c r="E18" s="53">
        <v>60</v>
      </c>
      <c r="F18" s="80">
        <v>45931</v>
      </c>
      <c r="G18" s="81">
        <v>0.375</v>
      </c>
      <c r="H18" s="80">
        <v>45923</v>
      </c>
      <c r="I18" s="81">
        <v>0.875</v>
      </c>
      <c r="J18" s="87">
        <f t="shared" si="0"/>
        <v>0</v>
      </c>
      <c r="K18" s="53">
        <v>1</v>
      </c>
      <c r="L18" s="53">
        <v>60</v>
      </c>
      <c r="M18" s="79" t="s">
        <v>374</v>
      </c>
    </row>
    <row r="19" spans="1:13" s="5" customFormat="1" ht="38.25" customHeight="1" x14ac:dyDescent="0.25">
      <c r="A19" s="53" t="s">
        <v>375</v>
      </c>
      <c r="B19" s="53" t="s">
        <v>39</v>
      </c>
      <c r="C19" s="53" t="s">
        <v>40</v>
      </c>
      <c r="D19" s="53">
        <v>2</v>
      </c>
      <c r="E19" s="53">
        <v>60</v>
      </c>
      <c r="F19" s="80">
        <v>45931</v>
      </c>
      <c r="G19" s="81">
        <v>0.375</v>
      </c>
      <c r="H19" s="80">
        <v>45924</v>
      </c>
      <c r="I19" s="81">
        <v>0.5</v>
      </c>
      <c r="J19" s="87">
        <f t="shared" si="0"/>
        <v>0</v>
      </c>
      <c r="K19" s="53">
        <v>2</v>
      </c>
      <c r="L19" s="53">
        <v>60</v>
      </c>
      <c r="M19" s="79" t="s">
        <v>376</v>
      </c>
    </row>
    <row r="20" spans="1:13" s="5" customFormat="1" ht="40.5" customHeight="1" x14ac:dyDescent="0.25">
      <c r="A20" s="79" t="s">
        <v>377</v>
      </c>
      <c r="B20" s="53" t="s">
        <v>21</v>
      </c>
      <c r="C20" s="53" t="s">
        <v>22</v>
      </c>
      <c r="D20" s="53">
        <v>2</v>
      </c>
      <c r="E20" s="53">
        <v>60</v>
      </c>
      <c r="F20" s="80">
        <v>45931</v>
      </c>
      <c r="G20" s="81">
        <v>0.375</v>
      </c>
      <c r="H20" s="80">
        <v>45923</v>
      </c>
      <c r="I20" s="81">
        <v>0.45833333333333331</v>
      </c>
      <c r="J20" s="87">
        <f t="shared" si="0"/>
        <v>0</v>
      </c>
      <c r="K20" s="53">
        <v>2</v>
      </c>
      <c r="L20" s="53">
        <v>60</v>
      </c>
      <c r="M20" s="79" t="s">
        <v>378</v>
      </c>
    </row>
    <row r="21" spans="1:13" s="5" customFormat="1" ht="41.25" customHeight="1" x14ac:dyDescent="0.25">
      <c r="A21" s="79" t="s">
        <v>377</v>
      </c>
      <c r="B21" s="53" t="s">
        <v>39</v>
      </c>
      <c r="C21" s="53" t="s">
        <v>40</v>
      </c>
      <c r="D21" s="53">
        <v>2</v>
      </c>
      <c r="E21" s="53">
        <v>60</v>
      </c>
      <c r="F21" s="80">
        <v>45931</v>
      </c>
      <c r="G21" s="81">
        <v>0.375</v>
      </c>
      <c r="H21" s="80">
        <v>45924</v>
      </c>
      <c r="I21" s="81">
        <v>0.54166666666666663</v>
      </c>
      <c r="J21" s="87">
        <f>E21-L21</f>
        <v>0</v>
      </c>
      <c r="K21" s="53">
        <v>2</v>
      </c>
      <c r="L21" s="53">
        <v>60</v>
      </c>
      <c r="M21" s="79" t="s">
        <v>378</v>
      </c>
    </row>
    <row r="22" spans="1:13" s="5" customFormat="1" ht="42.75" customHeight="1" x14ac:dyDescent="0.25">
      <c r="A22" s="79" t="s">
        <v>379</v>
      </c>
      <c r="B22" s="53" t="s">
        <v>21</v>
      </c>
      <c r="C22" s="53" t="s">
        <v>22</v>
      </c>
      <c r="D22" s="53">
        <v>2</v>
      </c>
      <c r="E22" s="53">
        <v>60</v>
      </c>
      <c r="F22" s="80">
        <v>45931</v>
      </c>
      <c r="G22" s="81">
        <v>0.375</v>
      </c>
      <c r="H22" s="80">
        <v>45923</v>
      </c>
      <c r="I22" s="81">
        <v>0.5</v>
      </c>
      <c r="J22" s="87">
        <f>E22-L22</f>
        <v>0</v>
      </c>
      <c r="K22" s="53">
        <v>2</v>
      </c>
      <c r="L22" s="53">
        <v>60</v>
      </c>
      <c r="M22" s="79" t="s">
        <v>380</v>
      </c>
    </row>
    <row r="23" spans="1:13" s="5" customFormat="1" ht="40.5" customHeight="1" x14ac:dyDescent="0.25">
      <c r="A23" s="79" t="s">
        <v>379</v>
      </c>
      <c r="B23" s="53" t="s">
        <v>39</v>
      </c>
      <c r="C23" s="53" t="s">
        <v>40</v>
      </c>
      <c r="D23" s="53">
        <v>2</v>
      </c>
      <c r="E23" s="53">
        <v>60</v>
      </c>
      <c r="F23" s="80">
        <v>45931</v>
      </c>
      <c r="G23" s="81">
        <v>0.375</v>
      </c>
      <c r="H23" s="80">
        <v>45924</v>
      </c>
      <c r="I23" s="81">
        <v>0.58333333333333337</v>
      </c>
      <c r="J23" s="87">
        <f t="shared" si="0"/>
        <v>0</v>
      </c>
      <c r="K23" s="53">
        <v>2</v>
      </c>
      <c r="L23" s="53">
        <v>60</v>
      </c>
      <c r="M23" s="79" t="s">
        <v>380</v>
      </c>
    </row>
    <row r="24" spans="1:13" s="5" customFormat="1" ht="41.25" customHeight="1" x14ac:dyDescent="0.25">
      <c r="A24" s="79" t="s">
        <v>381</v>
      </c>
      <c r="B24" s="53" t="s">
        <v>21</v>
      </c>
      <c r="C24" s="53" t="s">
        <v>22</v>
      </c>
      <c r="D24" s="53">
        <v>2</v>
      </c>
      <c r="E24" s="53">
        <v>60</v>
      </c>
      <c r="F24" s="80">
        <v>45931</v>
      </c>
      <c r="G24" s="81">
        <v>0.375</v>
      </c>
      <c r="H24" s="80">
        <v>45929</v>
      </c>
      <c r="I24" s="81">
        <v>0.54166666666666663</v>
      </c>
      <c r="J24" s="87">
        <f t="shared" si="0"/>
        <v>0</v>
      </c>
      <c r="K24" s="53">
        <v>2</v>
      </c>
      <c r="L24" s="53">
        <v>60</v>
      </c>
      <c r="M24" s="79" t="s">
        <v>382</v>
      </c>
    </row>
    <row r="25" spans="1:13" s="5" customFormat="1" ht="41.25" customHeight="1" x14ac:dyDescent="0.25">
      <c r="A25" s="79" t="s">
        <v>381</v>
      </c>
      <c r="B25" s="53" t="s">
        <v>39</v>
      </c>
      <c r="C25" s="53" t="s">
        <v>40</v>
      </c>
      <c r="D25" s="53">
        <v>2</v>
      </c>
      <c r="E25" s="53">
        <v>60</v>
      </c>
      <c r="F25" s="80">
        <v>45931</v>
      </c>
      <c r="G25" s="81">
        <v>0.375</v>
      </c>
      <c r="H25" s="80">
        <v>45929</v>
      </c>
      <c r="I25" s="81">
        <v>0.625</v>
      </c>
      <c r="J25" s="87">
        <f t="shared" si="0"/>
        <v>0</v>
      </c>
      <c r="K25" s="53">
        <v>2</v>
      </c>
      <c r="L25" s="53">
        <v>60</v>
      </c>
      <c r="M25" s="79" t="s">
        <v>382</v>
      </c>
    </row>
    <row r="26" spans="1:13" s="5" customFormat="1" ht="41.25" customHeight="1" x14ac:dyDescent="0.25">
      <c r="A26" s="79" t="s">
        <v>383</v>
      </c>
      <c r="B26" s="53" t="s">
        <v>21</v>
      </c>
      <c r="C26" s="53" t="s">
        <v>22</v>
      </c>
      <c r="D26" s="53">
        <v>2</v>
      </c>
      <c r="E26" s="53">
        <v>60</v>
      </c>
      <c r="F26" s="80">
        <v>45931</v>
      </c>
      <c r="G26" s="81">
        <v>0.375</v>
      </c>
      <c r="H26" s="80">
        <v>45929</v>
      </c>
      <c r="I26" s="81">
        <v>0.58333333333333337</v>
      </c>
      <c r="J26" s="87">
        <f t="shared" si="0"/>
        <v>0</v>
      </c>
      <c r="K26" s="53">
        <v>2</v>
      </c>
      <c r="L26" s="53">
        <v>60</v>
      </c>
      <c r="M26" s="79" t="s">
        <v>384</v>
      </c>
    </row>
    <row r="27" spans="1:13" s="5" customFormat="1" ht="42.75" customHeight="1" x14ac:dyDescent="0.25">
      <c r="A27" s="79" t="s">
        <v>383</v>
      </c>
      <c r="B27" s="53" t="s">
        <v>39</v>
      </c>
      <c r="C27" s="53" t="s">
        <v>40</v>
      </c>
      <c r="D27" s="53">
        <v>2</v>
      </c>
      <c r="E27" s="53">
        <v>60</v>
      </c>
      <c r="F27" s="80">
        <v>45931</v>
      </c>
      <c r="G27" s="81">
        <v>0.375</v>
      </c>
      <c r="H27" s="80">
        <v>45929</v>
      </c>
      <c r="I27" s="81">
        <v>0.66666666666666663</v>
      </c>
      <c r="J27" s="87">
        <f t="shared" si="0"/>
        <v>0</v>
      </c>
      <c r="K27" s="53">
        <v>2</v>
      </c>
      <c r="L27" s="53">
        <v>60</v>
      </c>
      <c r="M27" s="79" t="s">
        <v>384</v>
      </c>
    </row>
    <row r="28" spans="1:13" s="5" customFormat="1" ht="27" customHeight="1" x14ac:dyDescent="0.25">
      <c r="A28" s="79" t="s">
        <v>385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45931</v>
      </c>
      <c r="G28" s="81">
        <v>0.375</v>
      </c>
      <c r="H28" s="80">
        <v>45929</v>
      </c>
      <c r="I28" s="81">
        <v>0.60416666666666663</v>
      </c>
      <c r="J28" s="87">
        <f t="shared" si="0"/>
        <v>-4</v>
      </c>
      <c r="K28" s="53">
        <v>1</v>
      </c>
      <c r="L28" s="53">
        <v>34</v>
      </c>
      <c r="M28" s="79" t="s">
        <v>386</v>
      </c>
    </row>
    <row r="29" spans="1:13" s="5" customFormat="1" ht="36.75" customHeight="1" x14ac:dyDescent="0.25">
      <c r="A29" s="79" t="s">
        <v>385</v>
      </c>
      <c r="B29" s="53" t="s">
        <v>39</v>
      </c>
      <c r="C29" s="53" t="s">
        <v>40</v>
      </c>
      <c r="D29" s="53">
        <v>1</v>
      </c>
      <c r="E29" s="53">
        <v>30</v>
      </c>
      <c r="F29" s="80">
        <v>45931</v>
      </c>
      <c r="G29" s="81">
        <v>0.375</v>
      </c>
      <c r="H29" s="80">
        <v>45929</v>
      </c>
      <c r="I29" s="81">
        <v>0.6875</v>
      </c>
      <c r="J29" s="87">
        <f t="shared" si="0"/>
        <v>-4</v>
      </c>
      <c r="K29" s="53">
        <v>1</v>
      </c>
      <c r="L29" s="53">
        <v>34</v>
      </c>
      <c r="M29" s="79" t="s">
        <v>386</v>
      </c>
    </row>
    <row r="30" spans="1:13" s="5" customFormat="1" ht="37.5" customHeight="1" x14ac:dyDescent="0.25">
      <c r="A30" s="79" t="s">
        <v>387</v>
      </c>
      <c r="B30" s="53" t="s">
        <v>36</v>
      </c>
      <c r="C30" s="53" t="s">
        <v>37</v>
      </c>
      <c r="D30" s="53">
        <v>1</v>
      </c>
      <c r="E30" s="53">
        <v>60</v>
      </c>
      <c r="F30" s="80">
        <v>45931</v>
      </c>
      <c r="G30" s="81">
        <v>0.375</v>
      </c>
      <c r="H30" s="80">
        <v>45929</v>
      </c>
      <c r="I30" s="81">
        <v>0.79166666666666663</v>
      </c>
      <c r="J30" s="87">
        <f t="shared" si="0"/>
        <v>5</v>
      </c>
      <c r="K30" s="53">
        <v>1</v>
      </c>
      <c r="L30" s="53">
        <v>55</v>
      </c>
      <c r="M30" s="79" t="s">
        <v>388</v>
      </c>
    </row>
    <row r="31" spans="1:13" s="5" customFormat="1" ht="38.25" customHeight="1" x14ac:dyDescent="0.25">
      <c r="A31" s="79" t="s">
        <v>387</v>
      </c>
      <c r="B31" s="53" t="s">
        <v>42</v>
      </c>
      <c r="C31" s="53" t="s">
        <v>43</v>
      </c>
      <c r="D31" s="53">
        <v>1</v>
      </c>
      <c r="E31" s="53">
        <v>60</v>
      </c>
      <c r="F31" s="80">
        <v>45931</v>
      </c>
      <c r="G31" s="81">
        <v>0.375</v>
      </c>
      <c r="H31" s="80">
        <v>45929</v>
      </c>
      <c r="I31" s="81">
        <v>0.79166666666666663</v>
      </c>
      <c r="J31" s="87">
        <f t="shared" si="0"/>
        <v>5</v>
      </c>
      <c r="K31" s="53">
        <v>1</v>
      </c>
      <c r="L31" s="53">
        <v>55</v>
      </c>
      <c r="M31" s="79" t="s">
        <v>388</v>
      </c>
    </row>
    <row r="32" spans="1:13" s="5" customFormat="1" ht="38.25" customHeight="1" x14ac:dyDescent="0.25">
      <c r="A32" s="79" t="s">
        <v>387</v>
      </c>
      <c r="B32" s="53" t="s">
        <v>136</v>
      </c>
      <c r="C32" s="53" t="s">
        <v>34</v>
      </c>
      <c r="D32" s="53">
        <v>1</v>
      </c>
      <c r="E32" s="53">
        <v>60</v>
      </c>
      <c r="F32" s="80">
        <v>45931</v>
      </c>
      <c r="G32" s="81">
        <v>0.375</v>
      </c>
      <c r="H32" s="80">
        <v>45929</v>
      </c>
      <c r="I32" s="81">
        <v>0.79166666666666663</v>
      </c>
      <c r="J32" s="87">
        <f t="shared" si="0"/>
        <v>5</v>
      </c>
      <c r="K32" s="53">
        <v>1</v>
      </c>
      <c r="L32" s="53">
        <v>55</v>
      </c>
      <c r="M32" s="79" t="s">
        <v>388</v>
      </c>
    </row>
    <row r="33" spans="1:13" s="5" customFormat="1" ht="38.25" customHeight="1" x14ac:dyDescent="0.25">
      <c r="A33" s="79" t="s">
        <v>389</v>
      </c>
      <c r="B33" s="53" t="s">
        <v>21</v>
      </c>
      <c r="C33" s="53" t="s">
        <v>22</v>
      </c>
      <c r="D33" s="53">
        <v>1</v>
      </c>
      <c r="E33" s="53">
        <v>30</v>
      </c>
      <c r="F33" s="80">
        <v>45931</v>
      </c>
      <c r="G33" s="81">
        <v>0.375</v>
      </c>
      <c r="H33" s="80">
        <v>45930</v>
      </c>
      <c r="I33" s="81">
        <v>0.58333333333333337</v>
      </c>
      <c r="J33" s="87">
        <f t="shared" si="0"/>
        <v>5</v>
      </c>
      <c r="K33" s="53">
        <v>2</v>
      </c>
      <c r="L33" s="53">
        <v>25</v>
      </c>
      <c r="M33" s="79" t="s">
        <v>390</v>
      </c>
    </row>
    <row r="34" spans="1:13" s="5" customFormat="1" ht="36.75" customHeight="1" x14ac:dyDescent="0.25">
      <c r="A34" s="79" t="s">
        <v>389</v>
      </c>
      <c r="B34" s="53" t="s">
        <v>39</v>
      </c>
      <c r="C34" s="53" t="s">
        <v>40</v>
      </c>
      <c r="D34" s="53">
        <v>1</v>
      </c>
      <c r="E34" s="53">
        <v>30</v>
      </c>
      <c r="F34" s="80">
        <v>45931</v>
      </c>
      <c r="G34" s="81">
        <v>0.375</v>
      </c>
      <c r="H34" s="80">
        <v>45930</v>
      </c>
      <c r="I34" s="81">
        <v>0.58333333333333337</v>
      </c>
      <c r="J34" s="87">
        <f t="shared" si="0"/>
        <v>5</v>
      </c>
      <c r="K34" s="53">
        <v>2</v>
      </c>
      <c r="L34" s="53">
        <v>25</v>
      </c>
      <c r="M34" s="79" t="s">
        <v>390</v>
      </c>
    </row>
    <row r="35" spans="1:13" s="5" customFormat="1" ht="42" customHeight="1" x14ac:dyDescent="0.25">
      <c r="A35" s="79" t="s">
        <v>391</v>
      </c>
      <c r="B35" s="53" t="s">
        <v>21</v>
      </c>
      <c r="C35" s="53" t="s">
        <v>22</v>
      </c>
      <c r="D35" s="53">
        <v>1</v>
      </c>
      <c r="E35" s="53">
        <v>30</v>
      </c>
      <c r="F35" s="80">
        <v>45931</v>
      </c>
      <c r="G35" s="81">
        <v>0.375</v>
      </c>
      <c r="H35" s="80">
        <v>45930</v>
      </c>
      <c r="I35" s="81">
        <v>0.60416666666666663</v>
      </c>
      <c r="J35" s="87">
        <f t="shared" ref="J35" si="1">E35-L35</f>
        <v>0</v>
      </c>
      <c r="K35" s="53">
        <v>2</v>
      </c>
      <c r="L35" s="53">
        <v>30</v>
      </c>
      <c r="M35" s="79" t="s">
        <v>392</v>
      </c>
    </row>
    <row r="36" spans="1:13" s="5" customFormat="1" ht="39" customHeight="1" x14ac:dyDescent="0.25">
      <c r="A36" s="79" t="s">
        <v>391</v>
      </c>
      <c r="B36" s="53" t="s">
        <v>39</v>
      </c>
      <c r="C36" s="53" t="s">
        <v>40</v>
      </c>
      <c r="D36" s="53">
        <v>1</v>
      </c>
      <c r="E36" s="53">
        <v>30</v>
      </c>
      <c r="F36" s="80">
        <v>45931</v>
      </c>
      <c r="G36" s="81">
        <v>0.375</v>
      </c>
      <c r="H36" s="80">
        <v>45930</v>
      </c>
      <c r="I36" s="81">
        <v>0.60416666666666663</v>
      </c>
      <c r="J36" s="87">
        <f t="shared" si="0"/>
        <v>0</v>
      </c>
      <c r="K36" s="53">
        <v>2</v>
      </c>
      <c r="L36" s="53">
        <v>30</v>
      </c>
      <c r="M36" s="79" t="s">
        <v>392</v>
      </c>
    </row>
    <row r="37" spans="1:13" s="5" customFormat="1" ht="42" customHeight="1" x14ac:dyDescent="0.25">
      <c r="A37" s="79" t="s">
        <v>393</v>
      </c>
      <c r="B37" s="53" t="s">
        <v>21</v>
      </c>
      <c r="C37" s="53" t="s">
        <v>22</v>
      </c>
      <c r="D37" s="53">
        <v>1</v>
      </c>
      <c r="E37" s="53">
        <v>30</v>
      </c>
      <c r="F37" s="80">
        <v>45931</v>
      </c>
      <c r="G37" s="81">
        <v>0.375</v>
      </c>
      <c r="H37" s="80">
        <v>45930</v>
      </c>
      <c r="I37" s="81">
        <v>0.625</v>
      </c>
      <c r="J37" s="87">
        <f t="shared" ref="J37" si="2">E37-L37</f>
        <v>0</v>
      </c>
      <c r="K37" s="53">
        <v>2</v>
      </c>
      <c r="L37" s="53">
        <v>30</v>
      </c>
      <c r="M37" s="79" t="s">
        <v>394</v>
      </c>
    </row>
    <row r="38" spans="1:13" s="5" customFormat="1" ht="47.25" customHeight="1" x14ac:dyDescent="0.25">
      <c r="A38" s="79" t="s">
        <v>393</v>
      </c>
      <c r="B38" s="53" t="s">
        <v>39</v>
      </c>
      <c r="C38" s="53" t="s">
        <v>40</v>
      </c>
      <c r="D38" s="53">
        <v>1</v>
      </c>
      <c r="E38" s="53">
        <v>30</v>
      </c>
      <c r="F38" s="80">
        <v>45931</v>
      </c>
      <c r="G38" s="81">
        <v>0.375</v>
      </c>
      <c r="H38" s="80">
        <v>45930</v>
      </c>
      <c r="I38" s="81">
        <v>0.625</v>
      </c>
      <c r="J38" s="87">
        <f t="shared" si="0"/>
        <v>0</v>
      </c>
      <c r="K38" s="53">
        <v>2</v>
      </c>
      <c r="L38" s="53">
        <v>30</v>
      </c>
      <c r="M38" s="79" t="s">
        <v>394</v>
      </c>
    </row>
    <row r="39" spans="1:13" s="5" customFormat="1" ht="39.75" customHeight="1" x14ac:dyDescent="0.25">
      <c r="A39" s="79" t="s">
        <v>395</v>
      </c>
      <c r="B39" s="53" t="s">
        <v>21</v>
      </c>
      <c r="C39" s="53" t="s">
        <v>22</v>
      </c>
      <c r="D39" s="53">
        <v>1</v>
      </c>
      <c r="E39" s="53">
        <v>30</v>
      </c>
      <c r="F39" s="80">
        <v>45931</v>
      </c>
      <c r="G39" s="81">
        <v>0.375</v>
      </c>
      <c r="H39" s="80">
        <v>45930</v>
      </c>
      <c r="I39" s="81">
        <v>0.64583333333333337</v>
      </c>
      <c r="J39" s="87">
        <f>E39-L39</f>
        <v>5</v>
      </c>
      <c r="K39" s="53">
        <v>2</v>
      </c>
      <c r="L39" s="53">
        <v>25</v>
      </c>
      <c r="M39" s="79" t="s">
        <v>396</v>
      </c>
    </row>
    <row r="40" spans="1:13" s="5" customFormat="1" ht="47.25" customHeight="1" x14ac:dyDescent="0.25">
      <c r="A40" s="79" t="s">
        <v>395</v>
      </c>
      <c r="B40" s="53" t="s">
        <v>39</v>
      </c>
      <c r="C40" s="53" t="s">
        <v>40</v>
      </c>
      <c r="D40" s="53">
        <v>1</v>
      </c>
      <c r="E40" s="53">
        <v>30</v>
      </c>
      <c r="F40" s="80">
        <v>45931</v>
      </c>
      <c r="G40" s="81">
        <v>0.375</v>
      </c>
      <c r="H40" s="80">
        <v>45930</v>
      </c>
      <c r="I40" s="81">
        <v>0.64583333333333337</v>
      </c>
      <c r="J40" s="87">
        <f t="shared" si="0"/>
        <v>5</v>
      </c>
      <c r="K40" s="53">
        <v>2</v>
      </c>
      <c r="L40" s="53">
        <v>25</v>
      </c>
      <c r="M40" s="79" t="s">
        <v>396</v>
      </c>
    </row>
    <row r="41" spans="1:13" s="5" customFormat="1" ht="39" customHeight="1" x14ac:dyDescent="0.2">
      <c r="A41" s="98" t="s">
        <v>123</v>
      </c>
      <c r="B41" s="85" t="s">
        <v>36</v>
      </c>
      <c r="C41" s="85" t="s">
        <v>37</v>
      </c>
      <c r="D41" s="49">
        <v>1</v>
      </c>
      <c r="E41" s="49">
        <v>20</v>
      </c>
      <c r="F41" s="85">
        <v>45931</v>
      </c>
      <c r="G41" s="86">
        <v>0.375</v>
      </c>
      <c r="H41" s="85">
        <v>45930</v>
      </c>
      <c r="I41" s="86">
        <v>0.80555555555555558</v>
      </c>
      <c r="J41" s="87">
        <f>E41-L41</f>
        <v>0</v>
      </c>
      <c r="K41" s="8">
        <v>1</v>
      </c>
      <c r="L41" s="88">
        <v>20</v>
      </c>
      <c r="M41" s="93" t="s">
        <v>124</v>
      </c>
    </row>
    <row r="42" spans="1:13" s="5" customFormat="1" ht="38.25" customHeight="1" x14ac:dyDescent="0.2">
      <c r="A42" s="38" t="s">
        <v>123</v>
      </c>
      <c r="B42" s="85" t="s">
        <v>143</v>
      </c>
      <c r="C42" s="85" t="s">
        <v>43</v>
      </c>
      <c r="D42" s="49">
        <v>1</v>
      </c>
      <c r="E42" s="49">
        <v>20</v>
      </c>
      <c r="F42" s="85">
        <v>45931</v>
      </c>
      <c r="G42" s="86">
        <v>0.375</v>
      </c>
      <c r="H42" s="85">
        <v>45930</v>
      </c>
      <c r="I42" s="86">
        <v>0.80555555555555558</v>
      </c>
      <c r="J42" s="87">
        <f t="shared" ref="J42:J63" si="3">E42-L42</f>
        <v>0</v>
      </c>
      <c r="K42" s="8">
        <v>1</v>
      </c>
      <c r="L42" s="88">
        <v>20</v>
      </c>
      <c r="M42" s="93" t="s">
        <v>124</v>
      </c>
    </row>
    <row r="43" spans="1:13" s="5" customFormat="1" ht="38.25" customHeight="1" x14ac:dyDescent="0.25">
      <c r="A43" s="13" t="s">
        <v>175</v>
      </c>
      <c r="B43" s="13" t="s">
        <v>36</v>
      </c>
      <c r="C43" s="13" t="s">
        <v>37</v>
      </c>
      <c r="D43" s="53">
        <v>1</v>
      </c>
      <c r="E43" s="53">
        <v>30</v>
      </c>
      <c r="F43" s="13">
        <v>45931</v>
      </c>
      <c r="G43" s="86">
        <v>0.375</v>
      </c>
      <c r="H43" s="13">
        <v>45930</v>
      </c>
      <c r="I43" s="12">
        <v>0.83333333333333337</v>
      </c>
      <c r="J43" s="53">
        <f t="shared" si="3"/>
        <v>6</v>
      </c>
      <c r="K43" s="50">
        <v>1</v>
      </c>
      <c r="L43" s="68">
        <v>24</v>
      </c>
      <c r="M43" s="52" t="s">
        <v>176</v>
      </c>
    </row>
    <row r="44" spans="1:13" s="5" customFormat="1" ht="42" customHeight="1" x14ac:dyDescent="0.25">
      <c r="A44" s="13" t="s">
        <v>177</v>
      </c>
      <c r="B44" s="13" t="s">
        <v>39</v>
      </c>
      <c r="C44" s="13" t="s">
        <v>40</v>
      </c>
      <c r="D44" s="53">
        <v>1</v>
      </c>
      <c r="E44" s="53">
        <v>30</v>
      </c>
      <c r="F44" s="13">
        <v>45931</v>
      </c>
      <c r="G44" s="86">
        <v>0.375</v>
      </c>
      <c r="H44" s="13">
        <v>45930</v>
      </c>
      <c r="I44" s="12">
        <v>0.83333333333333337</v>
      </c>
      <c r="J44" s="53">
        <f t="shared" si="3"/>
        <v>0</v>
      </c>
      <c r="K44" s="50">
        <v>1</v>
      </c>
      <c r="L44" s="68">
        <v>30</v>
      </c>
      <c r="M44" s="52" t="s">
        <v>178</v>
      </c>
    </row>
    <row r="45" spans="1:13" s="5" customFormat="1" ht="32.4" customHeight="1" x14ac:dyDescent="0.25">
      <c r="A45" s="61" t="s">
        <v>179</v>
      </c>
      <c r="B45" s="13" t="s">
        <v>39</v>
      </c>
      <c r="C45" s="13" t="s">
        <v>40</v>
      </c>
      <c r="D45" s="53">
        <v>5</v>
      </c>
      <c r="E45" s="53">
        <v>50</v>
      </c>
      <c r="F45" s="13">
        <v>45931</v>
      </c>
      <c r="G45" s="86">
        <v>0.375</v>
      </c>
      <c r="H45" s="13">
        <v>45930</v>
      </c>
      <c r="I45" s="12">
        <v>0.86805555555555558</v>
      </c>
      <c r="J45" s="53">
        <f t="shared" si="3"/>
        <v>5</v>
      </c>
      <c r="K45" s="50">
        <v>5</v>
      </c>
      <c r="L45" s="68">
        <v>45</v>
      </c>
      <c r="M45" s="52" t="s">
        <v>180</v>
      </c>
    </row>
    <row r="46" spans="1:13" ht="35.25" customHeight="1" x14ac:dyDescent="0.25">
      <c r="A46" s="23" t="s">
        <v>146</v>
      </c>
      <c r="B46" s="85" t="s">
        <v>30</v>
      </c>
      <c r="C46" s="90" t="s">
        <v>207</v>
      </c>
      <c r="D46" s="84">
        <v>1</v>
      </c>
      <c r="E46" s="49">
        <v>60</v>
      </c>
      <c r="F46" s="85">
        <v>45931</v>
      </c>
      <c r="G46" s="86">
        <v>0.375</v>
      </c>
      <c r="H46" s="85">
        <v>45930</v>
      </c>
      <c r="I46" s="86">
        <v>0.91666666666666663</v>
      </c>
      <c r="J46" s="87">
        <f t="shared" si="3"/>
        <v>50</v>
      </c>
      <c r="K46" s="8">
        <v>1</v>
      </c>
      <c r="L46" s="88">
        <v>10</v>
      </c>
      <c r="M46" s="91" t="s">
        <v>149</v>
      </c>
    </row>
    <row r="47" spans="1:13" s="5" customFormat="1" ht="47.1" customHeight="1" x14ac:dyDescent="0.2">
      <c r="A47" s="23" t="s">
        <v>146</v>
      </c>
      <c r="B47" s="85" t="s">
        <v>42</v>
      </c>
      <c r="C47" s="85" t="s">
        <v>77</v>
      </c>
      <c r="D47" s="84">
        <v>1</v>
      </c>
      <c r="E47" s="49">
        <v>60</v>
      </c>
      <c r="F47" s="85">
        <v>45931</v>
      </c>
      <c r="G47" s="86">
        <v>0.375</v>
      </c>
      <c r="H47" s="85">
        <v>45930</v>
      </c>
      <c r="I47" s="86">
        <v>0.91666666666666663</v>
      </c>
      <c r="J47" s="87">
        <f t="shared" si="3"/>
        <v>50</v>
      </c>
      <c r="K47" s="8">
        <v>1</v>
      </c>
      <c r="L47" s="88">
        <v>10</v>
      </c>
      <c r="M47" s="91" t="s">
        <v>149</v>
      </c>
    </row>
    <row r="48" spans="1:13" s="5" customFormat="1" ht="43.5" customHeight="1" x14ac:dyDescent="0.2">
      <c r="A48" s="23" t="s">
        <v>146</v>
      </c>
      <c r="B48" s="85" t="s">
        <v>21</v>
      </c>
      <c r="C48" s="85" t="s">
        <v>86</v>
      </c>
      <c r="D48" s="84">
        <v>1</v>
      </c>
      <c r="E48" s="49">
        <v>60</v>
      </c>
      <c r="F48" s="85">
        <v>45931</v>
      </c>
      <c r="G48" s="86">
        <v>0.375</v>
      </c>
      <c r="H48" s="85">
        <v>45930</v>
      </c>
      <c r="I48" s="86">
        <v>0.91666666666666663</v>
      </c>
      <c r="J48" s="87">
        <f t="shared" si="3"/>
        <v>50</v>
      </c>
      <c r="K48" s="8">
        <v>1</v>
      </c>
      <c r="L48" s="88">
        <v>10</v>
      </c>
      <c r="M48" s="91" t="s">
        <v>149</v>
      </c>
    </row>
    <row r="49" spans="1:13" s="5" customFormat="1" ht="42.75" customHeight="1" x14ac:dyDescent="0.2">
      <c r="A49" s="23" t="s">
        <v>146</v>
      </c>
      <c r="B49" s="85" t="s">
        <v>136</v>
      </c>
      <c r="C49" s="85" t="s">
        <v>151</v>
      </c>
      <c r="D49" s="84">
        <v>1</v>
      </c>
      <c r="E49" s="49">
        <v>60</v>
      </c>
      <c r="F49" s="85">
        <v>45931</v>
      </c>
      <c r="G49" s="86">
        <v>0.375</v>
      </c>
      <c r="H49" s="85">
        <v>45930</v>
      </c>
      <c r="I49" s="86">
        <v>0.91666666666666663</v>
      </c>
      <c r="J49" s="87">
        <f t="shared" si="3"/>
        <v>50</v>
      </c>
      <c r="K49" s="8">
        <v>1</v>
      </c>
      <c r="L49" s="88">
        <v>10</v>
      </c>
      <c r="M49" s="91" t="s">
        <v>149</v>
      </c>
    </row>
    <row r="50" spans="1:13" s="5" customFormat="1" ht="39" customHeight="1" x14ac:dyDescent="0.2">
      <c r="A50" s="23" t="s">
        <v>146</v>
      </c>
      <c r="B50" s="85" t="s">
        <v>36</v>
      </c>
      <c r="C50" s="85" t="s">
        <v>80</v>
      </c>
      <c r="D50" s="84">
        <v>1</v>
      </c>
      <c r="E50" s="49">
        <v>60</v>
      </c>
      <c r="F50" s="85">
        <v>45931</v>
      </c>
      <c r="G50" s="86">
        <v>0.375</v>
      </c>
      <c r="H50" s="85">
        <v>45930</v>
      </c>
      <c r="I50" s="86">
        <v>0.91666666666666663</v>
      </c>
      <c r="J50" s="87">
        <f t="shared" si="3"/>
        <v>50</v>
      </c>
      <c r="K50" s="8">
        <v>1</v>
      </c>
      <c r="L50" s="88">
        <v>10</v>
      </c>
      <c r="M50" s="91" t="s">
        <v>149</v>
      </c>
    </row>
    <row r="51" spans="1:13" s="5" customFormat="1" ht="29.25" customHeight="1" x14ac:dyDescent="0.2">
      <c r="A51" s="23" t="s">
        <v>146</v>
      </c>
      <c r="B51" s="85" t="s">
        <v>39</v>
      </c>
      <c r="C51" s="85" t="s">
        <v>150</v>
      </c>
      <c r="D51" s="84">
        <v>1</v>
      </c>
      <c r="E51" s="49">
        <v>60</v>
      </c>
      <c r="F51" s="85">
        <v>45931</v>
      </c>
      <c r="G51" s="86">
        <v>0.375</v>
      </c>
      <c r="H51" s="85">
        <v>45930</v>
      </c>
      <c r="I51" s="86">
        <v>0.91666666666666663</v>
      </c>
      <c r="J51" s="87">
        <f t="shared" si="3"/>
        <v>50</v>
      </c>
      <c r="K51" s="8">
        <v>1</v>
      </c>
      <c r="L51" s="88">
        <v>10</v>
      </c>
      <c r="M51" s="91" t="s">
        <v>149</v>
      </c>
    </row>
    <row r="52" spans="1:13" s="5" customFormat="1" ht="31.5" customHeight="1" x14ac:dyDescent="0.2">
      <c r="A52" s="23" t="s">
        <v>52</v>
      </c>
      <c r="B52" s="89" t="s">
        <v>21</v>
      </c>
      <c r="C52" s="90" t="s">
        <v>22</v>
      </c>
      <c r="D52" s="84">
        <v>1</v>
      </c>
      <c r="E52" s="49">
        <v>30</v>
      </c>
      <c r="F52" s="85">
        <v>45931</v>
      </c>
      <c r="G52" s="86">
        <v>0.375</v>
      </c>
      <c r="H52" s="85">
        <v>45930</v>
      </c>
      <c r="I52" s="86">
        <v>0.91666666666666663</v>
      </c>
      <c r="J52" s="87">
        <f t="shared" si="3"/>
        <v>0</v>
      </c>
      <c r="K52" s="8">
        <v>1</v>
      </c>
      <c r="L52" s="88">
        <v>30</v>
      </c>
      <c r="M52" s="91" t="s">
        <v>53</v>
      </c>
    </row>
    <row r="53" spans="1:13" s="5" customFormat="1" ht="26.4" customHeight="1" x14ac:dyDescent="0.2">
      <c r="A53" s="23" t="s">
        <v>153</v>
      </c>
      <c r="B53" s="89" t="s">
        <v>36</v>
      </c>
      <c r="C53" s="90" t="s">
        <v>37</v>
      </c>
      <c r="D53" s="84">
        <v>1</v>
      </c>
      <c r="E53" s="5">
        <v>30</v>
      </c>
      <c r="F53" s="85">
        <v>45931</v>
      </c>
      <c r="G53" s="86">
        <v>0.375</v>
      </c>
      <c r="H53" s="85">
        <v>45930</v>
      </c>
      <c r="I53" s="86">
        <v>0.91666666666666663</v>
      </c>
      <c r="J53" s="87">
        <f t="shared" si="3"/>
        <v>0</v>
      </c>
      <c r="K53" s="8">
        <v>1</v>
      </c>
      <c r="L53" s="88">
        <v>30</v>
      </c>
      <c r="M53" s="91" t="s">
        <v>53</v>
      </c>
    </row>
    <row r="54" spans="1:13" s="5" customFormat="1" ht="29.1" customHeight="1" x14ac:dyDescent="0.2">
      <c r="A54" s="23" t="s">
        <v>79</v>
      </c>
      <c r="B54" s="85" t="s">
        <v>36</v>
      </c>
      <c r="C54" s="90" t="s">
        <v>37</v>
      </c>
      <c r="D54" s="84">
        <v>1</v>
      </c>
      <c r="E54" s="49">
        <v>45</v>
      </c>
      <c r="F54" s="85">
        <v>45931</v>
      </c>
      <c r="G54" s="86">
        <v>0.375</v>
      </c>
      <c r="H54" s="85">
        <v>45930</v>
      </c>
      <c r="I54" s="86">
        <v>0.9375</v>
      </c>
      <c r="J54" s="87">
        <f t="shared" si="3"/>
        <v>-35</v>
      </c>
      <c r="K54" s="8">
        <v>1</v>
      </c>
      <c r="L54" s="88">
        <v>80</v>
      </c>
      <c r="M54" s="91" t="s">
        <v>81</v>
      </c>
    </row>
    <row r="55" spans="1:13" s="5" customFormat="1" ht="31.5" customHeight="1" x14ac:dyDescent="0.2">
      <c r="A55" s="23" t="s">
        <v>85</v>
      </c>
      <c r="B55" s="85" t="s">
        <v>21</v>
      </c>
      <c r="C55" s="90" t="s">
        <v>22</v>
      </c>
      <c r="D55" s="84">
        <v>1</v>
      </c>
      <c r="E55" s="49">
        <v>60</v>
      </c>
      <c r="F55" s="85">
        <v>45931</v>
      </c>
      <c r="G55" s="86">
        <v>0.375</v>
      </c>
      <c r="H55" s="85">
        <v>45930</v>
      </c>
      <c r="I55" s="86">
        <v>0.9375</v>
      </c>
      <c r="J55" s="87">
        <f t="shared" si="3"/>
        <v>10</v>
      </c>
      <c r="K55" s="8">
        <v>1</v>
      </c>
      <c r="L55" s="88">
        <v>50</v>
      </c>
      <c r="M55" s="91" t="s">
        <v>87</v>
      </c>
    </row>
    <row r="56" spans="1:13" s="5" customFormat="1" ht="26.1" customHeight="1" x14ac:dyDescent="0.2">
      <c r="A56" s="23" t="s">
        <v>88</v>
      </c>
      <c r="B56" s="85" t="s">
        <v>21</v>
      </c>
      <c r="C56" s="85" t="s">
        <v>22</v>
      </c>
      <c r="D56" s="84">
        <v>1</v>
      </c>
      <c r="E56" s="49">
        <v>55</v>
      </c>
      <c r="F56" s="85">
        <v>45931</v>
      </c>
      <c r="G56" s="86">
        <v>0.375</v>
      </c>
      <c r="H56" s="85">
        <v>45930</v>
      </c>
      <c r="I56" s="86">
        <v>0.9375</v>
      </c>
      <c r="J56" s="87">
        <f t="shared" si="3"/>
        <v>0</v>
      </c>
      <c r="K56" s="8">
        <v>1</v>
      </c>
      <c r="L56" s="88">
        <v>55</v>
      </c>
      <c r="M56" s="91" t="s">
        <v>89</v>
      </c>
    </row>
    <row r="57" spans="1:13" s="5" customFormat="1" ht="39" customHeight="1" x14ac:dyDescent="0.2">
      <c r="A57" s="33" t="s">
        <v>131</v>
      </c>
      <c r="B57" s="85" t="s">
        <v>36</v>
      </c>
      <c r="C57" s="85" t="s">
        <v>37</v>
      </c>
      <c r="D57" s="49">
        <v>1</v>
      </c>
      <c r="E57" s="49">
        <v>30</v>
      </c>
      <c r="F57" s="85">
        <v>45931</v>
      </c>
      <c r="G57" s="86">
        <v>0.375</v>
      </c>
      <c r="H57" s="85">
        <v>45930</v>
      </c>
      <c r="I57" s="86">
        <v>0.9375</v>
      </c>
      <c r="J57" s="87">
        <f t="shared" si="3"/>
        <v>-2</v>
      </c>
      <c r="K57" s="8">
        <v>1</v>
      </c>
      <c r="L57" s="88">
        <v>32</v>
      </c>
      <c r="M57" s="91" t="s">
        <v>132</v>
      </c>
    </row>
    <row r="58" spans="1:13" s="5" customFormat="1" ht="40.5" customHeight="1" x14ac:dyDescent="0.2">
      <c r="A58" s="33" t="s">
        <v>131</v>
      </c>
      <c r="B58" s="85" t="s">
        <v>42</v>
      </c>
      <c r="C58" s="85" t="s">
        <v>43</v>
      </c>
      <c r="D58" s="49">
        <v>1</v>
      </c>
      <c r="E58" s="49">
        <v>30</v>
      </c>
      <c r="F58" s="85">
        <v>45931</v>
      </c>
      <c r="G58" s="86">
        <v>0.375</v>
      </c>
      <c r="H58" s="85">
        <v>45930</v>
      </c>
      <c r="I58" s="86">
        <v>0.9375</v>
      </c>
      <c r="J58" s="87">
        <f t="shared" si="3"/>
        <v>-2</v>
      </c>
      <c r="K58" s="8">
        <v>1</v>
      </c>
      <c r="L58" s="88">
        <v>32</v>
      </c>
      <c r="M58" s="91" t="s">
        <v>132</v>
      </c>
    </row>
    <row r="59" spans="1:13" s="5" customFormat="1" ht="40.5" customHeight="1" x14ac:dyDescent="0.2">
      <c r="A59" s="33" t="s">
        <v>131</v>
      </c>
      <c r="B59" s="85" t="s">
        <v>30</v>
      </c>
      <c r="C59" s="85" t="s">
        <v>31</v>
      </c>
      <c r="D59" s="49">
        <v>1</v>
      </c>
      <c r="E59" s="49">
        <v>30</v>
      </c>
      <c r="F59" s="85">
        <v>45931</v>
      </c>
      <c r="G59" s="86">
        <v>0.375</v>
      </c>
      <c r="H59" s="85">
        <v>45930</v>
      </c>
      <c r="I59" s="86">
        <v>0.9375</v>
      </c>
      <c r="J59" s="87">
        <f t="shared" si="3"/>
        <v>-2</v>
      </c>
      <c r="K59" s="8">
        <v>1</v>
      </c>
      <c r="L59" s="88">
        <v>32</v>
      </c>
      <c r="M59" s="91" t="s">
        <v>132</v>
      </c>
    </row>
    <row r="60" spans="1:13" s="5" customFormat="1" ht="38.25" customHeight="1" x14ac:dyDescent="0.2">
      <c r="A60" s="33" t="s">
        <v>131</v>
      </c>
      <c r="B60" s="85" t="s">
        <v>21</v>
      </c>
      <c r="C60" s="85" t="s">
        <v>22</v>
      </c>
      <c r="D60" s="49">
        <v>1</v>
      </c>
      <c r="E60" s="49">
        <v>30</v>
      </c>
      <c r="F60" s="85">
        <v>45931</v>
      </c>
      <c r="G60" s="86">
        <v>0.375</v>
      </c>
      <c r="H60" s="85">
        <v>45930</v>
      </c>
      <c r="I60" s="86">
        <v>0.9375</v>
      </c>
      <c r="J60" s="87">
        <f t="shared" si="3"/>
        <v>-2</v>
      </c>
      <c r="K60" s="8">
        <v>1</v>
      </c>
      <c r="L60" s="88">
        <v>32</v>
      </c>
      <c r="M60" s="91" t="s">
        <v>132</v>
      </c>
    </row>
    <row r="61" spans="1:13" s="5" customFormat="1" ht="38.25" customHeight="1" x14ac:dyDescent="0.2">
      <c r="A61" s="33" t="s">
        <v>131</v>
      </c>
      <c r="B61" s="85" t="s">
        <v>136</v>
      </c>
      <c r="C61" s="85" t="s">
        <v>34</v>
      </c>
      <c r="D61" s="49">
        <v>1</v>
      </c>
      <c r="E61" s="49">
        <v>30</v>
      </c>
      <c r="F61" s="85">
        <v>45931</v>
      </c>
      <c r="G61" s="86">
        <v>0.375</v>
      </c>
      <c r="H61" s="85">
        <v>45930</v>
      </c>
      <c r="I61" s="86">
        <v>0.9375</v>
      </c>
      <c r="J61" s="87">
        <f t="shared" si="3"/>
        <v>-2</v>
      </c>
      <c r="K61" s="8">
        <v>1</v>
      </c>
      <c r="L61" s="88">
        <v>32</v>
      </c>
      <c r="M61" s="91" t="s">
        <v>132</v>
      </c>
    </row>
    <row r="62" spans="1:13" s="5" customFormat="1" ht="27" customHeight="1" x14ac:dyDescent="0.2">
      <c r="A62" s="33" t="s">
        <v>131</v>
      </c>
      <c r="B62" s="85" t="s">
        <v>39</v>
      </c>
      <c r="C62" s="85" t="s">
        <v>40</v>
      </c>
      <c r="D62" s="49">
        <v>1</v>
      </c>
      <c r="E62" s="49">
        <v>30</v>
      </c>
      <c r="F62" s="85">
        <v>45931</v>
      </c>
      <c r="G62" s="86">
        <v>0.375</v>
      </c>
      <c r="H62" s="85">
        <v>45930</v>
      </c>
      <c r="I62" s="86">
        <v>0.9375</v>
      </c>
      <c r="J62" s="87">
        <f t="shared" si="3"/>
        <v>-2</v>
      </c>
      <c r="K62" s="8">
        <v>1</v>
      </c>
      <c r="L62" s="88">
        <v>32</v>
      </c>
      <c r="M62" s="91" t="s">
        <v>132</v>
      </c>
    </row>
    <row r="63" spans="1:13" s="5" customFormat="1" ht="33" customHeight="1" x14ac:dyDescent="0.2">
      <c r="A63" s="33" t="s">
        <v>133</v>
      </c>
      <c r="B63" s="85" t="s">
        <v>21</v>
      </c>
      <c r="C63" s="85" t="s">
        <v>22</v>
      </c>
      <c r="D63" s="49">
        <v>3</v>
      </c>
      <c r="E63" s="49">
        <v>20</v>
      </c>
      <c r="F63" s="85">
        <v>45931</v>
      </c>
      <c r="G63" s="86">
        <v>0.375</v>
      </c>
      <c r="H63" s="85">
        <v>45931</v>
      </c>
      <c r="I63" s="86">
        <v>0.375</v>
      </c>
      <c r="J63" s="87">
        <f t="shared" si="3"/>
        <v>5</v>
      </c>
      <c r="K63" s="8">
        <v>3</v>
      </c>
      <c r="L63" s="88">
        <v>15</v>
      </c>
      <c r="M63" s="91" t="s">
        <v>134</v>
      </c>
    </row>
    <row r="64" spans="1:13" s="5" customFormat="1" ht="33.75" customHeight="1" x14ac:dyDescent="0.25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s="5" customFormat="1" ht="32.25" customHeight="1" x14ac:dyDescent="0.25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27" customHeight="1" x14ac:dyDescent="0.25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24.9" customHeight="1" x14ac:dyDescent="0.25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28.5" customHeight="1" x14ac:dyDescent="0.25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5.4" customHeight="1" x14ac:dyDescent="0.25">
      <c r="A69" s="4"/>
      <c r="B69" s="4"/>
      <c r="C69" s="4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6.6" customHeight="1" x14ac:dyDescent="0.25">
      <c r="A70" s="4"/>
      <c r="B70" s="4"/>
      <c r="C70" s="4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6.6" customHeight="1" x14ac:dyDescent="0.25">
      <c r="A71" s="4"/>
      <c r="B71" s="4"/>
      <c r="C71" s="4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ht="35.4" customHeight="1" x14ac:dyDescent="0.25">
      <c r="A72" s="4"/>
      <c r="B72" s="4"/>
      <c r="C72" s="4"/>
      <c r="D72" s="4"/>
      <c r="E72" s="4"/>
      <c r="F72" s="4"/>
      <c r="G72" s="4"/>
      <c r="H72" s="4"/>
      <c r="I72" s="3"/>
      <c r="J72" s="3"/>
      <c r="K72" s="2"/>
      <c r="L72" s="1"/>
      <c r="M72" s="1"/>
    </row>
    <row r="73" spans="1:13" s="5" customFormat="1" ht="35.4" customHeight="1" x14ac:dyDescent="0.25">
      <c r="A73" s="4"/>
      <c r="B73" s="4"/>
      <c r="C73" s="4"/>
      <c r="D73" s="4"/>
      <c r="E73" s="4"/>
      <c r="F73" s="4"/>
      <c r="G73" s="4"/>
      <c r="H73" s="4"/>
      <c r="I73" s="3"/>
      <c r="J73" s="3"/>
      <c r="K73" s="2"/>
      <c r="L73" s="1"/>
      <c r="M73" s="1"/>
    </row>
    <row r="74" spans="1:13" s="5" customFormat="1" ht="35.4" customHeight="1" x14ac:dyDescent="0.25">
      <c r="A74" s="4"/>
      <c r="B74" s="4"/>
      <c r="C74" s="4"/>
      <c r="D74" s="4"/>
      <c r="E74" s="4"/>
      <c r="F74" s="4"/>
      <c r="G74" s="4"/>
      <c r="H74" s="4"/>
      <c r="I74" s="3"/>
      <c r="J74" s="3"/>
      <c r="K74" s="2"/>
      <c r="L74" s="1"/>
      <c r="M74" s="1"/>
    </row>
    <row r="75" spans="1:13" s="5" customFormat="1" ht="35.4" customHeight="1" x14ac:dyDescent="0.25">
      <c r="A75" s="4"/>
      <c r="B75" s="4"/>
      <c r="C75" s="4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" customHeight="1" x14ac:dyDescent="0.25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" customHeight="1" x14ac:dyDescent="0.25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" customHeight="1" x14ac:dyDescent="0.25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" customHeight="1" x14ac:dyDescent="0.25">
      <c r="A79" s="4"/>
      <c r="B79" s="4"/>
      <c r="C79" s="4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" customHeight="1" x14ac:dyDescent="0.25">
      <c r="A80" s="4"/>
      <c r="B80" s="11" t="s">
        <v>30</v>
      </c>
      <c r="C80" s="11" t="s">
        <v>83</v>
      </c>
      <c r="D80" s="20">
        <v>1</v>
      </c>
      <c r="E80" s="29">
        <v>50</v>
      </c>
      <c r="F80" s="11">
        <v>45882</v>
      </c>
      <c r="G80" s="10">
        <v>0.375</v>
      </c>
      <c r="H80" s="11">
        <v>45880</v>
      </c>
      <c r="I80" s="10">
        <v>0.95833333333333337</v>
      </c>
      <c r="J80" s="9">
        <f>E80-L80</f>
        <v>-4</v>
      </c>
      <c r="K80" s="8">
        <v>1</v>
      </c>
      <c r="L80" s="7">
        <v>54</v>
      </c>
      <c r="M80" s="6" t="s">
        <v>84</v>
      </c>
    </row>
    <row r="81" spans="1:13" s="5" customFormat="1" ht="35.4" customHeight="1" x14ac:dyDescent="0.25">
      <c r="A81" s="23" t="s">
        <v>82</v>
      </c>
      <c r="B81" s="4"/>
      <c r="C81" s="4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5.4" customHeight="1" x14ac:dyDescent="0.25">
      <c r="A82" s="4"/>
      <c r="B82" s="4"/>
      <c r="C82" s="4"/>
      <c r="D82" s="4"/>
      <c r="E82" s="4"/>
      <c r="F82" s="4"/>
      <c r="G82" s="4"/>
      <c r="H82" s="4"/>
      <c r="I82" s="3"/>
      <c r="J82" s="3"/>
      <c r="K82" s="2"/>
      <c r="L82" s="1"/>
      <c r="M82" s="1"/>
    </row>
    <row r="83" spans="1:13" s="5" customFormat="1" ht="35.4" customHeight="1" x14ac:dyDescent="0.25">
      <c r="A83" s="4"/>
      <c r="B83" s="4"/>
      <c r="C83" s="4"/>
      <c r="D83" s="4"/>
      <c r="E83" s="4"/>
      <c r="F83" s="4"/>
      <c r="G83" s="4"/>
      <c r="H83" s="4"/>
      <c r="I83" s="3"/>
      <c r="J83" s="3"/>
      <c r="K83" s="2"/>
      <c r="L83" s="1"/>
      <c r="M83" s="1"/>
    </row>
    <row r="84" spans="1:13" s="5" customFormat="1" ht="37.5" customHeight="1" x14ac:dyDescent="0.25">
      <c r="A84" s="4"/>
      <c r="B84" s="4"/>
      <c r="C84" s="4"/>
      <c r="D84" s="4"/>
      <c r="E84" s="4"/>
      <c r="F84" s="4"/>
      <c r="G84" s="4"/>
      <c r="H84" s="4"/>
      <c r="I84" s="3"/>
      <c r="J84" s="3"/>
      <c r="K84" s="2"/>
      <c r="L84" s="1"/>
      <c r="M84" s="1"/>
    </row>
    <row r="113" spans="1:20" s="4" customFormat="1" ht="30" customHeight="1" x14ac:dyDescent="0.25">
      <c r="I113" s="3"/>
      <c r="J113" s="3"/>
      <c r="K113" s="2"/>
      <c r="L113" s="1"/>
      <c r="M113" s="1"/>
      <c r="N113"/>
      <c r="O113"/>
      <c r="P113"/>
      <c r="Q113"/>
      <c r="R113"/>
      <c r="S113"/>
      <c r="T113"/>
    </row>
    <row r="114" spans="1:20" s="4" customFormat="1" ht="23.25" customHeight="1" x14ac:dyDescent="0.25">
      <c r="I114" s="3"/>
      <c r="J114" s="3"/>
      <c r="K114" s="2"/>
      <c r="L114" s="1"/>
      <c r="M114" s="1"/>
      <c r="N114"/>
      <c r="O114"/>
      <c r="P114"/>
      <c r="Q114"/>
      <c r="R114"/>
      <c r="S114"/>
      <c r="T114"/>
    </row>
    <row r="121" spans="1:20" s="5" customFormat="1" ht="12" customHeight="1" x14ac:dyDescent="0.25">
      <c r="A121" s="4"/>
      <c r="B121" s="4"/>
      <c r="C121" s="4"/>
      <c r="D121" s="4"/>
      <c r="E121" s="4"/>
      <c r="F121" s="4"/>
      <c r="G121" s="4"/>
      <c r="H121" s="4"/>
      <c r="I121" s="3"/>
      <c r="J121" s="3"/>
      <c r="K121" s="2"/>
      <c r="L121" s="1"/>
      <c r="M121" s="1"/>
    </row>
    <row r="125" spans="1:20" x14ac:dyDescent="0.25">
      <c r="Q125" s="42" t="e">
        <f>SUM(#REF!)</f>
        <v>#REF!</v>
      </c>
      <c r="R125" s="42" t="e">
        <f>SUM(#REF!)</f>
        <v>#REF!</v>
      </c>
      <c r="S125" s="42" t="e">
        <f>SUM(#REF!)</f>
        <v>#REF!</v>
      </c>
      <c r="T125" s="42" t="e">
        <f>SUM(#REF!)</f>
        <v>#REF!</v>
      </c>
    </row>
    <row r="126" spans="1:20" ht="35.25" customHeight="1" x14ac:dyDescent="0.25"/>
    <row r="127" spans="1:20" ht="36.75" customHeight="1" x14ac:dyDescent="0.25"/>
    <row r="128" spans="1:20" ht="33.75" customHeight="1" x14ac:dyDescent="0.25"/>
    <row r="129" spans="9:20" ht="26.25" customHeight="1" x14ac:dyDescent="0.25"/>
    <row r="130" spans="9:20" ht="27.75" customHeight="1" x14ac:dyDescent="0.25"/>
    <row r="131" spans="9:20" s="4" customFormat="1" ht="40.5" customHeight="1" x14ac:dyDescent="0.25">
      <c r="I131" s="3"/>
      <c r="J131" s="3"/>
      <c r="K131" s="2"/>
      <c r="L131" s="1"/>
      <c r="M131" s="1"/>
      <c r="N131"/>
      <c r="O131"/>
      <c r="P131"/>
      <c r="Q131"/>
      <c r="R131"/>
      <c r="S131"/>
      <c r="T131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5732-1356-4C48-8622-B02268559942}">
  <dimension ref="A1:T135"/>
  <sheetViews>
    <sheetView topLeftCell="AS1" zoomScale="84" zoomScaleNormal="76" workbookViewId="0">
      <selection activeCell="M8" sqref="M8"/>
    </sheetView>
  </sheetViews>
  <sheetFormatPr baseColWidth="10" defaultColWidth="11.44140625" defaultRowHeight="13.2" x14ac:dyDescent="0.25"/>
  <cols>
    <col min="1" max="1" width="54.6640625" style="4" bestFit="1" customWidth="1"/>
    <col min="2" max="2" width="15.44140625" style="4" customWidth="1"/>
    <col min="3" max="3" width="13.109375" style="4" customWidth="1"/>
    <col min="4" max="5" width="12.33203125" style="4" customWidth="1"/>
    <col min="6" max="8" width="10.6640625" style="4" customWidth="1"/>
    <col min="9" max="10" width="10.6640625" style="3" customWidth="1"/>
    <col min="11" max="11" width="10.6640625" style="2" customWidth="1"/>
    <col min="12" max="12" width="10.6640625" style="1" customWidth="1"/>
    <col min="13" max="13" width="48.109375" style="1" bestFit="1" customWidth="1"/>
    <col min="14" max="14" width="10.6640625" customWidth="1"/>
  </cols>
  <sheetData>
    <row r="1" spans="1:20" ht="32.25" customHeight="1" x14ac:dyDescent="0.25">
      <c r="A1" s="175"/>
      <c r="B1" s="177" t="s">
        <v>0</v>
      </c>
      <c r="C1" s="177"/>
      <c r="D1" s="177"/>
      <c r="E1" s="177"/>
      <c r="F1" s="177"/>
      <c r="G1" s="177"/>
      <c r="H1" s="177"/>
      <c r="I1" s="177"/>
      <c r="J1" s="177"/>
      <c r="K1" s="177"/>
      <c r="L1" s="179"/>
      <c r="M1" s="180"/>
    </row>
    <row r="2" spans="1:20" ht="20.25" customHeight="1" x14ac:dyDescent="0.25">
      <c r="A2" s="176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81"/>
      <c r="M2" s="182"/>
    </row>
    <row r="3" spans="1:20" ht="12.75" customHeight="1" x14ac:dyDescent="0.25">
      <c r="A3" s="183" t="s">
        <v>1</v>
      </c>
      <c r="B3" s="185" t="s">
        <v>2</v>
      </c>
      <c r="C3" s="185"/>
      <c r="D3" s="185"/>
      <c r="E3" s="185"/>
      <c r="F3" s="185"/>
      <c r="G3" s="185"/>
      <c r="H3" s="185"/>
      <c r="I3" s="185"/>
      <c r="J3" s="185"/>
      <c r="K3" s="185"/>
      <c r="L3" s="187" t="s">
        <v>3</v>
      </c>
      <c r="M3" s="188"/>
    </row>
    <row r="4" spans="1:20" ht="13.8" thickBot="1" x14ac:dyDescent="0.3">
      <c r="A4" s="184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6" t="s">
        <v>4</v>
      </c>
      <c r="M4" s="15"/>
    </row>
    <row r="5" spans="1:20" ht="13.8" thickBot="1" x14ac:dyDescent="0.3"/>
    <row r="6" spans="1:20" ht="14.4" thickBot="1" x14ac:dyDescent="0.3">
      <c r="A6" s="24" t="s">
        <v>5</v>
      </c>
      <c r="B6" s="171" t="s">
        <v>6</v>
      </c>
      <c r="C6" s="171"/>
      <c r="D6" s="171"/>
      <c r="E6" s="171"/>
      <c r="F6" s="171"/>
      <c r="G6" s="171"/>
      <c r="H6" s="172" t="s">
        <v>7</v>
      </c>
      <c r="I6" s="173"/>
      <c r="J6" s="173"/>
      <c r="K6" s="173"/>
      <c r="L6" s="174"/>
      <c r="M6" s="25"/>
    </row>
    <row r="7" spans="1:20" s="14" customFormat="1" ht="49.5" customHeight="1" x14ac:dyDescent="0.25">
      <c r="A7" s="18" cm="1">
        <f t="array" aca="1" ref="A7" ca="1">+A67+A1:L7+A7:L7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466</v>
      </c>
      <c r="B8" s="85" t="s">
        <v>36</v>
      </c>
      <c r="C8" s="85" t="s">
        <v>37</v>
      </c>
      <c r="D8" s="84">
        <v>1</v>
      </c>
      <c r="E8" s="49">
        <v>30</v>
      </c>
      <c r="F8" s="85">
        <v>45938</v>
      </c>
      <c r="G8" s="86">
        <v>0.375</v>
      </c>
      <c r="H8" s="85">
        <v>45934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466</v>
      </c>
      <c r="B9" s="85" t="s">
        <v>30</v>
      </c>
      <c r="C9" s="85" t="s">
        <v>31</v>
      </c>
      <c r="D9" s="84">
        <v>1</v>
      </c>
      <c r="E9" s="49">
        <v>30</v>
      </c>
      <c r="F9" s="85">
        <v>45938</v>
      </c>
      <c r="G9" s="86">
        <v>0.375</v>
      </c>
      <c r="H9" s="85">
        <v>45934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467</v>
      </c>
      <c r="O9" s="5" t="s">
        <v>155</v>
      </c>
    </row>
    <row r="10" spans="1:20" s="5" customFormat="1" ht="39" customHeight="1" x14ac:dyDescent="0.25">
      <c r="A10" s="79" t="s">
        <v>397</v>
      </c>
      <c r="B10" s="53" t="s">
        <v>42</v>
      </c>
      <c r="C10" s="53" t="s">
        <v>43</v>
      </c>
      <c r="D10" s="84">
        <v>1</v>
      </c>
      <c r="E10" s="49">
        <v>30</v>
      </c>
      <c r="F10" s="80">
        <v>45938</v>
      </c>
      <c r="G10" s="81">
        <v>0.375</v>
      </c>
      <c r="H10" s="80">
        <v>45936</v>
      </c>
      <c r="I10" s="81">
        <v>0.54166666666666663</v>
      </c>
      <c r="J10" s="87">
        <f t="shared" ref="J10:J63" si="0">E10-L10</f>
        <v>0</v>
      </c>
      <c r="K10" s="53">
        <v>1</v>
      </c>
      <c r="L10" s="53">
        <v>30</v>
      </c>
      <c r="M10" s="79" t="s">
        <v>398</v>
      </c>
    </row>
    <row r="11" spans="1:20" s="5" customFormat="1" ht="43.5" customHeight="1" x14ac:dyDescent="0.25">
      <c r="A11" s="79" t="s">
        <v>399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45938</v>
      </c>
      <c r="G11" s="81">
        <v>0.375</v>
      </c>
      <c r="H11" s="80">
        <v>45936</v>
      </c>
      <c r="I11" s="81">
        <v>0.5625</v>
      </c>
      <c r="J11" s="87">
        <f t="shared" si="0"/>
        <v>2</v>
      </c>
      <c r="K11" s="53">
        <v>1</v>
      </c>
      <c r="L11" s="53">
        <v>28</v>
      </c>
      <c r="M11" s="79" t="s">
        <v>400</v>
      </c>
    </row>
    <row r="12" spans="1:20" s="5" customFormat="1" ht="43.5" customHeight="1" x14ac:dyDescent="0.25">
      <c r="A12" s="80" t="s">
        <v>401</v>
      </c>
      <c r="B12" s="53" t="s">
        <v>42</v>
      </c>
      <c r="C12" s="53" t="s">
        <v>43</v>
      </c>
      <c r="D12" s="84">
        <v>1</v>
      </c>
      <c r="E12" s="49">
        <v>30</v>
      </c>
      <c r="F12" s="80">
        <v>45938</v>
      </c>
      <c r="G12" s="81">
        <v>0.375</v>
      </c>
      <c r="H12" s="80">
        <v>45936</v>
      </c>
      <c r="I12" s="81">
        <v>0.58333333333333337</v>
      </c>
      <c r="J12" s="87">
        <f t="shared" si="0"/>
        <v>0</v>
      </c>
      <c r="K12" s="53">
        <v>1</v>
      </c>
      <c r="L12" s="53">
        <v>30</v>
      </c>
      <c r="M12" s="79" t="s">
        <v>403</v>
      </c>
    </row>
    <row r="13" spans="1:20" s="5" customFormat="1" ht="47.25" customHeight="1" x14ac:dyDescent="0.25">
      <c r="A13" s="79" t="s">
        <v>402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45938</v>
      </c>
      <c r="G13" s="81">
        <v>0.375</v>
      </c>
      <c r="H13" s="80">
        <v>45936</v>
      </c>
      <c r="I13" s="81">
        <v>0.60416666666666663</v>
      </c>
      <c r="J13" s="87">
        <f t="shared" si="0"/>
        <v>7</v>
      </c>
      <c r="K13" s="53">
        <v>2</v>
      </c>
      <c r="L13" s="53">
        <v>23</v>
      </c>
      <c r="M13" s="79" t="s">
        <v>404</v>
      </c>
    </row>
    <row r="14" spans="1:20" s="5" customFormat="1" ht="43.5" customHeight="1" x14ac:dyDescent="0.25">
      <c r="A14" s="79" t="s">
        <v>405</v>
      </c>
      <c r="B14" s="53" t="s">
        <v>42</v>
      </c>
      <c r="C14" s="53" t="s">
        <v>43</v>
      </c>
      <c r="D14" s="84">
        <v>1</v>
      </c>
      <c r="E14" s="49">
        <v>30</v>
      </c>
      <c r="F14" s="80">
        <v>45938</v>
      </c>
      <c r="G14" s="81">
        <v>0.375</v>
      </c>
      <c r="H14" s="80">
        <v>45937</v>
      </c>
      <c r="I14" s="81">
        <v>0.41666666666666669</v>
      </c>
      <c r="J14" s="87">
        <f t="shared" si="0"/>
        <v>-2</v>
      </c>
      <c r="K14" s="53">
        <v>2</v>
      </c>
      <c r="L14" s="53">
        <v>32</v>
      </c>
      <c r="M14" s="79" t="s">
        <v>407</v>
      </c>
    </row>
    <row r="15" spans="1:20" s="5" customFormat="1" ht="39.75" customHeight="1" x14ac:dyDescent="0.25">
      <c r="A15" s="79" t="s">
        <v>405</v>
      </c>
      <c r="B15" s="53" t="s">
        <v>30</v>
      </c>
      <c r="C15" s="53" t="s">
        <v>31</v>
      </c>
      <c r="D15" s="84">
        <v>1</v>
      </c>
      <c r="E15" s="49">
        <v>30</v>
      </c>
      <c r="F15" s="80">
        <v>45938</v>
      </c>
      <c r="G15" s="81">
        <v>0.375</v>
      </c>
      <c r="H15" s="80">
        <v>45937</v>
      </c>
      <c r="I15" s="81">
        <v>0.41666666666666669</v>
      </c>
      <c r="J15" s="87">
        <f t="shared" si="0"/>
        <v>0</v>
      </c>
      <c r="K15" s="53">
        <v>2</v>
      </c>
      <c r="L15" s="53">
        <v>30</v>
      </c>
      <c r="M15" s="53" t="s">
        <v>408</v>
      </c>
    </row>
    <row r="16" spans="1:20" s="5" customFormat="1" ht="38.4" customHeight="1" x14ac:dyDescent="0.25">
      <c r="A16" s="39" t="s">
        <v>406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45938</v>
      </c>
      <c r="G16" s="81">
        <v>0.375</v>
      </c>
      <c r="H16" s="80">
        <v>45936</v>
      </c>
      <c r="I16" s="81">
        <v>0.5</v>
      </c>
      <c r="J16" s="87">
        <f t="shared" si="0"/>
        <v>6</v>
      </c>
      <c r="K16" s="53">
        <v>2</v>
      </c>
      <c r="L16" s="53">
        <v>24</v>
      </c>
      <c r="M16" s="53" t="s">
        <v>408</v>
      </c>
    </row>
    <row r="17" spans="1:13" s="5" customFormat="1" ht="30.75" customHeight="1" x14ac:dyDescent="0.25">
      <c r="A17" s="39" t="s">
        <v>406</v>
      </c>
      <c r="B17" s="53" t="s">
        <v>39</v>
      </c>
      <c r="C17" s="53" t="s">
        <v>40</v>
      </c>
      <c r="D17" s="84">
        <v>1</v>
      </c>
      <c r="E17" s="49">
        <v>30</v>
      </c>
      <c r="F17" s="80">
        <v>45938</v>
      </c>
      <c r="G17" s="81">
        <v>0.375</v>
      </c>
      <c r="H17" s="80">
        <v>45937</v>
      </c>
      <c r="I17" s="81">
        <v>0.41666666666666669</v>
      </c>
      <c r="J17" s="87">
        <f t="shared" si="0"/>
        <v>5</v>
      </c>
      <c r="K17" s="53">
        <v>2</v>
      </c>
      <c r="L17" s="53">
        <v>25</v>
      </c>
      <c r="M17" s="53" t="s">
        <v>408</v>
      </c>
    </row>
    <row r="18" spans="1:13" s="5" customFormat="1" ht="41.25" customHeight="1" x14ac:dyDescent="0.25">
      <c r="A18" s="39" t="s">
        <v>406</v>
      </c>
      <c r="B18" s="53" t="s">
        <v>36</v>
      </c>
      <c r="C18" s="53" t="s">
        <v>37</v>
      </c>
      <c r="D18" s="84">
        <v>2</v>
      </c>
      <c r="E18" s="49">
        <v>30</v>
      </c>
      <c r="F18" s="80">
        <v>45938</v>
      </c>
      <c r="G18" s="81">
        <v>0.375</v>
      </c>
      <c r="H18" s="80">
        <v>45937</v>
      </c>
      <c r="I18" s="81">
        <v>0.41666666666666669</v>
      </c>
      <c r="J18" s="87">
        <f t="shared" si="0"/>
        <v>5</v>
      </c>
      <c r="K18" s="53">
        <v>2</v>
      </c>
      <c r="L18" s="53">
        <v>25</v>
      </c>
      <c r="M18" s="53" t="s">
        <v>408</v>
      </c>
    </row>
    <row r="19" spans="1:13" s="5" customFormat="1" ht="38.25" customHeight="1" x14ac:dyDescent="0.25">
      <c r="A19" t="s">
        <v>406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45938</v>
      </c>
      <c r="G19" s="81">
        <v>0.375</v>
      </c>
      <c r="H19" s="80">
        <v>45937</v>
      </c>
      <c r="I19" s="81">
        <v>0.41666666666666669</v>
      </c>
      <c r="J19" s="87">
        <f t="shared" si="0"/>
        <v>4</v>
      </c>
      <c r="K19" s="53">
        <v>2</v>
      </c>
      <c r="L19" s="53">
        <v>26</v>
      </c>
      <c r="M19" s="53" t="s">
        <v>408</v>
      </c>
    </row>
    <row r="20" spans="1:13" s="5" customFormat="1" ht="40.5" customHeight="1" x14ac:dyDescent="0.25">
      <c r="A20" s="79" t="s">
        <v>409</v>
      </c>
      <c r="B20" s="53" t="s">
        <v>30</v>
      </c>
      <c r="C20" s="53" t="s">
        <v>31</v>
      </c>
      <c r="D20" s="84">
        <v>2</v>
      </c>
      <c r="E20" s="49">
        <v>30</v>
      </c>
      <c r="F20" s="80">
        <v>45938</v>
      </c>
      <c r="G20" s="81">
        <v>0.375</v>
      </c>
      <c r="H20" s="80">
        <v>45937</v>
      </c>
      <c r="I20" s="81">
        <v>0.4375</v>
      </c>
      <c r="J20" s="87">
        <f t="shared" si="0"/>
        <v>4</v>
      </c>
      <c r="K20" s="53">
        <v>1</v>
      </c>
      <c r="L20" s="53">
        <v>26</v>
      </c>
      <c r="M20" s="79" t="s">
        <v>439</v>
      </c>
    </row>
    <row r="21" spans="1:13" s="5" customFormat="1" ht="41.25" customHeight="1" x14ac:dyDescent="0.25">
      <c r="A21" s="79" t="s">
        <v>410</v>
      </c>
      <c r="B21" s="53" t="s">
        <v>30</v>
      </c>
      <c r="C21" s="53" t="s">
        <v>31</v>
      </c>
      <c r="D21" s="84">
        <v>1</v>
      </c>
      <c r="E21" s="49">
        <v>30</v>
      </c>
      <c r="F21" s="80">
        <v>45938</v>
      </c>
      <c r="G21" s="81">
        <v>0.375</v>
      </c>
      <c r="H21" s="80">
        <v>45937</v>
      </c>
      <c r="I21" s="81">
        <v>0.45833333333333331</v>
      </c>
      <c r="J21" s="87">
        <f t="shared" si="0"/>
        <v>4</v>
      </c>
      <c r="K21" s="53">
        <v>2</v>
      </c>
      <c r="L21" s="53">
        <v>26</v>
      </c>
      <c r="M21" s="79" t="s">
        <v>440</v>
      </c>
    </row>
    <row r="22" spans="1:13" s="5" customFormat="1" ht="42.75" customHeight="1" x14ac:dyDescent="0.25">
      <c r="A22" s="79" t="s">
        <v>411</v>
      </c>
      <c r="B22" s="53" t="s">
        <v>30</v>
      </c>
      <c r="C22" s="53" t="s">
        <v>31</v>
      </c>
      <c r="D22" s="84">
        <v>1</v>
      </c>
      <c r="E22" s="49">
        <v>30</v>
      </c>
      <c r="F22" s="80">
        <v>45938</v>
      </c>
      <c r="G22" s="81">
        <v>0.375</v>
      </c>
      <c r="H22" s="80">
        <v>45937</v>
      </c>
      <c r="I22" s="81">
        <v>0.47916666666666669</v>
      </c>
      <c r="J22" s="87">
        <f t="shared" si="0"/>
        <v>0</v>
      </c>
      <c r="K22" s="53">
        <v>2</v>
      </c>
      <c r="L22" s="53">
        <v>30</v>
      </c>
      <c r="M22" s="79" t="s">
        <v>441</v>
      </c>
    </row>
    <row r="23" spans="1:13" s="5" customFormat="1" ht="40.5" customHeight="1" x14ac:dyDescent="0.25">
      <c r="A23" s="79" t="s">
        <v>412</v>
      </c>
      <c r="B23" s="53" t="s">
        <v>36</v>
      </c>
      <c r="C23" s="53" t="s">
        <v>37</v>
      </c>
      <c r="D23" s="84">
        <v>2</v>
      </c>
      <c r="E23" s="49">
        <v>30</v>
      </c>
      <c r="F23" s="80">
        <v>45938</v>
      </c>
      <c r="G23" s="81">
        <v>0.375</v>
      </c>
      <c r="H23" s="80">
        <v>45937</v>
      </c>
      <c r="I23" s="81">
        <v>0.45833333333333331</v>
      </c>
      <c r="J23" s="87">
        <f t="shared" si="0"/>
        <v>4</v>
      </c>
      <c r="K23" s="53">
        <v>1</v>
      </c>
      <c r="L23" s="53">
        <v>26</v>
      </c>
      <c r="M23" s="79" t="s">
        <v>442</v>
      </c>
    </row>
    <row r="24" spans="1:13" s="5" customFormat="1" ht="41.25" customHeight="1" x14ac:dyDescent="0.25">
      <c r="A24" s="79" t="s">
        <v>413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45938</v>
      </c>
      <c r="G24" s="81">
        <v>0.375</v>
      </c>
      <c r="H24" s="80">
        <v>45937</v>
      </c>
      <c r="I24" s="81">
        <v>0.47916666666666669</v>
      </c>
      <c r="J24" s="87">
        <f t="shared" si="0"/>
        <v>4</v>
      </c>
      <c r="K24" s="53">
        <v>1</v>
      </c>
      <c r="L24" s="53">
        <v>26</v>
      </c>
      <c r="M24" s="79" t="s">
        <v>443</v>
      </c>
    </row>
    <row r="25" spans="1:13" s="5" customFormat="1" ht="41.25" customHeight="1" x14ac:dyDescent="0.25">
      <c r="A25" s="79" t="s">
        <v>414</v>
      </c>
      <c r="B25" s="53" t="s">
        <v>36</v>
      </c>
      <c r="C25" s="53" t="s">
        <v>37</v>
      </c>
      <c r="D25" s="84">
        <v>1</v>
      </c>
      <c r="E25" s="49">
        <v>30</v>
      </c>
      <c r="F25" s="80">
        <v>45938</v>
      </c>
      <c r="G25" s="81">
        <v>0.375</v>
      </c>
      <c r="H25" s="80">
        <v>45937</v>
      </c>
      <c r="I25" s="81">
        <v>0.5</v>
      </c>
      <c r="J25" s="87">
        <f t="shared" si="0"/>
        <v>4</v>
      </c>
      <c r="K25" s="53">
        <v>1</v>
      </c>
      <c r="L25" s="53">
        <v>26</v>
      </c>
      <c r="M25" s="79" t="s">
        <v>444</v>
      </c>
    </row>
    <row r="26" spans="1:13" s="5" customFormat="1" ht="41.25" customHeight="1" x14ac:dyDescent="0.25">
      <c r="A26" s="79" t="s">
        <v>415</v>
      </c>
      <c r="B26" s="53" t="s">
        <v>136</v>
      </c>
      <c r="C26" s="53" t="s">
        <v>34</v>
      </c>
      <c r="D26" s="84">
        <v>1</v>
      </c>
      <c r="E26" s="49">
        <v>30</v>
      </c>
      <c r="F26" s="80">
        <v>45938</v>
      </c>
      <c r="G26" s="81">
        <v>0.375</v>
      </c>
      <c r="H26" s="80">
        <v>45937</v>
      </c>
      <c r="I26" s="81">
        <v>0.33333333333333331</v>
      </c>
      <c r="J26" s="87">
        <f t="shared" si="0"/>
        <v>4</v>
      </c>
      <c r="K26" s="53">
        <v>1</v>
      </c>
      <c r="L26" s="53">
        <v>26</v>
      </c>
      <c r="M26" s="79" t="s">
        <v>445</v>
      </c>
    </row>
    <row r="27" spans="1:13" s="5" customFormat="1" ht="42.75" customHeight="1" x14ac:dyDescent="0.25">
      <c r="A27" s="79" t="s">
        <v>416</v>
      </c>
      <c r="B27" s="53" t="s">
        <v>136</v>
      </c>
      <c r="C27" s="53" t="s">
        <v>34</v>
      </c>
      <c r="D27" s="84">
        <v>1</v>
      </c>
      <c r="E27" s="49">
        <v>30</v>
      </c>
      <c r="F27" s="80">
        <v>45938</v>
      </c>
      <c r="G27" s="81">
        <v>0.375</v>
      </c>
      <c r="H27" s="80">
        <v>45937</v>
      </c>
      <c r="I27" s="81">
        <v>0.35416666666666669</v>
      </c>
      <c r="J27" s="87">
        <f t="shared" si="0"/>
        <v>4</v>
      </c>
      <c r="K27" s="53">
        <v>1</v>
      </c>
      <c r="L27" s="53">
        <v>26</v>
      </c>
      <c r="M27" s="79" t="s">
        <v>446</v>
      </c>
    </row>
    <row r="28" spans="1:13" s="5" customFormat="1" ht="48.75" customHeight="1" x14ac:dyDescent="0.25">
      <c r="A28" s="79" t="s">
        <v>417</v>
      </c>
      <c r="B28" s="53" t="s">
        <v>21</v>
      </c>
      <c r="C28" s="53" t="s">
        <v>22</v>
      </c>
      <c r="D28" s="84">
        <v>1</v>
      </c>
      <c r="E28" s="49">
        <v>30</v>
      </c>
      <c r="F28" s="80">
        <v>45938</v>
      </c>
      <c r="G28" s="81">
        <v>0.375</v>
      </c>
      <c r="H28" s="80">
        <v>45936</v>
      </c>
      <c r="I28" s="81">
        <v>0.52083333333333337</v>
      </c>
      <c r="J28" s="87">
        <f t="shared" si="0"/>
        <v>0</v>
      </c>
      <c r="K28" s="53">
        <v>1</v>
      </c>
      <c r="L28" s="53">
        <v>30</v>
      </c>
      <c r="M28" s="79" t="s">
        <v>447</v>
      </c>
    </row>
    <row r="29" spans="1:13" s="5" customFormat="1" ht="36.75" customHeight="1" x14ac:dyDescent="0.25">
      <c r="A29" s="79" t="s">
        <v>418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45938</v>
      </c>
      <c r="G29" s="81">
        <v>0.375</v>
      </c>
      <c r="H29" s="80">
        <v>45937</v>
      </c>
      <c r="I29" s="81">
        <v>0.45833333333333331</v>
      </c>
      <c r="J29" s="87">
        <f t="shared" si="0"/>
        <v>0</v>
      </c>
      <c r="K29" s="53">
        <v>1</v>
      </c>
      <c r="L29" s="53">
        <v>30</v>
      </c>
      <c r="M29" s="79" t="s">
        <v>448</v>
      </c>
    </row>
    <row r="30" spans="1:13" s="5" customFormat="1" ht="37.5" customHeight="1" x14ac:dyDescent="0.25">
      <c r="A30" s="79" t="s">
        <v>419</v>
      </c>
      <c r="B30" s="53" t="s">
        <v>39</v>
      </c>
      <c r="C30" s="53" t="s">
        <v>40</v>
      </c>
      <c r="D30" s="84">
        <v>1</v>
      </c>
      <c r="E30" s="49">
        <v>30</v>
      </c>
      <c r="F30" s="80">
        <v>45938</v>
      </c>
      <c r="G30" s="81">
        <v>0.375</v>
      </c>
      <c r="H30" s="80">
        <v>45937</v>
      </c>
      <c r="I30" s="81">
        <v>0.47916666666666669</v>
      </c>
      <c r="J30" s="87">
        <f t="shared" si="0"/>
        <v>0</v>
      </c>
      <c r="K30" s="53">
        <v>1</v>
      </c>
      <c r="L30" s="53">
        <v>30</v>
      </c>
      <c r="M30" s="79" t="s">
        <v>449</v>
      </c>
    </row>
    <row r="31" spans="1:13" s="5" customFormat="1" ht="38.25" customHeight="1" x14ac:dyDescent="0.25">
      <c r="A31" s="79" t="s">
        <v>420</v>
      </c>
      <c r="B31" s="53" t="s">
        <v>136</v>
      </c>
      <c r="C31" s="53" t="s">
        <v>34</v>
      </c>
      <c r="D31" s="84">
        <v>1</v>
      </c>
      <c r="E31" s="49">
        <v>30</v>
      </c>
      <c r="F31" s="80">
        <v>45938</v>
      </c>
      <c r="G31" s="81">
        <v>0.375</v>
      </c>
      <c r="H31" s="80">
        <v>45937</v>
      </c>
      <c r="I31" s="81">
        <v>0.375</v>
      </c>
      <c r="J31" s="87">
        <f t="shared" si="0"/>
        <v>0</v>
      </c>
      <c r="K31" s="53">
        <v>1</v>
      </c>
      <c r="L31" s="53">
        <v>30</v>
      </c>
      <c r="M31" s="79" t="s">
        <v>450</v>
      </c>
    </row>
    <row r="32" spans="1:13" s="5" customFormat="1" ht="38.25" customHeight="1" x14ac:dyDescent="0.25">
      <c r="A32" s="79" t="s">
        <v>421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45938</v>
      </c>
      <c r="G32" s="81">
        <v>0.375</v>
      </c>
      <c r="H32" s="80">
        <v>45936</v>
      </c>
      <c r="I32" s="81">
        <v>0.54166666666666663</v>
      </c>
      <c r="J32" s="87">
        <f t="shared" si="0"/>
        <v>0</v>
      </c>
      <c r="K32" s="53">
        <v>1</v>
      </c>
      <c r="L32" s="53">
        <v>30</v>
      </c>
      <c r="M32" s="79" t="s">
        <v>451</v>
      </c>
    </row>
    <row r="33" spans="1:13" s="5" customFormat="1" ht="38.25" customHeight="1" x14ac:dyDescent="0.25">
      <c r="A33" s="79" t="s">
        <v>422</v>
      </c>
      <c r="B33" s="53" t="s">
        <v>42</v>
      </c>
      <c r="C33" s="53" t="s">
        <v>43</v>
      </c>
      <c r="D33" s="84">
        <v>1</v>
      </c>
      <c r="E33" s="49">
        <v>30</v>
      </c>
      <c r="F33" s="80">
        <v>45938</v>
      </c>
      <c r="G33" s="81">
        <v>0.375</v>
      </c>
      <c r="H33" s="80">
        <v>45937</v>
      </c>
      <c r="I33" s="81">
        <v>0.45833333333333331</v>
      </c>
      <c r="J33" s="87">
        <f t="shared" si="0"/>
        <v>0</v>
      </c>
      <c r="K33" s="53">
        <v>1</v>
      </c>
      <c r="L33" s="53">
        <v>30</v>
      </c>
      <c r="M33" s="79" t="s">
        <v>452</v>
      </c>
    </row>
    <row r="34" spans="1:13" s="5" customFormat="1" ht="44.25" customHeight="1" x14ac:dyDescent="0.25">
      <c r="A34" s="79" t="s">
        <v>423</v>
      </c>
      <c r="B34" s="53" t="s">
        <v>465</v>
      </c>
      <c r="C34" s="53" t="s">
        <v>43</v>
      </c>
      <c r="D34" s="84">
        <v>1</v>
      </c>
      <c r="E34" s="49">
        <v>30</v>
      </c>
      <c r="F34" s="80">
        <v>45938</v>
      </c>
      <c r="G34" s="81">
        <v>0.375</v>
      </c>
      <c r="H34" s="80">
        <v>45937</v>
      </c>
      <c r="I34" s="81">
        <v>0.47916666666666669</v>
      </c>
      <c r="J34" s="87">
        <f t="shared" si="0"/>
        <v>0</v>
      </c>
      <c r="K34" s="53">
        <v>1</v>
      </c>
      <c r="L34" s="53">
        <v>30</v>
      </c>
      <c r="M34" s="79" t="s">
        <v>453</v>
      </c>
    </row>
    <row r="35" spans="1:13" s="5" customFormat="1" ht="55.5" customHeight="1" x14ac:dyDescent="0.25">
      <c r="A35" s="79" t="s">
        <v>424</v>
      </c>
      <c r="B35" s="53" t="s">
        <v>42</v>
      </c>
      <c r="C35" s="53" t="s">
        <v>43</v>
      </c>
      <c r="D35" s="84">
        <v>1</v>
      </c>
      <c r="E35" s="49">
        <v>30</v>
      </c>
      <c r="F35" s="80">
        <v>45938</v>
      </c>
      <c r="G35" s="81">
        <v>0.375</v>
      </c>
      <c r="H35" s="80">
        <v>45937</v>
      </c>
      <c r="I35" s="81">
        <v>0.5</v>
      </c>
      <c r="J35" s="87">
        <f t="shared" si="0"/>
        <v>0</v>
      </c>
      <c r="K35" s="53">
        <v>1</v>
      </c>
      <c r="L35" s="53">
        <v>30</v>
      </c>
      <c r="M35" s="79" t="s">
        <v>454</v>
      </c>
    </row>
    <row r="36" spans="1:13" s="5" customFormat="1" ht="39" customHeight="1" x14ac:dyDescent="0.25">
      <c r="A36" s="79" t="s">
        <v>425</v>
      </c>
      <c r="B36" s="53" t="s">
        <v>21</v>
      </c>
      <c r="C36" s="53" t="s">
        <v>22</v>
      </c>
      <c r="D36" s="84">
        <v>1</v>
      </c>
      <c r="E36" s="49">
        <v>30</v>
      </c>
      <c r="F36" s="80">
        <v>45938</v>
      </c>
      <c r="G36" s="81">
        <v>0.375</v>
      </c>
      <c r="H36" s="80">
        <v>45936</v>
      </c>
      <c r="I36" s="81">
        <v>0.5625</v>
      </c>
      <c r="J36" s="87">
        <f t="shared" si="0"/>
        <v>0</v>
      </c>
      <c r="K36" s="53">
        <v>1</v>
      </c>
      <c r="L36" s="53">
        <v>30</v>
      </c>
      <c r="M36" s="79" t="s">
        <v>455</v>
      </c>
    </row>
    <row r="37" spans="1:13" s="5" customFormat="1" ht="42" customHeight="1" x14ac:dyDescent="0.25">
      <c r="A37" s="79" t="s">
        <v>426</v>
      </c>
      <c r="B37" s="53" t="s">
        <v>39</v>
      </c>
      <c r="C37" s="53" t="s">
        <v>40</v>
      </c>
      <c r="D37" s="84">
        <v>1</v>
      </c>
      <c r="E37" s="49">
        <v>30</v>
      </c>
      <c r="F37" s="80">
        <v>45938</v>
      </c>
      <c r="G37" s="81">
        <v>0.375</v>
      </c>
      <c r="H37" s="80">
        <v>45937</v>
      </c>
      <c r="I37" s="81">
        <v>0.5</v>
      </c>
      <c r="J37" s="87">
        <f t="shared" si="0"/>
        <v>0</v>
      </c>
      <c r="K37" s="53">
        <v>1</v>
      </c>
      <c r="L37" s="53">
        <v>30</v>
      </c>
      <c r="M37" s="79" t="s">
        <v>456</v>
      </c>
    </row>
    <row r="38" spans="1:13" s="5" customFormat="1" ht="47.25" customHeight="1" x14ac:dyDescent="0.25">
      <c r="A38" s="79" t="s">
        <v>427</v>
      </c>
      <c r="B38" s="53" t="s">
        <v>21</v>
      </c>
      <c r="C38" s="53" t="s">
        <v>22</v>
      </c>
      <c r="D38" s="84">
        <v>1</v>
      </c>
      <c r="E38" s="49">
        <v>30</v>
      </c>
      <c r="F38" s="80">
        <v>45938</v>
      </c>
      <c r="G38" s="81">
        <v>0.375</v>
      </c>
      <c r="H38" s="80">
        <v>45936</v>
      </c>
      <c r="I38" s="81">
        <v>0.58333333333333337</v>
      </c>
      <c r="J38" s="87">
        <f t="shared" ref="J38:J40" si="1">E38-L38</f>
        <v>0</v>
      </c>
      <c r="K38" s="53">
        <v>1</v>
      </c>
      <c r="L38" s="53">
        <v>30</v>
      </c>
      <c r="M38" s="79" t="s">
        <v>457</v>
      </c>
    </row>
    <row r="39" spans="1:13" s="5" customFormat="1" ht="39.75" customHeight="1" x14ac:dyDescent="0.25">
      <c r="A39" s="79" t="s">
        <v>428</v>
      </c>
      <c r="B39" s="53" t="s">
        <v>36</v>
      </c>
      <c r="C39" s="53" t="s">
        <v>37</v>
      </c>
      <c r="D39" s="84">
        <v>1</v>
      </c>
      <c r="E39" s="49">
        <v>30</v>
      </c>
      <c r="F39" s="80">
        <v>45938</v>
      </c>
      <c r="G39" s="81">
        <v>0.375</v>
      </c>
      <c r="H39" s="80">
        <v>45937</v>
      </c>
      <c r="I39" s="81">
        <v>0.5</v>
      </c>
      <c r="J39" s="87">
        <f t="shared" ref="J39" si="2">E39-L39</f>
        <v>0</v>
      </c>
      <c r="K39" s="53">
        <v>1</v>
      </c>
      <c r="L39" s="53">
        <v>30</v>
      </c>
      <c r="M39" s="79" t="s">
        <v>53</v>
      </c>
    </row>
    <row r="40" spans="1:13" s="5" customFormat="1" ht="47.25" customHeight="1" x14ac:dyDescent="0.25">
      <c r="A40" s="79" t="s">
        <v>429</v>
      </c>
      <c r="B40" s="53" t="s">
        <v>39</v>
      </c>
      <c r="C40" s="53" t="s">
        <v>40</v>
      </c>
      <c r="D40" s="84">
        <v>1</v>
      </c>
      <c r="E40" s="49">
        <v>30</v>
      </c>
      <c r="F40" s="80">
        <v>45938</v>
      </c>
      <c r="G40" s="81">
        <v>0.375</v>
      </c>
      <c r="H40" s="80">
        <v>45937</v>
      </c>
      <c r="I40" s="81">
        <v>0.52083333333333337</v>
      </c>
      <c r="J40" s="87">
        <f t="shared" si="1"/>
        <v>0</v>
      </c>
      <c r="K40" s="53">
        <v>1</v>
      </c>
      <c r="L40" s="53">
        <v>30</v>
      </c>
      <c r="M40" s="79" t="s">
        <v>53</v>
      </c>
    </row>
    <row r="41" spans="1:13" s="5" customFormat="1" ht="39" customHeight="1" x14ac:dyDescent="0.25">
      <c r="A41" s="79" t="s">
        <v>430</v>
      </c>
      <c r="B41" s="53" t="s">
        <v>42</v>
      </c>
      <c r="C41" s="53" t="s">
        <v>43</v>
      </c>
      <c r="D41" s="84">
        <v>1</v>
      </c>
      <c r="E41" s="49">
        <v>30</v>
      </c>
      <c r="F41" s="80">
        <v>45938</v>
      </c>
      <c r="G41" s="81">
        <v>0.375</v>
      </c>
      <c r="H41" s="80">
        <v>45937</v>
      </c>
      <c r="I41" s="81">
        <v>0.52083333333333337</v>
      </c>
      <c r="J41" s="87">
        <f t="shared" si="0"/>
        <v>0</v>
      </c>
      <c r="K41" s="53">
        <v>1</v>
      </c>
      <c r="L41" s="53">
        <v>30</v>
      </c>
      <c r="M41" s="79" t="s">
        <v>460</v>
      </c>
    </row>
    <row r="42" spans="1:13" s="5" customFormat="1" ht="38.25" customHeight="1" x14ac:dyDescent="0.25">
      <c r="A42" s="79" t="s">
        <v>431</v>
      </c>
      <c r="B42" s="53" t="s">
        <v>30</v>
      </c>
      <c r="C42" s="53" t="s">
        <v>31</v>
      </c>
      <c r="D42" s="84">
        <v>1</v>
      </c>
      <c r="E42" s="49">
        <v>30</v>
      </c>
      <c r="F42" s="80">
        <v>45938</v>
      </c>
      <c r="G42" s="81">
        <v>0.375</v>
      </c>
      <c r="H42" s="80">
        <v>45937</v>
      </c>
      <c r="I42" s="81">
        <v>0.5</v>
      </c>
      <c r="J42" s="87">
        <f t="shared" ref="J42" si="3">E42-L42</f>
        <v>0</v>
      </c>
      <c r="K42" s="53">
        <v>1</v>
      </c>
      <c r="L42" s="53">
        <v>30</v>
      </c>
      <c r="M42" s="79" t="s">
        <v>458</v>
      </c>
    </row>
    <row r="43" spans="1:13" s="5" customFormat="1" ht="38.25" customHeight="1" x14ac:dyDescent="0.25">
      <c r="A43" s="79" t="s">
        <v>432</v>
      </c>
      <c r="B43" s="53" t="s">
        <v>136</v>
      </c>
      <c r="C43" s="53" t="s">
        <v>34</v>
      </c>
      <c r="D43" s="84">
        <v>1</v>
      </c>
      <c r="E43" s="49">
        <v>30</v>
      </c>
      <c r="F43" s="80">
        <v>45938</v>
      </c>
      <c r="G43" s="81">
        <v>0.375</v>
      </c>
      <c r="H43" s="80">
        <v>45937</v>
      </c>
      <c r="I43" s="81">
        <v>0.39583333333333331</v>
      </c>
      <c r="J43" s="87">
        <f t="shared" si="0"/>
        <v>0</v>
      </c>
      <c r="K43" s="53">
        <v>1</v>
      </c>
      <c r="L43" s="53">
        <v>30</v>
      </c>
      <c r="M43" s="79" t="s">
        <v>459</v>
      </c>
    </row>
    <row r="44" spans="1:13" s="5" customFormat="1" ht="42" customHeight="1" x14ac:dyDescent="0.25">
      <c r="A44" s="79" t="s">
        <v>433</v>
      </c>
      <c r="B44" s="53" t="s">
        <v>21</v>
      </c>
      <c r="C44" s="53" t="s">
        <v>22</v>
      </c>
      <c r="D44" s="84">
        <v>1</v>
      </c>
      <c r="E44" s="49">
        <v>30</v>
      </c>
      <c r="F44" s="80">
        <v>45938</v>
      </c>
      <c r="G44" s="81">
        <v>0.375</v>
      </c>
      <c r="H44" s="80">
        <v>45936</v>
      </c>
      <c r="I44" s="81">
        <v>0.60416666666666663</v>
      </c>
      <c r="J44" s="87">
        <f t="shared" ref="J44" si="4">E44-L44</f>
        <v>0</v>
      </c>
      <c r="K44" s="53">
        <v>1</v>
      </c>
      <c r="L44" s="53">
        <v>30</v>
      </c>
      <c r="M44" s="79" t="s">
        <v>464</v>
      </c>
    </row>
    <row r="45" spans="1:13" s="5" customFormat="1" ht="32.4" customHeight="1" x14ac:dyDescent="0.25">
      <c r="A45" s="79" t="s">
        <v>433</v>
      </c>
      <c r="B45" s="53" t="s">
        <v>30</v>
      </c>
      <c r="C45" s="53" t="s">
        <v>31</v>
      </c>
      <c r="D45" s="84">
        <v>1</v>
      </c>
      <c r="E45" s="49">
        <v>30</v>
      </c>
      <c r="F45" s="80">
        <v>45938</v>
      </c>
      <c r="G45" s="81">
        <v>0.375</v>
      </c>
      <c r="H45" s="80">
        <v>45937</v>
      </c>
      <c r="I45" s="81">
        <v>0.52083333333333337</v>
      </c>
      <c r="J45" s="87">
        <f t="shared" si="0"/>
        <v>0</v>
      </c>
      <c r="K45" s="53">
        <v>1</v>
      </c>
      <c r="L45" s="53">
        <v>30</v>
      </c>
      <c r="M45" s="79" t="s">
        <v>464</v>
      </c>
    </row>
    <row r="46" spans="1:13" ht="35.25" customHeight="1" x14ac:dyDescent="0.25">
      <c r="A46" s="79" t="s">
        <v>433</v>
      </c>
      <c r="B46" s="53" t="s">
        <v>136</v>
      </c>
      <c r="C46" s="53" t="s">
        <v>34</v>
      </c>
      <c r="D46" s="84">
        <v>1</v>
      </c>
      <c r="E46" s="49">
        <v>30</v>
      </c>
      <c r="F46" s="80">
        <v>45938</v>
      </c>
      <c r="G46" s="81">
        <v>0.375</v>
      </c>
      <c r="H46" s="80">
        <v>45937</v>
      </c>
      <c r="I46" s="81">
        <v>0.41666666666666669</v>
      </c>
      <c r="J46" s="87">
        <f t="shared" ref="J46" si="5">E46-L46</f>
        <v>0</v>
      </c>
      <c r="K46" s="53">
        <v>1</v>
      </c>
      <c r="L46" s="53">
        <v>30</v>
      </c>
      <c r="M46" s="79" t="s">
        <v>464</v>
      </c>
    </row>
    <row r="47" spans="1:13" s="5" customFormat="1" ht="47.1" customHeight="1" x14ac:dyDescent="0.25">
      <c r="A47" s="79" t="s">
        <v>433</v>
      </c>
      <c r="B47" s="53" t="s">
        <v>42</v>
      </c>
      <c r="C47" s="53" t="s">
        <v>43</v>
      </c>
      <c r="D47" s="84">
        <v>1</v>
      </c>
      <c r="E47" s="49">
        <v>30</v>
      </c>
      <c r="F47" s="80">
        <v>45938</v>
      </c>
      <c r="G47" s="81">
        <v>0.375</v>
      </c>
      <c r="H47" s="80">
        <v>45937</v>
      </c>
      <c r="I47" s="81">
        <v>0.54166666666666663</v>
      </c>
      <c r="J47" s="87">
        <f t="shared" si="0"/>
        <v>0</v>
      </c>
      <c r="K47" s="53">
        <v>1</v>
      </c>
      <c r="L47" s="53">
        <v>30</v>
      </c>
      <c r="M47" s="79" t="s">
        <v>464</v>
      </c>
    </row>
    <row r="48" spans="1:13" s="5" customFormat="1" ht="43.5" customHeight="1" x14ac:dyDescent="0.25">
      <c r="A48" s="79" t="s">
        <v>433</v>
      </c>
      <c r="B48" s="53" t="s">
        <v>39</v>
      </c>
      <c r="C48" s="53" t="s">
        <v>40</v>
      </c>
      <c r="D48" s="84">
        <v>1</v>
      </c>
      <c r="E48" s="49">
        <v>30</v>
      </c>
      <c r="F48" s="80">
        <v>45938</v>
      </c>
      <c r="G48" s="81">
        <v>0.375</v>
      </c>
      <c r="H48" s="80">
        <v>45937</v>
      </c>
      <c r="I48" s="81">
        <v>0.54166666666666663</v>
      </c>
      <c r="J48" s="87">
        <f t="shared" si="0"/>
        <v>0</v>
      </c>
      <c r="K48" s="53">
        <v>1</v>
      </c>
      <c r="L48" s="53">
        <v>30</v>
      </c>
      <c r="M48" s="79" t="s">
        <v>464</v>
      </c>
    </row>
    <row r="49" spans="1:13" s="5" customFormat="1" ht="43.5" customHeight="1" x14ac:dyDescent="0.25">
      <c r="A49" s="79" t="s">
        <v>433</v>
      </c>
      <c r="B49" s="53" t="s">
        <v>36</v>
      </c>
      <c r="C49" s="53" t="s">
        <v>37</v>
      </c>
      <c r="D49" s="84">
        <v>1</v>
      </c>
      <c r="E49" s="49">
        <v>30</v>
      </c>
      <c r="F49" s="80">
        <v>45938</v>
      </c>
      <c r="G49" s="81">
        <v>0.375</v>
      </c>
      <c r="H49" s="80">
        <v>45937</v>
      </c>
      <c r="I49" s="81">
        <v>0.52083333333333337</v>
      </c>
      <c r="J49" s="87">
        <f t="shared" si="0"/>
        <v>0</v>
      </c>
      <c r="K49" s="53">
        <v>1</v>
      </c>
      <c r="L49" s="53">
        <v>30</v>
      </c>
      <c r="M49" s="79" t="s">
        <v>464</v>
      </c>
    </row>
    <row r="50" spans="1:13" s="5" customFormat="1" ht="61.5" customHeight="1" x14ac:dyDescent="0.25">
      <c r="A50" s="79" t="s">
        <v>434</v>
      </c>
      <c r="B50" s="53" t="s">
        <v>21</v>
      </c>
      <c r="C50" s="53" t="s">
        <v>22</v>
      </c>
      <c r="D50" s="84">
        <v>1</v>
      </c>
      <c r="E50" s="49">
        <v>30</v>
      </c>
      <c r="F50" s="80">
        <v>45938</v>
      </c>
      <c r="G50" s="81">
        <v>0.375</v>
      </c>
      <c r="H50" s="80">
        <v>45937</v>
      </c>
      <c r="I50" s="81">
        <v>0.625</v>
      </c>
      <c r="J50" s="87">
        <f t="shared" ref="J50" si="6">E50-L50</f>
        <v>0</v>
      </c>
      <c r="K50" s="53">
        <v>1</v>
      </c>
      <c r="L50" s="53">
        <v>30</v>
      </c>
      <c r="M50" s="79" t="s">
        <v>461</v>
      </c>
    </row>
    <row r="51" spans="1:13" s="5" customFormat="1" ht="56.25" customHeight="1" x14ac:dyDescent="0.25">
      <c r="A51" s="79" t="s">
        <v>434</v>
      </c>
      <c r="B51" s="53" t="s">
        <v>30</v>
      </c>
      <c r="C51" s="53" t="s">
        <v>31</v>
      </c>
      <c r="D51" s="84">
        <v>1</v>
      </c>
      <c r="E51" s="49">
        <v>30</v>
      </c>
      <c r="F51" s="80">
        <v>45938</v>
      </c>
      <c r="G51" s="81">
        <v>0.375</v>
      </c>
      <c r="H51" s="80">
        <v>45937</v>
      </c>
      <c r="I51" s="81">
        <v>0.54166666666666663</v>
      </c>
      <c r="J51" s="87">
        <f t="shared" si="0"/>
        <v>0</v>
      </c>
      <c r="K51" s="53">
        <v>1</v>
      </c>
      <c r="L51" s="53">
        <v>30</v>
      </c>
      <c r="M51" s="79" t="s">
        <v>461</v>
      </c>
    </row>
    <row r="52" spans="1:13" s="5" customFormat="1" ht="43.5" customHeight="1" x14ac:dyDescent="0.25">
      <c r="A52" s="79" t="s">
        <v>434</v>
      </c>
      <c r="B52" s="53" t="s">
        <v>42</v>
      </c>
      <c r="C52" s="53" t="s">
        <v>43</v>
      </c>
      <c r="D52" s="84">
        <v>1</v>
      </c>
      <c r="E52" s="49">
        <v>30</v>
      </c>
      <c r="F52" s="80">
        <v>45938</v>
      </c>
      <c r="G52" s="81">
        <v>0.375</v>
      </c>
      <c r="H52" s="80">
        <v>45937</v>
      </c>
      <c r="I52" s="81">
        <v>0.5625</v>
      </c>
      <c r="J52" s="87">
        <f t="shared" ref="J52" si="7">E52-L52</f>
        <v>0</v>
      </c>
      <c r="K52" s="53">
        <v>1</v>
      </c>
      <c r="L52" s="53">
        <v>30</v>
      </c>
      <c r="M52" s="79" t="s">
        <v>461</v>
      </c>
    </row>
    <row r="53" spans="1:13" s="5" customFormat="1" ht="42.75" customHeight="1" x14ac:dyDescent="0.25">
      <c r="A53" s="79" t="s">
        <v>434</v>
      </c>
      <c r="B53" s="53" t="s">
        <v>136</v>
      </c>
      <c r="C53" s="53" t="s">
        <v>34</v>
      </c>
      <c r="D53" s="84">
        <v>1</v>
      </c>
      <c r="E53" s="49">
        <v>30</v>
      </c>
      <c r="F53" s="80">
        <v>45938</v>
      </c>
      <c r="G53" s="81">
        <v>0.375</v>
      </c>
      <c r="H53" s="80">
        <v>45937</v>
      </c>
      <c r="I53" s="81">
        <v>0.4375</v>
      </c>
      <c r="J53" s="87">
        <f t="shared" si="0"/>
        <v>0</v>
      </c>
      <c r="K53" s="53">
        <v>1</v>
      </c>
      <c r="L53" s="53">
        <v>30</v>
      </c>
      <c r="M53" s="79" t="s">
        <v>461</v>
      </c>
    </row>
    <row r="54" spans="1:13" s="5" customFormat="1" ht="52.5" customHeight="1" x14ac:dyDescent="0.25">
      <c r="A54" s="79" t="s">
        <v>434</v>
      </c>
      <c r="B54" s="53" t="s">
        <v>36</v>
      </c>
      <c r="C54" s="53" t="s">
        <v>37</v>
      </c>
      <c r="D54" s="84">
        <v>1</v>
      </c>
      <c r="E54" s="49">
        <v>30</v>
      </c>
      <c r="F54" s="80">
        <v>45938</v>
      </c>
      <c r="G54" s="81">
        <v>0.375</v>
      </c>
      <c r="H54" s="80">
        <v>45937</v>
      </c>
      <c r="I54" s="81">
        <v>0.54166666666666663</v>
      </c>
      <c r="J54" s="87">
        <f t="shared" ref="J54" si="8">E54-L54</f>
        <v>0</v>
      </c>
      <c r="K54" s="53">
        <v>1</v>
      </c>
      <c r="L54" s="53">
        <v>30</v>
      </c>
      <c r="M54" s="79" t="s">
        <v>461</v>
      </c>
    </row>
    <row r="55" spans="1:13" s="5" customFormat="1" ht="60" customHeight="1" x14ac:dyDescent="0.25">
      <c r="A55" s="79" t="s">
        <v>434</v>
      </c>
      <c r="B55" s="53" t="s">
        <v>39</v>
      </c>
      <c r="C55" s="53" t="s">
        <v>40</v>
      </c>
      <c r="D55" s="84">
        <v>1</v>
      </c>
      <c r="E55" s="49">
        <v>30</v>
      </c>
      <c r="F55" s="80">
        <v>45938</v>
      </c>
      <c r="G55" s="81">
        <v>0.375</v>
      </c>
      <c r="H55" s="80">
        <v>45937</v>
      </c>
      <c r="I55" s="81">
        <v>0.5625</v>
      </c>
      <c r="J55" s="87">
        <f t="shared" si="0"/>
        <v>0</v>
      </c>
      <c r="K55" s="53">
        <v>1</v>
      </c>
      <c r="L55" s="53">
        <v>30</v>
      </c>
      <c r="M55" s="79" t="s">
        <v>461</v>
      </c>
    </row>
    <row r="56" spans="1:13" s="5" customFormat="1" ht="56.25" customHeight="1" x14ac:dyDescent="0.25">
      <c r="A56" s="79" t="s">
        <v>435</v>
      </c>
      <c r="B56" s="53" t="s">
        <v>21</v>
      </c>
      <c r="C56" s="53" t="s">
        <v>22</v>
      </c>
      <c r="D56" s="84">
        <v>1</v>
      </c>
      <c r="E56" s="49">
        <v>30</v>
      </c>
      <c r="F56" s="80">
        <v>45938</v>
      </c>
      <c r="G56" s="81">
        <v>0.375</v>
      </c>
      <c r="H56" s="80">
        <v>45937</v>
      </c>
      <c r="I56" s="81">
        <v>0.64583333333333337</v>
      </c>
      <c r="J56" s="87">
        <f t="shared" ref="J56" si="9">E56-L56</f>
        <v>0</v>
      </c>
      <c r="K56" s="53">
        <v>1</v>
      </c>
      <c r="L56" s="53">
        <v>30</v>
      </c>
      <c r="M56" s="79" t="s">
        <v>462</v>
      </c>
    </row>
    <row r="57" spans="1:13" s="5" customFormat="1" ht="55.5" customHeight="1" x14ac:dyDescent="0.25">
      <c r="A57" s="79" t="s">
        <v>435</v>
      </c>
      <c r="B57" s="53" t="s">
        <v>30</v>
      </c>
      <c r="C57" s="53" t="s">
        <v>31</v>
      </c>
      <c r="D57" s="84">
        <v>1</v>
      </c>
      <c r="E57" s="49">
        <v>30</v>
      </c>
      <c r="F57" s="80">
        <v>45938</v>
      </c>
      <c r="G57" s="81">
        <v>0.375</v>
      </c>
      <c r="H57" s="80">
        <v>45937</v>
      </c>
      <c r="I57" s="81">
        <v>0.5625</v>
      </c>
      <c r="J57" s="87">
        <f t="shared" si="0"/>
        <v>0</v>
      </c>
      <c r="K57" s="53">
        <v>1</v>
      </c>
      <c r="L57" s="53">
        <v>30</v>
      </c>
      <c r="M57" s="79" t="s">
        <v>462</v>
      </c>
    </row>
    <row r="58" spans="1:13" s="5" customFormat="1" ht="59.25" customHeight="1" x14ac:dyDescent="0.25">
      <c r="A58" s="79" t="s">
        <v>435</v>
      </c>
      <c r="B58" s="53" t="s">
        <v>39</v>
      </c>
      <c r="C58" s="53" t="s">
        <v>40</v>
      </c>
      <c r="D58" s="84">
        <v>1</v>
      </c>
      <c r="E58" s="49">
        <v>30</v>
      </c>
      <c r="F58" s="80">
        <v>45938</v>
      </c>
      <c r="G58" s="81">
        <v>0.375</v>
      </c>
      <c r="H58" s="80">
        <v>45937</v>
      </c>
      <c r="I58" s="81">
        <v>0.58333333333333337</v>
      </c>
      <c r="J58" s="87">
        <f t="shared" ref="J58" si="10">E58-L58</f>
        <v>0</v>
      </c>
      <c r="K58" s="53">
        <v>1</v>
      </c>
      <c r="L58" s="53">
        <v>30</v>
      </c>
      <c r="M58" s="79" t="s">
        <v>462</v>
      </c>
    </row>
    <row r="59" spans="1:13" s="5" customFormat="1" ht="53.25" customHeight="1" x14ac:dyDescent="0.25">
      <c r="A59" s="79" t="s">
        <v>435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45938</v>
      </c>
      <c r="G59" s="81">
        <v>0.375</v>
      </c>
      <c r="H59" s="80">
        <v>45937</v>
      </c>
      <c r="I59" s="81">
        <v>0.58333333333333337</v>
      </c>
      <c r="J59" s="87">
        <f t="shared" si="0"/>
        <v>0</v>
      </c>
      <c r="K59" s="53">
        <v>1</v>
      </c>
      <c r="L59" s="53">
        <v>30</v>
      </c>
      <c r="M59" s="79" t="s">
        <v>462</v>
      </c>
    </row>
    <row r="60" spans="1:13" s="5" customFormat="1" ht="58.5" customHeight="1" x14ac:dyDescent="0.25">
      <c r="A60" s="79" t="s">
        <v>435</v>
      </c>
      <c r="B60" s="53" t="s">
        <v>36</v>
      </c>
      <c r="C60" s="53" t="s">
        <v>37</v>
      </c>
      <c r="D60" s="84">
        <v>1</v>
      </c>
      <c r="E60" s="49">
        <v>30</v>
      </c>
      <c r="F60" s="80">
        <v>45938</v>
      </c>
      <c r="G60" s="81">
        <v>0.375</v>
      </c>
      <c r="H60" s="80">
        <v>45937</v>
      </c>
      <c r="I60" s="81">
        <v>0.5625</v>
      </c>
      <c r="J60" s="87">
        <f t="shared" ref="J60" si="11">E60-L60</f>
        <v>2</v>
      </c>
      <c r="K60" s="53">
        <v>1</v>
      </c>
      <c r="L60" s="53">
        <v>28</v>
      </c>
      <c r="M60" s="79" t="s">
        <v>462</v>
      </c>
    </row>
    <row r="61" spans="1:13" s="5" customFormat="1" ht="57.75" customHeight="1" x14ac:dyDescent="0.25">
      <c r="A61" s="79" t="s">
        <v>435</v>
      </c>
      <c r="B61" s="53" t="s">
        <v>136</v>
      </c>
      <c r="C61" s="53" t="s">
        <v>34</v>
      </c>
      <c r="D61" s="84">
        <v>1</v>
      </c>
      <c r="E61" s="49">
        <v>30</v>
      </c>
      <c r="F61" s="80">
        <v>45938</v>
      </c>
      <c r="G61" s="81">
        <v>0.375</v>
      </c>
      <c r="H61" s="80">
        <v>45937</v>
      </c>
      <c r="I61" s="81">
        <v>0.45833333333333331</v>
      </c>
      <c r="J61" s="87">
        <f t="shared" si="0"/>
        <v>10</v>
      </c>
      <c r="K61" s="53">
        <v>1</v>
      </c>
      <c r="L61" s="53">
        <v>20</v>
      </c>
      <c r="M61" s="79" t="s">
        <v>462</v>
      </c>
    </row>
    <row r="62" spans="1:13" s="5" customFormat="1" ht="40.5" customHeight="1" x14ac:dyDescent="0.25">
      <c r="A62" s="79" t="s">
        <v>436</v>
      </c>
      <c r="B62" s="53" t="s">
        <v>21</v>
      </c>
      <c r="C62" s="53" t="s">
        <v>22</v>
      </c>
      <c r="D62" s="84">
        <v>1</v>
      </c>
      <c r="E62" s="49">
        <v>30</v>
      </c>
      <c r="F62" s="80">
        <v>45938</v>
      </c>
      <c r="G62" s="81">
        <v>0.375</v>
      </c>
      <c r="H62" s="80">
        <v>45937</v>
      </c>
      <c r="I62" s="81">
        <v>0.6875</v>
      </c>
      <c r="J62" s="87">
        <f t="shared" si="0"/>
        <v>0</v>
      </c>
      <c r="K62" s="53">
        <v>1</v>
      </c>
      <c r="L62" s="53">
        <v>30</v>
      </c>
      <c r="M62" s="79" t="s">
        <v>463</v>
      </c>
    </row>
    <row r="63" spans="1:13" s="5" customFormat="1" ht="40.5" customHeight="1" x14ac:dyDescent="0.25">
      <c r="A63" s="79" t="s">
        <v>437</v>
      </c>
      <c r="B63" s="53" t="s">
        <v>36</v>
      </c>
      <c r="C63" s="53" t="s">
        <v>37</v>
      </c>
      <c r="D63" s="84">
        <v>1</v>
      </c>
      <c r="E63" s="49">
        <v>30</v>
      </c>
      <c r="F63" s="80">
        <v>45938</v>
      </c>
      <c r="G63" s="81">
        <v>0.375</v>
      </c>
      <c r="H63" s="80">
        <v>45937</v>
      </c>
      <c r="I63" s="81">
        <v>0.6875</v>
      </c>
      <c r="J63" s="87">
        <f t="shared" si="0"/>
        <v>0</v>
      </c>
      <c r="K63" s="53">
        <v>1</v>
      </c>
      <c r="L63" s="53">
        <v>30</v>
      </c>
      <c r="M63" s="79" t="s">
        <v>438</v>
      </c>
    </row>
    <row r="64" spans="1:13" s="5" customFormat="1" ht="38.25" customHeight="1" x14ac:dyDescent="0.25">
      <c r="A64" s="98" t="s">
        <v>123</v>
      </c>
      <c r="B64" s="85" t="s">
        <v>36</v>
      </c>
      <c r="C64" s="85" t="s">
        <v>37</v>
      </c>
      <c r="D64" s="49">
        <v>1</v>
      </c>
      <c r="E64" s="49">
        <v>20</v>
      </c>
      <c r="F64" s="85">
        <v>45938</v>
      </c>
      <c r="G64" s="86">
        <v>0.375</v>
      </c>
      <c r="H64" s="85">
        <v>45937</v>
      </c>
      <c r="I64" s="86">
        <v>0.80555555555555558</v>
      </c>
      <c r="J64" s="87">
        <f>E64-L64</f>
        <v>0</v>
      </c>
      <c r="K64" s="53">
        <v>1</v>
      </c>
      <c r="L64" s="88">
        <v>20</v>
      </c>
      <c r="M64" s="93" t="s">
        <v>124</v>
      </c>
    </row>
    <row r="65" spans="1:13" s="5" customFormat="1" ht="38.25" customHeight="1" x14ac:dyDescent="0.2">
      <c r="A65" s="38" t="s">
        <v>123</v>
      </c>
      <c r="B65" s="85" t="s">
        <v>143</v>
      </c>
      <c r="C65" s="85" t="s">
        <v>43</v>
      </c>
      <c r="D65" s="49">
        <v>1</v>
      </c>
      <c r="E65" s="49">
        <v>20</v>
      </c>
      <c r="F65" s="85">
        <v>45938</v>
      </c>
      <c r="G65" s="86">
        <v>0.375</v>
      </c>
      <c r="H65" s="85">
        <v>45937</v>
      </c>
      <c r="I65" s="86">
        <v>0.80555555555555558</v>
      </c>
      <c r="J65" s="87">
        <f t="shared" ref="J65:J86" si="12">E65-L65</f>
        <v>0</v>
      </c>
      <c r="K65" s="8">
        <v>1</v>
      </c>
      <c r="L65" s="88">
        <v>20</v>
      </c>
      <c r="M65" s="93" t="s">
        <v>124</v>
      </c>
    </row>
    <row r="66" spans="1:13" s="5" customFormat="1" ht="27" customHeight="1" x14ac:dyDescent="0.25">
      <c r="A66" s="13" t="s">
        <v>175</v>
      </c>
      <c r="B66" s="13" t="s">
        <v>36</v>
      </c>
      <c r="C66" s="13" t="s">
        <v>37</v>
      </c>
      <c r="D66" s="53">
        <v>1</v>
      </c>
      <c r="E66" s="53">
        <v>30</v>
      </c>
      <c r="F66" s="13">
        <v>45938</v>
      </c>
      <c r="G66" s="86">
        <v>0.375</v>
      </c>
      <c r="H66" s="13">
        <v>45937</v>
      </c>
      <c r="I66" s="12">
        <v>0.83333333333333337</v>
      </c>
      <c r="J66" s="53">
        <f t="shared" si="12"/>
        <v>6</v>
      </c>
      <c r="K66" s="50">
        <v>1</v>
      </c>
      <c r="L66" s="68">
        <v>24</v>
      </c>
      <c r="M66" s="52" t="s">
        <v>176</v>
      </c>
    </row>
    <row r="67" spans="1:13" s="5" customFormat="1" ht="33" customHeight="1" x14ac:dyDescent="0.25">
      <c r="A67" s="13" t="s">
        <v>177</v>
      </c>
      <c r="B67" s="13" t="s">
        <v>39</v>
      </c>
      <c r="C67" s="13" t="s">
        <v>40</v>
      </c>
      <c r="D67" s="53">
        <v>1</v>
      </c>
      <c r="E67" s="53">
        <v>30</v>
      </c>
      <c r="F67" s="13">
        <v>45938</v>
      </c>
      <c r="G67" s="86">
        <v>0.375</v>
      </c>
      <c r="H67" s="13">
        <v>45937</v>
      </c>
      <c r="I67" s="12">
        <v>0.83333333333333337</v>
      </c>
      <c r="J67" s="53">
        <f t="shared" si="12"/>
        <v>0</v>
      </c>
      <c r="K67" s="50">
        <v>1</v>
      </c>
      <c r="L67" s="68">
        <v>30</v>
      </c>
      <c r="M67" s="52" t="s">
        <v>178</v>
      </c>
    </row>
    <row r="68" spans="1:13" s="5" customFormat="1" ht="33.75" customHeight="1" x14ac:dyDescent="0.25">
      <c r="A68" s="61" t="s">
        <v>179</v>
      </c>
      <c r="B68" s="13" t="s">
        <v>39</v>
      </c>
      <c r="C68" s="13" t="s">
        <v>40</v>
      </c>
      <c r="D68" s="53">
        <v>5</v>
      </c>
      <c r="E68" s="53">
        <v>50</v>
      </c>
      <c r="F68" s="13">
        <v>45938</v>
      </c>
      <c r="G68" s="86">
        <v>0.375</v>
      </c>
      <c r="H68" s="13">
        <v>45937</v>
      </c>
      <c r="I68" s="12">
        <v>0.86805555555555558</v>
      </c>
      <c r="J68" s="53">
        <f t="shared" si="12"/>
        <v>5</v>
      </c>
      <c r="K68" s="50">
        <v>5</v>
      </c>
      <c r="L68" s="68">
        <v>45</v>
      </c>
      <c r="M68" s="52" t="s">
        <v>180</v>
      </c>
    </row>
    <row r="69" spans="1:13" s="5" customFormat="1" ht="32.25" customHeight="1" x14ac:dyDescent="0.2">
      <c r="A69" s="23" t="s">
        <v>146</v>
      </c>
      <c r="B69" s="85" t="s">
        <v>30</v>
      </c>
      <c r="C69" s="90" t="s">
        <v>207</v>
      </c>
      <c r="D69" s="84">
        <v>1</v>
      </c>
      <c r="E69" s="49">
        <v>60</v>
      </c>
      <c r="F69" s="85">
        <v>45938</v>
      </c>
      <c r="G69" s="86">
        <v>0.375</v>
      </c>
      <c r="H69" s="85">
        <v>45937</v>
      </c>
      <c r="I69" s="86">
        <v>0.91666666666666663</v>
      </c>
      <c r="J69" s="87">
        <f t="shared" si="12"/>
        <v>50</v>
      </c>
      <c r="K69" s="8">
        <v>1</v>
      </c>
      <c r="L69" s="88">
        <v>10</v>
      </c>
      <c r="M69" s="91" t="s">
        <v>149</v>
      </c>
    </row>
    <row r="70" spans="1:13" s="5" customFormat="1" ht="27" customHeight="1" x14ac:dyDescent="0.2">
      <c r="A70" s="23" t="s">
        <v>146</v>
      </c>
      <c r="B70" s="85" t="s">
        <v>42</v>
      </c>
      <c r="C70" s="85" t="s">
        <v>77</v>
      </c>
      <c r="D70" s="84">
        <v>1</v>
      </c>
      <c r="E70" s="49">
        <v>60</v>
      </c>
      <c r="F70" s="85">
        <v>45938</v>
      </c>
      <c r="G70" s="86">
        <v>0.375</v>
      </c>
      <c r="H70" s="85">
        <v>45937</v>
      </c>
      <c r="I70" s="86">
        <v>0.91666666666666663</v>
      </c>
      <c r="J70" s="87">
        <f t="shared" si="12"/>
        <v>50</v>
      </c>
      <c r="K70" s="8">
        <v>1</v>
      </c>
      <c r="L70" s="88">
        <v>10</v>
      </c>
      <c r="M70" s="91" t="s">
        <v>149</v>
      </c>
    </row>
    <row r="71" spans="1:13" s="5" customFormat="1" ht="24.9" customHeight="1" x14ac:dyDescent="0.2">
      <c r="A71" s="23" t="s">
        <v>146</v>
      </c>
      <c r="B71" s="85" t="s">
        <v>21</v>
      </c>
      <c r="C71" s="85" t="s">
        <v>86</v>
      </c>
      <c r="D71" s="84">
        <v>1</v>
      </c>
      <c r="E71" s="49">
        <v>60</v>
      </c>
      <c r="F71" s="85">
        <v>45938</v>
      </c>
      <c r="G71" s="86">
        <v>0.375</v>
      </c>
      <c r="H71" s="85">
        <v>45937</v>
      </c>
      <c r="I71" s="86">
        <v>0.91666666666666663</v>
      </c>
      <c r="J71" s="87">
        <f t="shared" si="12"/>
        <v>50</v>
      </c>
      <c r="K71" s="8">
        <v>1</v>
      </c>
      <c r="L71" s="88">
        <v>10</v>
      </c>
      <c r="M71" s="91" t="s">
        <v>149</v>
      </c>
    </row>
    <row r="72" spans="1:13" s="5" customFormat="1" ht="28.5" customHeight="1" x14ac:dyDescent="0.2">
      <c r="A72" s="23" t="s">
        <v>146</v>
      </c>
      <c r="B72" s="85" t="s">
        <v>136</v>
      </c>
      <c r="C72" s="85" t="s">
        <v>151</v>
      </c>
      <c r="D72" s="84">
        <v>1</v>
      </c>
      <c r="E72" s="49">
        <v>60</v>
      </c>
      <c r="F72" s="85">
        <v>45938</v>
      </c>
      <c r="G72" s="86">
        <v>0.375</v>
      </c>
      <c r="H72" s="85">
        <v>45937</v>
      </c>
      <c r="I72" s="86">
        <v>0.91666666666666663</v>
      </c>
      <c r="J72" s="87">
        <f t="shared" si="12"/>
        <v>50</v>
      </c>
      <c r="K72" s="8">
        <v>1</v>
      </c>
      <c r="L72" s="88">
        <v>10</v>
      </c>
      <c r="M72" s="91" t="s">
        <v>149</v>
      </c>
    </row>
    <row r="73" spans="1:13" s="5" customFormat="1" ht="35.4" customHeight="1" x14ac:dyDescent="0.2">
      <c r="A73" s="23" t="s">
        <v>146</v>
      </c>
      <c r="B73" s="85" t="s">
        <v>36</v>
      </c>
      <c r="C73" s="85" t="s">
        <v>80</v>
      </c>
      <c r="D73" s="84">
        <v>1</v>
      </c>
      <c r="E73" s="49">
        <v>60</v>
      </c>
      <c r="F73" s="85">
        <v>45938</v>
      </c>
      <c r="G73" s="86">
        <v>0.375</v>
      </c>
      <c r="H73" s="85">
        <v>45937</v>
      </c>
      <c r="I73" s="86">
        <v>0.91666666666666663</v>
      </c>
      <c r="J73" s="87">
        <f t="shared" si="12"/>
        <v>50</v>
      </c>
      <c r="K73" s="8">
        <v>1</v>
      </c>
      <c r="L73" s="88">
        <v>10</v>
      </c>
      <c r="M73" s="91" t="s">
        <v>149</v>
      </c>
    </row>
    <row r="74" spans="1:13" s="5" customFormat="1" ht="36.6" customHeight="1" x14ac:dyDescent="0.2">
      <c r="A74" s="23" t="s">
        <v>146</v>
      </c>
      <c r="B74" s="85" t="s">
        <v>39</v>
      </c>
      <c r="C74" s="85" t="s">
        <v>150</v>
      </c>
      <c r="D74" s="84">
        <v>1</v>
      </c>
      <c r="E74" s="49">
        <v>60</v>
      </c>
      <c r="F74" s="85">
        <v>45938</v>
      </c>
      <c r="G74" s="86">
        <v>0.375</v>
      </c>
      <c r="H74" s="85">
        <v>45937</v>
      </c>
      <c r="I74" s="86">
        <v>0.91666666666666663</v>
      </c>
      <c r="J74" s="87">
        <f t="shared" si="12"/>
        <v>50</v>
      </c>
      <c r="K74" s="8">
        <v>1</v>
      </c>
      <c r="L74" s="88">
        <v>10</v>
      </c>
      <c r="M74" s="91" t="s">
        <v>149</v>
      </c>
    </row>
    <row r="75" spans="1:13" s="5" customFormat="1" ht="36.6" customHeight="1" x14ac:dyDescent="0.2">
      <c r="A75" s="23" t="s">
        <v>52</v>
      </c>
      <c r="B75" s="89" t="s">
        <v>21</v>
      </c>
      <c r="C75" s="90" t="s">
        <v>22</v>
      </c>
      <c r="D75" s="84">
        <v>1</v>
      </c>
      <c r="E75" s="49">
        <v>30</v>
      </c>
      <c r="F75" s="85">
        <v>45938</v>
      </c>
      <c r="G75" s="86">
        <v>0.375</v>
      </c>
      <c r="H75" s="85">
        <v>45937</v>
      </c>
      <c r="I75" s="86">
        <v>0.91666666666666663</v>
      </c>
      <c r="J75" s="87">
        <f t="shared" si="12"/>
        <v>0</v>
      </c>
      <c r="K75" s="8">
        <v>1</v>
      </c>
      <c r="L75" s="88">
        <v>30</v>
      </c>
      <c r="M75" s="91" t="s">
        <v>53</v>
      </c>
    </row>
    <row r="76" spans="1:13" s="5" customFormat="1" ht="35.4" customHeight="1" x14ac:dyDescent="0.2">
      <c r="A76" s="23" t="s">
        <v>153</v>
      </c>
      <c r="B76" s="89" t="s">
        <v>36</v>
      </c>
      <c r="C76" s="90" t="s">
        <v>37</v>
      </c>
      <c r="D76" s="84">
        <v>1</v>
      </c>
      <c r="E76" s="5">
        <v>30</v>
      </c>
      <c r="F76" s="85">
        <v>45938</v>
      </c>
      <c r="G76" s="86">
        <v>0.375</v>
      </c>
      <c r="H76" s="85">
        <v>45937</v>
      </c>
      <c r="I76" s="86">
        <v>0.91666666666666663</v>
      </c>
      <c r="J76" s="87">
        <f t="shared" si="12"/>
        <v>0</v>
      </c>
      <c r="K76" s="8">
        <v>1</v>
      </c>
      <c r="L76" s="88">
        <v>30</v>
      </c>
      <c r="M76" s="91" t="s">
        <v>53</v>
      </c>
    </row>
    <row r="77" spans="1:13" s="5" customFormat="1" ht="35.4" customHeight="1" x14ac:dyDescent="0.2">
      <c r="A77" s="23" t="s">
        <v>79</v>
      </c>
      <c r="B77" s="85" t="s">
        <v>36</v>
      </c>
      <c r="C77" s="90" t="s">
        <v>37</v>
      </c>
      <c r="D77" s="84">
        <v>1</v>
      </c>
      <c r="E77" s="49">
        <v>45</v>
      </c>
      <c r="F77" s="85">
        <v>45938</v>
      </c>
      <c r="G77" s="86">
        <v>0.375</v>
      </c>
      <c r="H77" s="85">
        <v>45937</v>
      </c>
      <c r="I77" s="86">
        <v>0.9375</v>
      </c>
      <c r="J77" s="87">
        <f t="shared" si="12"/>
        <v>-35</v>
      </c>
      <c r="K77" s="8">
        <v>1</v>
      </c>
      <c r="L77" s="88">
        <v>80</v>
      </c>
      <c r="M77" s="91" t="s">
        <v>81</v>
      </c>
    </row>
    <row r="78" spans="1:13" s="5" customFormat="1" ht="35.4" customHeight="1" x14ac:dyDescent="0.2">
      <c r="A78" s="23" t="s">
        <v>85</v>
      </c>
      <c r="B78" s="85" t="s">
        <v>21</v>
      </c>
      <c r="C78" s="90" t="s">
        <v>22</v>
      </c>
      <c r="D78" s="84">
        <v>1</v>
      </c>
      <c r="E78" s="49">
        <v>60</v>
      </c>
      <c r="F78" s="85">
        <v>45938</v>
      </c>
      <c r="G78" s="86">
        <v>0.375</v>
      </c>
      <c r="H78" s="85">
        <v>45937</v>
      </c>
      <c r="I78" s="86">
        <v>0.9375</v>
      </c>
      <c r="J78" s="87">
        <f t="shared" si="12"/>
        <v>10</v>
      </c>
      <c r="K78" s="8">
        <v>1</v>
      </c>
      <c r="L78" s="88">
        <v>50</v>
      </c>
      <c r="M78" s="91" t="s">
        <v>87</v>
      </c>
    </row>
    <row r="79" spans="1:13" s="5" customFormat="1" ht="35.4" customHeight="1" x14ac:dyDescent="0.2">
      <c r="A79" s="23" t="s">
        <v>88</v>
      </c>
      <c r="B79" s="85" t="s">
        <v>21</v>
      </c>
      <c r="C79" s="85" t="s">
        <v>22</v>
      </c>
      <c r="D79" s="84">
        <v>1</v>
      </c>
      <c r="E79" s="49">
        <v>55</v>
      </c>
      <c r="F79" s="85">
        <v>45938</v>
      </c>
      <c r="G79" s="86">
        <v>0.375</v>
      </c>
      <c r="H79" s="85">
        <v>45937</v>
      </c>
      <c r="I79" s="86">
        <v>0.9375</v>
      </c>
      <c r="J79" s="87">
        <f t="shared" si="12"/>
        <v>0</v>
      </c>
      <c r="K79" s="8">
        <v>1</v>
      </c>
      <c r="L79" s="88">
        <v>55</v>
      </c>
      <c r="M79" s="91" t="s">
        <v>89</v>
      </c>
    </row>
    <row r="80" spans="1:13" s="5" customFormat="1" ht="35.4" customHeight="1" x14ac:dyDescent="0.2">
      <c r="A80" s="33" t="s">
        <v>131</v>
      </c>
      <c r="B80" s="85" t="s">
        <v>36</v>
      </c>
      <c r="C80" s="85" t="s">
        <v>37</v>
      </c>
      <c r="D80" s="49">
        <v>1</v>
      </c>
      <c r="E80" s="49">
        <v>30</v>
      </c>
      <c r="F80" s="85">
        <v>45938</v>
      </c>
      <c r="G80" s="86">
        <v>0.375</v>
      </c>
      <c r="H80" s="85">
        <v>45937</v>
      </c>
      <c r="I80" s="86">
        <v>0.9375</v>
      </c>
      <c r="J80" s="87">
        <f t="shared" si="12"/>
        <v>-2</v>
      </c>
      <c r="K80" s="8">
        <v>1</v>
      </c>
      <c r="L80" s="88">
        <v>32</v>
      </c>
      <c r="M80" s="91" t="s">
        <v>132</v>
      </c>
    </row>
    <row r="81" spans="1:13" s="5" customFormat="1" ht="35.4" customHeight="1" x14ac:dyDescent="0.2">
      <c r="A81" s="33" t="s">
        <v>131</v>
      </c>
      <c r="B81" s="85" t="s">
        <v>42</v>
      </c>
      <c r="C81" s="85" t="s">
        <v>43</v>
      </c>
      <c r="D81" s="49">
        <v>1</v>
      </c>
      <c r="E81" s="49">
        <v>30</v>
      </c>
      <c r="F81" s="85">
        <v>45938</v>
      </c>
      <c r="G81" s="86">
        <v>0.375</v>
      </c>
      <c r="H81" s="85">
        <v>45937</v>
      </c>
      <c r="I81" s="86">
        <v>0.9375</v>
      </c>
      <c r="J81" s="87">
        <f t="shared" si="12"/>
        <v>-2</v>
      </c>
      <c r="K81" s="8">
        <v>1</v>
      </c>
      <c r="L81" s="88">
        <v>32</v>
      </c>
      <c r="M81" s="91" t="s">
        <v>132</v>
      </c>
    </row>
    <row r="82" spans="1:13" s="5" customFormat="1" ht="35.4" customHeight="1" x14ac:dyDescent="0.2">
      <c r="A82" s="33" t="s">
        <v>131</v>
      </c>
      <c r="B82" s="85" t="s">
        <v>30</v>
      </c>
      <c r="C82" s="85" t="s">
        <v>31</v>
      </c>
      <c r="D82" s="49">
        <v>1</v>
      </c>
      <c r="E82" s="49">
        <v>30</v>
      </c>
      <c r="F82" s="85">
        <v>45938</v>
      </c>
      <c r="G82" s="86">
        <v>0.375</v>
      </c>
      <c r="H82" s="85">
        <v>45937</v>
      </c>
      <c r="I82" s="86">
        <v>0.9375</v>
      </c>
      <c r="J82" s="87">
        <f t="shared" si="12"/>
        <v>-2</v>
      </c>
      <c r="K82" s="8">
        <v>1</v>
      </c>
      <c r="L82" s="88">
        <v>32</v>
      </c>
      <c r="M82" s="91" t="s">
        <v>132</v>
      </c>
    </row>
    <row r="83" spans="1:13" s="5" customFormat="1" ht="35.4" customHeight="1" x14ac:dyDescent="0.2">
      <c r="A83" s="33" t="s">
        <v>131</v>
      </c>
      <c r="B83" s="85" t="s">
        <v>21</v>
      </c>
      <c r="C83" s="85" t="s">
        <v>22</v>
      </c>
      <c r="D83" s="49">
        <v>1</v>
      </c>
      <c r="E83" s="49">
        <v>30</v>
      </c>
      <c r="F83" s="85">
        <v>45938</v>
      </c>
      <c r="G83" s="86">
        <v>0.375</v>
      </c>
      <c r="H83" s="85">
        <v>45937</v>
      </c>
      <c r="I83" s="86">
        <v>0.9375</v>
      </c>
      <c r="J83" s="87">
        <f t="shared" si="12"/>
        <v>-2</v>
      </c>
      <c r="K83" s="8">
        <v>1</v>
      </c>
      <c r="L83" s="88">
        <v>32</v>
      </c>
      <c r="M83" s="91" t="s">
        <v>132</v>
      </c>
    </row>
    <row r="84" spans="1:13" s="5" customFormat="1" ht="35.4" customHeight="1" x14ac:dyDescent="0.2">
      <c r="A84" s="33" t="s">
        <v>131</v>
      </c>
      <c r="B84" s="85" t="s">
        <v>136</v>
      </c>
      <c r="C84" s="85" t="s">
        <v>34</v>
      </c>
      <c r="D84" s="49">
        <v>1</v>
      </c>
      <c r="E84" s="49">
        <v>30</v>
      </c>
      <c r="F84" s="85">
        <v>45938</v>
      </c>
      <c r="G84" s="86">
        <v>0.375</v>
      </c>
      <c r="H84" s="85">
        <v>45937</v>
      </c>
      <c r="I84" s="86">
        <v>0.9375</v>
      </c>
      <c r="J84" s="87">
        <f t="shared" si="12"/>
        <v>-2</v>
      </c>
      <c r="K84" s="8">
        <v>1</v>
      </c>
      <c r="L84" s="88">
        <v>32</v>
      </c>
      <c r="M84" s="91" t="s">
        <v>132</v>
      </c>
    </row>
    <row r="85" spans="1:13" s="5" customFormat="1" ht="35.4" customHeight="1" x14ac:dyDescent="0.2">
      <c r="A85" s="33" t="s">
        <v>131</v>
      </c>
      <c r="B85" s="85" t="s">
        <v>39</v>
      </c>
      <c r="C85" s="85" t="s">
        <v>40</v>
      </c>
      <c r="D85" s="49">
        <v>1</v>
      </c>
      <c r="E85" s="49">
        <v>30</v>
      </c>
      <c r="F85" s="85">
        <v>45938</v>
      </c>
      <c r="G85" s="86">
        <v>0.375</v>
      </c>
      <c r="H85" s="85">
        <v>45937</v>
      </c>
      <c r="I85" s="86">
        <v>0.9375</v>
      </c>
      <c r="J85" s="87">
        <f t="shared" si="12"/>
        <v>-2</v>
      </c>
      <c r="K85" s="8">
        <v>1</v>
      </c>
      <c r="L85" s="88">
        <v>32</v>
      </c>
      <c r="M85" s="91" t="s">
        <v>132</v>
      </c>
    </row>
    <row r="86" spans="1:13" s="5" customFormat="1" ht="35.4" customHeight="1" x14ac:dyDescent="0.2">
      <c r="A86" s="33" t="s">
        <v>133</v>
      </c>
      <c r="B86" s="85" t="s">
        <v>21</v>
      </c>
      <c r="C86" s="85" t="s">
        <v>22</v>
      </c>
      <c r="D86" s="49">
        <v>3</v>
      </c>
      <c r="E86" s="49">
        <v>20</v>
      </c>
      <c r="F86" s="85">
        <v>45938</v>
      </c>
      <c r="G86" s="86">
        <v>0.375</v>
      </c>
      <c r="H86" s="85">
        <v>45938</v>
      </c>
      <c r="I86" s="86">
        <v>0.375</v>
      </c>
      <c r="J86" s="87">
        <f t="shared" si="12"/>
        <v>5</v>
      </c>
      <c r="K86" s="8">
        <v>3</v>
      </c>
      <c r="L86" s="88">
        <v>15</v>
      </c>
      <c r="M86" s="91" t="s">
        <v>134</v>
      </c>
    </row>
    <row r="87" spans="1:13" s="5" customFormat="1" ht="35.4" customHeight="1" x14ac:dyDescent="0.25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s="5" customFormat="1" ht="37.5" customHeight="1" x14ac:dyDescent="0.25">
      <c r="A88" s="4"/>
      <c r="B88" s="4"/>
      <c r="C88" s="4"/>
      <c r="D88" s="4"/>
      <c r="E88" s="4"/>
      <c r="F88" s="4"/>
      <c r="G88" s="4"/>
      <c r="H88" s="4"/>
      <c r="I88" s="3"/>
      <c r="J88" s="3"/>
      <c r="K88" s="2"/>
      <c r="L88" s="1"/>
      <c r="M88" s="1"/>
    </row>
    <row r="103" customFormat="1" x14ac:dyDescent="0.25"/>
    <row r="104" customFormat="1" x14ac:dyDescent="0.25"/>
    <row r="117" spans="1:20" s="4" customFormat="1" ht="30" customHeight="1" x14ac:dyDescent="0.25">
      <c r="I117" s="3"/>
      <c r="J117" s="3"/>
      <c r="K117" s="2"/>
      <c r="L117" s="1"/>
      <c r="M117" s="1"/>
      <c r="N117"/>
      <c r="O117"/>
      <c r="P117"/>
      <c r="Q117"/>
      <c r="R117"/>
      <c r="S117"/>
      <c r="T117"/>
    </row>
    <row r="118" spans="1:20" s="4" customFormat="1" ht="23.25" customHeight="1" x14ac:dyDescent="0.25">
      <c r="I118" s="3"/>
      <c r="J118" s="3"/>
      <c r="K118" s="2"/>
      <c r="L118" s="1"/>
      <c r="M118" s="1"/>
      <c r="N118"/>
      <c r="O118"/>
      <c r="P118"/>
      <c r="Q118"/>
      <c r="R118"/>
      <c r="S118"/>
      <c r="T118"/>
    </row>
    <row r="125" spans="1:20" s="5" customFormat="1" ht="12" customHeight="1" x14ac:dyDescent="0.25">
      <c r="A125" s="4"/>
      <c r="B125" s="4"/>
      <c r="C125" s="4"/>
      <c r="D125" s="4"/>
      <c r="E125" s="4"/>
      <c r="F125" s="4"/>
      <c r="G125" s="4"/>
      <c r="H125" s="4"/>
      <c r="I125" s="3"/>
      <c r="J125" s="3"/>
      <c r="K125" s="2"/>
      <c r="L125" s="1"/>
      <c r="M125" s="1"/>
    </row>
    <row r="129" spans="9:20" x14ac:dyDescent="0.25">
      <c r="Q129" s="42" t="e">
        <f>SUM(#REF!)</f>
        <v>#REF!</v>
      </c>
      <c r="R129" s="42" t="e">
        <f>SUM(#REF!)</f>
        <v>#REF!</v>
      </c>
      <c r="S129" s="42" t="e">
        <f>SUM(#REF!)</f>
        <v>#REF!</v>
      </c>
      <c r="T129" s="42" t="e">
        <f>SUM(#REF!)</f>
        <v>#REF!</v>
      </c>
    </row>
    <row r="130" spans="9:20" ht="35.25" customHeight="1" x14ac:dyDescent="0.25"/>
    <row r="131" spans="9:20" ht="36.75" customHeight="1" x14ac:dyDescent="0.25"/>
    <row r="132" spans="9:20" ht="33.75" customHeight="1" x14ac:dyDescent="0.25"/>
    <row r="133" spans="9:20" ht="26.25" customHeight="1" x14ac:dyDescent="0.25"/>
    <row r="134" spans="9:20" ht="27.75" customHeight="1" x14ac:dyDescent="0.25"/>
    <row r="135" spans="9:20" s="4" customFormat="1" ht="40.5" customHeight="1" x14ac:dyDescent="0.25">
      <c r="I135" s="3"/>
      <c r="J135" s="3"/>
      <c r="K135" s="2"/>
      <c r="L135" s="1"/>
      <c r="M135" s="1"/>
      <c r="N135"/>
      <c r="O135"/>
      <c r="P135"/>
      <c r="Q135"/>
      <c r="R135"/>
      <c r="S135"/>
      <c r="T13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529F-47E1-421E-AB8D-C5C8E22856D2}">
  <dimension ref="A1:T139"/>
  <sheetViews>
    <sheetView topLeftCell="B97" zoomScale="84" zoomScaleNormal="76" workbookViewId="0">
      <selection activeCell="E117" sqref="E117"/>
    </sheetView>
  </sheetViews>
  <sheetFormatPr baseColWidth="10" defaultColWidth="11.44140625" defaultRowHeight="13.2" x14ac:dyDescent="0.25"/>
  <cols>
    <col min="1" max="1" width="18.6640625" style="4" bestFit="1" customWidth="1"/>
    <col min="2" max="2" width="45.44140625" style="4" bestFit="1" customWidth="1"/>
    <col min="3" max="3" width="36.6640625" style="4" bestFit="1" customWidth="1"/>
    <col min="4" max="4" width="21.33203125" style="4" bestFit="1" customWidth="1"/>
    <col min="5" max="5" width="21.5546875" style="4" bestFit="1" customWidth="1"/>
    <col min="6" max="8" width="10.6640625" style="4" customWidth="1"/>
    <col min="9" max="10" width="10.6640625" style="3" customWidth="1"/>
    <col min="11" max="11" width="10.6640625" style="2" customWidth="1"/>
    <col min="12" max="12" width="10.6640625" style="1" customWidth="1"/>
    <col min="13" max="13" width="48.109375" style="1" bestFit="1" customWidth="1"/>
    <col min="14" max="14" width="10.6640625" customWidth="1"/>
  </cols>
  <sheetData>
    <row r="1" spans="1:20" ht="32.25" customHeight="1" x14ac:dyDescent="0.25">
      <c r="A1" s="175"/>
      <c r="B1" s="177" t="s">
        <v>0</v>
      </c>
      <c r="C1" s="177"/>
      <c r="D1" s="177"/>
      <c r="E1" s="177"/>
      <c r="F1" s="177"/>
      <c r="G1" s="177"/>
      <c r="H1" s="177"/>
      <c r="I1" s="177"/>
      <c r="J1" s="177"/>
      <c r="K1" s="177"/>
      <c r="L1" s="179"/>
      <c r="M1" s="180"/>
    </row>
    <row r="2" spans="1:20" ht="20.25" customHeight="1" x14ac:dyDescent="0.25">
      <c r="A2" s="176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81"/>
      <c r="M2" s="182"/>
    </row>
    <row r="3" spans="1:20" ht="12.75" customHeight="1" x14ac:dyDescent="0.25">
      <c r="A3" s="183" t="s">
        <v>1</v>
      </c>
      <c r="B3" s="185" t="s">
        <v>2</v>
      </c>
      <c r="C3" s="185"/>
      <c r="D3" s="185"/>
      <c r="E3" s="185"/>
      <c r="F3" s="185"/>
      <c r="G3" s="185"/>
      <c r="H3" s="185"/>
      <c r="I3" s="185"/>
      <c r="J3" s="185"/>
      <c r="K3" s="185"/>
      <c r="L3" s="187" t="s">
        <v>3</v>
      </c>
      <c r="M3" s="188"/>
    </row>
    <row r="4" spans="1:20" ht="13.8" thickBot="1" x14ac:dyDescent="0.3">
      <c r="A4" s="184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6" t="s">
        <v>4</v>
      </c>
      <c r="M4" s="15"/>
    </row>
    <row r="5" spans="1:20" ht="13.8" thickBot="1" x14ac:dyDescent="0.3"/>
    <row r="6" spans="1:20" ht="14.4" thickBot="1" x14ac:dyDescent="0.3">
      <c r="A6" s="24" t="s">
        <v>5</v>
      </c>
      <c r="B6" s="171" t="s">
        <v>6</v>
      </c>
      <c r="C6" s="171"/>
      <c r="D6" s="171"/>
      <c r="E6" s="171"/>
      <c r="F6" s="171"/>
      <c r="G6" s="171"/>
      <c r="H6" s="172" t="s">
        <v>7</v>
      </c>
      <c r="I6" s="173"/>
      <c r="J6" s="173"/>
      <c r="K6" s="173"/>
      <c r="L6" s="174"/>
      <c r="M6" s="25"/>
    </row>
    <row r="7" spans="1:20" s="14" customFormat="1" ht="49.5" customHeight="1" x14ac:dyDescent="0.25">
      <c r="A7" s="18" cm="1">
        <f t="array" aca="1" ref="A7" ca="1">+A71+A1:L7+A7:L7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5">
      <c r="A8" s="23" t="s">
        <v>474</v>
      </c>
      <c r="B8" s="85" t="s">
        <v>36</v>
      </c>
      <c r="C8" s="85" t="s">
        <v>37</v>
      </c>
      <c r="D8" s="84">
        <v>1</v>
      </c>
      <c r="E8" s="49">
        <v>30</v>
      </c>
      <c r="F8" s="80">
        <v>45945</v>
      </c>
      <c r="G8" s="81">
        <v>0.375</v>
      </c>
      <c r="H8" s="85">
        <v>45943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5">
      <c r="A9" s="23" t="s">
        <v>474</v>
      </c>
      <c r="B9" s="85" t="s">
        <v>30</v>
      </c>
      <c r="C9" s="85" t="s">
        <v>31</v>
      </c>
      <c r="D9" s="84">
        <v>1</v>
      </c>
      <c r="E9" s="49">
        <v>30</v>
      </c>
      <c r="F9" s="80">
        <v>45945</v>
      </c>
      <c r="G9" s="81">
        <v>0.375</v>
      </c>
      <c r="H9" s="85">
        <v>45943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475</v>
      </c>
      <c r="O9" s="5" t="s">
        <v>155</v>
      </c>
    </row>
    <row r="10" spans="1:20" s="5" customFormat="1" ht="78.75" customHeight="1" x14ac:dyDescent="0.25">
      <c r="A10" s="79" t="s">
        <v>473</v>
      </c>
      <c r="B10" s="53" t="s">
        <v>36</v>
      </c>
      <c r="C10" s="53" t="s">
        <v>37</v>
      </c>
      <c r="D10" s="84">
        <v>1</v>
      </c>
      <c r="E10" s="49">
        <v>30</v>
      </c>
      <c r="F10" s="80">
        <v>45945</v>
      </c>
      <c r="G10" s="81">
        <v>0.375</v>
      </c>
      <c r="H10" s="80">
        <v>45943</v>
      </c>
      <c r="I10" s="81">
        <v>0.41666666666666669</v>
      </c>
      <c r="J10" s="87">
        <f t="shared" ref="J10:J67" si="0">E10-L10</f>
        <v>2</v>
      </c>
      <c r="K10" s="53">
        <v>1</v>
      </c>
      <c r="L10" s="53">
        <v>28</v>
      </c>
      <c r="M10" s="79" t="s">
        <v>476</v>
      </c>
    </row>
    <row r="11" spans="1:20" s="5" customFormat="1" ht="75" customHeight="1" x14ac:dyDescent="0.25">
      <c r="A11" s="79" t="s">
        <v>473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45945</v>
      </c>
      <c r="G11" s="81">
        <v>0.375</v>
      </c>
      <c r="H11" s="80">
        <v>45943</v>
      </c>
      <c r="I11" s="81">
        <v>0.41666666666666669</v>
      </c>
      <c r="J11" s="87">
        <f t="shared" si="0"/>
        <v>2</v>
      </c>
      <c r="K11" s="53">
        <v>1</v>
      </c>
      <c r="L11" s="53">
        <v>28</v>
      </c>
      <c r="M11" s="79" t="s">
        <v>476</v>
      </c>
    </row>
    <row r="12" spans="1:20" s="5" customFormat="1" ht="84.75" customHeight="1" x14ac:dyDescent="0.25">
      <c r="A12" s="100" t="s">
        <v>477</v>
      </c>
      <c r="B12" s="53" t="s">
        <v>36</v>
      </c>
      <c r="C12" s="53" t="s">
        <v>37</v>
      </c>
      <c r="D12" s="84">
        <v>1</v>
      </c>
      <c r="E12" s="49">
        <v>30</v>
      </c>
      <c r="F12" s="80">
        <v>45945</v>
      </c>
      <c r="G12" s="81">
        <v>0.375</v>
      </c>
      <c r="H12" s="80">
        <v>45943</v>
      </c>
      <c r="I12" s="81">
        <v>0.4375</v>
      </c>
      <c r="J12" s="87">
        <f t="shared" si="0"/>
        <v>1</v>
      </c>
      <c r="K12" s="53">
        <v>1</v>
      </c>
      <c r="L12" s="53">
        <v>29</v>
      </c>
      <c r="M12" s="79" t="s">
        <v>478</v>
      </c>
    </row>
    <row r="13" spans="1:20" s="5" customFormat="1" ht="81.75" customHeight="1" x14ac:dyDescent="0.25">
      <c r="A13" s="79" t="s">
        <v>477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45945</v>
      </c>
      <c r="G13" s="81">
        <v>0.375</v>
      </c>
      <c r="H13" s="80">
        <v>45943</v>
      </c>
      <c r="I13" s="81">
        <v>0.4375</v>
      </c>
      <c r="J13" s="87">
        <f t="shared" si="0"/>
        <v>1</v>
      </c>
      <c r="K13" s="53">
        <v>1</v>
      </c>
      <c r="L13" s="53">
        <v>29</v>
      </c>
      <c r="M13" s="79" t="s">
        <v>478</v>
      </c>
    </row>
    <row r="14" spans="1:20" s="5" customFormat="1" ht="61.5" customHeight="1" x14ac:dyDescent="0.25">
      <c r="A14" s="79" t="s">
        <v>479</v>
      </c>
      <c r="B14" s="53" t="s">
        <v>30</v>
      </c>
      <c r="C14" s="53" t="s">
        <v>31</v>
      </c>
      <c r="D14" s="84">
        <v>1</v>
      </c>
      <c r="E14" s="49">
        <v>30</v>
      </c>
      <c r="F14" s="80">
        <v>45945</v>
      </c>
      <c r="G14" s="81">
        <v>0.375</v>
      </c>
      <c r="H14" s="80">
        <v>45943</v>
      </c>
      <c r="I14" s="81">
        <v>0.41666666666666669</v>
      </c>
      <c r="J14" s="87">
        <f t="shared" si="0"/>
        <v>3</v>
      </c>
      <c r="K14" s="53">
        <v>2</v>
      </c>
      <c r="L14" s="53">
        <v>27</v>
      </c>
      <c r="M14" s="79" t="s">
        <v>480</v>
      </c>
    </row>
    <row r="15" spans="1:20" s="5" customFormat="1" ht="61.5" customHeight="1" x14ac:dyDescent="0.25">
      <c r="A15" s="79" t="s">
        <v>479</v>
      </c>
      <c r="B15" s="53" t="s">
        <v>39</v>
      </c>
      <c r="C15" s="53" t="s">
        <v>40</v>
      </c>
      <c r="D15" s="84">
        <v>1</v>
      </c>
      <c r="E15" s="49">
        <v>30</v>
      </c>
      <c r="F15" s="80">
        <v>45945</v>
      </c>
      <c r="G15" s="81">
        <v>0.375</v>
      </c>
      <c r="H15" s="80">
        <v>45943</v>
      </c>
      <c r="I15" s="81">
        <v>0.41666666666666669</v>
      </c>
      <c r="J15" s="87">
        <f t="shared" si="0"/>
        <v>3</v>
      </c>
      <c r="K15" s="53">
        <v>2</v>
      </c>
      <c r="L15" s="53">
        <v>27</v>
      </c>
      <c r="M15" s="79" t="s">
        <v>480</v>
      </c>
    </row>
    <row r="16" spans="1:20" s="5" customFormat="1" ht="63" customHeight="1" x14ac:dyDescent="0.25">
      <c r="A16" s="99" t="s">
        <v>481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45945</v>
      </c>
      <c r="G16" s="81">
        <v>0.375</v>
      </c>
      <c r="H16" s="80">
        <v>45943</v>
      </c>
      <c r="I16" s="81">
        <v>0.41666666666666669</v>
      </c>
      <c r="J16" s="87">
        <f t="shared" si="0"/>
        <v>0</v>
      </c>
      <c r="K16" s="53">
        <v>2</v>
      </c>
      <c r="L16" s="53">
        <v>30</v>
      </c>
      <c r="M16" s="79" t="s">
        <v>482</v>
      </c>
    </row>
    <row r="17" spans="1:13" s="5" customFormat="1" ht="63" customHeight="1" x14ac:dyDescent="0.25">
      <c r="A17" s="99" t="s">
        <v>481</v>
      </c>
      <c r="B17" s="53" t="s">
        <v>136</v>
      </c>
      <c r="C17" s="53" t="s">
        <v>34</v>
      </c>
      <c r="D17" s="84">
        <v>1</v>
      </c>
      <c r="E17" s="49">
        <v>30</v>
      </c>
      <c r="F17" s="80">
        <v>45945</v>
      </c>
      <c r="G17" s="81">
        <v>0.375</v>
      </c>
      <c r="H17" s="80">
        <v>45943</v>
      </c>
      <c r="I17" s="81">
        <v>0.41666666666666669</v>
      </c>
      <c r="J17" s="87">
        <f t="shared" si="0"/>
        <v>0</v>
      </c>
      <c r="K17" s="53">
        <v>2</v>
      </c>
      <c r="L17" s="53">
        <v>30</v>
      </c>
      <c r="M17" s="79" t="s">
        <v>482</v>
      </c>
    </row>
    <row r="18" spans="1:13" s="5" customFormat="1" ht="75" customHeight="1" x14ac:dyDescent="0.25">
      <c r="A18" s="99" t="s">
        <v>483</v>
      </c>
      <c r="B18" s="53" t="s">
        <v>21</v>
      </c>
      <c r="C18" s="53" t="s">
        <v>22</v>
      </c>
      <c r="D18" s="84">
        <v>1</v>
      </c>
      <c r="E18" s="49">
        <v>30</v>
      </c>
      <c r="F18" s="80">
        <v>45945</v>
      </c>
      <c r="G18" s="81">
        <v>0.375</v>
      </c>
      <c r="H18" s="80">
        <v>45943</v>
      </c>
      <c r="I18" s="81">
        <v>0.4375</v>
      </c>
      <c r="J18" s="87">
        <f t="shared" si="0"/>
        <v>4</v>
      </c>
      <c r="K18" s="53">
        <v>1</v>
      </c>
      <c r="L18" s="53">
        <v>26</v>
      </c>
      <c r="M18" s="79" t="s">
        <v>484</v>
      </c>
    </row>
    <row r="19" spans="1:13" s="5" customFormat="1" ht="72.75" customHeight="1" x14ac:dyDescent="0.25">
      <c r="A19" s="101" t="s">
        <v>483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45945</v>
      </c>
      <c r="G19" s="81">
        <v>0.375</v>
      </c>
      <c r="H19" s="80">
        <v>45943</v>
      </c>
      <c r="I19" s="81">
        <v>0.4375</v>
      </c>
      <c r="J19" s="87">
        <f t="shared" si="0"/>
        <v>4</v>
      </c>
      <c r="K19" s="53">
        <v>1</v>
      </c>
      <c r="L19" s="53">
        <v>26</v>
      </c>
      <c r="M19" s="79" t="s">
        <v>484</v>
      </c>
    </row>
    <row r="20" spans="1:13" s="5" customFormat="1" ht="77.25" customHeight="1" x14ac:dyDescent="0.25">
      <c r="A20" s="79" t="s">
        <v>485</v>
      </c>
      <c r="B20" s="53" t="s">
        <v>21</v>
      </c>
      <c r="C20" s="53" t="s">
        <v>22</v>
      </c>
      <c r="D20" s="84">
        <v>1</v>
      </c>
      <c r="E20" s="49">
        <v>30</v>
      </c>
      <c r="F20" s="80">
        <v>45945</v>
      </c>
      <c r="G20" s="81">
        <v>0.375</v>
      </c>
      <c r="H20" s="80">
        <v>45943</v>
      </c>
      <c r="I20" s="81">
        <v>0.45833333333333331</v>
      </c>
      <c r="J20" s="87">
        <f t="shared" si="0"/>
        <v>0</v>
      </c>
      <c r="K20" s="53">
        <v>1</v>
      </c>
      <c r="L20" s="53">
        <v>30</v>
      </c>
      <c r="M20" s="79" t="s">
        <v>486</v>
      </c>
    </row>
    <row r="21" spans="1:13" s="5" customFormat="1" ht="70.5" customHeight="1" x14ac:dyDescent="0.25">
      <c r="A21" s="79" t="s">
        <v>485</v>
      </c>
      <c r="B21" s="53" t="s">
        <v>136</v>
      </c>
      <c r="C21" s="53" t="s">
        <v>34</v>
      </c>
      <c r="D21" s="84">
        <v>1</v>
      </c>
      <c r="E21" s="49">
        <v>30</v>
      </c>
      <c r="F21" s="80">
        <v>45945</v>
      </c>
      <c r="G21" s="81">
        <v>0.375</v>
      </c>
      <c r="H21" s="80">
        <v>45943</v>
      </c>
      <c r="I21" s="81">
        <v>0.45833333333333331</v>
      </c>
      <c r="J21" s="87">
        <f t="shared" si="0"/>
        <v>0</v>
      </c>
      <c r="K21" s="53">
        <v>1</v>
      </c>
      <c r="L21" s="53">
        <v>30</v>
      </c>
      <c r="M21" s="79" t="s">
        <v>486</v>
      </c>
    </row>
    <row r="22" spans="1:13" s="5" customFormat="1" ht="66" customHeight="1" x14ac:dyDescent="0.25">
      <c r="A22" s="79" t="s">
        <v>487</v>
      </c>
      <c r="B22" s="53" t="s">
        <v>36</v>
      </c>
      <c r="C22" s="53" t="s">
        <v>37</v>
      </c>
      <c r="D22" s="84">
        <v>1</v>
      </c>
      <c r="E22" s="49">
        <v>30</v>
      </c>
      <c r="F22" s="80">
        <v>45945</v>
      </c>
      <c r="G22" s="81">
        <v>0.375</v>
      </c>
      <c r="H22" s="80">
        <v>45943</v>
      </c>
      <c r="I22" s="81">
        <v>0.45833333333333331</v>
      </c>
      <c r="J22" s="87">
        <f t="shared" si="0"/>
        <v>2</v>
      </c>
      <c r="K22" s="53">
        <v>1</v>
      </c>
      <c r="L22" s="53">
        <v>28</v>
      </c>
      <c r="M22" s="79" t="s">
        <v>488</v>
      </c>
    </row>
    <row r="23" spans="1:13" s="5" customFormat="1" ht="69" customHeight="1" x14ac:dyDescent="0.25">
      <c r="A23" s="79" t="s">
        <v>487</v>
      </c>
      <c r="B23" s="53" t="s">
        <v>42</v>
      </c>
      <c r="C23" s="53" t="s">
        <v>43</v>
      </c>
      <c r="D23" s="84">
        <v>1</v>
      </c>
      <c r="E23" s="49">
        <v>30</v>
      </c>
      <c r="F23" s="80">
        <v>45945</v>
      </c>
      <c r="G23" s="81">
        <v>0.375</v>
      </c>
      <c r="H23" s="80">
        <v>45943</v>
      </c>
      <c r="I23" s="81">
        <v>0.45833333333333331</v>
      </c>
      <c r="J23" s="87">
        <f t="shared" si="0"/>
        <v>2</v>
      </c>
      <c r="K23" s="53">
        <v>1</v>
      </c>
      <c r="L23" s="53">
        <v>28</v>
      </c>
      <c r="M23" s="79" t="s">
        <v>488</v>
      </c>
    </row>
    <row r="24" spans="1:13" s="5" customFormat="1" ht="60" customHeight="1" x14ac:dyDescent="0.25">
      <c r="A24" s="79" t="s">
        <v>489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45945</v>
      </c>
      <c r="G24" s="81">
        <v>0.375</v>
      </c>
      <c r="H24" s="80">
        <v>45943</v>
      </c>
      <c r="I24" s="81">
        <v>0.47916666666666669</v>
      </c>
      <c r="J24" s="87">
        <f t="shared" si="0"/>
        <v>2</v>
      </c>
      <c r="K24" s="53">
        <v>1</v>
      </c>
      <c r="L24" s="53">
        <v>28</v>
      </c>
      <c r="M24" s="79" t="s">
        <v>490</v>
      </c>
    </row>
    <row r="25" spans="1:13" s="5" customFormat="1" ht="59.25" customHeight="1" x14ac:dyDescent="0.25">
      <c r="A25" s="79" t="s">
        <v>489</v>
      </c>
      <c r="B25" s="53" t="s">
        <v>42</v>
      </c>
      <c r="C25" s="53" t="s">
        <v>43</v>
      </c>
      <c r="D25" s="84">
        <v>1</v>
      </c>
      <c r="E25" s="49">
        <v>30</v>
      </c>
      <c r="F25" s="80">
        <v>45945</v>
      </c>
      <c r="G25" s="81">
        <v>0.375</v>
      </c>
      <c r="H25" s="80">
        <v>45943</v>
      </c>
      <c r="I25" s="81">
        <v>0.47916666666666669</v>
      </c>
      <c r="J25" s="87">
        <f t="shared" si="0"/>
        <v>2</v>
      </c>
      <c r="K25" s="53">
        <v>1</v>
      </c>
      <c r="L25" s="53">
        <v>28</v>
      </c>
      <c r="M25" s="79" t="s">
        <v>490</v>
      </c>
    </row>
    <row r="26" spans="1:13" s="5" customFormat="1" ht="89.25" customHeight="1" x14ac:dyDescent="0.25">
      <c r="A26" s="79" t="s">
        <v>491</v>
      </c>
      <c r="B26" s="53" t="s">
        <v>21</v>
      </c>
      <c r="C26" s="53" t="s">
        <v>22</v>
      </c>
      <c r="D26" s="84">
        <v>1</v>
      </c>
      <c r="E26" s="49">
        <v>30</v>
      </c>
      <c r="F26" s="80">
        <v>45945</v>
      </c>
      <c r="G26" s="81">
        <v>0.375</v>
      </c>
      <c r="H26" s="80">
        <v>45943</v>
      </c>
      <c r="I26" s="81">
        <v>0.75</v>
      </c>
      <c r="J26" s="87">
        <f t="shared" si="0"/>
        <v>0</v>
      </c>
      <c r="K26" s="53">
        <v>1</v>
      </c>
      <c r="L26" s="53">
        <v>30</v>
      </c>
      <c r="M26" s="79" t="s">
        <v>492</v>
      </c>
    </row>
    <row r="27" spans="1:13" s="5" customFormat="1" ht="87" customHeight="1" x14ac:dyDescent="0.25">
      <c r="A27" s="79" t="s">
        <v>491</v>
      </c>
      <c r="B27" s="53" t="s">
        <v>30</v>
      </c>
      <c r="C27" s="53" t="s">
        <v>31</v>
      </c>
      <c r="D27" s="84">
        <v>1</v>
      </c>
      <c r="E27" s="49">
        <v>30</v>
      </c>
      <c r="F27" s="80">
        <v>45945</v>
      </c>
      <c r="G27" s="81">
        <v>0.375</v>
      </c>
      <c r="H27" s="80">
        <v>45943</v>
      </c>
      <c r="I27" s="81">
        <v>0.75</v>
      </c>
      <c r="J27" s="87">
        <f t="shared" si="0"/>
        <v>0</v>
      </c>
      <c r="K27" s="53">
        <v>1</v>
      </c>
      <c r="L27" s="53">
        <v>30</v>
      </c>
      <c r="M27" s="79" t="s">
        <v>492</v>
      </c>
    </row>
    <row r="28" spans="1:13" s="5" customFormat="1" ht="48.75" customHeight="1" x14ac:dyDescent="0.25">
      <c r="A28" s="79" t="s">
        <v>491</v>
      </c>
      <c r="B28" s="53" t="s">
        <v>136</v>
      </c>
      <c r="C28" s="53" t="s">
        <v>34</v>
      </c>
      <c r="D28" s="84">
        <v>1</v>
      </c>
      <c r="E28" s="49">
        <v>30</v>
      </c>
      <c r="F28" s="80">
        <v>45945</v>
      </c>
      <c r="G28" s="81">
        <v>0.375</v>
      </c>
      <c r="H28" s="80">
        <v>45943</v>
      </c>
      <c r="I28" s="81">
        <v>0.75</v>
      </c>
      <c r="J28" s="87">
        <f t="shared" si="0"/>
        <v>0</v>
      </c>
      <c r="K28" s="53">
        <v>1</v>
      </c>
      <c r="L28" s="53">
        <v>30</v>
      </c>
      <c r="M28" s="79" t="s">
        <v>492</v>
      </c>
    </row>
    <row r="29" spans="1:13" s="5" customFormat="1" ht="36.75" customHeight="1" x14ac:dyDescent="0.25">
      <c r="A29" s="79" t="s">
        <v>491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45945</v>
      </c>
      <c r="G29" s="81">
        <v>0.375</v>
      </c>
      <c r="H29" s="80">
        <v>45943</v>
      </c>
      <c r="I29" s="81">
        <v>0.75</v>
      </c>
      <c r="J29" s="87">
        <f t="shared" si="0"/>
        <v>0</v>
      </c>
      <c r="K29" s="53">
        <v>1</v>
      </c>
      <c r="L29" s="53">
        <v>30</v>
      </c>
      <c r="M29" s="79" t="s">
        <v>492</v>
      </c>
    </row>
    <row r="30" spans="1:13" s="5" customFormat="1" ht="37.5" customHeight="1" x14ac:dyDescent="0.25">
      <c r="A30" s="79" t="s">
        <v>491</v>
      </c>
      <c r="B30" s="53" t="s">
        <v>36</v>
      </c>
      <c r="C30" s="53" t="s">
        <v>37</v>
      </c>
      <c r="D30" s="84">
        <v>1</v>
      </c>
      <c r="E30" s="49">
        <v>30</v>
      </c>
      <c r="F30" s="80">
        <v>45945</v>
      </c>
      <c r="G30" s="81">
        <v>0.375</v>
      </c>
      <c r="H30" s="80">
        <v>45943</v>
      </c>
      <c r="I30" s="81">
        <v>0.75</v>
      </c>
      <c r="J30" s="87">
        <f t="shared" si="0"/>
        <v>0</v>
      </c>
      <c r="K30" s="53">
        <v>1</v>
      </c>
      <c r="L30" s="53">
        <v>30</v>
      </c>
      <c r="M30" s="79" t="s">
        <v>492</v>
      </c>
    </row>
    <row r="31" spans="1:13" s="5" customFormat="1" ht="38.25" customHeight="1" x14ac:dyDescent="0.25">
      <c r="A31" s="79" t="s">
        <v>491</v>
      </c>
      <c r="B31" s="53" t="s">
        <v>42</v>
      </c>
      <c r="C31" s="53" t="s">
        <v>43</v>
      </c>
      <c r="D31" s="84">
        <v>1</v>
      </c>
      <c r="E31" s="49">
        <v>30</v>
      </c>
      <c r="F31" s="80">
        <v>45945</v>
      </c>
      <c r="G31" s="81">
        <v>0.375</v>
      </c>
      <c r="H31" s="80">
        <v>45943</v>
      </c>
      <c r="I31" s="81">
        <v>0.75</v>
      </c>
      <c r="J31" s="87">
        <f t="shared" si="0"/>
        <v>0</v>
      </c>
      <c r="K31" s="53">
        <v>1</v>
      </c>
      <c r="L31" s="53">
        <v>30</v>
      </c>
      <c r="M31" s="79" t="s">
        <v>492</v>
      </c>
    </row>
    <row r="32" spans="1:13" s="5" customFormat="1" ht="38.25" customHeight="1" x14ac:dyDescent="0.25">
      <c r="A32" s="79" t="s">
        <v>493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45945</v>
      </c>
      <c r="G32" s="81">
        <v>0.375</v>
      </c>
      <c r="H32" s="80">
        <v>45943</v>
      </c>
      <c r="I32" s="81">
        <v>0.77083333333333337</v>
      </c>
      <c r="J32" s="87">
        <f t="shared" si="0"/>
        <v>2</v>
      </c>
      <c r="K32" s="53">
        <v>2</v>
      </c>
      <c r="L32" s="53">
        <v>28</v>
      </c>
      <c r="M32" s="79" t="s">
        <v>495</v>
      </c>
    </row>
    <row r="33" spans="1:13" s="5" customFormat="1" ht="38.25" customHeight="1" x14ac:dyDescent="0.25">
      <c r="A33" s="79" t="s">
        <v>493</v>
      </c>
      <c r="B33" s="53" t="s">
        <v>30</v>
      </c>
      <c r="C33" s="53" t="s">
        <v>31</v>
      </c>
      <c r="D33" s="84">
        <v>1</v>
      </c>
      <c r="E33" s="49">
        <v>30</v>
      </c>
      <c r="F33" s="80">
        <v>45945</v>
      </c>
      <c r="G33" s="81">
        <v>0.375</v>
      </c>
      <c r="H33" s="80">
        <v>45943</v>
      </c>
      <c r="I33" s="81">
        <v>0.77083333333333337</v>
      </c>
      <c r="J33" s="87">
        <f t="shared" si="0"/>
        <v>2</v>
      </c>
      <c r="K33" s="53">
        <v>2</v>
      </c>
      <c r="L33" s="53">
        <v>28</v>
      </c>
      <c r="M33" s="79" t="s">
        <v>495</v>
      </c>
    </row>
    <row r="34" spans="1:13" s="5" customFormat="1" ht="44.25" customHeight="1" x14ac:dyDescent="0.25">
      <c r="A34" s="79" t="s">
        <v>493</v>
      </c>
      <c r="B34" s="53" t="s">
        <v>136</v>
      </c>
      <c r="C34" s="53" t="s">
        <v>34</v>
      </c>
      <c r="D34" s="84">
        <v>1</v>
      </c>
      <c r="E34" s="49">
        <v>30</v>
      </c>
      <c r="F34" s="80">
        <v>45945</v>
      </c>
      <c r="G34" s="81">
        <v>0.375</v>
      </c>
      <c r="H34" s="80">
        <v>45943</v>
      </c>
      <c r="I34" s="81">
        <v>0.77083333333333337</v>
      </c>
      <c r="J34" s="87">
        <f t="shared" si="0"/>
        <v>2</v>
      </c>
      <c r="K34" s="53">
        <v>2</v>
      </c>
      <c r="L34" s="53">
        <v>28</v>
      </c>
      <c r="M34" s="79" t="s">
        <v>495</v>
      </c>
    </row>
    <row r="35" spans="1:13" s="5" customFormat="1" ht="55.5" customHeight="1" x14ac:dyDescent="0.25">
      <c r="A35" s="79" t="s">
        <v>493</v>
      </c>
      <c r="B35" s="53" t="s">
        <v>39</v>
      </c>
      <c r="C35" s="53" t="s">
        <v>40</v>
      </c>
      <c r="D35" s="84">
        <v>1</v>
      </c>
      <c r="E35" s="49">
        <v>30</v>
      </c>
      <c r="F35" s="80">
        <v>45945</v>
      </c>
      <c r="G35" s="81">
        <v>0.375</v>
      </c>
      <c r="H35" s="80">
        <v>45943</v>
      </c>
      <c r="I35" s="81">
        <v>0.77083333333333337</v>
      </c>
      <c r="J35" s="87">
        <f t="shared" si="0"/>
        <v>2</v>
      </c>
      <c r="K35" s="53">
        <v>2</v>
      </c>
      <c r="L35" s="53">
        <v>28</v>
      </c>
      <c r="M35" s="79" t="s">
        <v>495</v>
      </c>
    </row>
    <row r="36" spans="1:13" s="5" customFormat="1" ht="39" customHeight="1" x14ac:dyDescent="0.25">
      <c r="A36" s="79" t="s">
        <v>493</v>
      </c>
      <c r="B36" s="53" t="s">
        <v>36</v>
      </c>
      <c r="C36" s="53" t="s">
        <v>37</v>
      </c>
      <c r="D36" s="84">
        <v>1</v>
      </c>
      <c r="E36" s="49">
        <v>30</v>
      </c>
      <c r="F36" s="80">
        <v>45945</v>
      </c>
      <c r="G36" s="81">
        <v>0.375</v>
      </c>
      <c r="H36" s="80">
        <v>45943</v>
      </c>
      <c r="I36" s="81">
        <v>0.77083333333333337</v>
      </c>
      <c r="J36" s="87">
        <f t="shared" si="0"/>
        <v>2</v>
      </c>
      <c r="K36" s="53">
        <v>2</v>
      </c>
      <c r="L36" s="53">
        <v>28</v>
      </c>
      <c r="M36" s="79" t="s">
        <v>495</v>
      </c>
    </row>
    <row r="37" spans="1:13" s="5" customFormat="1" ht="42" customHeight="1" x14ac:dyDescent="0.25">
      <c r="A37" s="79" t="s">
        <v>493</v>
      </c>
      <c r="B37" s="53" t="s">
        <v>42</v>
      </c>
      <c r="C37" s="53" t="s">
        <v>43</v>
      </c>
      <c r="D37" s="84">
        <v>1</v>
      </c>
      <c r="E37" s="49">
        <v>30</v>
      </c>
      <c r="F37" s="80">
        <v>45945</v>
      </c>
      <c r="G37" s="81">
        <v>0.375</v>
      </c>
      <c r="H37" s="80">
        <v>45943</v>
      </c>
      <c r="I37" s="81">
        <v>0.77083333333333337</v>
      </c>
      <c r="J37" s="87">
        <f t="shared" si="0"/>
        <v>2</v>
      </c>
      <c r="K37" s="53">
        <v>2</v>
      </c>
      <c r="L37" s="53">
        <v>28</v>
      </c>
      <c r="M37" s="79" t="s">
        <v>495</v>
      </c>
    </row>
    <row r="38" spans="1:13" s="5" customFormat="1" ht="71.25" customHeight="1" x14ac:dyDescent="0.25">
      <c r="A38" s="79" t="s">
        <v>496</v>
      </c>
      <c r="B38" s="53" t="s">
        <v>36</v>
      </c>
      <c r="C38" s="53" t="s">
        <v>37</v>
      </c>
      <c r="D38" s="84">
        <v>1</v>
      </c>
      <c r="E38" s="49">
        <v>30</v>
      </c>
      <c r="F38" s="80">
        <v>45945</v>
      </c>
      <c r="G38" s="81">
        <v>0.375</v>
      </c>
      <c r="H38" s="80">
        <v>45943</v>
      </c>
      <c r="I38" s="81">
        <v>0.5</v>
      </c>
      <c r="J38" s="87">
        <f t="shared" si="0"/>
        <v>5</v>
      </c>
      <c r="K38" s="53">
        <v>1</v>
      </c>
      <c r="L38" s="53">
        <v>25</v>
      </c>
      <c r="M38" s="79" t="s">
        <v>497</v>
      </c>
    </row>
    <row r="39" spans="1:13" s="5" customFormat="1" ht="66" customHeight="1" x14ac:dyDescent="0.25">
      <c r="A39" s="79" t="s">
        <v>496</v>
      </c>
      <c r="B39" s="53" t="s">
        <v>42</v>
      </c>
      <c r="C39" s="53" t="s">
        <v>43</v>
      </c>
      <c r="D39" s="84">
        <v>1</v>
      </c>
      <c r="E39" s="49">
        <v>30</v>
      </c>
      <c r="F39" s="80">
        <v>45945</v>
      </c>
      <c r="G39" s="81">
        <v>0.375</v>
      </c>
      <c r="H39" s="80">
        <v>45943</v>
      </c>
      <c r="I39" s="81">
        <v>0.5</v>
      </c>
      <c r="J39" s="87">
        <f t="shared" si="0"/>
        <v>5</v>
      </c>
      <c r="K39" s="53">
        <v>1</v>
      </c>
      <c r="L39" s="53">
        <v>25</v>
      </c>
      <c r="M39" s="79" t="s">
        <v>497</v>
      </c>
    </row>
    <row r="40" spans="1:13" s="5" customFormat="1" ht="56.25" customHeight="1" x14ac:dyDescent="0.25">
      <c r="A40" s="79" t="s">
        <v>498</v>
      </c>
      <c r="B40" s="53" t="s">
        <v>21</v>
      </c>
      <c r="C40" s="53" t="s">
        <v>43</v>
      </c>
      <c r="D40" s="84">
        <v>1</v>
      </c>
      <c r="E40" s="49">
        <v>30</v>
      </c>
      <c r="F40" s="80">
        <v>45945</v>
      </c>
      <c r="G40" s="81">
        <v>0.375</v>
      </c>
      <c r="H40" s="80">
        <v>45943</v>
      </c>
      <c r="I40" s="81">
        <v>0.79166666666666663</v>
      </c>
      <c r="J40" s="87">
        <f t="shared" si="0"/>
        <v>4</v>
      </c>
      <c r="K40" s="53">
        <v>1</v>
      </c>
      <c r="L40" s="53">
        <v>26</v>
      </c>
      <c r="M40" s="79" t="s">
        <v>499</v>
      </c>
    </row>
    <row r="41" spans="1:13" s="5" customFormat="1" ht="63" customHeight="1" x14ac:dyDescent="0.25">
      <c r="A41" s="79" t="s">
        <v>498</v>
      </c>
      <c r="B41" s="53" t="s">
        <v>30</v>
      </c>
      <c r="C41" s="53" t="s">
        <v>31</v>
      </c>
      <c r="D41" s="84">
        <v>1</v>
      </c>
      <c r="E41" s="49">
        <v>30</v>
      </c>
      <c r="F41" s="80">
        <v>45945</v>
      </c>
      <c r="G41" s="81">
        <v>0.375</v>
      </c>
      <c r="H41" s="80">
        <v>45943</v>
      </c>
      <c r="I41" s="81">
        <v>0.79166666666666663</v>
      </c>
      <c r="J41" s="87">
        <f t="shared" si="0"/>
        <v>4</v>
      </c>
      <c r="K41" s="53">
        <v>1</v>
      </c>
      <c r="L41" s="53">
        <v>26</v>
      </c>
      <c r="M41" s="79" t="s">
        <v>499</v>
      </c>
    </row>
    <row r="42" spans="1:13" s="5" customFormat="1" ht="66" customHeight="1" x14ac:dyDescent="0.25">
      <c r="A42" s="79" t="s">
        <v>498</v>
      </c>
      <c r="B42" s="53" t="s">
        <v>136</v>
      </c>
      <c r="C42" s="53" t="s">
        <v>34</v>
      </c>
      <c r="D42" s="84">
        <v>1</v>
      </c>
      <c r="E42" s="49">
        <v>30</v>
      </c>
      <c r="F42" s="80">
        <v>45945</v>
      </c>
      <c r="G42" s="81">
        <v>0.375</v>
      </c>
      <c r="H42" s="80">
        <v>45943</v>
      </c>
      <c r="I42" s="81">
        <v>0.79166666666666663</v>
      </c>
      <c r="J42" s="87">
        <f t="shared" si="0"/>
        <v>4</v>
      </c>
      <c r="K42" s="53">
        <v>1</v>
      </c>
      <c r="L42" s="53">
        <v>26</v>
      </c>
      <c r="M42" s="79" t="s">
        <v>499</v>
      </c>
    </row>
    <row r="43" spans="1:13" s="5" customFormat="1" ht="58.5" customHeight="1" x14ac:dyDescent="0.25">
      <c r="A43" s="79" t="s">
        <v>498</v>
      </c>
      <c r="B43" s="53" t="s">
        <v>39</v>
      </c>
      <c r="C43" s="53" t="s">
        <v>40</v>
      </c>
      <c r="D43" s="84">
        <v>1</v>
      </c>
      <c r="E43" s="49">
        <v>30</v>
      </c>
      <c r="F43" s="80">
        <v>45945</v>
      </c>
      <c r="G43" s="81">
        <v>0.375</v>
      </c>
      <c r="H43" s="80">
        <v>45943</v>
      </c>
      <c r="I43" s="81">
        <v>0.79166666666666663</v>
      </c>
      <c r="J43" s="87">
        <f t="shared" si="0"/>
        <v>4</v>
      </c>
      <c r="K43" s="53">
        <v>1</v>
      </c>
      <c r="L43" s="53">
        <v>26</v>
      </c>
      <c r="M43" s="79" t="s">
        <v>499</v>
      </c>
    </row>
    <row r="44" spans="1:13" s="5" customFormat="1" ht="57" customHeight="1" x14ac:dyDescent="0.25">
      <c r="A44" s="79" t="s">
        <v>498</v>
      </c>
      <c r="B44" s="53" t="s">
        <v>36</v>
      </c>
      <c r="C44" s="53" t="s">
        <v>37</v>
      </c>
      <c r="D44" s="84">
        <v>1</v>
      </c>
      <c r="E44" s="49">
        <v>30</v>
      </c>
      <c r="F44" s="80">
        <v>45945</v>
      </c>
      <c r="G44" s="81">
        <v>0.375</v>
      </c>
      <c r="H44" s="80">
        <v>45943</v>
      </c>
      <c r="I44" s="81">
        <v>0.79166666666666663</v>
      </c>
      <c r="J44" s="87">
        <f t="shared" si="0"/>
        <v>4</v>
      </c>
      <c r="K44" s="53">
        <v>1</v>
      </c>
      <c r="L44" s="53">
        <v>26</v>
      </c>
      <c r="M44" s="79" t="s">
        <v>499</v>
      </c>
    </row>
    <row r="45" spans="1:13" s="5" customFormat="1" ht="55.5" customHeight="1" x14ac:dyDescent="0.25">
      <c r="A45" s="79" t="s">
        <v>498</v>
      </c>
      <c r="B45" s="53" t="s">
        <v>42</v>
      </c>
      <c r="C45" s="53" t="s">
        <v>43</v>
      </c>
      <c r="D45" s="84">
        <v>1</v>
      </c>
      <c r="E45" s="49">
        <v>30</v>
      </c>
      <c r="F45" s="80">
        <v>45945</v>
      </c>
      <c r="G45" s="81">
        <v>0.375</v>
      </c>
      <c r="H45" s="80">
        <v>45943</v>
      </c>
      <c r="I45" s="81">
        <v>0.79166666666666663</v>
      </c>
      <c r="J45" s="87">
        <f t="shared" si="0"/>
        <v>4</v>
      </c>
      <c r="K45" s="53">
        <v>1</v>
      </c>
      <c r="L45" s="53">
        <v>26</v>
      </c>
      <c r="M45" s="79" t="s">
        <v>499</v>
      </c>
    </row>
    <row r="46" spans="1:13" ht="87" customHeight="1" x14ac:dyDescent="0.25">
      <c r="A46" s="79" t="s">
        <v>500</v>
      </c>
      <c r="B46" s="53" t="s">
        <v>21</v>
      </c>
      <c r="C46" s="53" t="s">
        <v>22</v>
      </c>
      <c r="D46" s="84">
        <v>1</v>
      </c>
      <c r="E46" s="49">
        <v>30</v>
      </c>
      <c r="F46" s="80">
        <v>45945</v>
      </c>
      <c r="G46" s="81">
        <v>0.375</v>
      </c>
      <c r="H46" s="80">
        <v>45943</v>
      </c>
      <c r="I46" s="81">
        <v>0.79166666666666663</v>
      </c>
      <c r="J46" s="87">
        <f t="shared" si="0"/>
        <v>0</v>
      </c>
      <c r="K46" s="53">
        <v>1</v>
      </c>
      <c r="L46" s="53">
        <v>30</v>
      </c>
      <c r="M46" s="79" t="s">
        <v>501</v>
      </c>
    </row>
    <row r="47" spans="1:13" s="5" customFormat="1" ht="56.25" customHeight="1" x14ac:dyDescent="0.25">
      <c r="A47" s="79" t="s">
        <v>500</v>
      </c>
      <c r="B47" s="53" t="s">
        <v>30</v>
      </c>
      <c r="C47" s="53" t="s">
        <v>31</v>
      </c>
      <c r="D47" s="84">
        <v>1</v>
      </c>
      <c r="E47" s="49">
        <v>30</v>
      </c>
      <c r="F47" s="80">
        <v>45945</v>
      </c>
      <c r="G47" s="81">
        <v>0.375</v>
      </c>
      <c r="H47" s="80">
        <v>45943</v>
      </c>
      <c r="I47" s="81">
        <v>0.79166666666666663</v>
      </c>
      <c r="J47" s="87">
        <f t="shared" si="0"/>
        <v>0</v>
      </c>
      <c r="K47" s="53">
        <v>1</v>
      </c>
      <c r="L47" s="53">
        <v>30</v>
      </c>
      <c r="M47" s="79" t="s">
        <v>501</v>
      </c>
    </row>
    <row r="48" spans="1:13" s="5" customFormat="1" ht="67.5" customHeight="1" x14ac:dyDescent="0.25">
      <c r="A48" s="79" t="s">
        <v>500</v>
      </c>
      <c r="B48" s="53" t="s">
        <v>136</v>
      </c>
      <c r="C48" s="53" t="s">
        <v>34</v>
      </c>
      <c r="D48" s="84">
        <v>1</v>
      </c>
      <c r="E48" s="49">
        <v>30</v>
      </c>
      <c r="F48" s="80">
        <v>45945</v>
      </c>
      <c r="G48" s="81">
        <v>0.375</v>
      </c>
      <c r="H48" s="80">
        <v>45943</v>
      </c>
      <c r="I48" s="81">
        <v>0.79166666666666663</v>
      </c>
      <c r="J48" s="87">
        <f t="shared" si="0"/>
        <v>0</v>
      </c>
      <c r="K48" s="53">
        <v>1</v>
      </c>
      <c r="L48" s="53">
        <v>30</v>
      </c>
      <c r="M48" s="79" t="s">
        <v>501</v>
      </c>
    </row>
    <row r="49" spans="1:13" s="5" customFormat="1" ht="69.75" customHeight="1" x14ac:dyDescent="0.25">
      <c r="A49" s="79" t="s">
        <v>500</v>
      </c>
      <c r="B49" s="53" t="s">
        <v>39</v>
      </c>
      <c r="C49" s="53" t="s">
        <v>40</v>
      </c>
      <c r="D49" s="84">
        <v>1</v>
      </c>
      <c r="E49" s="49">
        <v>30</v>
      </c>
      <c r="F49" s="80">
        <v>45945</v>
      </c>
      <c r="G49" s="81">
        <v>0.375</v>
      </c>
      <c r="H49" s="80">
        <v>45943</v>
      </c>
      <c r="I49" s="81">
        <v>0.79166666666666663</v>
      </c>
      <c r="J49" s="87">
        <f t="shared" si="0"/>
        <v>0</v>
      </c>
      <c r="K49" s="53">
        <v>1</v>
      </c>
      <c r="L49" s="53">
        <v>30</v>
      </c>
      <c r="M49" s="79" t="s">
        <v>501</v>
      </c>
    </row>
    <row r="50" spans="1:13" s="5" customFormat="1" ht="61.5" customHeight="1" x14ac:dyDescent="0.25">
      <c r="A50" s="79" t="s">
        <v>500</v>
      </c>
      <c r="B50" s="53" t="s">
        <v>36</v>
      </c>
      <c r="C50" s="53" t="s">
        <v>37</v>
      </c>
      <c r="D50" s="84">
        <v>1</v>
      </c>
      <c r="E50" s="49">
        <v>30</v>
      </c>
      <c r="F50" s="80">
        <v>45945</v>
      </c>
      <c r="G50" s="81">
        <v>0.375</v>
      </c>
      <c r="H50" s="80">
        <v>45943</v>
      </c>
      <c r="I50" s="81">
        <v>0.79166666666666663</v>
      </c>
      <c r="J50" s="87">
        <f t="shared" si="0"/>
        <v>0</v>
      </c>
      <c r="K50" s="53">
        <v>1</v>
      </c>
      <c r="L50" s="53">
        <v>30</v>
      </c>
      <c r="M50" s="79" t="s">
        <v>501</v>
      </c>
    </row>
    <row r="51" spans="1:13" s="5" customFormat="1" ht="56.25" customHeight="1" x14ac:dyDescent="0.25">
      <c r="A51" s="79" t="s">
        <v>500</v>
      </c>
      <c r="B51" s="53" t="s">
        <v>42</v>
      </c>
      <c r="C51" s="53" t="s">
        <v>43</v>
      </c>
      <c r="D51" s="84">
        <v>1</v>
      </c>
      <c r="E51" s="49">
        <v>30</v>
      </c>
      <c r="F51" s="80">
        <v>45945</v>
      </c>
      <c r="G51" s="81">
        <v>0.375</v>
      </c>
      <c r="H51" s="80">
        <v>45943</v>
      </c>
      <c r="I51" s="81">
        <v>0.79166666666666663</v>
      </c>
      <c r="J51" s="87">
        <f t="shared" si="0"/>
        <v>0</v>
      </c>
      <c r="K51" s="53">
        <v>1</v>
      </c>
      <c r="L51" s="53">
        <v>30</v>
      </c>
      <c r="M51" s="79" t="s">
        <v>501</v>
      </c>
    </row>
    <row r="52" spans="1:13" s="5" customFormat="1" ht="97.5" customHeight="1" x14ac:dyDescent="0.25">
      <c r="A52" s="79" t="s">
        <v>502</v>
      </c>
      <c r="B52" s="53" t="s">
        <v>30</v>
      </c>
      <c r="C52" s="53" t="s">
        <v>31</v>
      </c>
      <c r="D52" s="84">
        <v>1</v>
      </c>
      <c r="E52" s="49">
        <v>30</v>
      </c>
      <c r="F52" s="80">
        <v>45945</v>
      </c>
      <c r="G52" s="81">
        <v>0.375</v>
      </c>
      <c r="H52" s="80">
        <v>45943</v>
      </c>
      <c r="I52" s="81">
        <v>0.4375</v>
      </c>
      <c r="J52" s="87">
        <f t="shared" si="0"/>
        <v>6</v>
      </c>
      <c r="K52" s="53">
        <v>1</v>
      </c>
      <c r="L52" s="53">
        <v>24</v>
      </c>
      <c r="M52" s="79" t="s">
        <v>503</v>
      </c>
    </row>
    <row r="53" spans="1:13" s="5" customFormat="1" ht="75" customHeight="1" x14ac:dyDescent="0.25">
      <c r="A53" s="79" t="s">
        <v>502</v>
      </c>
      <c r="B53" s="53" t="s">
        <v>39</v>
      </c>
      <c r="C53" s="53" t="s">
        <v>40</v>
      </c>
      <c r="D53" s="84">
        <v>1</v>
      </c>
      <c r="E53" s="49">
        <v>30</v>
      </c>
      <c r="F53" s="80">
        <v>45945</v>
      </c>
      <c r="G53" s="81">
        <v>0.375</v>
      </c>
      <c r="H53" s="80">
        <v>45943</v>
      </c>
      <c r="I53" s="81">
        <v>0.4375</v>
      </c>
      <c r="J53" s="87">
        <f t="shared" si="0"/>
        <v>6</v>
      </c>
      <c r="K53" s="53">
        <v>1</v>
      </c>
      <c r="L53" s="53">
        <v>24</v>
      </c>
      <c r="M53" s="79" t="s">
        <v>503</v>
      </c>
    </row>
    <row r="54" spans="1:13" s="5" customFormat="1" ht="70.5" customHeight="1" x14ac:dyDescent="0.25">
      <c r="A54" s="79" t="s">
        <v>504</v>
      </c>
      <c r="B54" s="53" t="s">
        <v>21</v>
      </c>
      <c r="C54" s="53" t="s">
        <v>22</v>
      </c>
      <c r="D54" s="84">
        <v>1</v>
      </c>
      <c r="E54" s="49">
        <v>30</v>
      </c>
      <c r="F54" s="80">
        <v>45945</v>
      </c>
      <c r="G54" s="81">
        <v>0.375</v>
      </c>
      <c r="H54" s="80">
        <v>45943</v>
      </c>
      <c r="I54" s="81">
        <v>0.8125</v>
      </c>
      <c r="J54" s="87">
        <f t="shared" si="0"/>
        <v>2</v>
      </c>
      <c r="K54" s="53">
        <v>1</v>
      </c>
      <c r="L54" s="53">
        <v>28</v>
      </c>
      <c r="M54" s="79" t="s">
        <v>505</v>
      </c>
    </row>
    <row r="55" spans="1:13" s="5" customFormat="1" ht="73.5" customHeight="1" x14ac:dyDescent="0.25">
      <c r="A55" s="79" t="s">
        <v>504</v>
      </c>
      <c r="B55" s="53" t="s">
        <v>30</v>
      </c>
      <c r="C55" s="53" t="s">
        <v>31</v>
      </c>
      <c r="D55" s="84">
        <v>1</v>
      </c>
      <c r="E55" s="49">
        <v>30</v>
      </c>
      <c r="F55" s="80">
        <v>45945</v>
      </c>
      <c r="G55" s="81">
        <v>0.375</v>
      </c>
      <c r="H55" s="80">
        <v>45943</v>
      </c>
      <c r="I55" s="81">
        <v>0.8125</v>
      </c>
      <c r="J55" s="87">
        <f t="shared" si="0"/>
        <v>2</v>
      </c>
      <c r="K55" s="53">
        <v>1</v>
      </c>
      <c r="L55" s="53">
        <v>28</v>
      </c>
      <c r="M55" s="79" t="s">
        <v>505</v>
      </c>
    </row>
    <row r="56" spans="1:13" s="5" customFormat="1" ht="66.75" customHeight="1" x14ac:dyDescent="0.25">
      <c r="A56" s="79" t="s">
        <v>504</v>
      </c>
      <c r="B56" s="53" t="s">
        <v>136</v>
      </c>
      <c r="C56" s="53" t="s">
        <v>34</v>
      </c>
      <c r="D56" s="84">
        <v>1</v>
      </c>
      <c r="E56" s="49">
        <v>30</v>
      </c>
      <c r="F56" s="80">
        <v>45945</v>
      </c>
      <c r="G56" s="81">
        <v>0.375</v>
      </c>
      <c r="H56" s="80">
        <v>45943</v>
      </c>
      <c r="I56" s="81">
        <v>0.8125</v>
      </c>
      <c r="J56" s="87">
        <f t="shared" si="0"/>
        <v>2</v>
      </c>
      <c r="K56" s="53">
        <v>1</v>
      </c>
      <c r="L56" s="53">
        <v>28</v>
      </c>
      <c r="M56" s="79" t="s">
        <v>505</v>
      </c>
    </row>
    <row r="57" spans="1:13" s="5" customFormat="1" ht="55.5" customHeight="1" x14ac:dyDescent="0.25">
      <c r="A57" s="79" t="s">
        <v>504</v>
      </c>
      <c r="B57" s="53" t="s">
        <v>39</v>
      </c>
      <c r="C57" s="53" t="s">
        <v>40</v>
      </c>
      <c r="D57" s="84">
        <v>1</v>
      </c>
      <c r="E57" s="49">
        <v>30</v>
      </c>
      <c r="F57" s="80">
        <v>45945</v>
      </c>
      <c r="G57" s="81">
        <v>0.375</v>
      </c>
      <c r="H57" s="80">
        <v>45943</v>
      </c>
      <c r="I57" s="81">
        <v>0.8125</v>
      </c>
      <c r="J57" s="87">
        <f t="shared" si="0"/>
        <v>2</v>
      </c>
      <c r="K57" s="53">
        <v>1</v>
      </c>
      <c r="L57" s="53">
        <v>28</v>
      </c>
      <c r="M57" s="79" t="s">
        <v>505</v>
      </c>
    </row>
    <row r="58" spans="1:13" s="5" customFormat="1" ht="59.25" customHeight="1" x14ac:dyDescent="0.25">
      <c r="A58" s="79" t="s">
        <v>504</v>
      </c>
      <c r="B58" s="53" t="s">
        <v>36</v>
      </c>
      <c r="C58" s="53" t="s">
        <v>37</v>
      </c>
      <c r="D58" s="84">
        <v>1</v>
      </c>
      <c r="E58" s="49">
        <v>30</v>
      </c>
      <c r="F58" s="80">
        <v>45945</v>
      </c>
      <c r="G58" s="81">
        <v>0.375</v>
      </c>
      <c r="H58" s="80">
        <v>45943</v>
      </c>
      <c r="I58" s="81">
        <v>0.8125</v>
      </c>
      <c r="J58" s="87">
        <f t="shared" si="0"/>
        <v>2</v>
      </c>
      <c r="K58" s="53">
        <v>1</v>
      </c>
      <c r="L58" s="53">
        <v>28</v>
      </c>
      <c r="M58" s="79" t="s">
        <v>505</v>
      </c>
    </row>
    <row r="59" spans="1:13" s="5" customFormat="1" ht="53.25" customHeight="1" x14ac:dyDescent="0.25">
      <c r="A59" s="79" t="s">
        <v>504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45945</v>
      </c>
      <c r="G59" s="81">
        <v>0.375</v>
      </c>
      <c r="H59" s="80">
        <v>45943</v>
      </c>
      <c r="I59" s="81">
        <v>0.8125</v>
      </c>
      <c r="J59" s="87">
        <f t="shared" si="0"/>
        <v>2</v>
      </c>
      <c r="K59" s="53">
        <v>1</v>
      </c>
      <c r="L59" s="53">
        <v>28</v>
      </c>
      <c r="M59" s="79" t="s">
        <v>505</v>
      </c>
    </row>
    <row r="60" spans="1:13" s="5" customFormat="1" ht="63.75" customHeight="1" x14ac:dyDescent="0.25">
      <c r="A60" s="79" t="s">
        <v>507</v>
      </c>
      <c r="B60" s="53" t="s">
        <v>21</v>
      </c>
      <c r="C60" s="53" t="s">
        <v>22</v>
      </c>
      <c r="D60" s="84">
        <v>1</v>
      </c>
      <c r="E60" s="49">
        <v>30</v>
      </c>
      <c r="F60" s="80">
        <v>45945</v>
      </c>
      <c r="G60" s="81">
        <v>0.375</v>
      </c>
      <c r="H60" s="80">
        <v>45943</v>
      </c>
      <c r="I60" s="81">
        <v>0.8125</v>
      </c>
      <c r="J60" s="87">
        <f t="shared" si="0"/>
        <v>0</v>
      </c>
      <c r="K60" s="53">
        <v>2</v>
      </c>
      <c r="L60" s="53">
        <v>30</v>
      </c>
      <c r="M60" s="79" t="s">
        <v>508</v>
      </c>
    </row>
    <row r="61" spans="1:13" s="5" customFormat="1" ht="57.75" customHeight="1" x14ac:dyDescent="0.25">
      <c r="A61" s="79" t="s">
        <v>507</v>
      </c>
      <c r="B61" s="53" t="s">
        <v>30</v>
      </c>
      <c r="C61" s="53" t="s">
        <v>31</v>
      </c>
      <c r="D61" s="84">
        <v>1</v>
      </c>
      <c r="E61" s="49">
        <v>30</v>
      </c>
      <c r="F61" s="80">
        <v>45945</v>
      </c>
      <c r="G61" s="81">
        <v>0.375</v>
      </c>
      <c r="H61" s="80">
        <v>45943</v>
      </c>
      <c r="I61" s="81">
        <v>0.8125</v>
      </c>
      <c r="J61" s="87">
        <f t="shared" si="0"/>
        <v>0</v>
      </c>
      <c r="K61" s="53">
        <v>2</v>
      </c>
      <c r="L61" s="53">
        <v>30</v>
      </c>
      <c r="M61" s="79" t="s">
        <v>508</v>
      </c>
    </row>
    <row r="62" spans="1:13" s="5" customFormat="1" ht="63" customHeight="1" x14ac:dyDescent="0.25">
      <c r="A62" s="79" t="s">
        <v>507</v>
      </c>
      <c r="B62" s="53" t="s">
        <v>136</v>
      </c>
      <c r="C62" s="53" t="s">
        <v>34</v>
      </c>
      <c r="D62" s="84">
        <v>1</v>
      </c>
      <c r="E62" s="49">
        <v>30</v>
      </c>
      <c r="F62" s="80">
        <v>45945</v>
      </c>
      <c r="G62" s="81">
        <v>0.375</v>
      </c>
      <c r="H62" s="80">
        <v>45943</v>
      </c>
      <c r="I62" s="81">
        <v>0.8125</v>
      </c>
      <c r="J62" s="87">
        <f t="shared" si="0"/>
        <v>0</v>
      </c>
      <c r="K62" s="53">
        <v>2</v>
      </c>
      <c r="L62" s="53">
        <v>30</v>
      </c>
      <c r="M62" s="79" t="s">
        <v>508</v>
      </c>
    </row>
    <row r="63" spans="1:13" s="5" customFormat="1" ht="71.25" customHeight="1" x14ac:dyDescent="0.25">
      <c r="A63" s="79" t="s">
        <v>507</v>
      </c>
      <c r="B63" s="53" t="s">
        <v>39</v>
      </c>
      <c r="C63" s="53" t="s">
        <v>40</v>
      </c>
      <c r="D63" s="84">
        <v>1</v>
      </c>
      <c r="E63" s="49">
        <v>30</v>
      </c>
      <c r="F63" s="80">
        <v>45945</v>
      </c>
      <c r="G63" s="81">
        <v>0.375</v>
      </c>
      <c r="H63" s="80">
        <v>45943</v>
      </c>
      <c r="I63" s="81">
        <v>0.8125</v>
      </c>
      <c r="J63" s="87">
        <f t="shared" si="0"/>
        <v>0</v>
      </c>
      <c r="K63" s="53">
        <v>2</v>
      </c>
      <c r="L63" s="53">
        <v>30</v>
      </c>
      <c r="M63" s="79" t="s">
        <v>508</v>
      </c>
    </row>
    <row r="64" spans="1:13" s="5" customFormat="1" ht="78.75" customHeight="1" x14ac:dyDescent="0.25">
      <c r="A64" s="79" t="s">
        <v>507</v>
      </c>
      <c r="B64" s="53" t="s">
        <v>36</v>
      </c>
      <c r="C64" s="53" t="s">
        <v>37</v>
      </c>
      <c r="D64" s="84">
        <v>1</v>
      </c>
      <c r="E64" s="49">
        <v>30</v>
      </c>
      <c r="F64" s="80">
        <v>45945</v>
      </c>
      <c r="G64" s="81">
        <v>0.375</v>
      </c>
      <c r="H64" s="80">
        <v>45943</v>
      </c>
      <c r="I64" s="81">
        <v>0.8125</v>
      </c>
      <c r="J64" s="87">
        <f t="shared" si="0"/>
        <v>0</v>
      </c>
      <c r="K64" s="53">
        <v>2</v>
      </c>
      <c r="L64" s="53">
        <v>30</v>
      </c>
      <c r="M64" s="79" t="s">
        <v>508</v>
      </c>
    </row>
    <row r="65" spans="1:13" s="5" customFormat="1" ht="66.75" customHeight="1" x14ac:dyDescent="0.25">
      <c r="A65" s="79" t="s">
        <v>507</v>
      </c>
      <c r="B65" s="53" t="s">
        <v>42</v>
      </c>
      <c r="C65" s="53" t="s">
        <v>43</v>
      </c>
      <c r="D65" s="84">
        <v>1</v>
      </c>
      <c r="E65" s="49">
        <v>30</v>
      </c>
      <c r="F65" s="80">
        <v>45945</v>
      </c>
      <c r="G65" s="81">
        <v>0.375</v>
      </c>
      <c r="H65" s="80">
        <v>45943</v>
      </c>
      <c r="I65" s="81">
        <v>0.8125</v>
      </c>
      <c r="J65" s="87">
        <f t="shared" si="0"/>
        <v>0</v>
      </c>
      <c r="K65" s="53">
        <v>2</v>
      </c>
      <c r="L65" s="53">
        <v>30</v>
      </c>
      <c r="M65" s="79" t="s">
        <v>508</v>
      </c>
    </row>
    <row r="66" spans="1:13" s="5" customFormat="1" ht="72.75" customHeight="1" x14ac:dyDescent="0.25">
      <c r="A66" s="79" t="s">
        <v>509</v>
      </c>
      <c r="B66" s="53" t="s">
        <v>21</v>
      </c>
      <c r="C66" s="53" t="s">
        <v>22</v>
      </c>
      <c r="D66" s="84">
        <v>1</v>
      </c>
      <c r="E66" s="49">
        <v>30</v>
      </c>
      <c r="F66" s="80">
        <v>45945</v>
      </c>
      <c r="G66" s="81">
        <v>0.375</v>
      </c>
      <c r="H66" s="80">
        <v>45943</v>
      </c>
      <c r="I66" s="81">
        <v>0.8125</v>
      </c>
      <c r="J66" s="87">
        <f t="shared" si="0"/>
        <v>0</v>
      </c>
      <c r="K66" s="53">
        <v>7</v>
      </c>
      <c r="L66" s="53">
        <v>30</v>
      </c>
      <c r="M66" s="79" t="s">
        <v>510</v>
      </c>
    </row>
    <row r="67" spans="1:13" s="5" customFormat="1" ht="40.5" customHeight="1" x14ac:dyDescent="0.25">
      <c r="A67" s="79" t="s">
        <v>506</v>
      </c>
      <c r="B67" s="53" t="s">
        <v>36</v>
      </c>
      <c r="C67" s="53" t="s">
        <v>37</v>
      </c>
      <c r="D67" s="84">
        <v>1</v>
      </c>
      <c r="E67" s="49">
        <v>30</v>
      </c>
      <c r="F67" s="80">
        <v>45938</v>
      </c>
      <c r="G67" s="81">
        <v>0.375</v>
      </c>
      <c r="H67" s="80">
        <v>45943</v>
      </c>
      <c r="I67" s="81">
        <v>0.6875</v>
      </c>
      <c r="J67" s="87">
        <f t="shared" si="0"/>
        <v>0</v>
      </c>
      <c r="K67" s="53">
        <v>1</v>
      </c>
      <c r="L67" s="53">
        <v>30</v>
      </c>
      <c r="M67" s="79" t="s">
        <v>438</v>
      </c>
    </row>
    <row r="68" spans="1:13" s="5" customFormat="1" ht="38.25" customHeight="1" x14ac:dyDescent="0.25">
      <c r="A68" s="98" t="s">
        <v>123</v>
      </c>
      <c r="B68" s="85" t="s">
        <v>36</v>
      </c>
      <c r="C68" s="85" t="s">
        <v>37</v>
      </c>
      <c r="D68" s="49">
        <v>1</v>
      </c>
      <c r="E68" s="49">
        <v>20</v>
      </c>
      <c r="F68" s="85">
        <v>45945</v>
      </c>
      <c r="G68" s="86">
        <v>0.375</v>
      </c>
      <c r="H68" s="85">
        <v>45943</v>
      </c>
      <c r="I68" s="86">
        <v>0.80555555555555558</v>
      </c>
      <c r="J68" s="87">
        <f>E68-L68</f>
        <v>0</v>
      </c>
      <c r="K68" s="53">
        <v>1</v>
      </c>
      <c r="L68" s="88">
        <v>20</v>
      </c>
      <c r="M68" s="93" t="s">
        <v>124</v>
      </c>
    </row>
    <row r="69" spans="1:13" s="5" customFormat="1" ht="38.25" customHeight="1" x14ac:dyDescent="0.2">
      <c r="A69" s="38" t="s">
        <v>123</v>
      </c>
      <c r="B69" s="85" t="s">
        <v>143</v>
      </c>
      <c r="C69" s="85" t="s">
        <v>43</v>
      </c>
      <c r="D69" s="49">
        <v>1</v>
      </c>
      <c r="E69" s="49">
        <v>20</v>
      </c>
      <c r="F69" s="85">
        <v>45945</v>
      </c>
      <c r="G69" s="86">
        <v>0.375</v>
      </c>
      <c r="H69" s="85">
        <v>45943</v>
      </c>
      <c r="I69" s="86">
        <v>0.80555555555555558</v>
      </c>
      <c r="J69" s="87">
        <f t="shared" ref="J69:J90" si="1">E69-L69</f>
        <v>0</v>
      </c>
      <c r="K69" s="8">
        <v>1</v>
      </c>
      <c r="L69" s="88">
        <v>20</v>
      </c>
      <c r="M69" s="93" t="s">
        <v>124</v>
      </c>
    </row>
    <row r="70" spans="1:13" s="5" customFormat="1" ht="27" customHeight="1" x14ac:dyDescent="0.25">
      <c r="A70" s="13" t="s">
        <v>175</v>
      </c>
      <c r="B70" s="13" t="s">
        <v>36</v>
      </c>
      <c r="C70" s="13" t="s">
        <v>37</v>
      </c>
      <c r="D70" s="53">
        <v>1</v>
      </c>
      <c r="E70" s="53">
        <v>30</v>
      </c>
      <c r="F70" s="13">
        <v>45945</v>
      </c>
      <c r="G70" s="86">
        <v>0.375</v>
      </c>
      <c r="H70" s="13">
        <v>45943</v>
      </c>
      <c r="I70" s="12">
        <v>0.83333333333333337</v>
      </c>
      <c r="J70" s="53">
        <f t="shared" si="1"/>
        <v>6</v>
      </c>
      <c r="K70" s="50">
        <v>1</v>
      </c>
      <c r="L70" s="68">
        <v>24</v>
      </c>
      <c r="M70" s="52" t="s">
        <v>176</v>
      </c>
    </row>
    <row r="71" spans="1:13" s="5" customFormat="1" ht="33" customHeight="1" x14ac:dyDescent="0.25">
      <c r="A71" s="13" t="s">
        <v>177</v>
      </c>
      <c r="B71" s="13" t="s">
        <v>39</v>
      </c>
      <c r="C71" s="13" t="s">
        <v>40</v>
      </c>
      <c r="D71" s="53">
        <v>1</v>
      </c>
      <c r="E71" s="53">
        <v>30</v>
      </c>
      <c r="F71" s="13">
        <v>45945</v>
      </c>
      <c r="G71" s="86">
        <v>0.375</v>
      </c>
      <c r="H71" s="13">
        <v>45943</v>
      </c>
      <c r="I71" s="12">
        <v>0.83333333333333337</v>
      </c>
      <c r="J71" s="53">
        <f t="shared" si="1"/>
        <v>0</v>
      </c>
      <c r="K71" s="50">
        <v>1</v>
      </c>
      <c r="L71" s="68">
        <v>30</v>
      </c>
      <c r="M71" s="52" t="s">
        <v>178</v>
      </c>
    </row>
    <row r="72" spans="1:13" s="5" customFormat="1" ht="33.75" customHeight="1" x14ac:dyDescent="0.25">
      <c r="A72" s="61" t="s">
        <v>179</v>
      </c>
      <c r="B72" s="13" t="s">
        <v>39</v>
      </c>
      <c r="C72" s="13" t="s">
        <v>40</v>
      </c>
      <c r="D72" s="53">
        <v>5</v>
      </c>
      <c r="E72" s="53">
        <v>50</v>
      </c>
      <c r="F72" s="13">
        <v>45945</v>
      </c>
      <c r="G72" s="86">
        <v>0.375</v>
      </c>
      <c r="H72" s="13">
        <v>45943</v>
      </c>
      <c r="I72" s="12">
        <v>0.86805555555555558</v>
      </c>
      <c r="J72" s="53">
        <f t="shared" si="1"/>
        <v>5</v>
      </c>
      <c r="K72" s="50">
        <v>5</v>
      </c>
      <c r="L72" s="68">
        <v>45</v>
      </c>
      <c r="M72" s="52" t="s">
        <v>180</v>
      </c>
    </row>
    <row r="73" spans="1:13" s="5" customFormat="1" ht="32.25" customHeight="1" x14ac:dyDescent="0.2">
      <c r="A73" s="23" t="s">
        <v>146</v>
      </c>
      <c r="B73" s="85" t="s">
        <v>30</v>
      </c>
      <c r="C73" s="90" t="s">
        <v>31</v>
      </c>
      <c r="D73" s="84">
        <v>1</v>
      </c>
      <c r="E73" s="49">
        <v>60</v>
      </c>
      <c r="F73" s="85">
        <v>45945</v>
      </c>
      <c r="G73" s="86">
        <v>0.375</v>
      </c>
      <c r="H73" s="85">
        <v>45943</v>
      </c>
      <c r="I73" s="86">
        <v>0.91666666666666663</v>
      </c>
      <c r="J73" s="87">
        <f t="shared" si="1"/>
        <v>50</v>
      </c>
      <c r="K73" s="8">
        <v>1</v>
      </c>
      <c r="L73" s="88">
        <v>10</v>
      </c>
      <c r="M73" s="91" t="s">
        <v>149</v>
      </c>
    </row>
    <row r="74" spans="1:13" s="5" customFormat="1" ht="27" customHeight="1" x14ac:dyDescent="0.2">
      <c r="A74" s="23" t="s">
        <v>146</v>
      </c>
      <c r="B74" s="85" t="s">
        <v>42</v>
      </c>
      <c r="C74" s="90" t="s">
        <v>43</v>
      </c>
      <c r="D74" s="84">
        <v>1</v>
      </c>
      <c r="E74" s="49">
        <v>60</v>
      </c>
      <c r="F74" s="85">
        <v>45945</v>
      </c>
      <c r="G74" s="86">
        <v>0.375</v>
      </c>
      <c r="H74" s="85">
        <v>45943</v>
      </c>
      <c r="I74" s="86">
        <v>0.91666666666666663</v>
      </c>
      <c r="J74" s="87">
        <f t="shared" si="1"/>
        <v>50</v>
      </c>
      <c r="K74" s="8">
        <v>1</v>
      </c>
      <c r="L74" s="88">
        <v>10</v>
      </c>
      <c r="M74" s="91" t="s">
        <v>149</v>
      </c>
    </row>
    <row r="75" spans="1:13" s="5" customFormat="1" ht="24.9" customHeight="1" x14ac:dyDescent="0.2">
      <c r="A75" s="23" t="s">
        <v>146</v>
      </c>
      <c r="B75" s="85" t="s">
        <v>21</v>
      </c>
      <c r="C75" s="90" t="s">
        <v>22</v>
      </c>
      <c r="D75" s="84">
        <v>1</v>
      </c>
      <c r="E75" s="49">
        <v>60</v>
      </c>
      <c r="F75" s="85">
        <v>45945</v>
      </c>
      <c r="G75" s="86">
        <v>0.375</v>
      </c>
      <c r="H75" s="85">
        <v>45943</v>
      </c>
      <c r="I75" s="86">
        <v>0.91666666666666663</v>
      </c>
      <c r="J75" s="87">
        <f t="shared" si="1"/>
        <v>50</v>
      </c>
      <c r="K75" s="8">
        <v>1</v>
      </c>
      <c r="L75" s="88">
        <v>10</v>
      </c>
      <c r="M75" s="91" t="s">
        <v>149</v>
      </c>
    </row>
    <row r="76" spans="1:13" s="5" customFormat="1" ht="28.5" customHeight="1" x14ac:dyDescent="0.2">
      <c r="A76" s="23" t="s">
        <v>146</v>
      </c>
      <c r="B76" s="85" t="s">
        <v>136</v>
      </c>
      <c r="C76" s="90" t="s">
        <v>34</v>
      </c>
      <c r="D76" s="84">
        <v>1</v>
      </c>
      <c r="E76" s="49">
        <v>60</v>
      </c>
      <c r="F76" s="85">
        <v>45945</v>
      </c>
      <c r="G76" s="86">
        <v>0.375</v>
      </c>
      <c r="H76" s="85">
        <v>45943</v>
      </c>
      <c r="I76" s="86">
        <v>0.91666666666666663</v>
      </c>
      <c r="J76" s="87">
        <f t="shared" si="1"/>
        <v>50</v>
      </c>
      <c r="K76" s="8">
        <v>1</v>
      </c>
      <c r="L76" s="88">
        <v>10</v>
      </c>
      <c r="M76" s="91" t="s">
        <v>149</v>
      </c>
    </row>
    <row r="77" spans="1:13" s="5" customFormat="1" ht="35.4" customHeight="1" x14ac:dyDescent="0.2">
      <c r="A77" s="23" t="s">
        <v>146</v>
      </c>
      <c r="B77" s="85" t="s">
        <v>36</v>
      </c>
      <c r="C77" s="90" t="s">
        <v>37</v>
      </c>
      <c r="D77" s="84">
        <v>1</v>
      </c>
      <c r="E77" s="49">
        <v>60</v>
      </c>
      <c r="F77" s="85">
        <v>45945</v>
      </c>
      <c r="G77" s="86">
        <v>0.375</v>
      </c>
      <c r="H77" s="85">
        <v>45943</v>
      </c>
      <c r="I77" s="86">
        <v>0.91666666666666663</v>
      </c>
      <c r="J77" s="87">
        <f t="shared" si="1"/>
        <v>50</v>
      </c>
      <c r="K77" s="8">
        <v>1</v>
      </c>
      <c r="L77" s="88">
        <v>10</v>
      </c>
      <c r="M77" s="91" t="s">
        <v>149</v>
      </c>
    </row>
    <row r="78" spans="1:13" s="5" customFormat="1" ht="36.6" customHeight="1" x14ac:dyDescent="0.2">
      <c r="A78" s="23" t="s">
        <v>146</v>
      </c>
      <c r="B78" s="85" t="s">
        <v>39</v>
      </c>
      <c r="C78" s="90" t="s">
        <v>40</v>
      </c>
      <c r="D78" s="84">
        <v>1</v>
      </c>
      <c r="E78" s="49">
        <v>60</v>
      </c>
      <c r="F78" s="85">
        <v>45945</v>
      </c>
      <c r="G78" s="86">
        <v>0.375</v>
      </c>
      <c r="H78" s="85">
        <v>45943</v>
      </c>
      <c r="I78" s="86">
        <v>0.91666666666666663</v>
      </c>
      <c r="J78" s="87">
        <f t="shared" si="1"/>
        <v>50</v>
      </c>
      <c r="K78" s="8">
        <v>1</v>
      </c>
      <c r="L78" s="88">
        <v>10</v>
      </c>
      <c r="M78" s="91" t="s">
        <v>149</v>
      </c>
    </row>
    <row r="79" spans="1:13" s="5" customFormat="1" ht="36.6" customHeight="1" x14ac:dyDescent="0.2">
      <c r="A79" s="23" t="s">
        <v>52</v>
      </c>
      <c r="B79" s="90" t="s">
        <v>21</v>
      </c>
      <c r="C79" s="90" t="s">
        <v>22</v>
      </c>
      <c r="D79" s="84">
        <v>1</v>
      </c>
      <c r="E79" s="49">
        <v>30</v>
      </c>
      <c r="F79" s="85">
        <v>45945</v>
      </c>
      <c r="G79" s="86">
        <v>0.375</v>
      </c>
      <c r="H79" s="85">
        <v>45943</v>
      </c>
      <c r="I79" s="86">
        <v>0.91666666666666663</v>
      </c>
      <c r="J79" s="87">
        <f t="shared" si="1"/>
        <v>0</v>
      </c>
      <c r="K79" s="8">
        <v>1</v>
      </c>
      <c r="L79" s="88">
        <v>30</v>
      </c>
      <c r="M79" s="91" t="s">
        <v>53</v>
      </c>
    </row>
    <row r="80" spans="1:13" s="5" customFormat="1" ht="35.4" customHeight="1" x14ac:dyDescent="0.2">
      <c r="A80" s="23" t="s">
        <v>153</v>
      </c>
      <c r="B80" s="90" t="s">
        <v>36</v>
      </c>
      <c r="C80" s="90" t="s">
        <v>37</v>
      </c>
      <c r="D80" s="84">
        <v>1</v>
      </c>
      <c r="E80" s="5">
        <v>30</v>
      </c>
      <c r="F80" s="85">
        <v>45945</v>
      </c>
      <c r="G80" s="86">
        <v>0.375</v>
      </c>
      <c r="H80" s="85">
        <v>45943</v>
      </c>
      <c r="I80" s="86">
        <v>0.91666666666666663</v>
      </c>
      <c r="J80" s="87">
        <f t="shared" si="1"/>
        <v>0</v>
      </c>
      <c r="K80" s="8">
        <v>1</v>
      </c>
      <c r="L80" s="88">
        <v>30</v>
      </c>
      <c r="M80" s="91" t="s">
        <v>53</v>
      </c>
    </row>
    <row r="81" spans="1:13" s="5" customFormat="1" ht="35.4" customHeight="1" x14ac:dyDescent="0.2">
      <c r="A81" s="23" t="s">
        <v>79</v>
      </c>
      <c r="B81" s="85" t="s">
        <v>36</v>
      </c>
      <c r="C81" s="90" t="s">
        <v>37</v>
      </c>
      <c r="D81" s="84">
        <v>1</v>
      </c>
      <c r="E81" s="49">
        <v>45</v>
      </c>
      <c r="F81" s="85">
        <v>45945</v>
      </c>
      <c r="G81" s="86">
        <v>0.375</v>
      </c>
      <c r="H81" s="85">
        <v>45943</v>
      </c>
      <c r="I81" s="86">
        <v>0.9375</v>
      </c>
      <c r="J81" s="87">
        <f t="shared" si="1"/>
        <v>-35</v>
      </c>
      <c r="K81" s="8">
        <v>1</v>
      </c>
      <c r="L81" s="88">
        <v>80</v>
      </c>
      <c r="M81" s="91" t="s">
        <v>81</v>
      </c>
    </row>
    <row r="82" spans="1:13" s="5" customFormat="1" ht="35.4" customHeight="1" x14ac:dyDescent="0.2">
      <c r="A82" s="23" t="s">
        <v>85</v>
      </c>
      <c r="B82" s="85" t="s">
        <v>21</v>
      </c>
      <c r="C82" s="90" t="s">
        <v>22</v>
      </c>
      <c r="D82" s="84">
        <v>1</v>
      </c>
      <c r="E82" s="49">
        <v>60</v>
      </c>
      <c r="F82" s="85">
        <v>45945</v>
      </c>
      <c r="G82" s="86">
        <v>0.375</v>
      </c>
      <c r="H82" s="85">
        <v>45943</v>
      </c>
      <c r="I82" s="86">
        <v>0.9375</v>
      </c>
      <c r="J82" s="87">
        <f t="shared" si="1"/>
        <v>10</v>
      </c>
      <c r="K82" s="8">
        <v>1</v>
      </c>
      <c r="L82" s="88">
        <v>50</v>
      </c>
      <c r="M82" s="91" t="s">
        <v>87</v>
      </c>
    </row>
    <row r="83" spans="1:13" s="5" customFormat="1" ht="35.4" customHeight="1" x14ac:dyDescent="0.2">
      <c r="A83" s="23" t="s">
        <v>88</v>
      </c>
      <c r="B83" s="85" t="s">
        <v>21</v>
      </c>
      <c r="C83" s="85" t="s">
        <v>22</v>
      </c>
      <c r="D83" s="84">
        <v>1</v>
      </c>
      <c r="E83" s="49">
        <v>55</v>
      </c>
      <c r="F83" s="85">
        <v>45945</v>
      </c>
      <c r="G83" s="86">
        <v>0.375</v>
      </c>
      <c r="H83" s="85">
        <v>45943</v>
      </c>
      <c r="I83" s="86">
        <v>0.9375</v>
      </c>
      <c r="J83" s="87">
        <f t="shared" si="1"/>
        <v>0</v>
      </c>
      <c r="K83" s="8">
        <v>1</v>
      </c>
      <c r="L83" s="88">
        <v>55</v>
      </c>
      <c r="M83" s="91" t="s">
        <v>89</v>
      </c>
    </row>
    <row r="84" spans="1:13" s="5" customFormat="1" ht="35.4" customHeight="1" x14ac:dyDescent="0.2">
      <c r="A84" s="33" t="s">
        <v>131</v>
      </c>
      <c r="B84" s="85" t="s">
        <v>36</v>
      </c>
      <c r="C84" s="85" t="s">
        <v>37</v>
      </c>
      <c r="D84" s="49">
        <v>1</v>
      </c>
      <c r="E84" s="49">
        <v>30</v>
      </c>
      <c r="F84" s="85">
        <v>45945</v>
      </c>
      <c r="G84" s="86">
        <v>0.375</v>
      </c>
      <c r="H84" s="85">
        <v>45943</v>
      </c>
      <c r="I84" s="86">
        <v>0.9375</v>
      </c>
      <c r="J84" s="87">
        <f t="shared" si="1"/>
        <v>-2</v>
      </c>
      <c r="K84" s="8">
        <v>1</v>
      </c>
      <c r="L84" s="88">
        <v>32</v>
      </c>
      <c r="M84" s="91" t="s">
        <v>132</v>
      </c>
    </row>
    <row r="85" spans="1:13" s="5" customFormat="1" ht="35.4" customHeight="1" x14ac:dyDescent="0.2">
      <c r="A85" s="33" t="s">
        <v>131</v>
      </c>
      <c r="B85" s="85" t="s">
        <v>42</v>
      </c>
      <c r="C85" s="85" t="s">
        <v>43</v>
      </c>
      <c r="D85" s="49">
        <v>1</v>
      </c>
      <c r="E85" s="49">
        <v>30</v>
      </c>
      <c r="F85" s="85">
        <v>45945</v>
      </c>
      <c r="G85" s="86">
        <v>0.375</v>
      </c>
      <c r="H85" s="85">
        <v>45943</v>
      </c>
      <c r="I85" s="86">
        <v>0.9375</v>
      </c>
      <c r="J85" s="87">
        <f t="shared" si="1"/>
        <v>-2</v>
      </c>
      <c r="K85" s="8">
        <v>1</v>
      </c>
      <c r="L85" s="88">
        <v>32</v>
      </c>
      <c r="M85" s="91" t="s">
        <v>132</v>
      </c>
    </row>
    <row r="86" spans="1:13" s="5" customFormat="1" ht="35.4" customHeight="1" x14ac:dyDescent="0.2">
      <c r="A86" s="33" t="s">
        <v>131</v>
      </c>
      <c r="B86" s="85" t="s">
        <v>30</v>
      </c>
      <c r="C86" s="85" t="s">
        <v>31</v>
      </c>
      <c r="D86" s="49">
        <v>1</v>
      </c>
      <c r="E86" s="49">
        <v>30</v>
      </c>
      <c r="F86" s="85">
        <v>45945</v>
      </c>
      <c r="G86" s="86">
        <v>0.375</v>
      </c>
      <c r="H86" s="85">
        <v>45943</v>
      </c>
      <c r="I86" s="86">
        <v>0.9375</v>
      </c>
      <c r="J86" s="87">
        <f t="shared" si="1"/>
        <v>-2</v>
      </c>
      <c r="K86" s="8">
        <v>1</v>
      </c>
      <c r="L86" s="88">
        <v>32</v>
      </c>
      <c r="M86" s="91" t="s">
        <v>132</v>
      </c>
    </row>
    <row r="87" spans="1:13" s="5" customFormat="1" ht="35.4" customHeight="1" x14ac:dyDescent="0.2">
      <c r="A87" s="33" t="s">
        <v>131</v>
      </c>
      <c r="B87" s="85" t="s">
        <v>21</v>
      </c>
      <c r="C87" s="85" t="s">
        <v>22</v>
      </c>
      <c r="D87" s="49">
        <v>1</v>
      </c>
      <c r="E87" s="49">
        <v>30</v>
      </c>
      <c r="F87" s="85">
        <v>45945</v>
      </c>
      <c r="G87" s="86">
        <v>0.375</v>
      </c>
      <c r="H87" s="85">
        <v>45943</v>
      </c>
      <c r="I87" s="86">
        <v>0.9375</v>
      </c>
      <c r="J87" s="87">
        <f t="shared" si="1"/>
        <v>-2</v>
      </c>
      <c r="K87" s="8">
        <v>1</v>
      </c>
      <c r="L87" s="88">
        <v>32</v>
      </c>
      <c r="M87" s="91" t="s">
        <v>132</v>
      </c>
    </row>
    <row r="88" spans="1:13" s="5" customFormat="1" ht="35.4" customHeight="1" x14ac:dyDescent="0.2">
      <c r="A88" s="33" t="s">
        <v>131</v>
      </c>
      <c r="B88" s="85" t="s">
        <v>136</v>
      </c>
      <c r="C88" s="85" t="s">
        <v>34</v>
      </c>
      <c r="D88" s="49">
        <v>1</v>
      </c>
      <c r="E88" s="49">
        <v>30</v>
      </c>
      <c r="F88" s="85">
        <v>45945</v>
      </c>
      <c r="G88" s="86">
        <v>0.375</v>
      </c>
      <c r="H88" s="85">
        <v>45943</v>
      </c>
      <c r="I88" s="86">
        <v>0.9375</v>
      </c>
      <c r="J88" s="87">
        <f t="shared" si="1"/>
        <v>-2</v>
      </c>
      <c r="K88" s="8">
        <v>1</v>
      </c>
      <c r="L88" s="88">
        <v>32</v>
      </c>
      <c r="M88" s="91" t="s">
        <v>132</v>
      </c>
    </row>
    <row r="89" spans="1:13" s="5" customFormat="1" ht="35.4" customHeight="1" x14ac:dyDescent="0.2">
      <c r="A89" s="33" t="s">
        <v>131</v>
      </c>
      <c r="B89" s="85" t="s">
        <v>39</v>
      </c>
      <c r="C89" s="85" t="s">
        <v>40</v>
      </c>
      <c r="D89" s="49">
        <v>1</v>
      </c>
      <c r="E89" s="49">
        <v>30</v>
      </c>
      <c r="F89" s="85">
        <v>45945</v>
      </c>
      <c r="G89" s="86">
        <v>0.375</v>
      </c>
      <c r="H89" s="85">
        <v>45943</v>
      </c>
      <c r="I89" s="86">
        <v>0.9375</v>
      </c>
      <c r="J89" s="87">
        <f t="shared" si="1"/>
        <v>-2</v>
      </c>
      <c r="K89" s="8">
        <v>1</v>
      </c>
      <c r="L89" s="88">
        <v>32</v>
      </c>
      <c r="M89" s="91" t="s">
        <v>132</v>
      </c>
    </row>
    <row r="90" spans="1:13" s="5" customFormat="1" ht="35.4" customHeight="1" x14ac:dyDescent="0.2">
      <c r="A90" s="33" t="s">
        <v>133</v>
      </c>
      <c r="B90" s="85" t="s">
        <v>21</v>
      </c>
      <c r="C90" s="85" t="s">
        <v>22</v>
      </c>
      <c r="D90" s="49">
        <v>3</v>
      </c>
      <c r="E90" s="49">
        <v>20</v>
      </c>
      <c r="F90" s="85">
        <v>45945</v>
      </c>
      <c r="G90" s="86">
        <v>0.375</v>
      </c>
      <c r="H90" s="85">
        <v>45945</v>
      </c>
      <c r="I90" s="86">
        <v>0.375</v>
      </c>
      <c r="J90" s="87">
        <f t="shared" si="1"/>
        <v>5</v>
      </c>
      <c r="K90" s="8">
        <v>3</v>
      </c>
      <c r="L90" s="88">
        <v>15</v>
      </c>
      <c r="M90" s="91" t="s">
        <v>134</v>
      </c>
    </row>
    <row r="91" spans="1:13" s="5" customFormat="1" ht="35.4" customHeight="1" x14ac:dyDescent="0.25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s="5" customFormat="1" ht="37.5" customHeight="1" x14ac:dyDescent="0.25">
      <c r="A92" s="4"/>
      <c r="B92" s="4"/>
      <c r="C92" s="4"/>
      <c r="D92" s="4"/>
      <c r="E92" s="4"/>
      <c r="F92" s="4"/>
      <c r="G92" s="4"/>
      <c r="H92" s="4"/>
      <c r="I92" s="3"/>
      <c r="J92" s="3"/>
      <c r="K92" s="2"/>
      <c r="L92" s="1"/>
      <c r="M92" s="1"/>
    </row>
    <row r="93" spans="1:13" x14ac:dyDescent="0.25">
      <c r="A93" t="s">
        <v>210</v>
      </c>
      <c r="B93" t="s">
        <v>215</v>
      </c>
      <c r="C93" t="s">
        <v>214</v>
      </c>
      <c r="D93" t="s">
        <v>212</v>
      </c>
      <c r="E93" t="s">
        <v>213</v>
      </c>
    </row>
    <row r="94" spans="1:13" x14ac:dyDescent="0.25">
      <c r="A94" s="71" t="s">
        <v>36</v>
      </c>
      <c r="B94">
        <v>19</v>
      </c>
      <c r="C94">
        <v>605</v>
      </c>
      <c r="D94">
        <v>566</v>
      </c>
      <c r="E94">
        <v>21</v>
      </c>
    </row>
    <row r="95" spans="1:13" x14ac:dyDescent="0.25">
      <c r="A95" s="71" t="s">
        <v>39</v>
      </c>
      <c r="B95">
        <v>16</v>
      </c>
      <c r="C95">
        <v>410</v>
      </c>
      <c r="D95">
        <v>340</v>
      </c>
      <c r="E95">
        <v>19</v>
      </c>
    </row>
    <row r="96" spans="1:13" x14ac:dyDescent="0.25">
      <c r="A96" s="71" t="s">
        <v>21</v>
      </c>
      <c r="B96">
        <v>18</v>
      </c>
      <c r="C96">
        <v>555</v>
      </c>
      <c r="D96">
        <v>480</v>
      </c>
      <c r="E96">
        <v>27</v>
      </c>
    </row>
    <row r="97" spans="1:13" x14ac:dyDescent="0.25">
      <c r="A97" s="71" t="s">
        <v>136</v>
      </c>
      <c r="B97">
        <v>11</v>
      </c>
      <c r="C97">
        <v>360</v>
      </c>
      <c r="D97">
        <v>300</v>
      </c>
      <c r="E97">
        <v>14</v>
      </c>
    </row>
    <row r="98" spans="1:13" x14ac:dyDescent="0.25">
      <c r="A98" s="71" t="s">
        <v>42</v>
      </c>
      <c r="B98">
        <v>13</v>
      </c>
      <c r="C98">
        <v>420</v>
      </c>
      <c r="D98">
        <v>352</v>
      </c>
      <c r="E98">
        <v>15</v>
      </c>
    </row>
    <row r="99" spans="1:13" x14ac:dyDescent="0.25">
      <c r="A99" s="71" t="s">
        <v>30</v>
      </c>
      <c r="B99">
        <v>11</v>
      </c>
      <c r="C99">
        <v>360</v>
      </c>
      <c r="D99">
        <v>295</v>
      </c>
      <c r="E99">
        <v>14</v>
      </c>
    </row>
    <row r="100" spans="1:13" x14ac:dyDescent="0.25">
      <c r="A100" s="71" t="s">
        <v>211</v>
      </c>
      <c r="B100">
        <v>88</v>
      </c>
      <c r="C100">
        <v>2710</v>
      </c>
      <c r="D100">
        <v>2333</v>
      </c>
      <c r="E100">
        <v>110</v>
      </c>
    </row>
    <row r="101" spans="1:13" x14ac:dyDescent="0.25">
      <c r="A101"/>
      <c r="B101"/>
      <c r="C101"/>
      <c r="D101"/>
      <c r="E101"/>
    </row>
    <row r="102" spans="1:13" x14ac:dyDescent="0.25">
      <c r="A102"/>
      <c r="B102"/>
      <c r="C102"/>
    </row>
    <row r="103" spans="1:13" x14ac:dyDescent="0.25">
      <c r="A103"/>
      <c r="B103"/>
      <c r="C103"/>
    </row>
    <row r="104" spans="1:13" x14ac:dyDescent="0.25">
      <c r="A104"/>
      <c r="B104"/>
      <c r="C104"/>
    </row>
    <row r="105" spans="1:13" x14ac:dyDescent="0.25">
      <c r="A105"/>
      <c r="B105"/>
      <c r="C105"/>
    </row>
    <row r="106" spans="1:13" x14ac:dyDescent="0.25">
      <c r="A106"/>
      <c r="B106"/>
      <c r="C106"/>
    </row>
    <row r="107" spans="1:13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x14ac:dyDescent="0.25">
      <c r="A109"/>
      <c r="B109"/>
      <c r="C109"/>
    </row>
    <row r="110" spans="1:13" x14ac:dyDescent="0.25">
      <c r="A110"/>
      <c r="B110"/>
      <c r="C110"/>
    </row>
    <row r="121" spans="9:20" s="4" customFormat="1" ht="30" customHeight="1" x14ac:dyDescent="0.25">
      <c r="I121" s="3"/>
      <c r="J121" s="3"/>
      <c r="K121" s="2"/>
      <c r="L121" s="1"/>
      <c r="M121" s="1"/>
      <c r="N121"/>
      <c r="O121"/>
      <c r="P121"/>
      <c r="Q121"/>
      <c r="R121"/>
      <c r="S121"/>
      <c r="T121"/>
    </row>
    <row r="122" spans="9:20" s="4" customFormat="1" ht="23.25" customHeight="1" x14ac:dyDescent="0.25">
      <c r="I122" s="3"/>
      <c r="J122" s="3"/>
      <c r="K122" s="2"/>
      <c r="L122" s="1"/>
      <c r="M122" s="1"/>
      <c r="N122"/>
      <c r="O122"/>
      <c r="P122"/>
      <c r="Q122"/>
      <c r="R122"/>
      <c r="S122"/>
      <c r="T122"/>
    </row>
    <row r="129" spans="1:20" s="5" customFormat="1" ht="12" customHeight="1" x14ac:dyDescent="0.25">
      <c r="A129" s="4"/>
      <c r="B129" s="4"/>
      <c r="C129" s="4"/>
      <c r="D129" s="4"/>
      <c r="E129" s="4"/>
      <c r="F129" s="4"/>
      <c r="G129" s="4"/>
      <c r="H129" s="4"/>
      <c r="I129" s="3"/>
      <c r="J129" s="3"/>
      <c r="K129" s="2"/>
      <c r="L129" s="1"/>
      <c r="M129" s="1"/>
    </row>
    <row r="133" spans="1:20" x14ac:dyDescent="0.25">
      <c r="Q133" s="42" t="e">
        <f>SUM(#REF!)</f>
        <v>#REF!</v>
      </c>
      <c r="R133" s="42" t="e">
        <f>SUM(#REF!)</f>
        <v>#REF!</v>
      </c>
      <c r="S133" s="42" t="e">
        <f>SUM(#REF!)</f>
        <v>#REF!</v>
      </c>
      <c r="T133" s="42" t="e">
        <f>SUM(#REF!)</f>
        <v>#REF!</v>
      </c>
    </row>
    <row r="134" spans="1:20" ht="35.25" customHeight="1" x14ac:dyDescent="0.25"/>
    <row r="135" spans="1:20" ht="36.75" customHeight="1" x14ac:dyDescent="0.25"/>
    <row r="136" spans="1:20" ht="33.75" customHeight="1" x14ac:dyDescent="0.25"/>
    <row r="137" spans="1:20" ht="26.25" customHeight="1" x14ac:dyDescent="0.25"/>
    <row r="138" spans="1:20" ht="27.75" customHeight="1" x14ac:dyDescent="0.25"/>
    <row r="139" spans="1:20" s="4" customFormat="1" ht="40.5" customHeight="1" x14ac:dyDescent="0.25">
      <c r="I139" s="3"/>
      <c r="J139" s="3"/>
      <c r="K139" s="2"/>
      <c r="L139" s="1"/>
      <c r="M139" s="1"/>
      <c r="N139"/>
      <c r="O139"/>
      <c r="P139"/>
      <c r="Q139"/>
      <c r="R139"/>
      <c r="S139"/>
      <c r="T13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9E4E-CD03-4451-813E-06658CE50F97}">
  <dimension ref="A1:T134"/>
  <sheetViews>
    <sheetView zoomScale="68" zoomScaleNormal="68" workbookViewId="0">
      <selection activeCell="J30" sqref="J30"/>
    </sheetView>
  </sheetViews>
  <sheetFormatPr baseColWidth="10" defaultColWidth="11.44140625" defaultRowHeight="13.2" x14ac:dyDescent="0.25"/>
  <cols>
    <col min="1" max="1" width="18.6640625" style="4" bestFit="1" customWidth="1"/>
    <col min="2" max="2" width="45.44140625" style="4" bestFit="1" customWidth="1"/>
    <col min="3" max="3" width="36.6640625" style="4" bestFit="1" customWidth="1"/>
    <col min="4" max="4" width="21.5546875" style="4" bestFit="1" customWidth="1"/>
    <col min="5" max="5" width="21.33203125" style="4" bestFit="1" customWidth="1"/>
    <col min="6" max="8" width="10.6640625" style="4" customWidth="1"/>
    <col min="9" max="10" width="10.6640625" style="3" customWidth="1"/>
    <col min="11" max="11" width="10.6640625" style="2" customWidth="1"/>
    <col min="12" max="12" width="10.6640625" style="1" customWidth="1"/>
    <col min="13" max="13" width="48.109375" style="1" bestFit="1" customWidth="1"/>
    <col min="14" max="14" width="10.6640625" customWidth="1"/>
  </cols>
  <sheetData>
    <row r="1" spans="1:20" ht="32.25" customHeight="1" x14ac:dyDescent="0.25">
      <c r="A1" s="175"/>
      <c r="B1" s="177" t="s">
        <v>0</v>
      </c>
      <c r="C1" s="177"/>
      <c r="D1" s="177"/>
      <c r="E1" s="177"/>
      <c r="F1" s="177"/>
      <c r="G1" s="177"/>
      <c r="H1" s="177"/>
      <c r="I1" s="177"/>
      <c r="J1" s="177"/>
      <c r="K1" s="177"/>
      <c r="L1" s="179"/>
      <c r="M1" s="180"/>
    </row>
    <row r="2" spans="1:20" ht="20.25" customHeight="1" x14ac:dyDescent="0.25">
      <c r="A2" s="176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81"/>
      <c r="M2" s="182"/>
    </row>
    <row r="3" spans="1:20" ht="12.75" customHeight="1" x14ac:dyDescent="0.25">
      <c r="A3" s="183" t="s">
        <v>1</v>
      </c>
      <c r="B3" s="185" t="s">
        <v>2</v>
      </c>
      <c r="C3" s="185"/>
      <c r="D3" s="185"/>
      <c r="E3" s="185"/>
      <c r="F3" s="185"/>
      <c r="G3" s="185"/>
      <c r="H3" s="185"/>
      <c r="I3" s="185"/>
      <c r="J3" s="185"/>
      <c r="K3" s="185"/>
      <c r="L3" s="187" t="s">
        <v>3</v>
      </c>
      <c r="M3" s="188"/>
    </row>
    <row r="4" spans="1:20" ht="13.8" thickBot="1" x14ac:dyDescent="0.3">
      <c r="A4" s="184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6" t="s">
        <v>4</v>
      </c>
      <c r="M4" s="15"/>
    </row>
    <row r="5" spans="1:20" ht="13.8" thickBot="1" x14ac:dyDescent="0.3"/>
    <row r="6" spans="1:20" ht="14.4" thickBot="1" x14ac:dyDescent="0.3">
      <c r="A6" s="24" t="s">
        <v>5</v>
      </c>
      <c r="B6" s="171" t="s">
        <v>6</v>
      </c>
      <c r="C6" s="171"/>
      <c r="D6" s="171"/>
      <c r="E6" s="171"/>
      <c r="F6" s="171"/>
      <c r="G6" s="171"/>
      <c r="H6" s="172" t="s">
        <v>7</v>
      </c>
      <c r="I6" s="173"/>
      <c r="J6" s="173"/>
      <c r="K6" s="173"/>
      <c r="L6" s="174"/>
      <c r="M6" s="25"/>
    </row>
    <row r="7" spans="1:20" s="14" customFormat="1" ht="49.5" customHeight="1" x14ac:dyDescent="0.25">
      <c r="A7" s="18" cm="1">
        <f t="array" aca="1" ref="A7" ca="1">+#REF!+A1:L7+A7:L50</f>
        <v>0</v>
      </c>
      <c r="B7" s="19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62" t="s">
        <v>21</v>
      </c>
      <c r="C8" s="17" t="s">
        <v>22</v>
      </c>
      <c r="D8" s="66">
        <v>1</v>
      </c>
      <c r="E8" s="66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50" si="0">E8-L8</f>
        <v>-15</v>
      </c>
      <c r="K8" s="65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62" t="s">
        <v>21</v>
      </c>
      <c r="C9" s="17" t="s">
        <v>22</v>
      </c>
      <c r="D9" s="66">
        <v>1</v>
      </c>
      <c r="E9" s="66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65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62" t="s">
        <v>135</v>
      </c>
      <c r="C10" s="17" t="s">
        <v>31</v>
      </c>
      <c r="D10" s="66">
        <v>1</v>
      </c>
      <c r="E10" s="66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65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62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65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62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65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62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65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" customHeight="1" x14ac:dyDescent="0.2">
      <c r="A14" s="23" t="s">
        <v>24</v>
      </c>
      <c r="B14" s="62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65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" customHeight="1" x14ac:dyDescent="0.2">
      <c r="A15" s="23" t="s">
        <v>26</v>
      </c>
      <c r="B15" s="78" t="s">
        <v>27</v>
      </c>
      <c r="C15" s="8" t="s">
        <v>28</v>
      </c>
      <c r="D15" s="66">
        <v>1</v>
      </c>
      <c r="E15" s="66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65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" customHeight="1" x14ac:dyDescent="0.2">
      <c r="A16" s="23" t="s">
        <v>26</v>
      </c>
      <c r="B16" s="63" t="s">
        <v>30</v>
      </c>
      <c r="C16" s="21" t="s">
        <v>31</v>
      </c>
      <c r="D16" s="66">
        <v>1</v>
      </c>
      <c r="E16" s="66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65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62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65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62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65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62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65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" customHeight="1" x14ac:dyDescent="0.2">
      <c r="A20" s="23" t="s">
        <v>26</v>
      </c>
      <c r="B20" s="62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65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" customHeight="1" x14ac:dyDescent="0.2">
      <c r="A21" s="23" t="s">
        <v>45</v>
      </c>
      <c r="B21" s="62" t="s">
        <v>21</v>
      </c>
      <c r="C21" s="17" t="s">
        <v>22</v>
      </c>
      <c r="D21" s="66">
        <v>1</v>
      </c>
      <c r="E21" s="66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si="0"/>
        <v>10</v>
      </c>
      <c r="K21" s="65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" customHeight="1" x14ac:dyDescent="0.2">
      <c r="A22" s="23" t="s">
        <v>45</v>
      </c>
      <c r="B22" s="62" t="s">
        <v>30</v>
      </c>
      <c r="C22" s="17" t="s">
        <v>31</v>
      </c>
      <c r="D22" s="66">
        <v>1</v>
      </c>
      <c r="E22" s="66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0"/>
        <v>10</v>
      </c>
      <c r="K22" s="65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63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0"/>
        <v>10</v>
      </c>
      <c r="K23" s="65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" customHeight="1" x14ac:dyDescent="0.2">
      <c r="A24" s="23" t="s">
        <v>45</v>
      </c>
      <c r="B24" s="62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0"/>
        <v>10</v>
      </c>
      <c r="K24" s="65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63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0"/>
        <v>10</v>
      </c>
      <c r="K25" s="65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63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0"/>
        <v>10</v>
      </c>
      <c r="K26" s="65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" customHeight="1" x14ac:dyDescent="0.2">
      <c r="A27" s="23" t="s">
        <v>52</v>
      </c>
      <c r="B27" s="63" t="s">
        <v>21</v>
      </c>
      <c r="C27" s="21" t="s">
        <v>22</v>
      </c>
      <c r="D27" s="66">
        <v>1</v>
      </c>
      <c r="E27" s="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0"/>
        <v>0</v>
      </c>
      <c r="K27" s="65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" customHeight="1" x14ac:dyDescent="0.2">
      <c r="A28" s="23" t="s">
        <v>52</v>
      </c>
      <c r="B28" s="63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65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5">
      <c r="A29" s="99" t="s">
        <v>471</v>
      </c>
      <c r="B29" s="53" t="s">
        <v>36</v>
      </c>
      <c r="C29" s="53" t="s">
        <v>37</v>
      </c>
      <c r="D29" s="53">
        <v>1</v>
      </c>
      <c r="E29" s="53">
        <v>30</v>
      </c>
      <c r="F29" s="80">
        <v>45882</v>
      </c>
      <c r="G29" s="81">
        <v>0.375</v>
      </c>
      <c r="H29" s="80">
        <v>45877</v>
      </c>
      <c r="I29" s="81">
        <v>0.79166666666666663</v>
      </c>
      <c r="J29" s="87">
        <f t="shared" ref="J29" si="1">E29-L29</f>
        <v>0</v>
      </c>
      <c r="K29" s="53">
        <v>3</v>
      </c>
      <c r="L29" s="53">
        <v>30</v>
      </c>
      <c r="M29" s="79" t="s">
        <v>472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144</v>
      </c>
      <c r="B30" s="63" t="s">
        <v>30</v>
      </c>
      <c r="C30" s="21" t="s">
        <v>31</v>
      </c>
      <c r="D30" s="66">
        <v>1</v>
      </c>
      <c r="E30" s="65">
        <v>30</v>
      </c>
      <c r="F30" s="11">
        <v>45882</v>
      </c>
      <c r="G30" s="10">
        <v>0.375</v>
      </c>
      <c r="H30" s="11">
        <v>45877</v>
      </c>
      <c r="I30" s="10">
        <v>4.1666666666666664E-2</v>
      </c>
      <c r="J30" s="9">
        <f t="shared" si="0"/>
        <v>0</v>
      </c>
      <c r="K30" s="65">
        <v>1</v>
      </c>
      <c r="L30" s="7">
        <v>30</v>
      </c>
      <c r="M30" s="6" t="s">
        <v>145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62" t="s">
        <v>55</v>
      </c>
      <c r="C31" s="11" t="s">
        <v>28</v>
      </c>
      <c r="D31" s="66">
        <v>1</v>
      </c>
      <c r="E31" s="9">
        <v>120</v>
      </c>
      <c r="F31" s="11">
        <v>45882</v>
      </c>
      <c r="G31" s="10">
        <v>0.375</v>
      </c>
      <c r="H31" s="27">
        <v>45879</v>
      </c>
      <c r="I31" s="10">
        <v>0.91666666666666663</v>
      </c>
      <c r="J31" s="9">
        <f t="shared" si="0"/>
        <v>60</v>
      </c>
      <c r="K31" s="65">
        <v>1</v>
      </c>
      <c r="L31" s="7">
        <v>60</v>
      </c>
      <c r="M31" s="6" t="s">
        <v>56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5">
      <c r="A32" s="23" t="s">
        <v>54</v>
      </c>
      <c r="B32" s="62" t="s">
        <v>57</v>
      </c>
      <c r="C32" s="11" t="s">
        <v>58</v>
      </c>
      <c r="D32" s="20">
        <v>1</v>
      </c>
      <c r="E32" s="29">
        <v>120</v>
      </c>
      <c r="F32" s="11">
        <v>45882</v>
      </c>
      <c r="G32" s="10">
        <v>0.375</v>
      </c>
      <c r="H32" s="11">
        <v>45879</v>
      </c>
      <c r="I32" s="10">
        <v>0.91666666666666663</v>
      </c>
      <c r="J32" s="9">
        <f t="shared" si="0"/>
        <v>60</v>
      </c>
      <c r="K32" s="65">
        <v>1</v>
      </c>
      <c r="L32" s="7">
        <v>60</v>
      </c>
      <c r="M32" s="6" t="s">
        <v>59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5">
      <c r="A33" s="26" t="s">
        <v>60</v>
      </c>
      <c r="B33" s="62" t="s">
        <v>61</v>
      </c>
      <c r="C33" s="11" t="s">
        <v>62</v>
      </c>
      <c r="D33" s="66">
        <v>1</v>
      </c>
      <c r="E33" s="9">
        <v>30</v>
      </c>
      <c r="F33" s="11">
        <v>45882</v>
      </c>
      <c r="G33" s="10">
        <v>0.375</v>
      </c>
      <c r="H33" s="13">
        <v>45879</v>
      </c>
      <c r="I33" s="12">
        <v>0.91666666666666663</v>
      </c>
      <c r="J33" s="9">
        <f>E33-L33</f>
        <v>-30</v>
      </c>
      <c r="K33" s="65">
        <v>1</v>
      </c>
      <c r="L33" s="30">
        <v>60</v>
      </c>
      <c r="M33" s="31" t="s">
        <v>63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62" t="s">
        <v>64</v>
      </c>
      <c r="C34" s="11" t="s">
        <v>65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0.875</v>
      </c>
      <c r="J34" s="9">
        <f t="shared" si="0"/>
        <v>-30</v>
      </c>
      <c r="K34" s="65">
        <v>1</v>
      </c>
      <c r="L34" s="7">
        <v>60</v>
      </c>
      <c r="M34" s="6" t="s">
        <v>66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62" t="s">
        <v>67</v>
      </c>
      <c r="C35" s="11" t="s">
        <v>68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0.91666666666666663</v>
      </c>
      <c r="J35" s="9">
        <f t="shared" si="0"/>
        <v>-90</v>
      </c>
      <c r="K35" s="65">
        <v>1</v>
      </c>
      <c r="L35" s="7">
        <v>120</v>
      </c>
      <c r="M35" s="6" t="s">
        <v>69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" customHeight="1" x14ac:dyDescent="0.2">
      <c r="A36" s="23" t="s">
        <v>60</v>
      </c>
      <c r="B36" s="62" t="s">
        <v>70</v>
      </c>
      <c r="C36" s="11" t="s">
        <v>71</v>
      </c>
      <c r="D36" s="20">
        <v>1</v>
      </c>
      <c r="E36" s="29">
        <v>30</v>
      </c>
      <c r="F36" s="11">
        <v>45882</v>
      </c>
      <c r="G36" s="10">
        <v>0.375</v>
      </c>
      <c r="H36" s="11">
        <v>45879</v>
      </c>
      <c r="I36" s="10">
        <v>0.46527777777777779</v>
      </c>
      <c r="J36" s="9">
        <f t="shared" si="0"/>
        <v>5</v>
      </c>
      <c r="K36" s="65">
        <v>1</v>
      </c>
      <c r="L36" s="7">
        <v>25</v>
      </c>
      <c r="M36" s="6" t="s">
        <v>72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73</v>
      </c>
      <c r="B37" s="62" t="s">
        <v>74</v>
      </c>
      <c r="C37" s="11" t="s">
        <v>71</v>
      </c>
      <c r="D37" s="20">
        <v>1</v>
      </c>
      <c r="E37" s="29">
        <v>70</v>
      </c>
      <c r="F37" s="11">
        <v>45882</v>
      </c>
      <c r="G37" s="10">
        <v>0.375</v>
      </c>
      <c r="H37" s="11">
        <v>45880</v>
      </c>
      <c r="I37" s="10">
        <v>0.83333333333333337</v>
      </c>
      <c r="J37" s="9">
        <f t="shared" si="0"/>
        <v>-50</v>
      </c>
      <c r="K37" s="65">
        <v>1</v>
      </c>
      <c r="L37" s="7">
        <v>120</v>
      </c>
      <c r="M37" s="6" t="s">
        <v>75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76</v>
      </c>
      <c r="B38" s="62" t="s">
        <v>42</v>
      </c>
      <c r="C38" s="11" t="s">
        <v>77</v>
      </c>
      <c r="D38" s="20">
        <v>1</v>
      </c>
      <c r="E38" s="29">
        <v>50</v>
      </c>
      <c r="F38" s="11">
        <v>45882</v>
      </c>
      <c r="G38" s="10">
        <v>0.375</v>
      </c>
      <c r="H38" s="11">
        <v>45880</v>
      </c>
      <c r="I38" s="10">
        <v>0.91666666666666663</v>
      </c>
      <c r="J38" s="9">
        <f t="shared" si="0"/>
        <v>-70</v>
      </c>
      <c r="K38" s="65">
        <v>1</v>
      </c>
      <c r="L38" s="7">
        <v>120</v>
      </c>
      <c r="M38" s="6" t="s">
        <v>78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79</v>
      </c>
      <c r="B39" s="62" t="s">
        <v>36</v>
      </c>
      <c r="C39" s="11" t="s">
        <v>80</v>
      </c>
      <c r="D39" s="20">
        <v>1</v>
      </c>
      <c r="E39" s="29">
        <v>45</v>
      </c>
      <c r="F39" s="11">
        <v>45882</v>
      </c>
      <c r="G39" s="10">
        <v>0.375</v>
      </c>
      <c r="H39" s="11">
        <v>45880</v>
      </c>
      <c r="I39" s="10">
        <v>0.9375</v>
      </c>
      <c r="J39" s="9">
        <f t="shared" si="0"/>
        <v>-35</v>
      </c>
      <c r="K39" s="65">
        <v>1</v>
      </c>
      <c r="L39" s="7">
        <v>80</v>
      </c>
      <c r="M39" s="6" t="s">
        <v>81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82</v>
      </c>
      <c r="B40" s="62" t="s">
        <v>30</v>
      </c>
      <c r="C40" s="11" t="s">
        <v>83</v>
      </c>
      <c r="D40" s="66">
        <v>1</v>
      </c>
      <c r="E40" s="9">
        <v>50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0"/>
        <v>-4</v>
      </c>
      <c r="K40" s="65">
        <v>1</v>
      </c>
      <c r="L40" s="7">
        <v>54</v>
      </c>
      <c r="M40" s="6" t="s">
        <v>84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85</v>
      </c>
      <c r="B41" s="62" t="s">
        <v>21</v>
      </c>
      <c r="C41" s="11" t="s">
        <v>86</v>
      </c>
      <c r="D41" s="66">
        <v>1</v>
      </c>
      <c r="E41" s="9">
        <v>60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0"/>
        <v>10</v>
      </c>
      <c r="K41" s="65">
        <v>1</v>
      </c>
      <c r="L41" s="7">
        <v>50</v>
      </c>
      <c r="M41" s="6" t="s">
        <v>87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88</v>
      </c>
      <c r="B42" s="62" t="s">
        <v>21</v>
      </c>
      <c r="C42" s="11" t="s">
        <v>86</v>
      </c>
      <c r="D42" s="66">
        <v>1</v>
      </c>
      <c r="E42" s="9">
        <v>55</v>
      </c>
      <c r="F42" s="11">
        <v>45882</v>
      </c>
      <c r="G42" s="10">
        <v>0.375</v>
      </c>
      <c r="H42" s="11">
        <v>45880</v>
      </c>
      <c r="I42" s="10">
        <v>0.95833333333333337</v>
      </c>
      <c r="J42" s="9">
        <f t="shared" si="0"/>
        <v>0</v>
      </c>
      <c r="K42" s="65">
        <v>1</v>
      </c>
      <c r="L42" s="7">
        <v>55</v>
      </c>
      <c r="M42" s="6" t="s">
        <v>89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62" t="s">
        <v>30</v>
      </c>
      <c r="C43" s="11" t="s">
        <v>83</v>
      </c>
      <c r="D43" s="66">
        <v>1</v>
      </c>
      <c r="E43" s="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65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62" t="s">
        <v>21</v>
      </c>
      <c r="C44" s="11" t="s">
        <v>86</v>
      </c>
      <c r="D44" s="66">
        <v>1</v>
      </c>
      <c r="E44" s="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65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62" t="s">
        <v>39</v>
      </c>
      <c r="C45" s="11" t="s">
        <v>150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65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62" t="s">
        <v>136</v>
      </c>
      <c r="C46" s="11" t="s">
        <v>151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65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62" t="s">
        <v>42</v>
      </c>
      <c r="C47" s="11" t="s">
        <v>77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>E47-L47</f>
        <v>-6</v>
      </c>
      <c r="K47" s="65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146</v>
      </c>
      <c r="B48" s="62" t="s">
        <v>36</v>
      </c>
      <c r="C48" s="11" t="s">
        <v>80</v>
      </c>
      <c r="D48" s="20">
        <v>1</v>
      </c>
      <c r="E48" s="29">
        <v>60</v>
      </c>
      <c r="F48" s="11">
        <v>45882</v>
      </c>
      <c r="G48" s="10">
        <v>0.375</v>
      </c>
      <c r="H48" s="11">
        <v>45880</v>
      </c>
      <c r="I48" s="10">
        <v>0.875</v>
      </c>
      <c r="J48" s="9">
        <f t="shared" si="0"/>
        <v>-6</v>
      </c>
      <c r="K48" s="65">
        <v>1</v>
      </c>
      <c r="L48" s="7">
        <v>66</v>
      </c>
      <c r="M48" s="6" t="s">
        <v>149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147</v>
      </c>
      <c r="B49" s="62" t="s">
        <v>30</v>
      </c>
      <c r="C49" s="11" t="s">
        <v>83</v>
      </c>
      <c r="D49" s="66">
        <v>1</v>
      </c>
      <c r="E49" s="9">
        <v>30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0"/>
        <v>5</v>
      </c>
      <c r="K49" s="65">
        <v>1</v>
      </c>
      <c r="L49" s="7">
        <v>25</v>
      </c>
      <c r="M49" s="6" t="s">
        <v>148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" customHeight="1" x14ac:dyDescent="0.2">
      <c r="A50" s="23" t="s">
        <v>90</v>
      </c>
      <c r="B50" s="62" t="s">
        <v>42</v>
      </c>
      <c r="C50" s="11" t="s">
        <v>77</v>
      </c>
      <c r="D50" s="20">
        <v>1</v>
      </c>
      <c r="E50" s="29">
        <v>20</v>
      </c>
      <c r="F50" s="11">
        <v>45882</v>
      </c>
      <c r="G50" s="10">
        <v>0.375</v>
      </c>
      <c r="H50" s="11">
        <v>45880</v>
      </c>
      <c r="I50" s="10">
        <v>0.95833333333333337</v>
      </c>
      <c r="J50" s="9">
        <f t="shared" si="0"/>
        <v>0</v>
      </c>
      <c r="K50" s="65">
        <v>1</v>
      </c>
      <c r="L50" s="7">
        <v>20</v>
      </c>
      <c r="M50" s="6" t="s">
        <v>91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5">
      <c r="A51" s="4"/>
      <c r="B51" s="4"/>
      <c r="C51" s="4"/>
      <c r="D51" s="4"/>
      <c r="E51" s="4"/>
      <c r="F51" s="4"/>
      <c r="G51" s="4"/>
      <c r="H51" s="4"/>
      <c r="I51" s="3"/>
      <c r="J51" s="3"/>
      <c r="K51" s="2"/>
      <c r="L51" s="1"/>
      <c r="M51" s="1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" customHeight="1" x14ac:dyDescent="0.25">
      <c r="A52" s="70" t="s">
        <v>210</v>
      </c>
      <c r="B52" t="s">
        <v>215</v>
      </c>
      <c r="C52" t="s">
        <v>214</v>
      </c>
      <c r="D52" t="s">
        <v>213</v>
      </c>
      <c r="E52" t="s">
        <v>212</v>
      </c>
      <c r="F52" s="4"/>
      <c r="G52" s="4"/>
      <c r="H52" s="4"/>
      <c r="I52" s="3"/>
      <c r="J52" s="3"/>
      <c r="K52" s="2"/>
      <c r="L52" s="1"/>
      <c r="M52" s="1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5">
      <c r="A53" s="71" t="s">
        <v>55</v>
      </c>
      <c r="B53">
        <v>1</v>
      </c>
      <c r="C53">
        <v>120</v>
      </c>
      <c r="D53" s="2">
        <v>1</v>
      </c>
      <c r="E53" s="2">
        <v>60</v>
      </c>
      <c r="F53" s="4"/>
      <c r="G53" s="4"/>
      <c r="H53" s="4"/>
      <c r="I53" s="3"/>
      <c r="J53" s="3"/>
      <c r="K53" s="2"/>
      <c r="L53" s="1"/>
      <c r="M53" s="1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5">
      <c r="A54" s="71" t="s">
        <v>70</v>
      </c>
      <c r="B54">
        <v>1</v>
      </c>
      <c r="C54">
        <v>30</v>
      </c>
      <c r="D54" s="2">
        <v>1</v>
      </c>
      <c r="E54" s="2">
        <v>25</v>
      </c>
      <c r="F54" s="4"/>
      <c r="G54" s="4"/>
      <c r="H54" s="4"/>
      <c r="I54" s="3"/>
      <c r="J54" s="3"/>
      <c r="K54" s="2"/>
      <c r="L54" s="1"/>
      <c r="M54" s="1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" customHeight="1" x14ac:dyDescent="0.25">
      <c r="A55" s="71" t="s">
        <v>57</v>
      </c>
      <c r="B55">
        <v>1</v>
      </c>
      <c r="C55">
        <v>120</v>
      </c>
      <c r="D55" s="2">
        <v>1</v>
      </c>
      <c r="E55" s="2">
        <v>60</v>
      </c>
      <c r="F55" s="4"/>
      <c r="G55" s="4"/>
      <c r="H55" s="4"/>
      <c r="I55" s="3"/>
      <c r="J55" s="3"/>
      <c r="K55" s="2"/>
      <c r="L55" s="1"/>
      <c r="M55" s="1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" customHeight="1" x14ac:dyDescent="0.25">
      <c r="A56" s="71" t="s">
        <v>64</v>
      </c>
      <c r="B56">
        <v>1</v>
      </c>
      <c r="C56">
        <v>30</v>
      </c>
      <c r="D56" s="2">
        <v>1</v>
      </c>
      <c r="E56" s="2">
        <v>60</v>
      </c>
      <c r="F56" s="4"/>
      <c r="G56" s="4"/>
      <c r="H56" s="4"/>
      <c r="I56" s="3"/>
      <c r="J56" s="3"/>
      <c r="K56" s="2"/>
      <c r="L56" s="1"/>
      <c r="M56" s="1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" customHeight="1" x14ac:dyDescent="0.25">
      <c r="A57" s="71" t="s">
        <v>67</v>
      </c>
      <c r="B57">
        <v>1</v>
      </c>
      <c r="C57">
        <v>30</v>
      </c>
      <c r="D57" s="2">
        <v>1</v>
      </c>
      <c r="E57" s="2">
        <v>120</v>
      </c>
      <c r="F57" s="4"/>
      <c r="G57" s="4"/>
      <c r="H57" s="4"/>
      <c r="I57" s="3"/>
      <c r="J57" s="3"/>
      <c r="K57" s="2"/>
      <c r="L57" s="1"/>
      <c r="M57" s="1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" customHeight="1" x14ac:dyDescent="0.25">
      <c r="A58" s="71" t="s">
        <v>61</v>
      </c>
      <c r="B58">
        <v>1</v>
      </c>
      <c r="C58">
        <v>30</v>
      </c>
      <c r="D58" s="2">
        <v>1</v>
      </c>
      <c r="E58" s="2">
        <v>60</v>
      </c>
      <c r="F58" s="4"/>
      <c r="G58" s="4"/>
      <c r="H58" s="4"/>
      <c r="I58" s="3"/>
      <c r="J58" s="3"/>
      <c r="K58" s="2"/>
      <c r="L58" s="1"/>
      <c r="M58" s="1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" customHeight="1" x14ac:dyDescent="0.25">
      <c r="A59" s="71" t="s">
        <v>211</v>
      </c>
      <c r="B59">
        <v>6</v>
      </c>
      <c r="C59">
        <v>360</v>
      </c>
      <c r="D59" s="2">
        <v>6</v>
      </c>
      <c r="E59" s="2">
        <v>385</v>
      </c>
      <c r="F59" s="4"/>
      <c r="G59" s="4"/>
      <c r="H59" s="4"/>
      <c r="I59" s="3"/>
      <c r="J59" s="3"/>
      <c r="K59" s="2"/>
      <c r="L59" s="1"/>
      <c r="M59" s="1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" customHeight="1" x14ac:dyDescent="0.25">
      <c r="A60"/>
      <c r="B60"/>
      <c r="C60"/>
      <c r="D60"/>
      <c r="E60"/>
      <c r="F60" s="4"/>
      <c r="G60" s="4"/>
      <c r="H60" s="4"/>
      <c r="I60" s="3"/>
      <c r="J60" s="3"/>
      <c r="K60" s="2"/>
      <c r="L60" s="1"/>
      <c r="M60" s="1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" customHeight="1" x14ac:dyDescent="0.25">
      <c r="A61"/>
      <c r="B61"/>
      <c r="C61"/>
      <c r="D61"/>
      <c r="E61"/>
      <c r="F61" s="4"/>
      <c r="G61" s="4"/>
      <c r="H61" s="4"/>
      <c r="I61" s="3"/>
      <c r="J61" s="3"/>
      <c r="K61" s="2"/>
      <c r="L61" s="1"/>
      <c r="M61" s="1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" customHeight="1" x14ac:dyDescent="0.25">
      <c r="A62"/>
      <c r="B62"/>
      <c r="C62"/>
      <c r="D62"/>
      <c r="E62"/>
      <c r="F62" s="4"/>
      <c r="G62" s="4"/>
      <c r="H62" s="4"/>
      <c r="I62" s="3"/>
      <c r="J62" s="3"/>
      <c r="K62" s="2"/>
      <c r="L62" s="1"/>
      <c r="M62" s="1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" customHeight="1" x14ac:dyDescent="0.25">
      <c r="A63"/>
      <c r="B63"/>
      <c r="C63"/>
      <c r="D63"/>
      <c r="E63"/>
      <c r="F63" s="4"/>
      <c r="G63" s="4"/>
      <c r="H63" s="4"/>
      <c r="I63" s="3"/>
      <c r="J63" s="3"/>
      <c r="K63" s="2"/>
      <c r="L63" s="1"/>
      <c r="M63" s="1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" customHeight="1" x14ac:dyDescent="0.25">
      <c r="A64"/>
      <c r="B64"/>
      <c r="C64"/>
      <c r="D64"/>
      <c r="E64"/>
      <c r="F64" s="4"/>
      <c r="G64" s="4"/>
      <c r="H64" s="4"/>
      <c r="I64" s="3"/>
      <c r="J64" s="3"/>
      <c r="K64" s="2"/>
      <c r="L64" s="1"/>
      <c r="M64" s="1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" customHeight="1" x14ac:dyDescent="0.25">
      <c r="A65"/>
      <c r="B65"/>
      <c r="C65"/>
      <c r="D65"/>
      <c r="E65"/>
      <c r="F65" s="4"/>
      <c r="G65" s="4"/>
      <c r="H65" s="4"/>
      <c r="I65" s="3"/>
      <c r="J65" s="3"/>
      <c r="K65" s="2"/>
      <c r="L65" s="1"/>
      <c r="M65" s="1"/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" customHeight="1" x14ac:dyDescent="0.25">
      <c r="A66"/>
      <c r="B66"/>
      <c r="C66"/>
      <c r="D66"/>
      <c r="E66"/>
      <c r="F66" s="44"/>
      <c r="G66" s="45"/>
      <c r="H66" s="44"/>
      <c r="I66" s="45"/>
      <c r="J66" s="46"/>
      <c r="L66" s="47"/>
      <c r="M66" s="48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" customHeight="1" x14ac:dyDescent="0.25">
      <c r="A67"/>
      <c r="B67"/>
      <c r="C67"/>
      <c r="D67"/>
      <c r="E67"/>
      <c r="F67" s="4"/>
      <c r="G67" s="4"/>
      <c r="H67" s="4"/>
      <c r="I67" s="3"/>
      <c r="J67" s="3"/>
      <c r="K67" s="2"/>
      <c r="L67" s="1"/>
      <c r="M67" s="1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0" customHeight="1" x14ac:dyDescent="0.25">
      <c r="A68"/>
      <c r="B68"/>
      <c r="C68"/>
      <c r="D68"/>
      <c r="E68"/>
      <c r="F68" s="4"/>
      <c r="G68" s="4"/>
      <c r="H68" s="4"/>
      <c r="I68" s="3"/>
      <c r="J68" s="3"/>
      <c r="K68" s="2"/>
      <c r="L68" s="1"/>
      <c r="M68" s="1"/>
      <c r="Q68" s="29">
        <v>1</v>
      </c>
      <c r="R68" s="29">
        <v>60</v>
      </c>
      <c r="S68" s="8">
        <v>1</v>
      </c>
      <c r="T68" s="7">
        <v>45</v>
      </c>
    </row>
    <row r="69" spans="1:20" x14ac:dyDescent="0.25">
      <c r="A69"/>
      <c r="B69"/>
      <c r="C69"/>
      <c r="D69"/>
      <c r="E69"/>
      <c r="Q69" s="29">
        <v>1</v>
      </c>
      <c r="R69" s="29">
        <v>30</v>
      </c>
      <c r="S69" s="8">
        <v>1</v>
      </c>
      <c r="T69" s="7">
        <v>20</v>
      </c>
    </row>
    <row r="70" spans="1:20" x14ac:dyDescent="0.25">
      <c r="A70"/>
      <c r="B70"/>
      <c r="C70"/>
      <c r="D70"/>
      <c r="E70"/>
      <c r="Q70" s="29">
        <v>1</v>
      </c>
      <c r="R70" s="29">
        <v>30</v>
      </c>
      <c r="S70" s="8">
        <v>1</v>
      </c>
      <c r="T70" s="7">
        <v>20</v>
      </c>
    </row>
    <row r="71" spans="1:20" x14ac:dyDescent="0.25">
      <c r="A71"/>
      <c r="B71"/>
      <c r="C71"/>
      <c r="D71"/>
      <c r="E71"/>
      <c r="Q71" s="29">
        <v>1</v>
      </c>
      <c r="R71" s="29">
        <v>30</v>
      </c>
      <c r="S71" s="8">
        <v>1</v>
      </c>
      <c r="T71" s="7">
        <v>30</v>
      </c>
    </row>
    <row r="72" spans="1:20" x14ac:dyDescent="0.25">
      <c r="A72"/>
      <c r="B72"/>
      <c r="C72"/>
      <c r="D72"/>
      <c r="E72"/>
      <c r="Q72" s="29">
        <v>1</v>
      </c>
      <c r="R72" s="29">
        <v>30</v>
      </c>
      <c r="S72" s="8">
        <v>1</v>
      </c>
      <c r="T72" s="7">
        <v>30</v>
      </c>
    </row>
    <row r="73" spans="1:20" x14ac:dyDescent="0.25">
      <c r="A73"/>
      <c r="B73"/>
      <c r="C73"/>
      <c r="D73"/>
      <c r="E73"/>
      <c r="Q73" s="29">
        <v>1</v>
      </c>
      <c r="R73" s="29">
        <v>30</v>
      </c>
      <c r="S73" s="8">
        <v>1</v>
      </c>
      <c r="T73" s="7">
        <v>32</v>
      </c>
    </row>
    <row r="74" spans="1:20" x14ac:dyDescent="0.25">
      <c r="A74"/>
      <c r="B74"/>
      <c r="C74"/>
      <c r="D74"/>
      <c r="E74"/>
      <c r="Q74" s="29">
        <v>1</v>
      </c>
      <c r="R74" s="29">
        <v>30</v>
      </c>
      <c r="S74" s="8">
        <v>1</v>
      </c>
      <c r="T74" s="7">
        <v>32</v>
      </c>
    </row>
    <row r="75" spans="1:20" x14ac:dyDescent="0.25">
      <c r="A75"/>
      <c r="B75"/>
      <c r="C75"/>
      <c r="D75"/>
      <c r="E75"/>
      <c r="Q75" s="29">
        <v>1</v>
      </c>
      <c r="R75" s="29">
        <v>20</v>
      </c>
      <c r="S75" s="8">
        <v>1</v>
      </c>
      <c r="T75" s="7">
        <v>20</v>
      </c>
    </row>
    <row r="76" spans="1:20" x14ac:dyDescent="0.25">
      <c r="A76"/>
      <c r="B76"/>
      <c r="C76"/>
      <c r="D76"/>
      <c r="E76"/>
      <c r="Q76" s="29">
        <v>1</v>
      </c>
      <c r="R76" s="29">
        <v>20</v>
      </c>
      <c r="S76" s="8">
        <v>1</v>
      </c>
      <c r="T76" s="7">
        <v>20</v>
      </c>
    </row>
    <row r="77" spans="1:20" x14ac:dyDescent="0.25">
      <c r="A77"/>
      <c r="B77"/>
      <c r="C77"/>
      <c r="D77"/>
      <c r="E77"/>
      <c r="Q77" s="29">
        <v>1</v>
      </c>
      <c r="R77" s="29">
        <v>20</v>
      </c>
      <c r="S77" s="8">
        <v>1</v>
      </c>
      <c r="T77" s="7">
        <v>20</v>
      </c>
    </row>
    <row r="78" spans="1:20" x14ac:dyDescent="0.25">
      <c r="A78"/>
      <c r="B78"/>
      <c r="C78"/>
      <c r="D78"/>
      <c r="E78"/>
      <c r="Q78" s="29">
        <v>1</v>
      </c>
      <c r="R78" s="29">
        <v>20</v>
      </c>
      <c r="S78" s="8">
        <v>1</v>
      </c>
      <c r="T78" s="7">
        <v>20</v>
      </c>
    </row>
    <row r="79" spans="1:20" x14ac:dyDescent="0.25">
      <c r="A79"/>
      <c r="B79"/>
      <c r="C79"/>
      <c r="D79"/>
      <c r="E79"/>
      <c r="Q79" s="29">
        <v>1</v>
      </c>
      <c r="R79" s="29">
        <v>20</v>
      </c>
      <c r="S79" s="8">
        <v>1</v>
      </c>
      <c r="T79" s="7">
        <v>20</v>
      </c>
    </row>
    <row r="80" spans="1:20" ht="194.25" customHeight="1" x14ac:dyDescent="0.25">
      <c r="A80"/>
      <c r="B80"/>
      <c r="C80"/>
      <c r="D80"/>
      <c r="E80"/>
      <c r="Q80" s="29">
        <v>1</v>
      </c>
      <c r="R80" s="29">
        <v>20</v>
      </c>
      <c r="S80" s="8">
        <v>1</v>
      </c>
      <c r="T80" s="7">
        <v>20</v>
      </c>
    </row>
    <row r="81" spans="1:20" x14ac:dyDescent="0.25">
      <c r="A81"/>
      <c r="B81"/>
      <c r="C81"/>
      <c r="D81"/>
      <c r="E81"/>
      <c r="Q81" s="29">
        <v>1</v>
      </c>
      <c r="R81" s="29">
        <v>20</v>
      </c>
      <c r="S81" s="8">
        <v>1</v>
      </c>
      <c r="T81" s="7">
        <v>18</v>
      </c>
    </row>
    <row r="82" spans="1:20" x14ac:dyDescent="0.25">
      <c r="A82"/>
      <c r="B82"/>
      <c r="C82"/>
      <c r="D82"/>
      <c r="E82"/>
      <c r="Q82" s="29">
        <v>1</v>
      </c>
      <c r="R82" s="29">
        <v>20</v>
      </c>
      <c r="S82" s="8">
        <v>1</v>
      </c>
      <c r="T82" s="7">
        <v>18</v>
      </c>
    </row>
    <row r="83" spans="1:20" x14ac:dyDescent="0.25">
      <c r="A83"/>
      <c r="B83"/>
      <c r="C83"/>
      <c r="D83"/>
      <c r="E83"/>
      <c r="Q83" s="29">
        <v>1</v>
      </c>
      <c r="R83" s="29">
        <v>20</v>
      </c>
      <c r="S83" s="8">
        <v>1</v>
      </c>
      <c r="T83" s="7">
        <v>20</v>
      </c>
    </row>
    <row r="84" spans="1:20" x14ac:dyDescent="0.25">
      <c r="A84"/>
      <c r="B84"/>
      <c r="C84"/>
      <c r="D84"/>
      <c r="E84"/>
      <c r="Q84" s="29">
        <v>1</v>
      </c>
      <c r="R84" s="29">
        <v>20</v>
      </c>
      <c r="S84" s="8">
        <v>1</v>
      </c>
      <c r="T84" s="7">
        <v>20</v>
      </c>
    </row>
    <row r="85" spans="1:20" x14ac:dyDescent="0.25">
      <c r="A85"/>
      <c r="B85"/>
      <c r="C85"/>
      <c r="D85"/>
      <c r="E85"/>
      <c r="Q85" s="29">
        <v>1</v>
      </c>
      <c r="R85" s="29">
        <v>20</v>
      </c>
      <c r="S85" s="8">
        <v>1</v>
      </c>
      <c r="T85" s="7">
        <v>21</v>
      </c>
    </row>
    <row r="86" spans="1:20" x14ac:dyDescent="0.25">
      <c r="A86"/>
      <c r="B86"/>
      <c r="C86"/>
      <c r="D86"/>
      <c r="E86"/>
      <c r="Q86" s="29">
        <v>1</v>
      </c>
      <c r="R86" s="29">
        <v>20</v>
      </c>
      <c r="S86" s="8">
        <v>1</v>
      </c>
      <c r="T86" s="7">
        <v>21</v>
      </c>
    </row>
    <row r="87" spans="1:20" x14ac:dyDescent="0.25">
      <c r="A87"/>
      <c r="B87"/>
      <c r="C87"/>
      <c r="D87"/>
      <c r="E87"/>
      <c r="Q87" s="29">
        <v>1</v>
      </c>
      <c r="R87" s="29">
        <v>30</v>
      </c>
      <c r="S87" s="8">
        <v>1</v>
      </c>
      <c r="T87" s="7">
        <v>25</v>
      </c>
    </row>
    <row r="88" spans="1:20" x14ac:dyDescent="0.25">
      <c r="A88"/>
      <c r="B88"/>
      <c r="C88"/>
      <c r="D88"/>
      <c r="E88"/>
      <c r="Q88" s="29">
        <v>1</v>
      </c>
      <c r="R88" s="29">
        <v>30</v>
      </c>
      <c r="S88" s="8">
        <v>1</v>
      </c>
      <c r="T88" s="7">
        <v>25</v>
      </c>
    </row>
    <row r="89" spans="1:20" ht="255" customHeight="1" x14ac:dyDescent="0.25">
      <c r="A89"/>
      <c r="B89"/>
      <c r="C89"/>
      <c r="D89"/>
      <c r="E89"/>
      <c r="Q89" s="29">
        <v>1</v>
      </c>
      <c r="R89" s="29">
        <v>30</v>
      </c>
      <c r="S89" s="8">
        <v>1</v>
      </c>
      <c r="T89" s="7">
        <v>20</v>
      </c>
    </row>
    <row r="90" spans="1:20" x14ac:dyDescent="0.25">
      <c r="A90"/>
      <c r="B90"/>
      <c r="C90"/>
      <c r="D90"/>
      <c r="E90"/>
      <c r="Q90" s="29">
        <v>1</v>
      </c>
      <c r="R90" s="29">
        <v>30</v>
      </c>
      <c r="S90" s="8">
        <v>1</v>
      </c>
      <c r="T90" s="7">
        <v>20</v>
      </c>
    </row>
    <row r="91" spans="1:20" x14ac:dyDescent="0.25">
      <c r="A91"/>
      <c r="B91"/>
      <c r="C91"/>
      <c r="D91"/>
      <c r="E91"/>
      <c r="Q91" s="20">
        <v>1</v>
      </c>
      <c r="R91" s="29">
        <v>60</v>
      </c>
      <c r="S91" s="8">
        <v>1</v>
      </c>
      <c r="T91" s="7">
        <v>10</v>
      </c>
    </row>
    <row r="92" spans="1:20" x14ac:dyDescent="0.25">
      <c r="A92"/>
      <c r="B92"/>
      <c r="C92"/>
      <c r="D92"/>
      <c r="E92"/>
      <c r="Q92" s="20">
        <v>1</v>
      </c>
      <c r="R92" s="29">
        <v>60</v>
      </c>
      <c r="S92" s="8">
        <v>1</v>
      </c>
      <c r="T92" s="7">
        <v>10</v>
      </c>
    </row>
    <row r="93" spans="1:20" x14ac:dyDescent="0.25">
      <c r="A93"/>
      <c r="B93"/>
      <c r="C93"/>
      <c r="D93"/>
      <c r="E93"/>
      <c r="Q93" s="20">
        <v>1</v>
      </c>
      <c r="R93" s="29">
        <v>60</v>
      </c>
      <c r="S93" s="8">
        <v>1</v>
      </c>
      <c r="T93" s="7">
        <v>10</v>
      </c>
    </row>
    <row r="94" spans="1:20" x14ac:dyDescent="0.25">
      <c r="A94"/>
      <c r="B94"/>
      <c r="C94"/>
      <c r="D94"/>
      <c r="E94"/>
      <c r="Q94" s="20">
        <v>1</v>
      </c>
      <c r="R94" s="29">
        <v>60</v>
      </c>
      <c r="S94" s="8">
        <v>1</v>
      </c>
      <c r="T94" s="7">
        <v>10</v>
      </c>
    </row>
    <row r="95" spans="1:20" x14ac:dyDescent="0.25">
      <c r="A95"/>
      <c r="B95"/>
      <c r="C95"/>
      <c r="D95"/>
      <c r="E95"/>
      <c r="Q95" s="20">
        <v>1</v>
      </c>
      <c r="R95" s="29">
        <v>60</v>
      </c>
      <c r="S95" s="8">
        <v>1</v>
      </c>
      <c r="T95" s="7">
        <v>10</v>
      </c>
    </row>
    <row r="96" spans="1:20" ht="228" customHeight="1" x14ac:dyDescent="0.25">
      <c r="A96"/>
      <c r="B96"/>
      <c r="C96"/>
      <c r="D96"/>
      <c r="E96"/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5">
      <c r="A97"/>
      <c r="B97"/>
      <c r="C97"/>
      <c r="D97"/>
      <c r="E97"/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5">
      <c r="A98"/>
      <c r="B98"/>
      <c r="C98"/>
      <c r="D98"/>
      <c r="E98"/>
      <c r="Q98" s="20">
        <v>1</v>
      </c>
      <c r="R98" s="5">
        <v>30</v>
      </c>
      <c r="S98" s="8">
        <v>1</v>
      </c>
      <c r="T98" s="7">
        <v>30</v>
      </c>
    </row>
    <row r="99" spans="1:20" x14ac:dyDescent="0.25">
      <c r="A99"/>
      <c r="B99"/>
      <c r="C99"/>
      <c r="D99"/>
      <c r="E99"/>
      <c r="K99"/>
      <c r="L99"/>
      <c r="M99"/>
      <c r="Q99" s="20">
        <v>1</v>
      </c>
      <c r="R99" s="29">
        <v>45</v>
      </c>
      <c r="S99" s="8">
        <v>1</v>
      </c>
      <c r="T99" s="7">
        <v>80</v>
      </c>
    </row>
    <row r="100" spans="1:20" x14ac:dyDescent="0.25">
      <c r="A100"/>
      <c r="B100"/>
      <c r="C100"/>
      <c r="D100"/>
      <c r="E100"/>
      <c r="K100"/>
      <c r="L100"/>
      <c r="M100"/>
      <c r="Q100" s="20">
        <v>1</v>
      </c>
      <c r="R100" s="29">
        <v>60</v>
      </c>
      <c r="S100" s="8">
        <v>1</v>
      </c>
      <c r="T100" s="7">
        <v>50</v>
      </c>
    </row>
    <row r="101" spans="1:20" x14ac:dyDescent="0.25">
      <c r="A101"/>
      <c r="B101"/>
      <c r="C101"/>
      <c r="D101"/>
      <c r="E101"/>
      <c r="K101"/>
      <c r="L101"/>
      <c r="M101"/>
      <c r="Q101" s="20">
        <v>1</v>
      </c>
      <c r="R101" s="29">
        <v>55</v>
      </c>
      <c r="S101" s="8">
        <v>1</v>
      </c>
      <c r="T101" s="7">
        <v>55</v>
      </c>
    </row>
    <row r="102" spans="1:20" x14ac:dyDescent="0.25">
      <c r="A102"/>
      <c r="B102"/>
      <c r="C102"/>
      <c r="D102"/>
      <c r="E102"/>
      <c r="K102"/>
      <c r="L102"/>
      <c r="M102"/>
      <c r="Q102" s="29">
        <v>1</v>
      </c>
      <c r="R102" s="29">
        <v>30</v>
      </c>
      <c r="S102" s="8">
        <v>1</v>
      </c>
      <c r="T102" s="7">
        <v>32</v>
      </c>
    </row>
    <row r="103" spans="1:20" x14ac:dyDescent="0.25">
      <c r="A103"/>
      <c r="B103"/>
      <c r="C103"/>
      <c r="D103"/>
      <c r="E103"/>
      <c r="K103"/>
      <c r="L103"/>
      <c r="M103"/>
      <c r="Q103" s="29">
        <v>1</v>
      </c>
      <c r="R103" s="29">
        <v>30</v>
      </c>
      <c r="S103" s="8">
        <v>1</v>
      </c>
      <c r="T103" s="7">
        <v>32</v>
      </c>
    </row>
    <row r="104" spans="1:20" x14ac:dyDescent="0.25">
      <c r="A104"/>
      <c r="B104"/>
      <c r="C104"/>
      <c r="D104"/>
      <c r="E104"/>
      <c r="K104"/>
      <c r="L104"/>
      <c r="M104"/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5">
      <c r="A105"/>
      <c r="B105"/>
      <c r="C105"/>
      <c r="D105"/>
      <c r="E105"/>
      <c r="F105" s="4"/>
      <c r="G105" s="4"/>
      <c r="H105" s="4"/>
      <c r="I105" s="3"/>
      <c r="J105" s="3"/>
      <c r="K105"/>
      <c r="L105"/>
      <c r="M105"/>
      <c r="N105"/>
      <c r="O105"/>
      <c r="P105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5">
      <c r="A106"/>
      <c r="B106"/>
      <c r="C106"/>
      <c r="D106"/>
      <c r="E106"/>
      <c r="K106"/>
      <c r="L106"/>
      <c r="M106"/>
      <c r="Q106" s="29">
        <v>1</v>
      </c>
      <c r="R106" s="29">
        <v>30</v>
      </c>
      <c r="S106" s="8">
        <v>1</v>
      </c>
      <c r="T106" s="7">
        <v>32</v>
      </c>
    </row>
    <row r="107" spans="1:20" x14ac:dyDescent="0.25">
      <c r="A107"/>
      <c r="B107"/>
      <c r="C107"/>
      <c r="D107"/>
      <c r="E107"/>
      <c r="K107"/>
      <c r="L107"/>
      <c r="M107"/>
      <c r="Q107" s="29">
        <v>1</v>
      </c>
      <c r="R107" s="29">
        <v>30</v>
      </c>
      <c r="S107" s="8">
        <v>1</v>
      </c>
      <c r="T107" s="7">
        <v>32</v>
      </c>
    </row>
    <row r="108" spans="1:20" x14ac:dyDescent="0.25">
      <c r="A108"/>
      <c r="B108"/>
      <c r="C108"/>
      <c r="D108"/>
      <c r="E108"/>
      <c r="K108"/>
      <c r="L108"/>
      <c r="M108"/>
      <c r="Q108" s="29">
        <v>3</v>
      </c>
      <c r="R108" s="29">
        <v>20</v>
      </c>
      <c r="S108" s="8">
        <v>3</v>
      </c>
      <c r="T108" s="7">
        <v>15</v>
      </c>
    </row>
    <row r="109" spans="1:20" x14ac:dyDescent="0.25">
      <c r="A109"/>
      <c r="B109"/>
      <c r="C109"/>
      <c r="D109"/>
      <c r="E109"/>
      <c r="K109"/>
      <c r="L109"/>
      <c r="M109"/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5">
      <c r="A110"/>
      <c r="B110"/>
      <c r="C110"/>
      <c r="D110"/>
      <c r="E110"/>
      <c r="K110"/>
      <c r="L110"/>
      <c r="M110"/>
    </row>
    <row r="111" spans="1:20" ht="36.75" customHeight="1" x14ac:dyDescent="0.25">
      <c r="A111"/>
      <c r="B111"/>
      <c r="C111"/>
      <c r="D111"/>
      <c r="E111"/>
    </row>
    <row r="112" spans="1:20" ht="33.75" customHeight="1" x14ac:dyDescent="0.25">
      <c r="A112"/>
      <c r="B112"/>
      <c r="C112"/>
      <c r="D112"/>
      <c r="E112"/>
    </row>
    <row r="113" spans="1:5" ht="26.25" customHeight="1" x14ac:dyDescent="0.25">
      <c r="A113"/>
      <c r="B113"/>
      <c r="C113"/>
      <c r="D113"/>
      <c r="E113"/>
    </row>
    <row r="114" spans="1:5" ht="27.75" customHeight="1" x14ac:dyDescent="0.25">
      <c r="A114"/>
      <c r="B114"/>
      <c r="C114"/>
      <c r="D114"/>
      <c r="E114"/>
    </row>
    <row r="115" spans="1:5" ht="40.5" customHeight="1" x14ac:dyDescent="0.25">
      <c r="A115"/>
      <c r="B115"/>
      <c r="C115"/>
      <c r="D115"/>
      <c r="E115"/>
    </row>
    <row r="116" spans="1:5" x14ac:dyDescent="0.25">
      <c r="A116"/>
      <c r="B116"/>
      <c r="C116"/>
      <c r="D116"/>
      <c r="E116"/>
    </row>
    <row r="117" spans="1:5" x14ac:dyDescent="0.25">
      <c r="A117"/>
      <c r="B117"/>
      <c r="C117"/>
      <c r="D117"/>
      <c r="E117"/>
    </row>
    <row r="118" spans="1:5" x14ac:dyDescent="0.25">
      <c r="A118"/>
      <c r="B118"/>
      <c r="C118"/>
      <c r="D118"/>
      <c r="E118"/>
    </row>
    <row r="119" spans="1:5" x14ac:dyDescent="0.25">
      <c r="A119"/>
      <c r="B119"/>
      <c r="C119"/>
      <c r="D119"/>
      <c r="E119"/>
    </row>
    <row r="120" spans="1:5" x14ac:dyDescent="0.25">
      <c r="A120"/>
      <c r="B120"/>
      <c r="C120"/>
      <c r="D120"/>
      <c r="E120"/>
    </row>
    <row r="121" spans="1:5" x14ac:dyDescent="0.25">
      <c r="A121"/>
      <c r="B121"/>
      <c r="C121"/>
      <c r="D121"/>
      <c r="E121"/>
    </row>
    <row r="122" spans="1:5" x14ac:dyDescent="0.25">
      <c r="A122"/>
      <c r="B122"/>
      <c r="C122"/>
      <c r="D122"/>
      <c r="E122"/>
    </row>
    <row r="123" spans="1:5" x14ac:dyDescent="0.25">
      <c r="A123"/>
      <c r="B123"/>
      <c r="C123"/>
      <c r="D123"/>
      <c r="E123"/>
    </row>
    <row r="124" spans="1:5" x14ac:dyDescent="0.25">
      <c r="A124"/>
      <c r="B124"/>
      <c r="C124"/>
      <c r="D124"/>
      <c r="E124"/>
    </row>
    <row r="125" spans="1:5" x14ac:dyDescent="0.25">
      <c r="A125"/>
      <c r="B125"/>
      <c r="C125"/>
      <c r="D125"/>
      <c r="E125"/>
    </row>
    <row r="126" spans="1:5" x14ac:dyDescent="0.25">
      <c r="A126"/>
      <c r="B126"/>
      <c r="C126"/>
      <c r="D126"/>
      <c r="E126"/>
    </row>
    <row r="127" spans="1:5" x14ac:dyDescent="0.25">
      <c r="A127"/>
      <c r="B127"/>
      <c r="C127"/>
      <c r="D127"/>
      <c r="E127"/>
    </row>
    <row r="128" spans="1:5" x14ac:dyDescent="0.25">
      <c r="A128"/>
      <c r="B128"/>
      <c r="C128"/>
      <c r="D128"/>
      <c r="E128"/>
    </row>
    <row r="129" spans="1:5" x14ac:dyDescent="0.25">
      <c r="A129"/>
      <c r="B129"/>
      <c r="C129"/>
      <c r="D129"/>
      <c r="E129"/>
    </row>
    <row r="130" spans="1:5" x14ac:dyDescent="0.25">
      <c r="A130"/>
      <c r="B130"/>
      <c r="C130"/>
      <c r="D130"/>
      <c r="E130"/>
    </row>
    <row r="131" spans="1:5" x14ac:dyDescent="0.25">
      <c r="A131"/>
      <c r="B131"/>
      <c r="C131"/>
      <c r="D131"/>
      <c r="E131"/>
    </row>
    <row r="132" spans="1:5" x14ac:dyDescent="0.25">
      <c r="A132"/>
      <c r="B132"/>
      <c r="C132"/>
      <c r="D132"/>
      <c r="E132"/>
    </row>
    <row r="133" spans="1:5" x14ac:dyDescent="0.25">
      <c r="A133"/>
      <c r="B133"/>
      <c r="C133"/>
      <c r="D133"/>
      <c r="E133"/>
    </row>
    <row r="134" spans="1:5" x14ac:dyDescent="0.25">
      <c r="A134"/>
      <c r="B134"/>
      <c r="C134"/>
      <c r="D134"/>
      <c r="E134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6F16-C9F8-4D20-BD69-634A178239E5}">
  <dimension ref="A1:AG125"/>
  <sheetViews>
    <sheetView zoomScale="84" zoomScaleNormal="84" workbookViewId="0">
      <selection activeCell="A8" sqref="A8:M66"/>
    </sheetView>
  </sheetViews>
  <sheetFormatPr baseColWidth="10" defaultColWidth="11.44140625" defaultRowHeight="13.2" x14ac:dyDescent="0.25"/>
  <cols>
    <col min="1" max="1" width="18.6640625" style="4" bestFit="1" customWidth="1"/>
    <col min="2" max="2" width="45.44140625" style="4" bestFit="1" customWidth="1"/>
    <col min="3" max="3" width="36.6640625" style="4" bestFit="1" customWidth="1"/>
    <col min="4" max="4" width="21.33203125" style="4" bestFit="1" customWidth="1"/>
    <col min="5" max="5" width="21.5546875" style="4" bestFit="1" customWidth="1"/>
    <col min="6" max="6" width="17.6640625" style="4" bestFit="1" customWidth="1"/>
    <col min="7" max="8" width="10.6640625" style="4" customWidth="1"/>
    <col min="9" max="10" width="10.6640625" style="3" customWidth="1"/>
    <col min="11" max="11" width="10.6640625" style="2" customWidth="1"/>
    <col min="12" max="12" width="10.6640625" style="1" customWidth="1"/>
    <col min="13" max="13" width="48.109375" style="1" bestFit="1" customWidth="1"/>
    <col min="14" max="14" width="10.6640625" customWidth="1"/>
  </cols>
  <sheetData>
    <row r="1" spans="1:20" ht="32.25" customHeight="1" x14ac:dyDescent="0.25">
      <c r="A1" s="175"/>
      <c r="B1" s="177" t="s">
        <v>0</v>
      </c>
      <c r="C1" s="177"/>
      <c r="D1" s="177"/>
      <c r="E1" s="177"/>
      <c r="F1" s="177"/>
      <c r="G1" s="177"/>
      <c r="H1" s="177"/>
      <c r="I1" s="177"/>
      <c r="J1" s="177"/>
      <c r="K1" s="177"/>
      <c r="L1" s="179"/>
      <c r="M1" s="180"/>
    </row>
    <row r="2" spans="1:20" ht="20.25" customHeight="1" x14ac:dyDescent="0.25">
      <c r="A2" s="176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81"/>
      <c r="M2" s="182"/>
    </row>
    <row r="3" spans="1:20" ht="12.75" customHeight="1" x14ac:dyDescent="0.25">
      <c r="A3" s="183" t="s">
        <v>1</v>
      </c>
      <c r="B3" s="185" t="s">
        <v>2</v>
      </c>
      <c r="C3" s="185"/>
      <c r="D3" s="185"/>
      <c r="E3" s="185"/>
      <c r="F3" s="185"/>
      <c r="G3" s="185"/>
      <c r="H3" s="185"/>
      <c r="I3" s="185"/>
      <c r="J3" s="185"/>
      <c r="K3" s="185"/>
      <c r="L3" s="187" t="s">
        <v>3</v>
      </c>
      <c r="M3" s="188"/>
    </row>
    <row r="4" spans="1:20" ht="13.8" thickBot="1" x14ac:dyDescent="0.3">
      <c r="A4" s="184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6" t="s">
        <v>4</v>
      </c>
      <c r="M4" s="15"/>
    </row>
    <row r="5" spans="1:20" ht="13.8" thickBot="1" x14ac:dyDescent="0.3"/>
    <row r="6" spans="1:20" ht="14.4" thickBot="1" x14ac:dyDescent="0.3">
      <c r="A6" s="24" t="s">
        <v>5</v>
      </c>
      <c r="B6" s="171" t="s">
        <v>6</v>
      </c>
      <c r="C6" s="171"/>
      <c r="D6" s="171"/>
      <c r="E6" s="171"/>
      <c r="F6" s="171"/>
      <c r="G6" s="171"/>
      <c r="H6" s="172" t="s">
        <v>7</v>
      </c>
      <c r="I6" s="173"/>
      <c r="J6" s="173"/>
      <c r="K6" s="173"/>
      <c r="L6" s="174"/>
      <c r="M6" s="25"/>
    </row>
    <row r="7" spans="1:20" s="14" customFormat="1" ht="49.5" customHeight="1" x14ac:dyDescent="0.25">
      <c r="A7" s="18" cm="1">
        <f t="array" aca="1" ref="A7" ca="1">+#REF!+A1:L7+A7:L66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209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32" t="s">
        <v>92</v>
      </c>
      <c r="B8" s="11" t="s">
        <v>140</v>
      </c>
      <c r="C8" s="11" t="s">
        <v>22</v>
      </c>
      <c r="D8" s="20">
        <v>1</v>
      </c>
      <c r="E8" s="29">
        <v>30</v>
      </c>
      <c r="F8" s="11">
        <v>45896</v>
      </c>
      <c r="G8" s="10">
        <v>0.375</v>
      </c>
      <c r="H8" s="11">
        <v>45890</v>
      </c>
      <c r="I8" s="10">
        <v>0.8125</v>
      </c>
      <c r="J8" s="9">
        <f>E8-L8</f>
        <v>5</v>
      </c>
      <c r="K8" s="8">
        <v>1</v>
      </c>
      <c r="L8" s="7">
        <v>25</v>
      </c>
      <c r="M8" s="6" t="s">
        <v>93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37" t="s">
        <v>92</v>
      </c>
      <c r="B9" s="11" t="s">
        <v>139</v>
      </c>
      <c r="C9" s="11" t="s">
        <v>34</v>
      </c>
      <c r="D9" s="20">
        <v>1</v>
      </c>
      <c r="E9" s="29">
        <v>30</v>
      </c>
      <c r="F9" s="11">
        <v>45896</v>
      </c>
      <c r="G9" s="10">
        <v>0.375</v>
      </c>
      <c r="H9" s="11">
        <v>45890</v>
      </c>
      <c r="I9" s="10">
        <v>0.8125</v>
      </c>
      <c r="J9" s="9">
        <f t="shared" ref="J9:J28" si="0">E9-L9</f>
        <v>5</v>
      </c>
      <c r="K9" s="8">
        <v>1</v>
      </c>
      <c r="L9" s="7">
        <v>25</v>
      </c>
      <c r="M9" s="6" t="s">
        <v>93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144</v>
      </c>
      <c r="B10" s="63" t="s">
        <v>30</v>
      </c>
      <c r="C10" s="21" t="s">
        <v>31</v>
      </c>
      <c r="D10" s="20">
        <v>1</v>
      </c>
      <c r="E10" s="8">
        <v>30</v>
      </c>
      <c r="F10" s="11">
        <v>45882</v>
      </c>
      <c r="G10" s="10">
        <v>0.375</v>
      </c>
      <c r="H10" s="11">
        <v>45890</v>
      </c>
      <c r="I10" s="10">
        <v>0.83333333333333337</v>
      </c>
      <c r="J10" s="9">
        <f t="shared" si="0"/>
        <v>0</v>
      </c>
      <c r="K10" s="8">
        <v>1</v>
      </c>
      <c r="L10" s="7">
        <v>30</v>
      </c>
      <c r="M10" s="6" t="s">
        <v>152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33" t="s">
        <v>94</v>
      </c>
      <c r="B11" s="11" t="s">
        <v>139</v>
      </c>
      <c r="C11" s="11" t="s">
        <v>34</v>
      </c>
      <c r="D11" s="20">
        <v>3</v>
      </c>
      <c r="E11" s="29">
        <v>60</v>
      </c>
      <c r="F11" s="11">
        <v>45896</v>
      </c>
      <c r="G11" s="10">
        <v>0.375</v>
      </c>
      <c r="H11" s="11">
        <v>45890</v>
      </c>
      <c r="I11" s="10">
        <v>0.85416666666666663</v>
      </c>
      <c r="J11" s="9">
        <f>E11-L11</f>
        <v>0</v>
      </c>
      <c r="K11" s="8">
        <v>3</v>
      </c>
      <c r="L11" s="7">
        <v>60</v>
      </c>
      <c r="M11" s="6" t="s">
        <v>141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33" t="s">
        <v>94</v>
      </c>
      <c r="B12" s="11" t="s">
        <v>21</v>
      </c>
      <c r="C12" s="11" t="s">
        <v>22</v>
      </c>
      <c r="D12" s="20">
        <v>3</v>
      </c>
      <c r="E12" s="29">
        <v>60</v>
      </c>
      <c r="F12" s="11">
        <v>45896</v>
      </c>
      <c r="G12" s="10">
        <v>0.375</v>
      </c>
      <c r="H12" s="11">
        <v>45890</v>
      </c>
      <c r="I12" s="10">
        <v>0.85416666666666663</v>
      </c>
      <c r="J12" s="9">
        <f t="shared" si="0"/>
        <v>0</v>
      </c>
      <c r="K12" s="8">
        <v>3</v>
      </c>
      <c r="L12" s="7">
        <v>60</v>
      </c>
      <c r="M12" s="6" t="s">
        <v>141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33" t="s">
        <v>95</v>
      </c>
      <c r="B13" s="11" t="s">
        <v>21</v>
      </c>
      <c r="C13" s="11" t="s">
        <v>22</v>
      </c>
      <c r="D13" s="20">
        <v>1</v>
      </c>
      <c r="E13" s="29">
        <v>30</v>
      </c>
      <c r="F13" s="11">
        <v>45896</v>
      </c>
      <c r="G13" s="10">
        <v>0.375</v>
      </c>
      <c r="H13" s="11">
        <v>45890</v>
      </c>
      <c r="I13" s="10">
        <v>0.875</v>
      </c>
      <c r="J13" s="9">
        <f>E13-L13</f>
        <v>0</v>
      </c>
      <c r="K13" s="8">
        <v>1</v>
      </c>
      <c r="L13" s="7">
        <v>30</v>
      </c>
      <c r="M13" s="6" t="s">
        <v>96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" customHeight="1" x14ac:dyDescent="0.2">
      <c r="A14" s="33" t="s">
        <v>95</v>
      </c>
      <c r="B14" s="11" t="s">
        <v>139</v>
      </c>
      <c r="C14" s="11" t="s">
        <v>34</v>
      </c>
      <c r="D14" s="20">
        <v>1</v>
      </c>
      <c r="E14" s="29">
        <v>30</v>
      </c>
      <c r="F14" s="11">
        <v>45896</v>
      </c>
      <c r="G14" s="10">
        <v>0.375</v>
      </c>
      <c r="H14" s="11">
        <v>45890</v>
      </c>
      <c r="I14" s="10">
        <v>0.875</v>
      </c>
      <c r="J14" s="9">
        <f t="shared" si="0"/>
        <v>0</v>
      </c>
      <c r="K14" s="8">
        <v>1</v>
      </c>
      <c r="L14" s="7">
        <v>30</v>
      </c>
      <c r="M14" s="6" t="s">
        <v>96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" customHeight="1" x14ac:dyDescent="0.2">
      <c r="A15" s="23" t="s">
        <v>97</v>
      </c>
      <c r="B15" s="11" t="s">
        <v>21</v>
      </c>
      <c r="C15" s="11" t="s">
        <v>22</v>
      </c>
      <c r="D15" s="20">
        <v>1</v>
      </c>
      <c r="E15" s="29">
        <v>20</v>
      </c>
      <c r="F15" s="11">
        <v>45896</v>
      </c>
      <c r="G15" s="10">
        <v>0.375</v>
      </c>
      <c r="H15" s="11">
        <v>45890</v>
      </c>
      <c r="I15" s="10">
        <v>0.88888888888888884</v>
      </c>
      <c r="J15" s="9">
        <f>E15-L15</f>
        <v>0</v>
      </c>
      <c r="K15" s="8">
        <v>1</v>
      </c>
      <c r="L15" s="7">
        <v>20</v>
      </c>
      <c r="M15" s="6" t="s">
        <v>98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" customHeight="1" x14ac:dyDescent="0.2">
      <c r="A16" s="23" t="s">
        <v>97</v>
      </c>
      <c r="B16" s="11" t="s">
        <v>139</v>
      </c>
      <c r="C16" s="11" t="s">
        <v>34</v>
      </c>
      <c r="D16" s="20">
        <v>1</v>
      </c>
      <c r="E16" s="29">
        <v>20</v>
      </c>
      <c r="F16" s="11">
        <v>45896</v>
      </c>
      <c r="G16" s="10">
        <v>0.375</v>
      </c>
      <c r="H16" s="11">
        <v>45890</v>
      </c>
      <c r="I16" s="10">
        <v>0.88888888888888884</v>
      </c>
      <c r="J16" s="9">
        <f t="shared" si="0"/>
        <v>0</v>
      </c>
      <c r="K16" s="8">
        <v>1</v>
      </c>
      <c r="L16" s="7">
        <v>20</v>
      </c>
      <c r="M16" s="6" t="s">
        <v>98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99</v>
      </c>
      <c r="B17" s="11" t="s">
        <v>21</v>
      </c>
      <c r="C17" s="11" t="s">
        <v>22</v>
      </c>
      <c r="D17" s="29">
        <v>1</v>
      </c>
      <c r="E17" s="34">
        <v>20</v>
      </c>
      <c r="F17" s="11">
        <v>45896</v>
      </c>
      <c r="G17" s="10">
        <v>0.375</v>
      </c>
      <c r="H17" s="11">
        <v>45890</v>
      </c>
      <c r="I17" s="10">
        <v>0.90277777777777779</v>
      </c>
      <c r="J17" s="9">
        <f>E17-L17</f>
        <v>2</v>
      </c>
      <c r="K17" s="8">
        <v>1</v>
      </c>
      <c r="L17" s="7">
        <v>18</v>
      </c>
      <c r="M17" s="6" t="s">
        <v>100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99</v>
      </c>
      <c r="B18" s="11" t="s">
        <v>139</v>
      </c>
      <c r="C18" s="11" t="s">
        <v>34</v>
      </c>
      <c r="D18" s="29">
        <v>1</v>
      </c>
      <c r="E18" s="40">
        <v>20</v>
      </c>
      <c r="F18" s="11">
        <v>45896</v>
      </c>
      <c r="G18" s="10">
        <v>0.375</v>
      </c>
      <c r="H18" s="11">
        <v>45890</v>
      </c>
      <c r="I18" s="10">
        <v>0.90277777777777779</v>
      </c>
      <c r="J18" s="9">
        <f t="shared" si="0"/>
        <v>2</v>
      </c>
      <c r="K18" s="8">
        <v>1</v>
      </c>
      <c r="L18" s="7">
        <v>18</v>
      </c>
      <c r="M18" s="6" t="s">
        <v>100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5" t="s">
        <v>101</v>
      </c>
      <c r="B19" s="11" t="s">
        <v>21</v>
      </c>
      <c r="C19" s="11" t="s">
        <v>22</v>
      </c>
      <c r="D19" s="29">
        <v>1</v>
      </c>
      <c r="E19" s="29">
        <v>20</v>
      </c>
      <c r="F19" s="11">
        <v>45896</v>
      </c>
      <c r="G19" s="10">
        <v>0.375</v>
      </c>
      <c r="H19" s="11">
        <v>45890</v>
      </c>
      <c r="I19" s="10">
        <v>0.91666666666666663</v>
      </c>
      <c r="J19" s="9">
        <f>E19-L19</f>
        <v>1</v>
      </c>
      <c r="K19" s="8">
        <v>1</v>
      </c>
      <c r="L19" s="7">
        <v>19</v>
      </c>
      <c r="M19" s="6" t="s">
        <v>102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" customHeight="1" x14ac:dyDescent="0.2">
      <c r="A20" s="41" t="s">
        <v>101</v>
      </c>
      <c r="B20" s="11" t="s">
        <v>136</v>
      </c>
      <c r="C20" s="11" t="s">
        <v>34</v>
      </c>
      <c r="D20" s="29">
        <v>1</v>
      </c>
      <c r="E20" s="29">
        <v>20</v>
      </c>
      <c r="F20" s="11">
        <v>45896</v>
      </c>
      <c r="G20" s="10">
        <v>0.375</v>
      </c>
      <c r="H20" s="11">
        <v>45890</v>
      </c>
      <c r="I20" s="10">
        <v>0.91666666666666663</v>
      </c>
      <c r="J20" s="9">
        <f t="shared" si="0"/>
        <v>1</v>
      </c>
      <c r="K20" s="8">
        <v>1</v>
      </c>
      <c r="L20" s="7">
        <v>19</v>
      </c>
      <c r="M20" s="6" t="s">
        <v>102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" customHeight="1" x14ac:dyDescent="0.2">
      <c r="A21" s="23" t="s">
        <v>103</v>
      </c>
      <c r="B21" s="11" t="s">
        <v>21</v>
      </c>
      <c r="C21" s="11" t="s">
        <v>22</v>
      </c>
      <c r="D21" s="29">
        <v>1</v>
      </c>
      <c r="E21" s="29">
        <v>30</v>
      </c>
      <c r="F21" s="11">
        <v>45896</v>
      </c>
      <c r="G21" s="10">
        <v>0.375</v>
      </c>
      <c r="H21" s="11">
        <v>45890</v>
      </c>
      <c r="I21" s="10">
        <v>0.9375</v>
      </c>
      <c r="J21" s="9">
        <f>E21-L21</f>
        <v>5</v>
      </c>
      <c r="K21" s="8">
        <v>1</v>
      </c>
      <c r="L21" s="7">
        <v>25</v>
      </c>
      <c r="M21" s="6" t="s">
        <v>104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" customHeight="1" x14ac:dyDescent="0.2">
      <c r="A22" s="23" t="s">
        <v>103</v>
      </c>
      <c r="B22" s="11" t="s">
        <v>136</v>
      </c>
      <c r="C22" s="11" t="s">
        <v>34</v>
      </c>
      <c r="D22" s="29">
        <v>1</v>
      </c>
      <c r="E22" s="29">
        <v>30</v>
      </c>
      <c r="F22" s="11">
        <v>45896</v>
      </c>
      <c r="G22" s="10">
        <v>0.375</v>
      </c>
      <c r="H22" s="11">
        <v>45890</v>
      </c>
      <c r="I22" s="10">
        <v>0.9375</v>
      </c>
      <c r="J22" s="9">
        <f t="shared" si="0"/>
        <v>5</v>
      </c>
      <c r="K22" s="8">
        <v>1</v>
      </c>
      <c r="L22" s="7">
        <v>25</v>
      </c>
      <c r="M22" s="6" t="s">
        <v>104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23" t="s">
        <v>105</v>
      </c>
      <c r="B23" s="11" t="s">
        <v>30</v>
      </c>
      <c r="C23" s="11" t="s">
        <v>31</v>
      </c>
      <c r="D23" s="29">
        <v>1</v>
      </c>
      <c r="E23" s="29">
        <v>30</v>
      </c>
      <c r="F23" s="11">
        <v>45896</v>
      </c>
      <c r="G23" s="10">
        <v>0.375</v>
      </c>
      <c r="H23" s="11">
        <v>45890</v>
      </c>
      <c r="I23" s="10">
        <v>0.8125</v>
      </c>
      <c r="J23" s="9">
        <f>E23-L23</f>
        <v>6</v>
      </c>
      <c r="K23" s="8">
        <v>1</v>
      </c>
      <c r="L23" s="7">
        <v>24</v>
      </c>
      <c r="M23" s="6" t="s">
        <v>106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" customHeight="1" x14ac:dyDescent="0.2">
      <c r="A24" s="23" t="s">
        <v>105</v>
      </c>
      <c r="B24" s="11" t="s">
        <v>39</v>
      </c>
      <c r="C24" s="11" t="s">
        <v>40</v>
      </c>
      <c r="D24" s="29">
        <v>1</v>
      </c>
      <c r="E24" s="29">
        <v>30</v>
      </c>
      <c r="F24" s="11">
        <v>45896</v>
      </c>
      <c r="G24" s="10">
        <v>0.375</v>
      </c>
      <c r="H24" s="11">
        <v>45890</v>
      </c>
      <c r="I24" s="10">
        <v>0.8125</v>
      </c>
      <c r="J24" s="9">
        <f t="shared" si="0"/>
        <v>6</v>
      </c>
      <c r="K24" s="8">
        <v>1</v>
      </c>
      <c r="L24" s="7">
        <v>24</v>
      </c>
      <c r="M24" s="6" t="s">
        <v>106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33" t="s">
        <v>107</v>
      </c>
      <c r="B25" s="11" t="s">
        <v>30</v>
      </c>
      <c r="C25" s="11" t="s">
        <v>31</v>
      </c>
      <c r="D25" s="29">
        <v>1</v>
      </c>
      <c r="E25" s="29">
        <v>60</v>
      </c>
      <c r="F25" s="11">
        <v>45896</v>
      </c>
      <c r="G25" s="10">
        <v>0.375</v>
      </c>
      <c r="H25" s="11">
        <v>45890</v>
      </c>
      <c r="I25" s="10">
        <v>0.85416666666666663</v>
      </c>
      <c r="J25" s="9">
        <f>E25-L25</f>
        <v>15</v>
      </c>
      <c r="K25" s="8">
        <v>1</v>
      </c>
      <c r="L25" s="7">
        <v>45</v>
      </c>
      <c r="M25" s="6" t="s">
        <v>108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33" t="s">
        <v>107</v>
      </c>
      <c r="B26" s="11" t="s">
        <v>39</v>
      </c>
      <c r="C26" s="11" t="s">
        <v>40</v>
      </c>
      <c r="D26" s="29">
        <v>1</v>
      </c>
      <c r="E26" s="29">
        <v>60</v>
      </c>
      <c r="F26" s="11">
        <v>45896</v>
      </c>
      <c r="G26" s="10">
        <v>0.375</v>
      </c>
      <c r="H26" s="11">
        <v>45890</v>
      </c>
      <c r="I26" s="10">
        <v>0.85416666666666663</v>
      </c>
      <c r="J26" s="9">
        <f t="shared" si="0"/>
        <v>15</v>
      </c>
      <c r="K26" s="8">
        <v>1</v>
      </c>
      <c r="L26" s="7">
        <v>45</v>
      </c>
      <c r="M26" s="6" t="s">
        <v>108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" customHeight="1" x14ac:dyDescent="0.2">
      <c r="A27" s="23" t="s">
        <v>109</v>
      </c>
      <c r="B27" s="11" t="s">
        <v>30</v>
      </c>
      <c r="C27" s="11" t="s">
        <v>31</v>
      </c>
      <c r="D27" s="29">
        <v>1</v>
      </c>
      <c r="E27" s="29">
        <v>30</v>
      </c>
      <c r="F27" s="11">
        <v>45896</v>
      </c>
      <c r="G27" s="10">
        <v>0.375</v>
      </c>
      <c r="H27" s="11">
        <v>45890</v>
      </c>
      <c r="I27" s="10">
        <v>0.875</v>
      </c>
      <c r="J27" s="9">
        <f>E27-L27</f>
        <v>10</v>
      </c>
      <c r="K27" s="8">
        <v>1</v>
      </c>
      <c r="L27" s="7">
        <v>20</v>
      </c>
      <c r="M27" s="6" t="s">
        <v>110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" customHeight="1" x14ac:dyDescent="0.2">
      <c r="A28" s="23" t="s">
        <v>109</v>
      </c>
      <c r="B28" s="11" t="s">
        <v>39</v>
      </c>
      <c r="C28" s="11" t="s">
        <v>40</v>
      </c>
      <c r="D28" s="29">
        <v>1</v>
      </c>
      <c r="E28" s="29">
        <v>30</v>
      </c>
      <c r="F28" s="11">
        <v>45896</v>
      </c>
      <c r="G28" s="10">
        <v>0.375</v>
      </c>
      <c r="H28" s="11">
        <v>45890</v>
      </c>
      <c r="I28" s="10">
        <v>0.875</v>
      </c>
      <c r="J28" s="9">
        <f t="shared" si="0"/>
        <v>10</v>
      </c>
      <c r="K28" s="8">
        <v>1</v>
      </c>
      <c r="L28" s="7">
        <v>20</v>
      </c>
      <c r="M28" s="6" t="s">
        <v>110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5">
      <c r="A29" s="23" t="s">
        <v>111</v>
      </c>
      <c r="B29" s="11" t="s">
        <v>39</v>
      </c>
      <c r="C29" s="11" t="s">
        <v>142</v>
      </c>
      <c r="D29" s="29">
        <v>1</v>
      </c>
      <c r="E29" s="29">
        <v>30</v>
      </c>
      <c r="F29" s="11">
        <v>45896</v>
      </c>
      <c r="G29" s="10">
        <v>0.375</v>
      </c>
      <c r="H29" s="11">
        <v>45890</v>
      </c>
      <c r="I29" s="10">
        <v>0.89583333333333337</v>
      </c>
      <c r="J29" s="9">
        <f t="shared" ref="J29:J35" si="1">E29-L29</f>
        <v>0</v>
      </c>
      <c r="K29" s="8">
        <v>1</v>
      </c>
      <c r="L29" s="7">
        <v>30</v>
      </c>
      <c r="M29" s="6" t="s">
        <v>112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111</v>
      </c>
      <c r="B30" s="11" t="s">
        <v>30</v>
      </c>
      <c r="C30" s="11" t="s">
        <v>31</v>
      </c>
      <c r="D30" s="29">
        <v>1</v>
      </c>
      <c r="E30" s="29">
        <v>30</v>
      </c>
      <c r="F30" s="11">
        <v>45896</v>
      </c>
      <c r="G30" s="10">
        <v>0.375</v>
      </c>
      <c r="H30" s="11">
        <v>45890</v>
      </c>
      <c r="I30" s="10">
        <v>0.89583333333333337</v>
      </c>
      <c r="J30" s="9">
        <f t="shared" si="1"/>
        <v>0</v>
      </c>
      <c r="K30" s="8">
        <v>1</v>
      </c>
      <c r="L30" s="7">
        <v>30</v>
      </c>
      <c r="M30" s="6" t="s">
        <v>112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33" t="s">
        <v>113</v>
      </c>
      <c r="B31" s="11" t="s">
        <v>30</v>
      </c>
      <c r="C31" s="11" t="s">
        <v>31</v>
      </c>
      <c r="D31" s="29">
        <v>1</v>
      </c>
      <c r="E31" s="29">
        <v>30</v>
      </c>
      <c r="F31" s="11">
        <v>45896</v>
      </c>
      <c r="G31" s="10">
        <v>0.375</v>
      </c>
      <c r="H31" s="11">
        <v>45890</v>
      </c>
      <c r="I31" s="10">
        <v>0.91666666666666663</v>
      </c>
      <c r="J31" s="9">
        <f t="shared" si="1"/>
        <v>-2</v>
      </c>
      <c r="K31" s="8">
        <v>1</v>
      </c>
      <c r="L31" s="7">
        <v>32</v>
      </c>
      <c r="M31" s="6" t="s">
        <v>114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5">
      <c r="A32" s="33" t="s">
        <v>113</v>
      </c>
      <c r="B32" s="11" t="s">
        <v>39</v>
      </c>
      <c r="C32" s="11" t="s">
        <v>40</v>
      </c>
      <c r="D32" s="29">
        <v>1</v>
      </c>
      <c r="E32" s="29">
        <v>30</v>
      </c>
      <c r="F32" s="11">
        <v>45896</v>
      </c>
      <c r="G32" s="10">
        <v>0.375</v>
      </c>
      <c r="H32" s="11">
        <v>45890</v>
      </c>
      <c r="I32" s="10">
        <v>0.91666666666666663</v>
      </c>
      <c r="J32" s="9">
        <f t="shared" si="1"/>
        <v>-2</v>
      </c>
      <c r="K32" s="8">
        <v>1</v>
      </c>
      <c r="L32" s="7">
        <v>32</v>
      </c>
      <c r="M32" s="6" t="s">
        <v>114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33" t="s">
        <v>115</v>
      </c>
      <c r="B33" s="11" t="s">
        <v>36</v>
      </c>
      <c r="C33" s="11" t="s">
        <v>37</v>
      </c>
      <c r="D33" s="29">
        <v>1</v>
      </c>
      <c r="E33" s="29">
        <v>20</v>
      </c>
      <c r="F33" s="11">
        <v>45896</v>
      </c>
      <c r="G33" s="10">
        <v>0.375</v>
      </c>
      <c r="H33" s="11">
        <v>45890</v>
      </c>
      <c r="I33" s="10">
        <v>0.80555555555555558</v>
      </c>
      <c r="J33" s="9">
        <f t="shared" si="1"/>
        <v>0</v>
      </c>
      <c r="K33" s="8">
        <v>1</v>
      </c>
      <c r="L33" s="7">
        <v>20</v>
      </c>
      <c r="M33" s="6" t="s">
        <v>116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33" t="s">
        <v>115</v>
      </c>
      <c r="B34" s="11" t="s">
        <v>42</v>
      </c>
      <c r="C34" s="11" t="s">
        <v>43</v>
      </c>
      <c r="D34" s="29">
        <v>1</v>
      </c>
      <c r="E34" s="29">
        <v>20</v>
      </c>
      <c r="F34" s="11">
        <v>45896</v>
      </c>
      <c r="G34" s="10">
        <v>0.375</v>
      </c>
      <c r="H34" s="11">
        <v>45890</v>
      </c>
      <c r="I34" s="10">
        <v>0.80555555555555558</v>
      </c>
      <c r="J34" s="9">
        <f t="shared" si="1"/>
        <v>0</v>
      </c>
      <c r="K34" s="8">
        <v>1</v>
      </c>
      <c r="L34" s="7">
        <v>20</v>
      </c>
      <c r="M34" s="6" t="s">
        <v>116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33" t="s">
        <v>117</v>
      </c>
      <c r="B35" s="11" t="s">
        <v>36</v>
      </c>
      <c r="C35" s="11" t="s">
        <v>37</v>
      </c>
      <c r="D35" s="29">
        <v>1</v>
      </c>
      <c r="E35" s="29">
        <v>20</v>
      </c>
      <c r="F35" s="11">
        <v>45896</v>
      </c>
      <c r="G35" s="10">
        <v>0.375</v>
      </c>
      <c r="H35" s="11">
        <v>45890</v>
      </c>
      <c r="I35" s="10">
        <v>0.81944444444444442</v>
      </c>
      <c r="J35" s="9">
        <f t="shared" si="1"/>
        <v>0</v>
      </c>
      <c r="K35" s="8">
        <v>1</v>
      </c>
      <c r="L35" s="7">
        <v>20</v>
      </c>
      <c r="M35" s="6" t="s">
        <v>118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" customHeight="1" x14ac:dyDescent="0.2">
      <c r="A36" s="33" t="s">
        <v>117</v>
      </c>
      <c r="B36" s="11" t="s">
        <v>42</v>
      </c>
      <c r="C36" s="11" t="s">
        <v>43</v>
      </c>
      <c r="D36" s="29">
        <v>1</v>
      </c>
      <c r="E36" s="29">
        <v>20</v>
      </c>
      <c r="F36" s="11">
        <v>45896</v>
      </c>
      <c r="G36" s="10">
        <v>0.375</v>
      </c>
      <c r="H36" s="11">
        <v>45890</v>
      </c>
      <c r="I36" s="10">
        <v>0.81944444444444442</v>
      </c>
      <c r="J36" s="9">
        <f t="shared" ref="J36:J66" si="2">E36-L36</f>
        <v>0</v>
      </c>
      <c r="K36" s="8">
        <v>1</v>
      </c>
      <c r="L36" s="7">
        <v>20</v>
      </c>
      <c r="M36" s="6" t="s">
        <v>118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33" t="s">
        <v>119</v>
      </c>
      <c r="B37" s="11" t="s">
        <v>36</v>
      </c>
      <c r="C37" s="11" t="s">
        <v>37</v>
      </c>
      <c r="D37" s="29">
        <v>1</v>
      </c>
      <c r="E37" s="29">
        <v>20</v>
      </c>
      <c r="F37" s="11">
        <v>45896</v>
      </c>
      <c r="G37" s="10">
        <v>0.375</v>
      </c>
      <c r="H37" s="11">
        <v>45890</v>
      </c>
      <c r="I37" s="10">
        <v>0.83333333333333337</v>
      </c>
      <c r="J37" s="9">
        <f>E37-L37</f>
        <v>0</v>
      </c>
      <c r="K37" s="8">
        <v>4</v>
      </c>
      <c r="L37" s="7">
        <v>20</v>
      </c>
      <c r="M37" s="6" t="s">
        <v>120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33" t="s">
        <v>119</v>
      </c>
      <c r="B38" s="11" t="s">
        <v>42</v>
      </c>
      <c r="C38" s="11" t="s">
        <v>43</v>
      </c>
      <c r="D38" s="29">
        <v>1</v>
      </c>
      <c r="E38" s="29">
        <v>20</v>
      </c>
      <c r="F38" s="11">
        <v>45896</v>
      </c>
      <c r="G38" s="10">
        <v>0.375</v>
      </c>
      <c r="H38" s="11">
        <v>45890</v>
      </c>
      <c r="I38" s="10">
        <v>0.83333333333333337</v>
      </c>
      <c r="J38" s="9">
        <f t="shared" si="2"/>
        <v>0</v>
      </c>
      <c r="K38" s="8">
        <v>1</v>
      </c>
      <c r="L38" s="7">
        <v>20</v>
      </c>
      <c r="M38" s="6" t="s">
        <v>120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33" t="s">
        <v>121</v>
      </c>
      <c r="B39" s="11" t="s">
        <v>36</v>
      </c>
      <c r="C39" s="11" t="s">
        <v>37</v>
      </c>
      <c r="D39" s="29">
        <v>1</v>
      </c>
      <c r="E39" s="29">
        <v>20</v>
      </c>
      <c r="F39" s="11">
        <v>45896</v>
      </c>
      <c r="G39" s="10">
        <v>0.375</v>
      </c>
      <c r="H39" s="11">
        <v>45890</v>
      </c>
      <c r="I39" s="10">
        <v>0.84722222222222221</v>
      </c>
      <c r="J39" s="9">
        <f>E39-L39</f>
        <v>2</v>
      </c>
      <c r="K39" s="8">
        <v>1</v>
      </c>
      <c r="L39" s="7">
        <v>18</v>
      </c>
      <c r="M39" s="6" t="s">
        <v>122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33" t="s">
        <v>121</v>
      </c>
      <c r="B40" s="11" t="s">
        <v>42</v>
      </c>
      <c r="C40" s="11" t="s">
        <v>43</v>
      </c>
      <c r="D40" s="29">
        <v>1</v>
      </c>
      <c r="E40" s="29">
        <v>20</v>
      </c>
      <c r="F40" s="11">
        <v>45896</v>
      </c>
      <c r="G40" s="10">
        <v>0.375</v>
      </c>
      <c r="H40" s="11">
        <v>45890</v>
      </c>
      <c r="I40" s="10">
        <v>0.84722222222222221</v>
      </c>
      <c r="J40" s="9">
        <f t="shared" si="2"/>
        <v>2</v>
      </c>
      <c r="K40" s="8">
        <v>1</v>
      </c>
      <c r="L40" s="7">
        <v>18</v>
      </c>
      <c r="M40" s="6" t="s">
        <v>122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38" t="s">
        <v>123</v>
      </c>
      <c r="B41" s="11" t="s">
        <v>36</v>
      </c>
      <c r="C41" s="11" t="s">
        <v>37</v>
      </c>
      <c r="D41" s="29">
        <v>1</v>
      </c>
      <c r="E41" s="29">
        <v>20</v>
      </c>
      <c r="F41" s="11">
        <v>45896</v>
      </c>
      <c r="G41" s="10">
        <v>0.375</v>
      </c>
      <c r="H41" s="11">
        <v>45890</v>
      </c>
      <c r="I41" s="10">
        <v>0.86111111111111116</v>
      </c>
      <c r="J41" s="9">
        <f>E41-L41</f>
        <v>0</v>
      </c>
      <c r="K41" s="8">
        <v>1</v>
      </c>
      <c r="L41" s="7">
        <v>20</v>
      </c>
      <c r="M41" s="36" t="s">
        <v>124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35" t="s">
        <v>123</v>
      </c>
      <c r="B42" s="11" t="s">
        <v>143</v>
      </c>
      <c r="C42" s="11" t="s">
        <v>43</v>
      </c>
      <c r="D42" s="29">
        <v>1</v>
      </c>
      <c r="E42" s="29">
        <v>20</v>
      </c>
      <c r="F42" s="11">
        <v>45896</v>
      </c>
      <c r="G42" s="10">
        <v>0.375</v>
      </c>
      <c r="H42" s="11">
        <v>45890</v>
      </c>
      <c r="I42" s="10">
        <v>0.86111111111111116</v>
      </c>
      <c r="J42" s="9">
        <f t="shared" si="2"/>
        <v>0</v>
      </c>
      <c r="K42" s="8">
        <v>1</v>
      </c>
      <c r="L42" s="7">
        <v>20</v>
      </c>
      <c r="M42" s="36" t="s">
        <v>124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33" t="s">
        <v>125</v>
      </c>
      <c r="B43" s="11" t="s">
        <v>36</v>
      </c>
      <c r="C43" s="11" t="s">
        <v>37</v>
      </c>
      <c r="D43" s="29">
        <v>1</v>
      </c>
      <c r="E43" s="29">
        <v>20</v>
      </c>
      <c r="F43" s="11">
        <v>45896</v>
      </c>
      <c r="G43" s="10">
        <v>0.375</v>
      </c>
      <c r="H43" s="11">
        <v>45890</v>
      </c>
      <c r="I43" s="10">
        <v>0.875</v>
      </c>
      <c r="J43" s="9">
        <f>E43-L43</f>
        <v>-1</v>
      </c>
      <c r="K43" s="8">
        <v>1</v>
      </c>
      <c r="L43" s="7">
        <v>21</v>
      </c>
      <c r="M43" s="6" t="s">
        <v>126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33" t="s">
        <v>125</v>
      </c>
      <c r="B44" s="11" t="s">
        <v>42</v>
      </c>
      <c r="C44" s="11" t="s">
        <v>43</v>
      </c>
      <c r="D44" s="29">
        <v>1</v>
      </c>
      <c r="E44" s="29">
        <v>20</v>
      </c>
      <c r="F44" s="11">
        <v>45896</v>
      </c>
      <c r="G44" s="10">
        <v>0.375</v>
      </c>
      <c r="H44" s="11">
        <v>45890</v>
      </c>
      <c r="I44" s="10">
        <v>0.875</v>
      </c>
      <c r="J44" s="9">
        <f t="shared" si="2"/>
        <v>-1</v>
      </c>
      <c r="K44" s="8">
        <v>1</v>
      </c>
      <c r="L44" s="7">
        <v>21</v>
      </c>
      <c r="M44" s="6" t="s">
        <v>126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5">
      <c r="A45" s="39" t="s">
        <v>127</v>
      </c>
      <c r="B45" s="11" t="s">
        <v>36</v>
      </c>
      <c r="C45" s="11" t="s">
        <v>37</v>
      </c>
      <c r="D45" s="29">
        <v>1</v>
      </c>
      <c r="E45" s="29">
        <v>30</v>
      </c>
      <c r="F45" s="11">
        <v>45896</v>
      </c>
      <c r="G45" s="10">
        <v>0.375</v>
      </c>
      <c r="H45" s="11">
        <v>45890</v>
      </c>
      <c r="I45" s="10">
        <v>0.89583333333333337</v>
      </c>
      <c r="J45" s="9">
        <f>E45-L45</f>
        <v>5</v>
      </c>
      <c r="K45" s="8">
        <v>1</v>
      </c>
      <c r="L45" s="7">
        <v>25</v>
      </c>
      <c r="M45" s="6" t="s">
        <v>128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5">
      <c r="A46" t="s">
        <v>127</v>
      </c>
      <c r="B46" s="11" t="s">
        <v>42</v>
      </c>
      <c r="C46" s="11" t="s">
        <v>43</v>
      </c>
      <c r="D46" s="29">
        <v>1</v>
      </c>
      <c r="E46" s="29">
        <v>30</v>
      </c>
      <c r="F46" s="11">
        <v>45896</v>
      </c>
      <c r="G46" s="10">
        <v>0.375</v>
      </c>
      <c r="H46" s="11">
        <v>45890</v>
      </c>
      <c r="I46" s="10">
        <v>0.89583333333333337</v>
      </c>
      <c r="J46" s="9">
        <f t="shared" si="2"/>
        <v>5</v>
      </c>
      <c r="K46" s="8">
        <v>1</v>
      </c>
      <c r="L46" s="7">
        <v>25</v>
      </c>
      <c r="M46" s="6" t="s">
        <v>128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33" t="s">
        <v>129</v>
      </c>
      <c r="B47" s="11" t="s">
        <v>36</v>
      </c>
      <c r="C47" s="11" t="s">
        <v>37</v>
      </c>
      <c r="D47" s="29">
        <v>1</v>
      </c>
      <c r="E47" s="29">
        <v>30</v>
      </c>
      <c r="F47" s="11">
        <v>45896</v>
      </c>
      <c r="G47" s="10">
        <v>0.375</v>
      </c>
      <c r="H47" s="11">
        <v>45890</v>
      </c>
      <c r="I47" s="10">
        <v>0.91666666666666663</v>
      </c>
      <c r="J47" s="9">
        <f>E47-L47</f>
        <v>10</v>
      </c>
      <c r="K47" s="8">
        <v>1</v>
      </c>
      <c r="L47" s="7">
        <v>20</v>
      </c>
      <c r="M47" s="6" t="s">
        <v>130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33" t="s">
        <v>129</v>
      </c>
      <c r="B48" s="11" t="s">
        <v>42</v>
      </c>
      <c r="C48" s="11" t="s">
        <v>43</v>
      </c>
      <c r="D48" s="29">
        <v>1</v>
      </c>
      <c r="E48" s="29">
        <v>30</v>
      </c>
      <c r="F48" s="11">
        <v>45896</v>
      </c>
      <c r="G48" s="10">
        <v>0.375</v>
      </c>
      <c r="H48" s="11">
        <v>45890</v>
      </c>
      <c r="I48" s="10">
        <v>0.91666666666666663</v>
      </c>
      <c r="J48" s="9">
        <f t="shared" si="2"/>
        <v>10</v>
      </c>
      <c r="K48" s="8">
        <v>1</v>
      </c>
      <c r="L48" s="7">
        <v>20</v>
      </c>
      <c r="M48" s="6" t="s">
        <v>130</v>
      </c>
      <c r="Q48" s="20">
        <v>1</v>
      </c>
      <c r="R48" s="29">
        <v>30</v>
      </c>
      <c r="S48" s="8">
        <v>1</v>
      </c>
      <c r="T48" s="7">
        <v>25</v>
      </c>
    </row>
    <row r="49" spans="1:33" s="5" customFormat="1" ht="26.1" customHeight="1" x14ac:dyDescent="0.25">
      <c r="A49" s="99" t="s">
        <v>471</v>
      </c>
      <c r="B49" s="53" t="s">
        <v>36</v>
      </c>
      <c r="C49" s="53" t="s">
        <v>37</v>
      </c>
      <c r="D49" s="53">
        <v>1</v>
      </c>
      <c r="E49" s="53">
        <v>30</v>
      </c>
      <c r="F49" s="80">
        <v>45896</v>
      </c>
      <c r="G49" s="81">
        <v>0.375</v>
      </c>
      <c r="H49" s="80">
        <v>45890</v>
      </c>
      <c r="I49" s="81">
        <v>0.79166666666666663</v>
      </c>
      <c r="J49" s="87">
        <f t="shared" si="2"/>
        <v>0</v>
      </c>
      <c r="K49" s="53">
        <v>3</v>
      </c>
      <c r="L49" s="53">
        <v>30</v>
      </c>
      <c r="M49" s="79" t="s">
        <v>472</v>
      </c>
      <c r="N49" s="23" t="s">
        <v>146</v>
      </c>
      <c r="O49" s="11" t="s">
        <v>30</v>
      </c>
      <c r="P49" s="11" t="s">
        <v>83</v>
      </c>
      <c r="Q49" s="20">
        <v>1</v>
      </c>
      <c r="R49" s="29">
        <v>60</v>
      </c>
      <c r="S49" s="11">
        <v>45896</v>
      </c>
      <c r="T49" s="10">
        <v>0.375</v>
      </c>
      <c r="U49" s="11">
        <v>45890</v>
      </c>
      <c r="V49" s="10">
        <v>0.91666666666666663</v>
      </c>
      <c r="W49" s="9">
        <f>R49-Y49</f>
        <v>50</v>
      </c>
      <c r="X49" s="8">
        <v>1</v>
      </c>
      <c r="Y49" s="7">
        <v>10</v>
      </c>
      <c r="Z49" s="6" t="s">
        <v>149</v>
      </c>
      <c r="AD49" s="20">
        <v>1</v>
      </c>
      <c r="AE49" s="29">
        <v>20</v>
      </c>
      <c r="AF49" s="8">
        <v>1</v>
      </c>
      <c r="AG49" s="7">
        <v>20</v>
      </c>
    </row>
    <row r="50" spans="1:33" s="5" customFormat="1" ht="24.9" customHeight="1" x14ac:dyDescent="0.2">
      <c r="A50" s="23" t="s">
        <v>146</v>
      </c>
      <c r="B50" s="11" t="s">
        <v>42</v>
      </c>
      <c r="C50" s="11" t="s">
        <v>77</v>
      </c>
      <c r="D50" s="20">
        <v>1</v>
      </c>
      <c r="E50" s="29">
        <v>60</v>
      </c>
      <c r="F50" s="11">
        <v>45896</v>
      </c>
      <c r="G50" s="10">
        <v>0.375</v>
      </c>
      <c r="H50" s="11">
        <v>45890</v>
      </c>
      <c r="I50" s="10">
        <v>0.91666666666666663</v>
      </c>
      <c r="J50" s="9">
        <f>E50-L50</f>
        <v>50</v>
      </c>
      <c r="K50" s="8">
        <v>2</v>
      </c>
      <c r="L50" s="7">
        <v>10</v>
      </c>
      <c r="M50" s="6" t="s">
        <v>149</v>
      </c>
      <c r="Q50" s="20">
        <v>1</v>
      </c>
      <c r="R50" s="29">
        <v>30</v>
      </c>
      <c r="S50" s="8">
        <v>1</v>
      </c>
      <c r="T50" s="7">
        <v>25</v>
      </c>
    </row>
    <row r="51" spans="1:33" s="5" customFormat="1" ht="22.5" customHeight="1" x14ac:dyDescent="0.2">
      <c r="A51" s="23" t="s">
        <v>146</v>
      </c>
      <c r="B51" s="11" t="s">
        <v>21</v>
      </c>
      <c r="C51" s="11" t="s">
        <v>86</v>
      </c>
      <c r="D51" s="20">
        <v>1</v>
      </c>
      <c r="E51" s="29">
        <v>60</v>
      </c>
      <c r="F51" s="11">
        <v>45896</v>
      </c>
      <c r="G51" s="10">
        <v>0.375</v>
      </c>
      <c r="H51" s="11">
        <v>45890</v>
      </c>
      <c r="I51" s="10">
        <v>0.91666666666666663</v>
      </c>
      <c r="J51" s="9">
        <f>E51-L51</f>
        <v>50</v>
      </c>
      <c r="K51" s="8">
        <v>1</v>
      </c>
      <c r="L51" s="7">
        <v>10</v>
      </c>
      <c r="M51" s="6" t="s">
        <v>149</v>
      </c>
      <c r="Q51" s="20">
        <v>1</v>
      </c>
      <c r="R51" s="29">
        <v>30</v>
      </c>
      <c r="S51" s="8">
        <v>1</v>
      </c>
      <c r="T51" s="7">
        <v>25</v>
      </c>
    </row>
    <row r="52" spans="1:33" s="5" customFormat="1" ht="35.4" customHeight="1" x14ac:dyDescent="0.2">
      <c r="A52" s="23" t="s">
        <v>146</v>
      </c>
      <c r="B52" s="11" t="s">
        <v>136</v>
      </c>
      <c r="C52" s="11" t="s">
        <v>151</v>
      </c>
      <c r="D52" s="20">
        <v>1</v>
      </c>
      <c r="E52" s="29">
        <v>60</v>
      </c>
      <c r="F52" s="11">
        <v>45896</v>
      </c>
      <c r="G52" s="10">
        <v>0.375</v>
      </c>
      <c r="H52" s="11">
        <v>45890</v>
      </c>
      <c r="I52" s="10">
        <v>0.91666666666666663</v>
      </c>
      <c r="J52" s="9">
        <f>E52-L52</f>
        <v>50</v>
      </c>
      <c r="K52" s="8">
        <v>1</v>
      </c>
      <c r="L52" s="7">
        <v>10</v>
      </c>
      <c r="M52" s="6" t="s">
        <v>149</v>
      </c>
      <c r="Q52" s="20">
        <v>1</v>
      </c>
      <c r="R52" s="8">
        <v>30</v>
      </c>
      <c r="S52" s="8">
        <v>1</v>
      </c>
      <c r="T52" s="7">
        <v>30</v>
      </c>
    </row>
    <row r="53" spans="1:33" s="5" customFormat="1" ht="36.6" customHeight="1" x14ac:dyDescent="0.2">
      <c r="A53" s="23" t="s">
        <v>146</v>
      </c>
      <c r="B53" s="11" t="s">
        <v>36</v>
      </c>
      <c r="C53" s="11" t="s">
        <v>80</v>
      </c>
      <c r="D53" s="20">
        <v>1</v>
      </c>
      <c r="E53" s="29">
        <v>60</v>
      </c>
      <c r="F53" s="11">
        <v>45882</v>
      </c>
      <c r="G53" s="10">
        <v>0.375</v>
      </c>
      <c r="H53" s="11">
        <v>45890</v>
      </c>
      <c r="I53" s="10">
        <v>0.91666666666666663</v>
      </c>
      <c r="J53" s="9">
        <f>E53-L53</f>
        <v>50</v>
      </c>
      <c r="K53" s="8">
        <v>1</v>
      </c>
      <c r="L53" s="7">
        <v>10</v>
      </c>
      <c r="M53" s="6" t="s">
        <v>149</v>
      </c>
      <c r="Q53" s="20">
        <v>3</v>
      </c>
      <c r="R53" s="29">
        <v>60</v>
      </c>
      <c r="S53" s="8">
        <v>3</v>
      </c>
      <c r="T53" s="7">
        <v>60</v>
      </c>
    </row>
    <row r="54" spans="1:33" s="5" customFormat="1" ht="36.6" customHeight="1" x14ac:dyDescent="0.2">
      <c r="A54" s="23" t="s">
        <v>146</v>
      </c>
      <c r="B54" s="11" t="s">
        <v>39</v>
      </c>
      <c r="C54" s="11" t="s">
        <v>150</v>
      </c>
      <c r="D54" s="20">
        <v>1</v>
      </c>
      <c r="E54" s="29">
        <v>60</v>
      </c>
      <c r="F54" s="11">
        <v>45896</v>
      </c>
      <c r="G54" s="10">
        <v>0.375</v>
      </c>
      <c r="H54" s="11">
        <v>45890</v>
      </c>
      <c r="I54" s="10">
        <v>0.91666666666666663</v>
      </c>
      <c r="J54" s="9">
        <f t="shared" si="2"/>
        <v>50</v>
      </c>
      <c r="K54" s="8">
        <v>1</v>
      </c>
      <c r="L54" s="7">
        <v>10</v>
      </c>
      <c r="M54" s="6" t="s">
        <v>149</v>
      </c>
      <c r="Q54" s="20">
        <v>3</v>
      </c>
      <c r="R54" s="29">
        <v>60</v>
      </c>
      <c r="S54" s="8">
        <v>3</v>
      </c>
      <c r="T54" s="7">
        <v>60</v>
      </c>
    </row>
    <row r="55" spans="1:33" s="5" customFormat="1" ht="35.4" customHeight="1" x14ac:dyDescent="0.2">
      <c r="A55" s="23" t="s">
        <v>52</v>
      </c>
      <c r="B55" s="63" t="s">
        <v>21</v>
      </c>
      <c r="C55" s="2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0.91666666666666663</v>
      </c>
      <c r="J55" s="9">
        <f t="shared" si="2"/>
        <v>0</v>
      </c>
      <c r="K55" s="8">
        <v>1</v>
      </c>
      <c r="L55" s="7">
        <v>30</v>
      </c>
      <c r="M55" s="6" t="s">
        <v>53</v>
      </c>
      <c r="Q55" s="20">
        <v>1</v>
      </c>
      <c r="R55" s="29">
        <v>30</v>
      </c>
      <c r="S55" s="8">
        <v>1</v>
      </c>
      <c r="T55" s="7">
        <v>30</v>
      </c>
    </row>
    <row r="56" spans="1:33" s="5" customFormat="1" ht="35.4" customHeight="1" x14ac:dyDescent="0.2">
      <c r="A56" s="23" t="s">
        <v>153</v>
      </c>
      <c r="B56" s="63" t="s">
        <v>36</v>
      </c>
      <c r="C56" s="21" t="s">
        <v>37</v>
      </c>
      <c r="D56" s="20">
        <v>1</v>
      </c>
      <c r="E56" s="5">
        <v>30</v>
      </c>
      <c r="F56" s="11">
        <v>45896</v>
      </c>
      <c r="G56" s="10">
        <v>0.375</v>
      </c>
      <c r="H56" s="11">
        <v>45890</v>
      </c>
      <c r="I56" s="10">
        <v>0.91666666666666663</v>
      </c>
      <c r="J56" s="9">
        <f t="shared" si="2"/>
        <v>0</v>
      </c>
      <c r="K56" s="8">
        <v>1</v>
      </c>
      <c r="L56" s="7">
        <v>30</v>
      </c>
      <c r="M56" s="6" t="s">
        <v>53</v>
      </c>
      <c r="Q56" s="20">
        <v>1</v>
      </c>
      <c r="R56" s="29">
        <v>30</v>
      </c>
      <c r="S56" s="8">
        <v>1</v>
      </c>
      <c r="T56" s="7">
        <v>30</v>
      </c>
    </row>
    <row r="57" spans="1:33" s="5" customFormat="1" ht="35.4" customHeight="1" x14ac:dyDescent="0.2">
      <c r="A57" s="23" t="s">
        <v>79</v>
      </c>
      <c r="B57" s="11" t="s">
        <v>36</v>
      </c>
      <c r="C57" s="11" t="s">
        <v>80</v>
      </c>
      <c r="D57" s="20">
        <v>1</v>
      </c>
      <c r="E57" s="29">
        <v>45</v>
      </c>
      <c r="F57" s="11">
        <v>45896</v>
      </c>
      <c r="G57" s="10">
        <v>0.375</v>
      </c>
      <c r="H57" s="11">
        <v>45890</v>
      </c>
      <c r="I57" s="10">
        <v>0.9375</v>
      </c>
      <c r="J57" s="9">
        <f t="shared" si="2"/>
        <v>-35</v>
      </c>
      <c r="K57" s="8">
        <v>1</v>
      </c>
      <c r="L57" s="7">
        <v>80</v>
      </c>
      <c r="M57" s="6" t="s">
        <v>81</v>
      </c>
      <c r="Q57" s="20">
        <v>1</v>
      </c>
      <c r="R57" s="29">
        <v>20</v>
      </c>
      <c r="S57" s="8">
        <v>1</v>
      </c>
      <c r="T57" s="7">
        <v>20</v>
      </c>
    </row>
    <row r="58" spans="1:33" s="5" customFormat="1" ht="35.4" customHeight="1" x14ac:dyDescent="0.2">
      <c r="A58" s="23" t="s">
        <v>85</v>
      </c>
      <c r="B58" s="11" t="s">
        <v>21</v>
      </c>
      <c r="C58" s="11" t="s">
        <v>86</v>
      </c>
      <c r="D58" s="20">
        <v>1</v>
      </c>
      <c r="E58" s="29">
        <v>60</v>
      </c>
      <c r="F58" s="11">
        <v>45896</v>
      </c>
      <c r="G58" s="10">
        <v>0.375</v>
      </c>
      <c r="H58" s="11">
        <v>45890</v>
      </c>
      <c r="I58" s="10">
        <v>0.9375</v>
      </c>
      <c r="J58" s="9">
        <f t="shared" si="2"/>
        <v>10</v>
      </c>
      <c r="K58" s="8">
        <v>1</v>
      </c>
      <c r="L58" s="7">
        <v>50</v>
      </c>
      <c r="M58" s="6" t="s">
        <v>87</v>
      </c>
      <c r="Q58" s="20">
        <v>1</v>
      </c>
      <c r="R58" s="29">
        <v>20</v>
      </c>
      <c r="S58" s="8">
        <v>1</v>
      </c>
      <c r="T58" s="7">
        <v>20</v>
      </c>
    </row>
    <row r="59" spans="1:33" s="5" customFormat="1" ht="35.4" customHeight="1" x14ac:dyDescent="0.2">
      <c r="A59" s="23" t="s">
        <v>88</v>
      </c>
      <c r="B59" s="11" t="s">
        <v>21</v>
      </c>
      <c r="C59" s="11" t="s">
        <v>86</v>
      </c>
      <c r="D59" s="20">
        <v>1</v>
      </c>
      <c r="E59" s="29">
        <v>55</v>
      </c>
      <c r="F59" s="11">
        <v>45896</v>
      </c>
      <c r="G59" s="10">
        <v>0.375</v>
      </c>
      <c r="H59" s="11">
        <v>45890</v>
      </c>
      <c r="I59" s="10">
        <v>0.9375</v>
      </c>
      <c r="J59" s="9">
        <f t="shared" si="2"/>
        <v>0</v>
      </c>
      <c r="K59" s="8">
        <v>1</v>
      </c>
      <c r="L59" s="7">
        <v>55</v>
      </c>
      <c r="M59" s="6" t="s">
        <v>89</v>
      </c>
      <c r="Q59" s="29">
        <v>1</v>
      </c>
      <c r="R59" s="34">
        <v>20</v>
      </c>
      <c r="S59" s="8">
        <v>1</v>
      </c>
      <c r="T59" s="7">
        <v>18</v>
      </c>
    </row>
    <row r="60" spans="1:33" s="5" customFormat="1" ht="35.4" customHeight="1" x14ac:dyDescent="0.2">
      <c r="A60" s="33" t="s">
        <v>131</v>
      </c>
      <c r="B60" s="11" t="s">
        <v>36</v>
      </c>
      <c r="C60" s="11" t="s">
        <v>37</v>
      </c>
      <c r="D60" s="29">
        <v>1</v>
      </c>
      <c r="E60" s="29">
        <v>30</v>
      </c>
      <c r="F60" s="11">
        <v>45896</v>
      </c>
      <c r="G60" s="10">
        <v>0.375</v>
      </c>
      <c r="H60" s="11">
        <v>45894</v>
      </c>
      <c r="I60" s="10">
        <v>0.9375</v>
      </c>
      <c r="J60" s="9">
        <f>E60-L60</f>
        <v>-2</v>
      </c>
      <c r="K60" s="8">
        <v>1</v>
      </c>
      <c r="L60" s="7">
        <v>32</v>
      </c>
      <c r="M60" s="6" t="s">
        <v>132</v>
      </c>
      <c r="Q60" s="29">
        <v>1</v>
      </c>
      <c r="R60" s="40">
        <v>20</v>
      </c>
      <c r="S60" s="8">
        <v>1</v>
      </c>
      <c r="T60" s="7">
        <v>18</v>
      </c>
    </row>
    <row r="61" spans="1:33" s="5" customFormat="1" ht="35.4" customHeight="1" x14ac:dyDescent="0.2">
      <c r="A61" s="33" t="s">
        <v>131</v>
      </c>
      <c r="B61" s="11" t="s">
        <v>42</v>
      </c>
      <c r="C61" s="11" t="s">
        <v>43</v>
      </c>
      <c r="D61" s="29">
        <v>1</v>
      </c>
      <c r="E61" s="29">
        <v>30</v>
      </c>
      <c r="F61" s="11">
        <v>45896</v>
      </c>
      <c r="G61" s="10">
        <v>0.375</v>
      </c>
      <c r="H61" s="11">
        <v>45894</v>
      </c>
      <c r="I61" s="10">
        <v>0.9375</v>
      </c>
      <c r="J61" s="9">
        <f>E61-L61</f>
        <v>-2</v>
      </c>
      <c r="K61" s="8">
        <v>1</v>
      </c>
      <c r="L61" s="7">
        <v>32</v>
      </c>
      <c r="M61" s="6" t="s">
        <v>132</v>
      </c>
      <c r="Q61" s="29">
        <v>1</v>
      </c>
      <c r="R61" s="29">
        <v>20</v>
      </c>
      <c r="S61" s="8">
        <v>1</v>
      </c>
      <c r="T61" s="7">
        <v>19</v>
      </c>
    </row>
    <row r="62" spans="1:33" s="5" customFormat="1" ht="35.4" customHeight="1" x14ac:dyDescent="0.2">
      <c r="A62" s="33" t="s">
        <v>131</v>
      </c>
      <c r="B62" s="11" t="s">
        <v>30</v>
      </c>
      <c r="C62" s="11" t="s">
        <v>31</v>
      </c>
      <c r="D62" s="29">
        <v>1</v>
      </c>
      <c r="E62" s="29">
        <v>30</v>
      </c>
      <c r="F62" s="11">
        <v>45896</v>
      </c>
      <c r="G62" s="10">
        <v>0.375</v>
      </c>
      <c r="H62" s="11">
        <v>45894</v>
      </c>
      <c r="I62" s="10">
        <v>0.9375</v>
      </c>
      <c r="J62" s="9">
        <f>E62-L62</f>
        <v>-2</v>
      </c>
      <c r="K62" s="8">
        <v>1</v>
      </c>
      <c r="L62" s="7">
        <v>32</v>
      </c>
      <c r="M62" s="6" t="s">
        <v>132</v>
      </c>
      <c r="Q62" s="29">
        <v>1</v>
      </c>
      <c r="R62" s="29">
        <v>20</v>
      </c>
      <c r="S62" s="8">
        <v>1</v>
      </c>
      <c r="T62" s="7">
        <v>19</v>
      </c>
    </row>
    <row r="63" spans="1:33" s="5" customFormat="1" ht="35.4" customHeight="1" x14ac:dyDescent="0.2">
      <c r="A63" s="33" t="s">
        <v>131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45894</v>
      </c>
      <c r="I63" s="10">
        <v>0.9375</v>
      </c>
      <c r="J63" s="9">
        <f>E63-L63</f>
        <v>-2</v>
      </c>
      <c r="K63" s="8">
        <v>1</v>
      </c>
      <c r="L63" s="7">
        <v>32</v>
      </c>
      <c r="M63" s="6" t="s">
        <v>132</v>
      </c>
      <c r="Q63" s="29">
        <v>1</v>
      </c>
      <c r="R63" s="29">
        <v>30</v>
      </c>
      <c r="S63" s="8">
        <v>1</v>
      </c>
      <c r="T63" s="7">
        <v>25</v>
      </c>
    </row>
    <row r="64" spans="1:33" s="5" customFormat="1" ht="35.4" customHeight="1" x14ac:dyDescent="0.2">
      <c r="A64" s="33" t="s">
        <v>131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45894</v>
      </c>
      <c r="I64" s="10">
        <v>0.9375</v>
      </c>
      <c r="J64" s="9">
        <f>E64-L64</f>
        <v>-2</v>
      </c>
      <c r="K64" s="8">
        <v>1</v>
      </c>
      <c r="L64" s="7">
        <v>32</v>
      </c>
      <c r="M64" s="6" t="s">
        <v>132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" customHeight="1" x14ac:dyDescent="0.2">
      <c r="A65" s="33" t="s">
        <v>131</v>
      </c>
      <c r="B65" s="11" t="s">
        <v>39</v>
      </c>
      <c r="C65" s="11" t="s">
        <v>40</v>
      </c>
      <c r="D65" s="29">
        <v>1</v>
      </c>
      <c r="E65" s="29">
        <v>30</v>
      </c>
      <c r="F65" s="11">
        <v>45896</v>
      </c>
      <c r="G65" s="10">
        <v>0.375</v>
      </c>
      <c r="H65" s="11">
        <v>45894</v>
      </c>
      <c r="I65" s="10">
        <v>0.9375</v>
      </c>
      <c r="J65" s="9">
        <f t="shared" si="2"/>
        <v>-2</v>
      </c>
      <c r="K65" s="8">
        <v>1</v>
      </c>
      <c r="L65" s="7">
        <v>32</v>
      </c>
      <c r="M65" s="6" t="s">
        <v>132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" customHeight="1" x14ac:dyDescent="0.2">
      <c r="A66" s="33" t="s">
        <v>133</v>
      </c>
      <c r="B66" s="11" t="s">
        <v>21</v>
      </c>
      <c r="C66" s="11" t="s">
        <v>22</v>
      </c>
      <c r="D66" s="29">
        <v>3</v>
      </c>
      <c r="E66" s="29">
        <v>20</v>
      </c>
      <c r="F66" s="11">
        <v>45896</v>
      </c>
      <c r="G66" s="10">
        <v>0.375</v>
      </c>
      <c r="H66" s="11">
        <v>45895</v>
      </c>
      <c r="I66" s="10">
        <v>0.58333333333333337</v>
      </c>
      <c r="J66" s="9">
        <f t="shared" si="2"/>
        <v>5</v>
      </c>
      <c r="K66" s="8">
        <v>3</v>
      </c>
      <c r="L66" s="7">
        <v>15</v>
      </c>
      <c r="M66" s="6" t="s">
        <v>134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x14ac:dyDescent="0.25">
      <c r="A67"/>
      <c r="B67"/>
      <c r="L67" s="64"/>
    </row>
    <row r="69" spans="1:20" x14ac:dyDescent="0.25">
      <c r="A69" s="70" t="s">
        <v>210</v>
      </c>
      <c r="B69" t="s">
        <v>215</v>
      </c>
      <c r="C69" t="s">
        <v>214</v>
      </c>
      <c r="D69" t="s">
        <v>212</v>
      </c>
      <c r="E69" t="s">
        <v>213</v>
      </c>
      <c r="F69"/>
    </row>
    <row r="70" spans="1:20" x14ac:dyDescent="0.25">
      <c r="A70" s="71" t="s">
        <v>139</v>
      </c>
      <c r="B70">
        <v>7</v>
      </c>
      <c r="C70">
        <v>160</v>
      </c>
      <c r="D70" s="2">
        <v>153</v>
      </c>
      <c r="E70">
        <v>7</v>
      </c>
      <c r="F70"/>
    </row>
    <row r="71" spans="1:20" x14ac:dyDescent="0.25">
      <c r="A71" s="71" t="s">
        <v>143</v>
      </c>
      <c r="B71">
        <v>1</v>
      </c>
      <c r="C71">
        <v>20</v>
      </c>
      <c r="D71" s="2">
        <v>20</v>
      </c>
      <c r="E71">
        <v>1</v>
      </c>
      <c r="F71"/>
    </row>
    <row r="72" spans="1:20" x14ac:dyDescent="0.25">
      <c r="A72" s="71" t="s">
        <v>36</v>
      </c>
      <c r="B72">
        <v>12</v>
      </c>
      <c r="C72">
        <v>345</v>
      </c>
      <c r="D72" s="2">
        <v>316</v>
      </c>
      <c r="E72">
        <v>15</v>
      </c>
      <c r="F72"/>
    </row>
    <row r="73" spans="1:20" x14ac:dyDescent="0.25">
      <c r="A73" s="71" t="s">
        <v>39</v>
      </c>
      <c r="B73">
        <v>7</v>
      </c>
      <c r="C73">
        <v>270</v>
      </c>
      <c r="D73" s="2">
        <v>193</v>
      </c>
      <c r="E73">
        <v>7</v>
      </c>
      <c r="F73"/>
    </row>
    <row r="74" spans="1:20" x14ac:dyDescent="0.25">
      <c r="A74" s="71" t="s">
        <v>21</v>
      </c>
      <c r="B74">
        <v>16</v>
      </c>
      <c r="C74">
        <v>435</v>
      </c>
      <c r="D74" s="2">
        <v>364</v>
      </c>
      <c r="E74">
        <v>16</v>
      </c>
      <c r="F74"/>
    </row>
    <row r="75" spans="1:20" x14ac:dyDescent="0.25">
      <c r="A75" s="71" t="s">
        <v>30</v>
      </c>
      <c r="B75">
        <v>8</v>
      </c>
      <c r="C75">
        <v>300</v>
      </c>
      <c r="D75" s="2">
        <v>223</v>
      </c>
      <c r="E75">
        <v>8</v>
      </c>
      <c r="F75"/>
    </row>
    <row r="76" spans="1:20" x14ac:dyDescent="0.25">
      <c r="A76" s="71" t="s">
        <v>211</v>
      </c>
      <c r="B76">
        <v>51</v>
      </c>
      <c r="C76">
        <v>1530</v>
      </c>
      <c r="D76" s="2">
        <v>1269</v>
      </c>
      <c r="E76">
        <v>54</v>
      </c>
      <c r="F76"/>
    </row>
    <row r="77" spans="1:20" x14ac:dyDescent="0.25">
      <c r="A77"/>
      <c r="B77"/>
      <c r="C77"/>
      <c r="D77"/>
      <c r="E77"/>
      <c r="F77"/>
    </row>
    <row r="78" spans="1:20" x14ac:dyDescent="0.25">
      <c r="A78"/>
      <c r="B78"/>
      <c r="C78"/>
      <c r="D78"/>
      <c r="E78"/>
    </row>
    <row r="79" spans="1:20" x14ac:dyDescent="0.25">
      <c r="A79"/>
      <c r="B79"/>
      <c r="C79"/>
      <c r="D79"/>
      <c r="E79"/>
    </row>
    <row r="80" spans="1:20" x14ac:dyDescent="0.25">
      <c r="A80"/>
      <c r="B80"/>
      <c r="C80"/>
      <c r="D80"/>
      <c r="E80"/>
    </row>
    <row r="81" spans="1:5" x14ac:dyDescent="0.25">
      <c r="A81"/>
      <c r="B81"/>
      <c r="C81"/>
      <c r="D81"/>
      <c r="E81"/>
    </row>
    <row r="82" spans="1:5" x14ac:dyDescent="0.25">
      <c r="A82"/>
      <c r="B82"/>
      <c r="C82"/>
      <c r="D82"/>
      <c r="E82"/>
    </row>
    <row r="83" spans="1:5" x14ac:dyDescent="0.25">
      <c r="A83"/>
      <c r="B83"/>
      <c r="C83"/>
      <c r="D83"/>
      <c r="E83"/>
    </row>
    <row r="84" spans="1:5" x14ac:dyDescent="0.25">
      <c r="A84"/>
      <c r="B84"/>
      <c r="C84"/>
      <c r="D84"/>
      <c r="E84"/>
    </row>
    <row r="85" spans="1:5" x14ac:dyDescent="0.25">
      <c r="A85"/>
      <c r="B85"/>
      <c r="C85"/>
      <c r="D85"/>
      <c r="E85"/>
    </row>
    <row r="86" spans="1:5" x14ac:dyDescent="0.25">
      <c r="A86"/>
      <c r="B86"/>
      <c r="C86"/>
      <c r="D86"/>
      <c r="E86"/>
    </row>
    <row r="87" spans="1:5" x14ac:dyDescent="0.25">
      <c r="A87"/>
      <c r="B87"/>
      <c r="C87"/>
      <c r="D87"/>
      <c r="E87"/>
    </row>
    <row r="88" spans="1:5" x14ac:dyDescent="0.25">
      <c r="A88"/>
      <c r="B88"/>
      <c r="C88"/>
      <c r="D88"/>
      <c r="E88"/>
    </row>
    <row r="89" spans="1:5" x14ac:dyDescent="0.25">
      <c r="A89"/>
      <c r="B89"/>
      <c r="C89"/>
      <c r="D89"/>
      <c r="E89"/>
    </row>
    <row r="90" spans="1:5" x14ac:dyDescent="0.25">
      <c r="A90"/>
      <c r="B90"/>
      <c r="C90"/>
      <c r="D90"/>
      <c r="E90"/>
    </row>
    <row r="91" spans="1:5" x14ac:dyDescent="0.25">
      <c r="A91"/>
      <c r="B91"/>
      <c r="C91"/>
      <c r="D91"/>
      <c r="E91"/>
    </row>
    <row r="92" spans="1:5" x14ac:dyDescent="0.25">
      <c r="A92"/>
      <c r="B92"/>
      <c r="C92"/>
      <c r="D92"/>
      <c r="E92"/>
    </row>
    <row r="93" spans="1:5" x14ac:dyDescent="0.25">
      <c r="A93"/>
      <c r="B93"/>
      <c r="C93"/>
      <c r="D93"/>
      <c r="E93"/>
    </row>
    <row r="94" spans="1:5" x14ac:dyDescent="0.25">
      <c r="A94"/>
      <c r="B94"/>
      <c r="C94"/>
      <c r="D94"/>
      <c r="E94"/>
    </row>
    <row r="95" spans="1:5" x14ac:dyDescent="0.25">
      <c r="A95"/>
      <c r="B95"/>
      <c r="C95"/>
      <c r="D95"/>
      <c r="E95"/>
    </row>
    <row r="96" spans="1:5" x14ac:dyDescent="0.25">
      <c r="A96"/>
      <c r="B96"/>
      <c r="C96"/>
      <c r="D96"/>
      <c r="E96"/>
    </row>
    <row r="97" spans="1:5" x14ac:dyDescent="0.25">
      <c r="A97"/>
      <c r="B97"/>
      <c r="C97"/>
      <c r="D97"/>
      <c r="E97"/>
    </row>
    <row r="98" spans="1:5" x14ac:dyDescent="0.25">
      <c r="A98"/>
      <c r="B98"/>
      <c r="C98"/>
      <c r="D98"/>
      <c r="E98"/>
    </row>
    <row r="99" spans="1:5" x14ac:dyDescent="0.25">
      <c r="A99"/>
      <c r="B99"/>
      <c r="C99"/>
      <c r="D99"/>
      <c r="E99"/>
    </row>
    <row r="100" spans="1:5" x14ac:dyDescent="0.25">
      <c r="A100"/>
      <c r="B100"/>
      <c r="C100"/>
      <c r="D100"/>
      <c r="E100"/>
    </row>
    <row r="101" spans="1:5" x14ac:dyDescent="0.25">
      <c r="A101"/>
      <c r="B101"/>
      <c r="C101"/>
      <c r="D101"/>
      <c r="E101"/>
    </row>
    <row r="102" spans="1:5" x14ac:dyDescent="0.25">
      <c r="A102"/>
      <c r="B102"/>
      <c r="C102"/>
      <c r="D102"/>
      <c r="E102"/>
    </row>
    <row r="103" spans="1:5" x14ac:dyDescent="0.25">
      <c r="A103"/>
      <c r="B103"/>
      <c r="C103"/>
      <c r="D103"/>
      <c r="E103"/>
    </row>
    <row r="104" spans="1:5" x14ac:dyDescent="0.25">
      <c r="A104"/>
      <c r="B104"/>
      <c r="C104"/>
      <c r="D104"/>
      <c r="E104"/>
    </row>
    <row r="105" spans="1:5" x14ac:dyDescent="0.25">
      <c r="A105"/>
      <c r="B105"/>
      <c r="C105"/>
      <c r="D105"/>
      <c r="E105"/>
    </row>
    <row r="106" spans="1:5" x14ac:dyDescent="0.25">
      <c r="A106"/>
      <c r="B106"/>
      <c r="C106"/>
      <c r="D106"/>
      <c r="E106"/>
    </row>
    <row r="107" spans="1:5" x14ac:dyDescent="0.25">
      <c r="A107"/>
      <c r="B107"/>
      <c r="C107"/>
      <c r="D107"/>
      <c r="E107"/>
    </row>
    <row r="108" spans="1:5" x14ac:dyDescent="0.25">
      <c r="A108"/>
      <c r="B108"/>
      <c r="C108"/>
      <c r="D108"/>
      <c r="E108"/>
    </row>
    <row r="109" spans="1:5" x14ac:dyDescent="0.25">
      <c r="A109"/>
      <c r="B109"/>
      <c r="C109"/>
      <c r="D109"/>
      <c r="E109"/>
    </row>
    <row r="110" spans="1:5" x14ac:dyDescent="0.25">
      <c r="A110"/>
      <c r="B110"/>
      <c r="C110"/>
      <c r="D110"/>
      <c r="E110"/>
    </row>
    <row r="111" spans="1:5" x14ac:dyDescent="0.25">
      <c r="A111"/>
      <c r="B111"/>
      <c r="C111"/>
      <c r="D111"/>
      <c r="E111"/>
    </row>
    <row r="112" spans="1:5" x14ac:dyDescent="0.25">
      <c r="A112"/>
      <c r="B112"/>
      <c r="C112"/>
      <c r="D112"/>
      <c r="E112"/>
    </row>
    <row r="113" spans="1:5" x14ac:dyDescent="0.25">
      <c r="A113"/>
      <c r="B113"/>
      <c r="C113"/>
      <c r="D113"/>
      <c r="E113"/>
    </row>
    <row r="114" spans="1:5" x14ac:dyDescent="0.25">
      <c r="A114"/>
      <c r="B114"/>
      <c r="C114"/>
      <c r="D114"/>
      <c r="E114"/>
    </row>
    <row r="115" spans="1:5" x14ac:dyDescent="0.25">
      <c r="A115"/>
      <c r="B115"/>
      <c r="C115"/>
      <c r="D115"/>
      <c r="E115"/>
    </row>
    <row r="116" spans="1:5" x14ac:dyDescent="0.25">
      <c r="A116"/>
      <c r="B116"/>
      <c r="C116"/>
      <c r="D116"/>
      <c r="E116"/>
    </row>
    <row r="117" spans="1:5" x14ac:dyDescent="0.25">
      <c r="A117"/>
      <c r="B117"/>
      <c r="C117"/>
      <c r="D117"/>
      <c r="E117"/>
    </row>
    <row r="118" spans="1:5" x14ac:dyDescent="0.25">
      <c r="A118"/>
      <c r="B118"/>
      <c r="C118"/>
      <c r="D118"/>
      <c r="E118"/>
    </row>
    <row r="119" spans="1:5" x14ac:dyDescent="0.25">
      <c r="A119"/>
      <c r="B119"/>
      <c r="C119"/>
      <c r="D119"/>
      <c r="E119"/>
    </row>
    <row r="120" spans="1:5" x14ac:dyDescent="0.25">
      <c r="A120"/>
      <c r="B120"/>
      <c r="C120"/>
      <c r="D120"/>
      <c r="E120"/>
    </row>
    <row r="121" spans="1:5" x14ac:dyDescent="0.25">
      <c r="A121"/>
      <c r="B121"/>
      <c r="C121"/>
      <c r="D121"/>
      <c r="E121"/>
    </row>
    <row r="122" spans="1:5" x14ac:dyDescent="0.25">
      <c r="A122"/>
      <c r="B122"/>
      <c r="C122"/>
      <c r="D122"/>
      <c r="E122"/>
    </row>
    <row r="123" spans="1:5" x14ac:dyDescent="0.25">
      <c r="A123"/>
      <c r="B123"/>
      <c r="C123"/>
      <c r="D123"/>
      <c r="E123"/>
    </row>
    <row r="124" spans="1:5" x14ac:dyDescent="0.25">
      <c r="A124"/>
      <c r="B124"/>
      <c r="C124"/>
      <c r="D124"/>
      <c r="E124"/>
    </row>
    <row r="125" spans="1:5" x14ac:dyDescent="0.25">
      <c r="A125"/>
      <c r="B125"/>
      <c r="C125"/>
      <c r="D125"/>
      <c r="E12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67D4-75FB-4C16-9305-1D644D75C1B8}">
  <dimension ref="A1:T129"/>
  <sheetViews>
    <sheetView zoomScale="84" zoomScaleNormal="84" workbookViewId="0">
      <selection activeCell="A8" sqref="A8"/>
    </sheetView>
  </sheetViews>
  <sheetFormatPr baseColWidth="10" defaultColWidth="11.44140625" defaultRowHeight="13.2" x14ac:dyDescent="0.25"/>
  <cols>
    <col min="1" max="1" width="54.6640625" style="4" bestFit="1" customWidth="1"/>
    <col min="2" max="2" width="15.44140625" style="4" customWidth="1"/>
    <col min="3" max="3" width="13.109375" style="4" customWidth="1"/>
    <col min="4" max="4" width="13.33203125" style="4" customWidth="1"/>
    <col min="5" max="5" width="12.33203125" style="4" customWidth="1"/>
    <col min="6" max="7" width="10.6640625" style="4" customWidth="1"/>
    <col min="8" max="8" width="18.6640625" style="4" bestFit="1" customWidth="1"/>
    <col min="9" max="9" width="21.33203125" style="3" bestFit="1" customWidth="1"/>
    <col min="10" max="10" width="21.5546875" style="3" bestFit="1" customWidth="1"/>
    <col min="11" max="11" width="36.6640625" style="2" bestFit="1" customWidth="1"/>
    <col min="12" max="12" width="45.44140625" style="1" bestFit="1" customWidth="1"/>
    <col min="13" max="13" width="48.109375" style="1" bestFit="1" customWidth="1"/>
    <col min="14" max="14" width="10.6640625" customWidth="1"/>
  </cols>
  <sheetData>
    <row r="1" spans="1:20" ht="32.25" customHeight="1" x14ac:dyDescent="0.25">
      <c r="A1" s="175"/>
      <c r="B1" s="177" t="s">
        <v>0</v>
      </c>
      <c r="C1" s="177"/>
      <c r="D1" s="177"/>
      <c r="E1" s="177"/>
      <c r="F1" s="177"/>
      <c r="G1" s="177"/>
      <c r="H1" s="177"/>
      <c r="I1" s="177"/>
      <c r="J1" s="177"/>
      <c r="K1" s="177"/>
      <c r="L1" s="179"/>
      <c r="M1" s="180"/>
    </row>
    <row r="2" spans="1:20" ht="20.25" customHeight="1" x14ac:dyDescent="0.25">
      <c r="A2" s="176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81"/>
      <c r="M2" s="182"/>
    </row>
    <row r="3" spans="1:20" ht="12.75" customHeight="1" x14ac:dyDescent="0.25">
      <c r="A3" s="183" t="s">
        <v>1</v>
      </c>
      <c r="B3" s="185" t="s">
        <v>2</v>
      </c>
      <c r="C3" s="185"/>
      <c r="D3" s="185"/>
      <c r="E3" s="185"/>
      <c r="F3" s="185"/>
      <c r="G3" s="185"/>
      <c r="H3" s="185"/>
      <c r="I3" s="185"/>
      <c r="J3" s="185"/>
      <c r="K3" s="185"/>
      <c r="L3" s="187" t="s">
        <v>3</v>
      </c>
      <c r="M3" s="188"/>
    </row>
    <row r="4" spans="1:20" ht="13.8" thickBot="1" x14ac:dyDescent="0.3">
      <c r="A4" s="184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6" t="s">
        <v>4</v>
      </c>
      <c r="M4" s="15"/>
    </row>
    <row r="5" spans="1:20" ht="13.8" thickBot="1" x14ac:dyDescent="0.3"/>
    <row r="6" spans="1:20" ht="14.4" thickBot="1" x14ac:dyDescent="0.3">
      <c r="A6" s="24" t="s">
        <v>5</v>
      </c>
      <c r="B6" s="171" t="s">
        <v>6</v>
      </c>
      <c r="C6" s="171"/>
      <c r="D6" s="171"/>
      <c r="E6" s="171"/>
      <c r="F6" s="171"/>
      <c r="G6" s="171"/>
      <c r="H6" s="172" t="s">
        <v>7</v>
      </c>
      <c r="I6" s="173"/>
      <c r="J6" s="173"/>
      <c r="K6" s="173"/>
      <c r="L6" s="174"/>
      <c r="M6" s="25"/>
    </row>
    <row r="7" spans="1:20" s="14" customFormat="1" ht="49.5" customHeight="1" x14ac:dyDescent="0.25">
      <c r="A7" s="18" cm="1">
        <f t="array" aca="1" ref="A7" ca="1">+A28+A1:L7+A7:L7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77"/>
      <c r="R7" s="77"/>
      <c r="S7" s="77"/>
      <c r="T7" s="77"/>
    </row>
    <row r="8" spans="1:20" s="5" customFormat="1" ht="40.5" customHeight="1" x14ac:dyDescent="0.2">
      <c r="A8" s="43" t="s">
        <v>154</v>
      </c>
      <c r="B8" s="11" t="s">
        <v>30</v>
      </c>
      <c r="C8" s="11" t="s">
        <v>31</v>
      </c>
      <c r="D8" s="9">
        <v>2</v>
      </c>
      <c r="E8" s="9">
        <v>50</v>
      </c>
      <c r="F8" s="11">
        <v>45903</v>
      </c>
      <c r="G8" s="10">
        <v>0.375</v>
      </c>
      <c r="H8" s="11">
        <v>45902</v>
      </c>
      <c r="I8" s="10">
        <v>0.66666666666666663</v>
      </c>
      <c r="J8" s="9">
        <f t="shared" ref="J8:J39" si="0">E8-L8</f>
        <v>0</v>
      </c>
      <c r="K8" s="65">
        <v>1</v>
      </c>
      <c r="L8" s="69">
        <v>50</v>
      </c>
      <c r="M8" s="36" t="s">
        <v>155</v>
      </c>
    </row>
    <row r="9" spans="1:20" s="5" customFormat="1" ht="39" customHeight="1" x14ac:dyDescent="0.2">
      <c r="A9" s="43" t="s">
        <v>154</v>
      </c>
      <c r="B9" s="11" t="s">
        <v>39</v>
      </c>
      <c r="C9" s="11" t="s">
        <v>40</v>
      </c>
      <c r="D9" s="9">
        <v>2</v>
      </c>
      <c r="E9" s="9">
        <v>50</v>
      </c>
      <c r="F9" s="11">
        <v>45903</v>
      </c>
      <c r="G9" s="10">
        <v>0.375</v>
      </c>
      <c r="H9" s="11">
        <v>45902</v>
      </c>
      <c r="I9" s="10">
        <v>0.66666666666666663</v>
      </c>
      <c r="J9" s="9">
        <f t="shared" si="0"/>
        <v>0</v>
      </c>
      <c r="K9" s="65">
        <v>1</v>
      </c>
      <c r="L9" s="7">
        <v>50</v>
      </c>
      <c r="M9" s="36" t="s">
        <v>155</v>
      </c>
    </row>
    <row r="10" spans="1:20" s="5" customFormat="1" ht="43.5" customHeight="1" x14ac:dyDescent="0.2">
      <c r="A10" s="43" t="s">
        <v>154</v>
      </c>
      <c r="B10" s="11" t="s">
        <v>21</v>
      </c>
      <c r="C10" s="11" t="s">
        <v>22</v>
      </c>
      <c r="D10" s="9">
        <v>2</v>
      </c>
      <c r="E10" s="9">
        <v>50</v>
      </c>
      <c r="F10" s="11">
        <v>45903</v>
      </c>
      <c r="G10" s="10">
        <v>0.375</v>
      </c>
      <c r="H10" s="11">
        <v>45902</v>
      </c>
      <c r="I10" s="10">
        <v>0.66666666666666663</v>
      </c>
      <c r="J10" s="9">
        <f t="shared" si="0"/>
        <v>0</v>
      </c>
      <c r="K10" s="65">
        <v>1</v>
      </c>
      <c r="L10" s="7">
        <v>50</v>
      </c>
      <c r="M10" s="36" t="s">
        <v>155</v>
      </c>
    </row>
    <row r="11" spans="1:20" s="5" customFormat="1" ht="35.1" customHeight="1" x14ac:dyDescent="0.2">
      <c r="A11" s="43" t="s">
        <v>154</v>
      </c>
      <c r="B11" s="11" t="s">
        <v>136</v>
      </c>
      <c r="C11" s="11" t="s">
        <v>34</v>
      </c>
      <c r="D11" s="9">
        <v>2</v>
      </c>
      <c r="E11" s="9">
        <v>50</v>
      </c>
      <c r="F11" s="11">
        <v>45903</v>
      </c>
      <c r="G11" s="10">
        <v>0.375</v>
      </c>
      <c r="H11" s="11">
        <v>45902</v>
      </c>
      <c r="I11" s="10">
        <v>0.66666666666666663</v>
      </c>
      <c r="J11" s="9">
        <f t="shared" si="0"/>
        <v>0</v>
      </c>
      <c r="K11" s="65">
        <v>1</v>
      </c>
      <c r="L11" s="7">
        <v>50</v>
      </c>
      <c r="M11" s="36" t="s">
        <v>155</v>
      </c>
    </row>
    <row r="12" spans="1:20" s="5" customFormat="1" ht="35.1" customHeight="1" x14ac:dyDescent="0.2">
      <c r="A12" s="43" t="s">
        <v>154</v>
      </c>
      <c r="B12" s="11" t="s">
        <v>36</v>
      </c>
      <c r="C12" s="11" t="s">
        <v>37</v>
      </c>
      <c r="D12" s="9">
        <v>2</v>
      </c>
      <c r="E12" s="9">
        <v>50</v>
      </c>
      <c r="F12" s="11">
        <v>45903</v>
      </c>
      <c r="G12" s="10">
        <v>0.375</v>
      </c>
      <c r="H12" s="11">
        <v>45902</v>
      </c>
      <c r="I12" s="10">
        <v>0.66666666666666663</v>
      </c>
      <c r="J12" s="9">
        <f t="shared" si="0"/>
        <v>0</v>
      </c>
      <c r="K12" s="65">
        <v>1</v>
      </c>
      <c r="L12" s="7">
        <v>50</v>
      </c>
      <c r="M12" s="36" t="s">
        <v>155</v>
      </c>
    </row>
    <row r="13" spans="1:20" s="5" customFormat="1" ht="35.1" customHeight="1" x14ac:dyDescent="0.2">
      <c r="A13" s="43" t="s">
        <v>154</v>
      </c>
      <c r="B13" s="11" t="s">
        <v>42</v>
      </c>
      <c r="C13" s="11" t="s">
        <v>43</v>
      </c>
      <c r="D13" s="9">
        <v>2</v>
      </c>
      <c r="E13" s="9">
        <v>50</v>
      </c>
      <c r="F13" s="11">
        <v>45903</v>
      </c>
      <c r="G13" s="10">
        <v>0.375</v>
      </c>
      <c r="H13" s="11">
        <v>45902</v>
      </c>
      <c r="I13" s="10">
        <v>0.66666666666666663</v>
      </c>
      <c r="J13" s="9">
        <f t="shared" si="0"/>
        <v>0</v>
      </c>
      <c r="K13" s="65">
        <v>1</v>
      </c>
      <c r="L13" s="7">
        <v>50</v>
      </c>
      <c r="M13" s="36" t="s">
        <v>155</v>
      </c>
    </row>
    <row r="14" spans="1:20" s="5" customFormat="1" ht="33.9" customHeight="1" x14ac:dyDescent="0.2">
      <c r="A14" s="23" t="s">
        <v>144</v>
      </c>
      <c r="B14" s="21" t="s">
        <v>30</v>
      </c>
      <c r="C14" s="63" t="s">
        <v>31</v>
      </c>
      <c r="D14" s="66">
        <v>1</v>
      </c>
      <c r="E14" s="67">
        <v>30</v>
      </c>
      <c r="F14" s="11">
        <v>45903</v>
      </c>
      <c r="G14" s="10">
        <v>0.375</v>
      </c>
      <c r="H14" s="11">
        <v>45899</v>
      </c>
      <c r="I14" s="10">
        <v>0.79166666666666663</v>
      </c>
      <c r="J14" s="9">
        <f t="shared" si="0"/>
        <v>0</v>
      </c>
      <c r="K14" s="65">
        <v>1</v>
      </c>
      <c r="L14" s="69">
        <v>30</v>
      </c>
      <c r="M14" s="6" t="s">
        <v>156</v>
      </c>
    </row>
    <row r="15" spans="1:20" s="5" customFormat="1" ht="38.4" customHeight="1" x14ac:dyDescent="0.2">
      <c r="A15" s="23" t="s">
        <v>206</v>
      </c>
      <c r="B15" s="11" t="s">
        <v>74</v>
      </c>
      <c r="C15" s="11" t="s">
        <v>208</v>
      </c>
      <c r="D15" s="66">
        <v>1</v>
      </c>
      <c r="E15" s="9">
        <v>30</v>
      </c>
      <c r="F15" s="11">
        <v>45903</v>
      </c>
      <c r="G15" s="10">
        <v>0.375</v>
      </c>
      <c r="H15" s="11">
        <v>45899</v>
      </c>
      <c r="I15" s="10">
        <v>0.79166666666666663</v>
      </c>
      <c r="J15" s="9">
        <f t="shared" si="0"/>
        <v>0</v>
      </c>
      <c r="K15" s="65">
        <v>1</v>
      </c>
      <c r="L15" s="7">
        <v>30</v>
      </c>
      <c r="M15" s="6" t="s">
        <v>75</v>
      </c>
    </row>
    <row r="16" spans="1:20" s="5" customFormat="1" ht="30.9" customHeight="1" x14ac:dyDescent="0.2">
      <c r="A16" s="38" t="s">
        <v>123</v>
      </c>
      <c r="B16" s="11" t="s">
        <v>36</v>
      </c>
      <c r="C16" s="11" t="s">
        <v>37</v>
      </c>
      <c r="D16" s="9">
        <v>1</v>
      </c>
      <c r="E16" s="9">
        <v>20</v>
      </c>
      <c r="F16" s="11">
        <v>45903</v>
      </c>
      <c r="G16" s="10">
        <v>0.375</v>
      </c>
      <c r="H16" s="11">
        <v>45902</v>
      </c>
      <c r="I16" s="10">
        <v>0.80555555555555558</v>
      </c>
      <c r="J16" s="9">
        <f t="shared" si="0"/>
        <v>0</v>
      </c>
      <c r="K16" s="65">
        <v>1</v>
      </c>
      <c r="L16" s="7">
        <v>20</v>
      </c>
      <c r="M16" s="36" t="s">
        <v>124</v>
      </c>
    </row>
    <row r="17" spans="1:13" s="5" customFormat="1" ht="27" customHeight="1" x14ac:dyDescent="0.2">
      <c r="A17" s="38" t="s">
        <v>123</v>
      </c>
      <c r="B17" s="11" t="s">
        <v>143</v>
      </c>
      <c r="C17" s="11" t="s">
        <v>43</v>
      </c>
      <c r="D17" s="9">
        <v>1</v>
      </c>
      <c r="E17" s="9">
        <v>20</v>
      </c>
      <c r="F17" s="11">
        <v>45903</v>
      </c>
      <c r="G17" s="10">
        <v>0.375</v>
      </c>
      <c r="H17" s="11">
        <v>45902</v>
      </c>
      <c r="I17" s="10">
        <v>0.80555555555555558</v>
      </c>
      <c r="J17" s="9">
        <f t="shared" si="0"/>
        <v>0</v>
      </c>
      <c r="K17" s="65">
        <v>1</v>
      </c>
      <c r="L17" s="7">
        <v>20</v>
      </c>
      <c r="M17" s="36" t="s">
        <v>124</v>
      </c>
    </row>
    <row r="18" spans="1:13" s="5" customFormat="1" ht="27.6" customHeight="1" x14ac:dyDescent="0.2">
      <c r="A18" s="38" t="s">
        <v>217</v>
      </c>
      <c r="B18" s="11" t="s">
        <v>39</v>
      </c>
      <c r="C18" s="11" t="s">
        <v>40</v>
      </c>
      <c r="D18" s="9">
        <v>1</v>
      </c>
      <c r="E18" s="9">
        <v>30</v>
      </c>
      <c r="F18" s="11">
        <v>45903</v>
      </c>
      <c r="G18" s="10">
        <v>0.375</v>
      </c>
      <c r="H18" s="11">
        <v>45902</v>
      </c>
      <c r="I18" s="10">
        <v>0.8125</v>
      </c>
      <c r="J18" s="9">
        <f t="shared" si="0"/>
        <v>2</v>
      </c>
      <c r="K18" s="65">
        <v>2</v>
      </c>
      <c r="L18" s="7">
        <v>28</v>
      </c>
      <c r="M18" s="36" t="s">
        <v>158</v>
      </c>
    </row>
    <row r="19" spans="1:13" s="5" customFormat="1" ht="24" customHeight="1" x14ac:dyDescent="0.2">
      <c r="A19" s="49" t="s">
        <v>218</v>
      </c>
      <c r="B19" s="54" t="s">
        <v>21</v>
      </c>
      <c r="C19" s="54" t="s">
        <v>22</v>
      </c>
      <c r="D19" s="58">
        <v>1</v>
      </c>
      <c r="E19" s="58">
        <v>30</v>
      </c>
      <c r="F19" s="11">
        <v>45903</v>
      </c>
      <c r="G19" s="10">
        <v>0.375</v>
      </c>
      <c r="H19" s="54">
        <v>45902</v>
      </c>
      <c r="I19" s="57">
        <v>0.8125</v>
      </c>
      <c r="J19" s="55">
        <f t="shared" si="0"/>
        <v>0</v>
      </c>
      <c r="K19" s="58">
        <v>2</v>
      </c>
      <c r="L19" s="59">
        <v>30</v>
      </c>
      <c r="M19" s="31" t="s">
        <v>235</v>
      </c>
    </row>
    <row r="20" spans="1:13" s="5" customFormat="1" ht="29.4" customHeight="1" x14ac:dyDescent="0.25">
      <c r="A20" s="60" t="s">
        <v>219</v>
      </c>
      <c r="B20" s="56" t="s">
        <v>30</v>
      </c>
      <c r="C20" s="56" t="s">
        <v>31</v>
      </c>
      <c r="D20" s="58">
        <v>1</v>
      </c>
      <c r="E20" s="58">
        <v>30</v>
      </c>
      <c r="F20" s="11">
        <v>45903</v>
      </c>
      <c r="G20" s="10">
        <v>0.375</v>
      </c>
      <c r="H20" s="54">
        <v>45902</v>
      </c>
      <c r="I20" s="57">
        <v>0.8125</v>
      </c>
      <c r="J20" s="55">
        <f t="shared" si="0"/>
        <v>3</v>
      </c>
      <c r="K20" s="58">
        <v>1</v>
      </c>
      <c r="L20" s="68">
        <v>27</v>
      </c>
      <c r="M20" s="31" t="s">
        <v>236</v>
      </c>
    </row>
    <row r="21" spans="1:13" s="5" customFormat="1" ht="33.9" customHeight="1" x14ac:dyDescent="0.25">
      <c r="A21" s="60" t="s">
        <v>220</v>
      </c>
      <c r="B21" s="54" t="s">
        <v>30</v>
      </c>
      <c r="C21" s="54" t="s">
        <v>31</v>
      </c>
      <c r="D21" s="58">
        <v>1</v>
      </c>
      <c r="E21" s="58">
        <v>30</v>
      </c>
      <c r="F21" s="11">
        <v>45903</v>
      </c>
      <c r="G21" s="10">
        <v>0.375</v>
      </c>
      <c r="H21" s="54">
        <v>45902</v>
      </c>
      <c r="I21" s="57">
        <v>0.83333333333333337</v>
      </c>
      <c r="J21" s="55">
        <f t="shared" si="0"/>
        <v>2</v>
      </c>
      <c r="K21" s="58">
        <v>1</v>
      </c>
      <c r="L21" s="68">
        <v>28</v>
      </c>
      <c r="M21" s="52" t="s">
        <v>237</v>
      </c>
    </row>
    <row r="22" spans="1:13" s="5" customFormat="1" ht="33.9" customHeight="1" x14ac:dyDescent="0.25">
      <c r="A22" s="61" t="s">
        <v>221</v>
      </c>
      <c r="B22" s="54" t="s">
        <v>30</v>
      </c>
      <c r="C22" s="54" t="s">
        <v>31</v>
      </c>
      <c r="D22" s="58">
        <v>1</v>
      </c>
      <c r="E22" s="58">
        <v>30</v>
      </c>
      <c r="F22" s="11">
        <v>45903</v>
      </c>
      <c r="G22" s="10">
        <v>0.375</v>
      </c>
      <c r="H22" s="54">
        <v>45902</v>
      </c>
      <c r="I22" s="57">
        <v>0.85416666666666663</v>
      </c>
      <c r="J22" s="55">
        <f t="shared" si="0"/>
        <v>10</v>
      </c>
      <c r="K22" s="58">
        <v>2</v>
      </c>
      <c r="L22" s="68">
        <v>20</v>
      </c>
      <c r="M22" s="31" t="s">
        <v>238</v>
      </c>
    </row>
    <row r="23" spans="1:13" s="5" customFormat="1" ht="28.5" customHeight="1" x14ac:dyDescent="0.25">
      <c r="A23" s="61" t="s">
        <v>222</v>
      </c>
      <c r="B23" s="54" t="s">
        <v>42</v>
      </c>
      <c r="C23" s="54" t="s">
        <v>43</v>
      </c>
      <c r="D23" s="58">
        <v>1</v>
      </c>
      <c r="E23" s="58">
        <v>30</v>
      </c>
      <c r="F23" s="11">
        <v>45903</v>
      </c>
      <c r="G23" s="10">
        <v>0.375</v>
      </c>
      <c r="H23" s="54">
        <v>45900</v>
      </c>
      <c r="I23" s="57">
        <v>0.79166666666666663</v>
      </c>
      <c r="J23" s="55">
        <f t="shared" si="0"/>
        <v>5</v>
      </c>
      <c r="K23" s="58">
        <v>2</v>
      </c>
      <c r="L23" s="59">
        <v>25</v>
      </c>
      <c r="M23" s="31" t="s">
        <v>239</v>
      </c>
    </row>
    <row r="24" spans="1:13" s="5" customFormat="1" ht="24.9" customHeight="1" x14ac:dyDescent="0.25">
      <c r="A24" s="61" t="s">
        <v>228</v>
      </c>
      <c r="B24" s="13" t="s">
        <v>136</v>
      </c>
      <c r="C24" s="13" t="s">
        <v>34</v>
      </c>
      <c r="D24" s="58">
        <v>1</v>
      </c>
      <c r="E24" s="50">
        <v>30</v>
      </c>
      <c r="F24" s="11">
        <v>45903</v>
      </c>
      <c r="G24" s="10">
        <v>0.375</v>
      </c>
      <c r="H24" s="13">
        <v>45900</v>
      </c>
      <c r="I24" s="12">
        <v>0.79166666666666663</v>
      </c>
      <c r="J24" s="53">
        <f t="shared" si="0"/>
        <v>4</v>
      </c>
      <c r="K24" s="50">
        <v>1</v>
      </c>
      <c r="L24" s="51">
        <v>26</v>
      </c>
      <c r="M24" s="52" t="s">
        <v>240</v>
      </c>
    </row>
    <row r="25" spans="1:13" s="5" customFormat="1" ht="12.75" customHeight="1" x14ac:dyDescent="0.25">
      <c r="A25" s="13" t="s">
        <v>225</v>
      </c>
      <c r="B25" s="13" t="s">
        <v>36</v>
      </c>
      <c r="C25" s="13" t="s">
        <v>37</v>
      </c>
      <c r="D25" s="58">
        <v>1</v>
      </c>
      <c r="E25" s="50">
        <v>30</v>
      </c>
      <c r="F25" s="11">
        <v>45910</v>
      </c>
      <c r="G25" s="10">
        <v>0.375</v>
      </c>
      <c r="H25" s="13">
        <v>45899</v>
      </c>
      <c r="I25" s="12">
        <v>0.79166666666666663</v>
      </c>
      <c r="J25" s="53">
        <f t="shared" si="0"/>
        <v>0</v>
      </c>
      <c r="K25" s="50">
        <v>1</v>
      </c>
      <c r="L25" s="51">
        <v>30</v>
      </c>
      <c r="M25" s="52" t="s">
        <v>241</v>
      </c>
    </row>
    <row r="26" spans="1:13" s="5" customFormat="1" ht="12.75" customHeight="1" x14ac:dyDescent="0.25">
      <c r="A26" s="13" t="s">
        <v>226</v>
      </c>
      <c r="B26" s="13" t="s">
        <v>36</v>
      </c>
      <c r="C26" s="13" t="s">
        <v>37</v>
      </c>
      <c r="D26" s="58">
        <v>1</v>
      </c>
      <c r="E26" s="50">
        <v>30</v>
      </c>
      <c r="F26" s="11">
        <v>45911</v>
      </c>
      <c r="G26" s="10">
        <v>0.375</v>
      </c>
      <c r="H26" s="13">
        <v>45899</v>
      </c>
      <c r="I26" s="12">
        <v>0.8125</v>
      </c>
      <c r="J26" s="53">
        <f t="shared" si="0"/>
        <v>2</v>
      </c>
      <c r="K26" s="50">
        <v>1</v>
      </c>
      <c r="L26" s="51">
        <v>28</v>
      </c>
      <c r="M26" s="52" t="s">
        <v>242</v>
      </c>
    </row>
    <row r="27" spans="1:13" s="5" customFormat="1" ht="33.9" customHeight="1" x14ac:dyDescent="0.25">
      <c r="A27" s="13" t="s">
        <v>227</v>
      </c>
      <c r="B27" s="13" t="s">
        <v>36</v>
      </c>
      <c r="C27" s="13" t="s">
        <v>37</v>
      </c>
      <c r="D27" s="58">
        <v>1</v>
      </c>
      <c r="E27" s="50">
        <v>30</v>
      </c>
      <c r="F27" s="11">
        <v>45912</v>
      </c>
      <c r="G27" s="10">
        <v>0.375</v>
      </c>
      <c r="H27" s="13">
        <v>45899</v>
      </c>
      <c r="I27" s="12">
        <v>0.83333333333333337</v>
      </c>
      <c r="J27" s="53">
        <f t="shared" si="0"/>
        <v>6</v>
      </c>
      <c r="K27" s="50">
        <v>1</v>
      </c>
      <c r="L27" s="51">
        <v>24</v>
      </c>
      <c r="M27" s="52" t="s">
        <v>243</v>
      </c>
    </row>
    <row r="28" spans="1:13" s="5" customFormat="1" ht="32.4" customHeight="1" x14ac:dyDescent="0.25">
      <c r="A28" s="13" t="s">
        <v>233</v>
      </c>
      <c r="B28" s="13" t="s">
        <v>39</v>
      </c>
      <c r="C28" s="13" t="s">
        <v>40</v>
      </c>
      <c r="D28" s="58">
        <v>1</v>
      </c>
      <c r="E28" s="50">
        <v>30</v>
      </c>
      <c r="F28" s="11">
        <v>45913</v>
      </c>
      <c r="G28" s="10">
        <v>0.375</v>
      </c>
      <c r="H28" s="13">
        <v>45902</v>
      </c>
      <c r="I28" s="12">
        <v>0.83333333333333337</v>
      </c>
      <c r="J28" s="53">
        <f t="shared" si="0"/>
        <v>0</v>
      </c>
      <c r="K28" s="50">
        <v>1</v>
      </c>
      <c r="L28" s="51">
        <v>30</v>
      </c>
      <c r="M28" s="52" t="s">
        <v>244</v>
      </c>
    </row>
    <row r="29" spans="1:13" ht="35.25" customHeight="1" x14ac:dyDescent="0.25">
      <c r="A29" s="61" t="s">
        <v>234</v>
      </c>
      <c r="B29" s="13" t="s">
        <v>39</v>
      </c>
      <c r="C29" s="13" t="s">
        <v>40</v>
      </c>
      <c r="D29" s="58">
        <v>5</v>
      </c>
      <c r="E29" s="50">
        <v>50</v>
      </c>
      <c r="F29" s="11">
        <v>45914</v>
      </c>
      <c r="G29" s="10">
        <v>0.375</v>
      </c>
      <c r="H29" s="13">
        <v>45902</v>
      </c>
      <c r="I29" s="12">
        <v>0.86805555555555558</v>
      </c>
      <c r="J29" s="53">
        <f t="shared" si="0"/>
        <v>5</v>
      </c>
      <c r="K29" s="50">
        <v>5</v>
      </c>
      <c r="L29" s="51">
        <v>45</v>
      </c>
      <c r="M29" s="52" t="s">
        <v>245</v>
      </c>
    </row>
    <row r="30" spans="1:13" s="5" customFormat="1" ht="47.1" customHeight="1" x14ac:dyDescent="0.25">
      <c r="A30" s="13" t="s">
        <v>229</v>
      </c>
      <c r="B30" s="13" t="s">
        <v>136</v>
      </c>
      <c r="C30" s="13" t="s">
        <v>34</v>
      </c>
      <c r="D30" s="58">
        <v>1</v>
      </c>
      <c r="E30" s="50">
        <v>30</v>
      </c>
      <c r="F30" s="11">
        <v>45915</v>
      </c>
      <c r="G30" s="10">
        <v>0.375</v>
      </c>
      <c r="H30" s="13">
        <v>45900</v>
      </c>
      <c r="I30" s="12">
        <v>0.8125</v>
      </c>
      <c r="J30" s="53">
        <f t="shared" si="0"/>
        <v>8</v>
      </c>
      <c r="K30" s="50">
        <v>1</v>
      </c>
      <c r="L30" s="51">
        <v>22</v>
      </c>
      <c r="M30" s="52" t="s">
        <v>246</v>
      </c>
    </row>
    <row r="31" spans="1:13" s="5" customFormat="1" ht="33" customHeight="1" x14ac:dyDescent="0.25">
      <c r="A31" s="13" t="s">
        <v>231</v>
      </c>
      <c r="B31" s="13" t="s">
        <v>21</v>
      </c>
      <c r="C31" s="13" t="s">
        <v>22</v>
      </c>
      <c r="D31" s="58">
        <v>1</v>
      </c>
      <c r="E31" s="50">
        <v>30</v>
      </c>
      <c r="F31" s="11">
        <v>45916</v>
      </c>
      <c r="G31" s="10">
        <v>0.375</v>
      </c>
      <c r="H31" s="13">
        <v>45902</v>
      </c>
      <c r="I31" s="12">
        <v>0.83333333333333337</v>
      </c>
      <c r="J31" s="53">
        <f t="shared" si="0"/>
        <v>7</v>
      </c>
      <c r="K31" s="50">
        <v>1</v>
      </c>
      <c r="L31" s="51">
        <v>23</v>
      </c>
      <c r="M31" s="52" t="s">
        <v>247</v>
      </c>
    </row>
    <row r="32" spans="1:13" s="5" customFormat="1" ht="27" customHeight="1" x14ac:dyDescent="0.25">
      <c r="A32" s="61" t="s">
        <v>232</v>
      </c>
      <c r="B32" s="13" t="s">
        <v>21</v>
      </c>
      <c r="C32" s="13" t="s">
        <v>22</v>
      </c>
      <c r="D32" s="58">
        <v>1</v>
      </c>
      <c r="E32" s="50">
        <v>40</v>
      </c>
      <c r="F32" s="11">
        <v>45917</v>
      </c>
      <c r="G32" s="10">
        <v>0.375</v>
      </c>
      <c r="H32" s="13">
        <v>45902</v>
      </c>
      <c r="I32" s="12">
        <v>0.86111111111111116</v>
      </c>
      <c r="J32" s="53">
        <f t="shared" si="0"/>
        <v>9</v>
      </c>
      <c r="K32" s="50">
        <v>2</v>
      </c>
      <c r="L32" s="51">
        <v>31</v>
      </c>
      <c r="M32" s="52" t="s">
        <v>248</v>
      </c>
    </row>
    <row r="33" spans="1:13" s="5" customFormat="1" ht="33.6" customHeight="1" x14ac:dyDescent="0.25">
      <c r="A33" s="13" t="s">
        <v>230</v>
      </c>
      <c r="B33" s="13" t="s">
        <v>136</v>
      </c>
      <c r="C33" s="13" t="s">
        <v>34</v>
      </c>
      <c r="D33" s="58">
        <v>1</v>
      </c>
      <c r="E33" s="50">
        <v>25</v>
      </c>
      <c r="F33" s="11">
        <v>45918</v>
      </c>
      <c r="G33" s="10">
        <v>0.375</v>
      </c>
      <c r="H33" s="13">
        <v>45900</v>
      </c>
      <c r="I33" s="12">
        <v>0.82986111111111116</v>
      </c>
      <c r="J33" s="53">
        <f t="shared" si="0"/>
        <v>5</v>
      </c>
      <c r="K33" s="50">
        <v>2</v>
      </c>
      <c r="L33" s="51">
        <v>20</v>
      </c>
      <c r="M33" s="52" t="s">
        <v>249</v>
      </c>
    </row>
    <row r="34" spans="1:13" s="5" customFormat="1" ht="29.25" customHeight="1" x14ac:dyDescent="0.25">
      <c r="A34" s="61" t="s">
        <v>224</v>
      </c>
      <c r="B34" s="13" t="s">
        <v>42</v>
      </c>
      <c r="C34" s="13" t="s">
        <v>43</v>
      </c>
      <c r="D34" s="58">
        <v>1</v>
      </c>
      <c r="E34" s="50">
        <v>20</v>
      </c>
      <c r="F34" s="11">
        <v>45919</v>
      </c>
      <c r="G34" s="10">
        <v>0.375</v>
      </c>
      <c r="H34" s="13">
        <v>45900</v>
      </c>
      <c r="I34" s="12">
        <v>0.80555555555555558</v>
      </c>
      <c r="J34" s="53">
        <f t="shared" si="0"/>
        <v>0</v>
      </c>
      <c r="K34" s="50">
        <v>1</v>
      </c>
      <c r="L34" s="51">
        <v>20</v>
      </c>
      <c r="M34" s="52" t="s">
        <v>250</v>
      </c>
    </row>
    <row r="35" spans="1:13" s="5" customFormat="1" ht="31.5" customHeight="1" x14ac:dyDescent="0.25">
      <c r="A35" s="13" t="s">
        <v>223</v>
      </c>
      <c r="B35" s="13" t="s">
        <v>42</v>
      </c>
      <c r="C35" s="13" t="s">
        <v>43</v>
      </c>
      <c r="D35" s="58">
        <v>1</v>
      </c>
      <c r="E35" s="50">
        <v>20</v>
      </c>
      <c r="F35" s="11">
        <v>45920</v>
      </c>
      <c r="G35" s="10">
        <v>0.375</v>
      </c>
      <c r="H35" s="13">
        <v>45900</v>
      </c>
      <c r="I35" s="12">
        <v>0.81944444444444442</v>
      </c>
      <c r="J35" s="53">
        <f t="shared" si="0"/>
        <v>0</v>
      </c>
      <c r="K35" s="50">
        <v>1</v>
      </c>
      <c r="L35" s="51">
        <v>20</v>
      </c>
      <c r="M35" s="52" t="s">
        <v>251</v>
      </c>
    </row>
    <row r="36" spans="1:13" s="5" customFormat="1" ht="26.4" customHeight="1" x14ac:dyDescent="0.25">
      <c r="A36" s="13" t="s">
        <v>193</v>
      </c>
      <c r="B36" s="13" t="s">
        <v>30</v>
      </c>
      <c r="C36" s="13" t="s">
        <v>31</v>
      </c>
      <c r="D36" s="58">
        <v>1</v>
      </c>
      <c r="E36" s="50">
        <v>30</v>
      </c>
      <c r="F36" s="11">
        <v>45921</v>
      </c>
      <c r="G36" s="10">
        <v>0.375</v>
      </c>
      <c r="H36" s="13">
        <v>45902</v>
      </c>
      <c r="I36" s="12">
        <v>0.875</v>
      </c>
      <c r="J36" s="53">
        <f t="shared" si="0"/>
        <v>5</v>
      </c>
      <c r="K36" s="50">
        <v>1</v>
      </c>
      <c r="L36" s="68">
        <v>25</v>
      </c>
      <c r="M36" s="52" t="s">
        <v>192</v>
      </c>
    </row>
    <row r="37" spans="1:13" s="5" customFormat="1" ht="29.1" customHeight="1" x14ac:dyDescent="0.25">
      <c r="A37" s="13" t="s">
        <v>194</v>
      </c>
      <c r="B37" s="13" t="s">
        <v>42</v>
      </c>
      <c r="C37" s="13" t="s">
        <v>43</v>
      </c>
      <c r="D37" s="58">
        <v>1</v>
      </c>
      <c r="E37" s="50">
        <v>30</v>
      </c>
      <c r="F37" s="11">
        <v>45922</v>
      </c>
      <c r="G37" s="10">
        <v>0.375</v>
      </c>
      <c r="H37" s="13">
        <v>45900</v>
      </c>
      <c r="I37" s="12">
        <v>0.84027777777777779</v>
      </c>
      <c r="J37" s="53">
        <f t="shared" si="0"/>
        <v>0</v>
      </c>
      <c r="K37" s="50">
        <v>1</v>
      </c>
      <c r="L37" s="51">
        <v>30</v>
      </c>
      <c r="M37" s="52" t="s">
        <v>195</v>
      </c>
    </row>
    <row r="38" spans="1:13" s="5" customFormat="1" ht="31.5" customHeight="1" x14ac:dyDescent="0.25">
      <c r="A38" s="13" t="s">
        <v>198</v>
      </c>
      <c r="B38" s="13" t="s">
        <v>36</v>
      </c>
      <c r="C38" s="13" t="s">
        <v>37</v>
      </c>
      <c r="D38" s="58">
        <v>1</v>
      </c>
      <c r="E38" s="50">
        <v>30</v>
      </c>
      <c r="F38" s="11">
        <v>45923</v>
      </c>
      <c r="G38" s="10">
        <v>0.375</v>
      </c>
      <c r="H38" s="13">
        <v>45899</v>
      </c>
      <c r="I38" s="12">
        <v>0.85416666666666663</v>
      </c>
      <c r="J38" s="53">
        <f t="shared" si="0"/>
        <v>5</v>
      </c>
      <c r="K38" s="50">
        <v>1</v>
      </c>
      <c r="L38" s="51">
        <v>25</v>
      </c>
      <c r="M38" s="52" t="s">
        <v>196</v>
      </c>
    </row>
    <row r="39" spans="1:13" s="5" customFormat="1" ht="26.1" customHeight="1" x14ac:dyDescent="0.25">
      <c r="A39" s="13" t="s">
        <v>197</v>
      </c>
      <c r="B39" s="13" t="s">
        <v>21</v>
      </c>
      <c r="C39" s="13" t="s">
        <v>22</v>
      </c>
      <c r="D39" s="58">
        <v>1</v>
      </c>
      <c r="E39" s="50">
        <v>30</v>
      </c>
      <c r="F39" s="11">
        <v>45924</v>
      </c>
      <c r="G39" s="10">
        <v>0.375</v>
      </c>
      <c r="H39" s="13">
        <v>45902</v>
      </c>
      <c r="I39" s="12">
        <v>0.88194444444444442</v>
      </c>
      <c r="J39" s="53">
        <f t="shared" si="0"/>
        <v>6</v>
      </c>
      <c r="K39" s="50">
        <v>1</v>
      </c>
      <c r="L39" s="51">
        <v>24</v>
      </c>
      <c r="M39" s="52" t="s">
        <v>199</v>
      </c>
    </row>
    <row r="40" spans="1:13" s="5" customFormat="1" ht="27" customHeight="1" x14ac:dyDescent="0.25">
      <c r="A40" s="13" t="s">
        <v>200</v>
      </c>
      <c r="B40" s="13" t="s">
        <v>136</v>
      </c>
      <c r="C40" s="13" t="s">
        <v>34</v>
      </c>
      <c r="D40" s="58">
        <v>1</v>
      </c>
      <c r="E40" s="50">
        <v>30</v>
      </c>
      <c r="F40" s="11">
        <v>45925</v>
      </c>
      <c r="G40" s="10">
        <v>0.375</v>
      </c>
      <c r="H40" s="13">
        <v>45900</v>
      </c>
      <c r="I40" s="12">
        <v>0.85069444444444442</v>
      </c>
      <c r="J40" s="53">
        <f t="shared" ref="J40:J61" si="1">E40-L40</f>
        <v>7</v>
      </c>
      <c r="K40" s="50">
        <v>1</v>
      </c>
      <c r="L40" s="51">
        <v>23</v>
      </c>
      <c r="M40" s="52" t="s">
        <v>201</v>
      </c>
    </row>
    <row r="41" spans="1:13" s="5" customFormat="1" ht="27" customHeight="1" x14ac:dyDescent="0.25">
      <c r="A41" s="13" t="s">
        <v>202</v>
      </c>
      <c r="B41" s="13" t="s">
        <v>39</v>
      </c>
      <c r="C41" s="13" t="s">
        <v>40</v>
      </c>
      <c r="D41" s="58">
        <v>1</v>
      </c>
      <c r="E41" s="50">
        <v>30</v>
      </c>
      <c r="F41" s="11">
        <v>45926</v>
      </c>
      <c r="G41" s="10">
        <v>0.375</v>
      </c>
      <c r="H41" s="13">
        <v>45902</v>
      </c>
      <c r="I41" s="12">
        <v>0.88888888888888884</v>
      </c>
      <c r="J41" s="53">
        <f t="shared" si="1"/>
        <v>4</v>
      </c>
      <c r="K41" s="50">
        <v>1</v>
      </c>
      <c r="L41" s="51">
        <v>26</v>
      </c>
      <c r="M41" s="52" t="s">
        <v>203</v>
      </c>
    </row>
    <row r="42" spans="1:13" s="5" customFormat="1" ht="40.5" customHeight="1" x14ac:dyDescent="0.25">
      <c r="A42" s="99" t="s">
        <v>471</v>
      </c>
      <c r="B42" s="53" t="s">
        <v>36</v>
      </c>
      <c r="C42" s="53" t="s">
        <v>37</v>
      </c>
      <c r="D42" s="53">
        <v>1</v>
      </c>
      <c r="E42" s="53">
        <v>30</v>
      </c>
      <c r="F42" s="80">
        <v>45927</v>
      </c>
      <c r="G42" s="81">
        <v>0.375</v>
      </c>
      <c r="H42" s="80">
        <v>45902</v>
      </c>
      <c r="I42" s="81">
        <v>0.79166666666666663</v>
      </c>
      <c r="J42" s="87">
        <f t="shared" si="1"/>
        <v>0</v>
      </c>
      <c r="K42" s="53">
        <v>3</v>
      </c>
      <c r="L42" s="53">
        <v>30</v>
      </c>
      <c r="M42" s="79" t="s">
        <v>472</v>
      </c>
    </row>
    <row r="43" spans="1:13" s="5" customFormat="1" ht="38.25" customHeight="1" x14ac:dyDescent="0.25">
      <c r="A43" s="13" t="s">
        <v>204</v>
      </c>
      <c r="B43" s="13" t="s">
        <v>39</v>
      </c>
      <c r="C43" s="13" t="s">
        <v>40</v>
      </c>
      <c r="D43" s="58">
        <v>1</v>
      </c>
      <c r="E43" s="50">
        <v>60</v>
      </c>
      <c r="F43" s="11">
        <v>45927</v>
      </c>
      <c r="G43" s="10">
        <v>0.375</v>
      </c>
      <c r="H43" s="13">
        <v>45902</v>
      </c>
      <c r="I43" s="12">
        <v>0.93055555555555558</v>
      </c>
      <c r="J43" s="53">
        <f t="shared" si="1"/>
        <v>-2</v>
      </c>
      <c r="K43" s="50">
        <v>1</v>
      </c>
      <c r="L43" s="51">
        <v>62</v>
      </c>
      <c r="M43" s="52" t="s">
        <v>205</v>
      </c>
    </row>
    <row r="44" spans="1:13" s="5" customFormat="1" ht="38.25" customHeight="1" x14ac:dyDescent="0.2">
      <c r="A44" s="23" t="s">
        <v>146</v>
      </c>
      <c r="B44" s="11" t="s">
        <v>30</v>
      </c>
      <c r="C44" s="62" t="s">
        <v>207</v>
      </c>
      <c r="D44" s="66">
        <v>1</v>
      </c>
      <c r="E44" s="9">
        <v>60</v>
      </c>
      <c r="F44" s="11">
        <v>45903</v>
      </c>
      <c r="G44" s="10">
        <v>0.375</v>
      </c>
      <c r="H44" s="11">
        <v>45902</v>
      </c>
      <c r="I44" s="10">
        <v>0.91666666666666663</v>
      </c>
      <c r="J44" s="9">
        <f t="shared" si="1"/>
        <v>50</v>
      </c>
      <c r="K44" s="65">
        <v>1</v>
      </c>
      <c r="L44" s="69">
        <v>10</v>
      </c>
      <c r="M44" s="6" t="s">
        <v>149</v>
      </c>
    </row>
    <row r="45" spans="1:13" s="5" customFormat="1" ht="27" customHeight="1" x14ac:dyDescent="0.2">
      <c r="A45" s="23" t="s">
        <v>146</v>
      </c>
      <c r="B45" s="11" t="s">
        <v>42</v>
      </c>
      <c r="C45" s="11" t="s">
        <v>77</v>
      </c>
      <c r="D45" s="66">
        <v>1</v>
      </c>
      <c r="E45" s="9">
        <v>60</v>
      </c>
      <c r="F45" s="11">
        <v>45903</v>
      </c>
      <c r="G45" s="10">
        <v>0.375</v>
      </c>
      <c r="H45" s="11">
        <v>45902</v>
      </c>
      <c r="I45" s="10">
        <v>0.91666666666666663</v>
      </c>
      <c r="J45" s="9">
        <f t="shared" si="1"/>
        <v>50</v>
      </c>
      <c r="K45" s="65">
        <v>1</v>
      </c>
      <c r="L45" s="7">
        <v>10</v>
      </c>
      <c r="M45" s="6" t="s">
        <v>149</v>
      </c>
    </row>
    <row r="46" spans="1:13" s="5" customFormat="1" ht="33" customHeight="1" x14ac:dyDescent="0.2">
      <c r="A46" s="23" t="s">
        <v>146</v>
      </c>
      <c r="B46" s="11" t="s">
        <v>21</v>
      </c>
      <c r="C46" s="11" t="s">
        <v>22</v>
      </c>
      <c r="D46" s="66">
        <v>1</v>
      </c>
      <c r="E46" s="9">
        <v>60</v>
      </c>
      <c r="F46" s="11">
        <v>45903</v>
      </c>
      <c r="G46" s="10">
        <v>0.375</v>
      </c>
      <c r="H46" s="11">
        <v>45902</v>
      </c>
      <c r="I46" s="10">
        <v>0.91666666666666663</v>
      </c>
      <c r="J46" s="9">
        <f t="shared" si="1"/>
        <v>50</v>
      </c>
      <c r="K46" s="65">
        <v>1</v>
      </c>
      <c r="L46" s="7">
        <v>10</v>
      </c>
      <c r="M46" s="6" t="s">
        <v>149</v>
      </c>
    </row>
    <row r="47" spans="1:13" s="5" customFormat="1" ht="33.75" customHeight="1" x14ac:dyDescent="0.2">
      <c r="A47" s="23" t="s">
        <v>146</v>
      </c>
      <c r="B47" s="11" t="s">
        <v>136</v>
      </c>
      <c r="C47" s="11" t="s">
        <v>151</v>
      </c>
      <c r="D47" s="66">
        <v>1</v>
      </c>
      <c r="E47" s="9">
        <v>60</v>
      </c>
      <c r="F47" s="11">
        <v>45903</v>
      </c>
      <c r="G47" s="10">
        <v>0.375</v>
      </c>
      <c r="H47" s="11">
        <v>45902</v>
      </c>
      <c r="I47" s="10">
        <v>0.91666666666666663</v>
      </c>
      <c r="J47" s="9">
        <f t="shared" si="1"/>
        <v>50</v>
      </c>
      <c r="K47" s="65">
        <v>1</v>
      </c>
      <c r="L47" s="7">
        <v>10</v>
      </c>
      <c r="M47" s="6" t="s">
        <v>149</v>
      </c>
    </row>
    <row r="48" spans="1:13" s="5" customFormat="1" ht="27" customHeight="1" x14ac:dyDescent="0.2">
      <c r="A48" s="23" t="s">
        <v>146</v>
      </c>
      <c r="B48" s="11" t="s">
        <v>36</v>
      </c>
      <c r="C48" s="11" t="s">
        <v>80</v>
      </c>
      <c r="D48" s="66">
        <v>1</v>
      </c>
      <c r="E48" s="9">
        <v>60</v>
      </c>
      <c r="F48" s="11">
        <v>45903</v>
      </c>
      <c r="G48" s="10">
        <v>0.375</v>
      </c>
      <c r="H48" s="11">
        <v>45902</v>
      </c>
      <c r="I48" s="10">
        <v>0.91666666666666663</v>
      </c>
      <c r="J48" s="9">
        <f t="shared" si="1"/>
        <v>50</v>
      </c>
      <c r="K48" s="65">
        <v>1</v>
      </c>
      <c r="L48" s="7">
        <v>10</v>
      </c>
      <c r="M48" s="6" t="s">
        <v>149</v>
      </c>
    </row>
    <row r="49" spans="1:13" s="5" customFormat="1" ht="26.1" customHeight="1" x14ac:dyDescent="0.2">
      <c r="A49" s="23" t="s">
        <v>146</v>
      </c>
      <c r="B49" s="11" t="s">
        <v>39</v>
      </c>
      <c r="C49" s="11" t="s">
        <v>150</v>
      </c>
      <c r="D49" s="66">
        <v>1</v>
      </c>
      <c r="E49" s="9">
        <v>60</v>
      </c>
      <c r="F49" s="11">
        <v>45903</v>
      </c>
      <c r="G49" s="10">
        <v>0.375</v>
      </c>
      <c r="H49" s="11">
        <v>45902</v>
      </c>
      <c r="I49" s="10">
        <v>0.91666666666666663</v>
      </c>
      <c r="J49" s="9">
        <f t="shared" si="1"/>
        <v>50</v>
      </c>
      <c r="K49" s="65">
        <v>1</v>
      </c>
      <c r="L49" s="7">
        <v>10</v>
      </c>
      <c r="M49" s="6" t="s">
        <v>149</v>
      </c>
    </row>
    <row r="50" spans="1:13" s="5" customFormat="1" ht="24.9" customHeight="1" x14ac:dyDescent="0.2">
      <c r="A50" s="23" t="s">
        <v>52</v>
      </c>
      <c r="B50" s="21" t="s">
        <v>21</v>
      </c>
      <c r="C50" s="63" t="s">
        <v>22</v>
      </c>
      <c r="D50" s="66">
        <v>1</v>
      </c>
      <c r="E50" s="9">
        <v>30</v>
      </c>
      <c r="F50" s="11">
        <v>45903</v>
      </c>
      <c r="G50" s="10">
        <v>0.375</v>
      </c>
      <c r="H50" s="11">
        <v>45902</v>
      </c>
      <c r="I50" s="10">
        <v>0.91666666666666663</v>
      </c>
      <c r="J50" s="9">
        <f t="shared" si="1"/>
        <v>0</v>
      </c>
      <c r="K50" s="65">
        <v>1</v>
      </c>
      <c r="L50" s="7">
        <v>30</v>
      </c>
      <c r="M50" s="6" t="s">
        <v>53</v>
      </c>
    </row>
    <row r="51" spans="1:13" s="5" customFormat="1" ht="22.5" customHeight="1" x14ac:dyDescent="0.2">
      <c r="A51" s="23" t="s">
        <v>153</v>
      </c>
      <c r="B51" s="21" t="s">
        <v>36</v>
      </c>
      <c r="C51" s="63" t="s">
        <v>37</v>
      </c>
      <c r="D51" s="66">
        <v>1</v>
      </c>
      <c r="E51" s="64">
        <v>30</v>
      </c>
      <c r="F51" s="11">
        <v>45903</v>
      </c>
      <c r="G51" s="10">
        <v>0.375</v>
      </c>
      <c r="H51" s="11">
        <v>45902</v>
      </c>
      <c r="I51" s="10">
        <v>0.91666666666666663</v>
      </c>
      <c r="J51" s="9">
        <f t="shared" si="1"/>
        <v>0</v>
      </c>
      <c r="K51" s="65">
        <v>1</v>
      </c>
      <c r="L51" s="7">
        <v>30</v>
      </c>
      <c r="M51" s="6" t="s">
        <v>53</v>
      </c>
    </row>
    <row r="52" spans="1:13" s="5" customFormat="1" ht="35.4" customHeight="1" x14ac:dyDescent="0.2">
      <c r="A52" s="23" t="s">
        <v>79</v>
      </c>
      <c r="B52" s="11" t="s">
        <v>36</v>
      </c>
      <c r="C52" s="62" t="s">
        <v>37</v>
      </c>
      <c r="D52" s="66">
        <v>1</v>
      </c>
      <c r="E52" s="9">
        <v>45</v>
      </c>
      <c r="F52" s="11">
        <v>45903</v>
      </c>
      <c r="G52" s="10">
        <v>0.375</v>
      </c>
      <c r="H52" s="11">
        <v>45902</v>
      </c>
      <c r="I52" s="10">
        <v>0.9375</v>
      </c>
      <c r="J52" s="9">
        <f t="shared" si="1"/>
        <v>-35</v>
      </c>
      <c r="K52" s="65">
        <v>1</v>
      </c>
      <c r="L52" s="7">
        <v>80</v>
      </c>
      <c r="M52" s="6" t="s">
        <v>81</v>
      </c>
    </row>
    <row r="53" spans="1:13" s="5" customFormat="1" ht="36.6" customHeight="1" x14ac:dyDescent="0.2">
      <c r="A53" s="23" t="s">
        <v>85</v>
      </c>
      <c r="B53" s="11" t="s">
        <v>21</v>
      </c>
      <c r="C53" s="62" t="s">
        <v>22</v>
      </c>
      <c r="D53" s="66">
        <v>1</v>
      </c>
      <c r="E53" s="9">
        <v>60</v>
      </c>
      <c r="F53" s="11">
        <v>45903</v>
      </c>
      <c r="G53" s="10">
        <v>0.375</v>
      </c>
      <c r="H53" s="11">
        <v>45902</v>
      </c>
      <c r="I53" s="10">
        <v>0.9375</v>
      </c>
      <c r="J53" s="9">
        <f t="shared" si="1"/>
        <v>10</v>
      </c>
      <c r="K53" s="65">
        <v>1</v>
      </c>
      <c r="L53" s="7">
        <v>50</v>
      </c>
      <c r="M53" s="6" t="s">
        <v>87</v>
      </c>
    </row>
    <row r="54" spans="1:13" s="5" customFormat="1" ht="36.6" customHeight="1" x14ac:dyDescent="0.2">
      <c r="A54" s="23" t="s">
        <v>88</v>
      </c>
      <c r="B54" s="11" t="s">
        <v>21</v>
      </c>
      <c r="C54" s="11" t="s">
        <v>22</v>
      </c>
      <c r="D54" s="66">
        <v>1</v>
      </c>
      <c r="E54" s="9">
        <v>55</v>
      </c>
      <c r="F54" s="11">
        <v>45903</v>
      </c>
      <c r="G54" s="10">
        <v>0.375</v>
      </c>
      <c r="H54" s="11">
        <v>45902</v>
      </c>
      <c r="I54" s="10">
        <v>0.9375</v>
      </c>
      <c r="J54" s="9">
        <f t="shared" si="1"/>
        <v>0</v>
      </c>
      <c r="K54" s="65">
        <v>1</v>
      </c>
      <c r="L54" s="7">
        <v>55</v>
      </c>
      <c r="M54" s="6" t="s">
        <v>89</v>
      </c>
    </row>
    <row r="55" spans="1:13" s="5" customFormat="1" ht="35.4" customHeight="1" x14ac:dyDescent="0.2">
      <c r="A55" s="33" t="s">
        <v>131</v>
      </c>
      <c r="B55" s="11" t="s">
        <v>36</v>
      </c>
      <c r="C55" s="11" t="s">
        <v>37</v>
      </c>
      <c r="D55" s="9">
        <v>1</v>
      </c>
      <c r="E55" s="9">
        <v>30</v>
      </c>
      <c r="F55" s="11">
        <v>45903</v>
      </c>
      <c r="G55" s="10">
        <v>0.375</v>
      </c>
      <c r="H55" s="11">
        <v>45902</v>
      </c>
      <c r="I55" s="10">
        <v>0.9375</v>
      </c>
      <c r="J55" s="9">
        <f t="shared" si="1"/>
        <v>-2</v>
      </c>
      <c r="K55" s="65">
        <v>1</v>
      </c>
      <c r="L55" s="7">
        <v>32</v>
      </c>
      <c r="M55" s="6" t="s">
        <v>132</v>
      </c>
    </row>
    <row r="56" spans="1:13" s="5" customFormat="1" ht="35.4" customHeight="1" x14ac:dyDescent="0.2">
      <c r="A56" s="33" t="s">
        <v>131</v>
      </c>
      <c r="B56" s="11" t="s">
        <v>42</v>
      </c>
      <c r="C56" s="11" t="s">
        <v>43</v>
      </c>
      <c r="D56" s="9">
        <v>1</v>
      </c>
      <c r="E56" s="9">
        <v>30</v>
      </c>
      <c r="F56" s="11">
        <v>45903</v>
      </c>
      <c r="G56" s="10">
        <v>0.375</v>
      </c>
      <c r="H56" s="11">
        <v>45902</v>
      </c>
      <c r="I56" s="10">
        <v>0.9375</v>
      </c>
      <c r="J56" s="9">
        <f t="shared" si="1"/>
        <v>-2</v>
      </c>
      <c r="K56" s="65">
        <v>1</v>
      </c>
      <c r="L56" s="7">
        <v>32</v>
      </c>
      <c r="M56" s="6" t="s">
        <v>132</v>
      </c>
    </row>
    <row r="57" spans="1:13" s="5" customFormat="1" ht="35.4" customHeight="1" x14ac:dyDescent="0.2">
      <c r="A57" s="33" t="s">
        <v>131</v>
      </c>
      <c r="B57" s="11" t="s">
        <v>30</v>
      </c>
      <c r="C57" s="11" t="s">
        <v>31</v>
      </c>
      <c r="D57" s="9">
        <v>1</v>
      </c>
      <c r="E57" s="9">
        <v>30</v>
      </c>
      <c r="F57" s="11">
        <v>45903</v>
      </c>
      <c r="G57" s="10">
        <v>0.375</v>
      </c>
      <c r="H57" s="11">
        <v>45902</v>
      </c>
      <c r="I57" s="10">
        <v>0.9375</v>
      </c>
      <c r="J57" s="9">
        <f t="shared" si="1"/>
        <v>-2</v>
      </c>
      <c r="K57" s="65">
        <v>1</v>
      </c>
      <c r="L57" s="69">
        <v>32</v>
      </c>
      <c r="M57" s="6" t="s">
        <v>132</v>
      </c>
    </row>
    <row r="58" spans="1:13" s="5" customFormat="1" ht="35.4" customHeight="1" x14ac:dyDescent="0.2">
      <c r="A58" s="33" t="s">
        <v>131</v>
      </c>
      <c r="B58" s="11" t="s">
        <v>21</v>
      </c>
      <c r="C58" s="11" t="s">
        <v>22</v>
      </c>
      <c r="D58" s="9">
        <v>1</v>
      </c>
      <c r="E58" s="9">
        <v>30</v>
      </c>
      <c r="F58" s="11">
        <v>45903</v>
      </c>
      <c r="G58" s="10">
        <v>0.375</v>
      </c>
      <c r="H58" s="11">
        <v>45902</v>
      </c>
      <c r="I58" s="10">
        <v>0.9375</v>
      </c>
      <c r="J58" s="9">
        <f t="shared" si="1"/>
        <v>-2</v>
      </c>
      <c r="K58" s="65">
        <v>1</v>
      </c>
      <c r="L58" s="7">
        <v>32</v>
      </c>
      <c r="M58" s="6" t="s">
        <v>132</v>
      </c>
    </row>
    <row r="59" spans="1:13" s="5" customFormat="1" ht="35.4" customHeight="1" x14ac:dyDescent="0.2">
      <c r="A59" s="33" t="s">
        <v>131</v>
      </c>
      <c r="B59" s="11" t="s">
        <v>136</v>
      </c>
      <c r="C59" s="11" t="s">
        <v>34</v>
      </c>
      <c r="D59" s="9">
        <v>1</v>
      </c>
      <c r="E59" s="9">
        <v>30</v>
      </c>
      <c r="F59" s="11">
        <v>45903</v>
      </c>
      <c r="G59" s="10">
        <v>0.375</v>
      </c>
      <c r="H59" s="11">
        <v>45902</v>
      </c>
      <c r="I59" s="10">
        <v>0.9375</v>
      </c>
      <c r="J59" s="9">
        <f t="shared" si="1"/>
        <v>-2</v>
      </c>
      <c r="K59" s="65">
        <v>1</v>
      </c>
      <c r="L59" s="7">
        <v>32</v>
      </c>
      <c r="M59" s="6" t="s">
        <v>132</v>
      </c>
    </row>
    <row r="60" spans="1:13" s="5" customFormat="1" ht="35.4" customHeight="1" x14ac:dyDescent="0.2">
      <c r="A60" s="33" t="s">
        <v>131</v>
      </c>
      <c r="B60" s="11" t="s">
        <v>39</v>
      </c>
      <c r="C60" s="11" t="s">
        <v>40</v>
      </c>
      <c r="D60" s="9">
        <v>1</v>
      </c>
      <c r="E60" s="9">
        <v>30</v>
      </c>
      <c r="F60" s="11">
        <v>45903</v>
      </c>
      <c r="G60" s="10">
        <v>0.375</v>
      </c>
      <c r="H60" s="11">
        <v>45902</v>
      </c>
      <c r="I60" s="10">
        <v>0.9375</v>
      </c>
      <c r="J60" s="9">
        <f t="shared" si="1"/>
        <v>-2</v>
      </c>
      <c r="K60" s="65">
        <v>1</v>
      </c>
      <c r="L60" s="7">
        <v>32</v>
      </c>
      <c r="M60" s="6" t="s">
        <v>132</v>
      </c>
    </row>
    <row r="61" spans="1:13" s="5" customFormat="1" ht="35.4" customHeight="1" x14ac:dyDescent="0.2">
      <c r="A61" s="33" t="s">
        <v>133</v>
      </c>
      <c r="B61" s="11" t="s">
        <v>21</v>
      </c>
      <c r="C61" s="11" t="s">
        <v>22</v>
      </c>
      <c r="D61" s="9">
        <v>3</v>
      </c>
      <c r="E61" s="9">
        <v>20</v>
      </c>
      <c r="F61" s="11">
        <v>45903</v>
      </c>
      <c r="G61" s="10">
        <v>0.375</v>
      </c>
      <c r="H61" s="11">
        <v>45903</v>
      </c>
      <c r="I61" s="10">
        <v>0.375</v>
      </c>
      <c r="J61" s="9">
        <f t="shared" si="1"/>
        <v>5</v>
      </c>
      <c r="K61" s="65">
        <v>3</v>
      </c>
      <c r="L61" s="7">
        <v>15</v>
      </c>
      <c r="M61" s="6" t="s">
        <v>134</v>
      </c>
    </row>
    <row r="62" spans="1:13" s="5" customFormat="1" ht="35.4" customHeight="1" x14ac:dyDescent="0.25">
      <c r="A62"/>
      <c r="B62"/>
      <c r="C62"/>
      <c r="D62"/>
      <c r="E62"/>
      <c r="F62"/>
      <c r="G62"/>
      <c r="H62"/>
      <c r="I62"/>
      <c r="J62"/>
      <c r="K62"/>
      <c r="L62" s="2"/>
      <c r="M62"/>
    </row>
    <row r="63" spans="1:13" s="5" customFormat="1" ht="35.4" customHeight="1" x14ac:dyDescent="0.25">
      <c r="A63" s="72"/>
      <c r="B63" s="73"/>
      <c r="C63" s="73"/>
      <c r="D63" s="73"/>
      <c r="E63" s="74"/>
      <c r="F63" s="4"/>
      <c r="G63" s="4"/>
      <c r="H63" s="70" t="s">
        <v>210</v>
      </c>
      <c r="I63" t="s">
        <v>212</v>
      </c>
      <c r="J63" t="s">
        <v>213</v>
      </c>
      <c r="K63" t="s">
        <v>214</v>
      </c>
      <c r="L63" t="s">
        <v>215</v>
      </c>
      <c r="M63" s="1"/>
    </row>
    <row r="64" spans="1:13" s="5" customFormat="1" ht="35.4" customHeight="1" x14ac:dyDescent="0.25">
      <c r="A64" s="72"/>
      <c r="B64" s="75"/>
      <c r="C64" s="76"/>
      <c r="D64" s="75"/>
      <c r="E64" s="75"/>
      <c r="F64" s="4"/>
      <c r="G64" s="4"/>
      <c r="H64" s="71" t="s">
        <v>36</v>
      </c>
      <c r="I64" s="2">
        <v>329</v>
      </c>
      <c r="J64" s="2">
        <v>10</v>
      </c>
      <c r="K64" s="2">
        <v>355</v>
      </c>
      <c r="L64" s="2">
        <v>11</v>
      </c>
      <c r="M64" s="1"/>
    </row>
    <row r="65" spans="1:13" s="5" customFormat="1" ht="35.4" customHeight="1" x14ac:dyDescent="0.25">
      <c r="A65" s="4"/>
      <c r="B65" s="4"/>
      <c r="C65" s="4"/>
      <c r="D65" s="4"/>
      <c r="E65" s="4"/>
      <c r="F65" s="4"/>
      <c r="G65" s="4"/>
      <c r="H65" s="71" t="s">
        <v>39</v>
      </c>
      <c r="I65" s="2">
        <v>283</v>
      </c>
      <c r="J65" s="2">
        <v>13</v>
      </c>
      <c r="K65" s="2">
        <v>340</v>
      </c>
      <c r="L65" s="2">
        <v>13</v>
      </c>
      <c r="M65" s="1"/>
    </row>
    <row r="66" spans="1:13" s="5" customFormat="1" ht="35.4" customHeight="1" x14ac:dyDescent="0.25">
      <c r="A66" s="4"/>
      <c r="B66" s="4"/>
      <c r="C66" s="4"/>
      <c r="D66" s="4"/>
      <c r="E66" s="4"/>
      <c r="F66" s="4"/>
      <c r="G66" s="4"/>
      <c r="H66" s="71" t="s">
        <v>21</v>
      </c>
      <c r="I66" s="2">
        <v>350</v>
      </c>
      <c r="J66" s="2">
        <v>15</v>
      </c>
      <c r="K66" s="2">
        <v>435</v>
      </c>
      <c r="L66" s="2">
        <v>14</v>
      </c>
      <c r="M66" s="1"/>
    </row>
    <row r="67" spans="1:13" s="5" customFormat="1" ht="35.4" customHeight="1" x14ac:dyDescent="0.25">
      <c r="A67" s="4"/>
      <c r="B67" s="4"/>
      <c r="C67" s="4"/>
      <c r="D67" s="4"/>
      <c r="E67" s="4"/>
      <c r="F67" s="4"/>
      <c r="G67" s="4"/>
      <c r="H67" s="71" t="s">
        <v>136</v>
      </c>
      <c r="I67" s="2">
        <v>183</v>
      </c>
      <c r="J67" s="2">
        <v>8</v>
      </c>
      <c r="K67" s="2">
        <v>255</v>
      </c>
      <c r="L67" s="2">
        <v>8</v>
      </c>
      <c r="M67" s="1"/>
    </row>
    <row r="68" spans="1:13" s="5" customFormat="1" ht="37.5" customHeight="1" x14ac:dyDescent="0.25">
      <c r="A68" s="4"/>
      <c r="B68" s="4"/>
      <c r="C68" s="4"/>
      <c r="D68" s="4"/>
      <c r="E68" s="4"/>
      <c r="F68" s="4"/>
      <c r="G68" s="4"/>
      <c r="H68" s="71" t="s">
        <v>42</v>
      </c>
      <c r="I68" s="2">
        <v>187</v>
      </c>
      <c r="J68" s="2">
        <v>8</v>
      </c>
      <c r="K68" s="2">
        <v>240</v>
      </c>
      <c r="L68" s="2">
        <v>8</v>
      </c>
      <c r="M68" s="1"/>
    </row>
    <row r="69" spans="1:13" ht="28.5" customHeight="1" x14ac:dyDescent="0.25">
      <c r="H69" s="71" t="s">
        <v>30</v>
      </c>
      <c r="I69" s="2">
        <v>222</v>
      </c>
      <c r="J69" s="2">
        <v>9</v>
      </c>
      <c r="K69" s="2">
        <v>290</v>
      </c>
      <c r="L69" s="2">
        <v>9</v>
      </c>
    </row>
    <row r="70" spans="1:13" ht="30.75" customHeight="1" x14ac:dyDescent="0.25">
      <c r="H70" s="71" t="s">
        <v>211</v>
      </c>
      <c r="I70" s="2">
        <v>1554</v>
      </c>
      <c r="J70" s="2">
        <v>63</v>
      </c>
      <c r="K70" s="2">
        <v>1915</v>
      </c>
      <c r="L70" s="2">
        <v>63</v>
      </c>
    </row>
    <row r="71" spans="1:13" ht="26.25" customHeight="1" x14ac:dyDescent="0.25">
      <c r="H71"/>
      <c r="I71"/>
      <c r="J71"/>
      <c r="K71"/>
      <c r="L71"/>
    </row>
    <row r="72" spans="1:13" x14ac:dyDescent="0.25">
      <c r="H72"/>
      <c r="I72"/>
      <c r="J72"/>
      <c r="K72"/>
      <c r="L72"/>
    </row>
    <row r="73" spans="1:13" x14ac:dyDescent="0.25">
      <c r="H73"/>
      <c r="I73"/>
      <c r="J73"/>
    </row>
    <row r="74" spans="1:13" x14ac:dyDescent="0.25">
      <c r="H74"/>
      <c r="I74"/>
      <c r="J74"/>
    </row>
    <row r="75" spans="1:13" x14ac:dyDescent="0.25">
      <c r="H75"/>
      <c r="I75"/>
      <c r="J75"/>
    </row>
    <row r="76" spans="1:13" x14ac:dyDescent="0.25">
      <c r="H76"/>
      <c r="I76"/>
      <c r="J76"/>
    </row>
    <row r="77" spans="1:13" x14ac:dyDescent="0.25">
      <c r="H77"/>
      <c r="I77"/>
      <c r="J77"/>
    </row>
    <row r="78" spans="1:13" ht="21" customHeight="1" x14ac:dyDescent="0.25">
      <c r="H78"/>
      <c r="I78"/>
      <c r="J78"/>
    </row>
    <row r="82" ht="23.25" customHeight="1" x14ac:dyDescent="0.25"/>
    <row r="83" ht="19.5" customHeight="1" x14ac:dyDescent="0.25"/>
    <row r="84" ht="21" customHeight="1" x14ac:dyDescent="0.25"/>
    <row r="88" ht="18.75" customHeight="1" x14ac:dyDescent="0.25"/>
    <row r="93" ht="14.25" customHeight="1" x14ac:dyDescent="0.25"/>
    <row r="94" ht="18" customHeight="1" x14ac:dyDescent="0.25"/>
    <row r="97" spans="1:20" ht="18" customHeight="1" x14ac:dyDescent="0.25"/>
    <row r="100" spans="1:20" ht="19.5" customHeight="1" x14ac:dyDescent="0.25"/>
    <row r="101" spans="1:20" s="5" customFormat="1" ht="18.75" customHeight="1" x14ac:dyDescent="0.25">
      <c r="A101" s="4"/>
      <c r="B101" s="4"/>
      <c r="C101" s="4"/>
      <c r="D101" s="4"/>
      <c r="E101" s="4"/>
      <c r="F101" s="4"/>
      <c r="G101" s="4"/>
      <c r="H101" s="4"/>
      <c r="I101" s="3"/>
      <c r="J101" s="3"/>
      <c r="K101" s="2"/>
      <c r="L101" s="1"/>
      <c r="M101" s="1"/>
    </row>
    <row r="104" spans="1:20" ht="18" customHeight="1" x14ac:dyDescent="0.25"/>
    <row r="105" spans="1:20" x14ac:dyDescent="0.25">
      <c r="Q105" s="42" t="e">
        <f>SUM(#REF!)</f>
        <v>#REF!</v>
      </c>
      <c r="R105" s="42" t="e">
        <f>SUM(#REF!)</f>
        <v>#REF!</v>
      </c>
      <c r="S105" s="42" t="e">
        <f>SUM(#REF!)</f>
        <v>#REF!</v>
      </c>
      <c r="T105" s="42" t="e">
        <f>SUM(#REF!)</f>
        <v>#REF!</v>
      </c>
    </row>
    <row r="106" spans="1:20" ht="35.25" customHeight="1" x14ac:dyDescent="0.25"/>
    <row r="107" spans="1:20" ht="36.75" customHeight="1" x14ac:dyDescent="0.25"/>
    <row r="108" spans="1:20" ht="33.75" customHeight="1" x14ac:dyDescent="0.25"/>
    <row r="109" spans="1:20" s="4" customFormat="1" ht="26.25" customHeight="1" x14ac:dyDescent="0.25">
      <c r="I109" s="3"/>
      <c r="J109" s="3"/>
      <c r="K109" s="2"/>
      <c r="L109" s="1"/>
      <c r="M109" s="1"/>
      <c r="N109"/>
      <c r="O109"/>
      <c r="P109"/>
      <c r="Q109"/>
      <c r="R109"/>
      <c r="S109"/>
      <c r="T109"/>
    </row>
    <row r="110" spans="1:20" s="4" customFormat="1" ht="27.75" customHeight="1" x14ac:dyDescent="0.25">
      <c r="I110" s="3"/>
      <c r="J110" s="3"/>
      <c r="K110" s="2"/>
      <c r="L110" s="1"/>
      <c r="M110" s="1"/>
      <c r="N110"/>
      <c r="O110"/>
      <c r="P110"/>
      <c r="Q110"/>
      <c r="R110"/>
      <c r="S110"/>
      <c r="T110"/>
    </row>
    <row r="111" spans="1:20" s="4" customFormat="1" ht="40.5" customHeight="1" x14ac:dyDescent="0.25">
      <c r="I111" s="3"/>
      <c r="J111" s="3"/>
      <c r="K111" s="2"/>
      <c r="L111" s="1"/>
      <c r="M111" s="1"/>
      <c r="N111"/>
      <c r="O111"/>
      <c r="P111"/>
      <c r="Q111"/>
      <c r="R111"/>
      <c r="S111"/>
      <c r="T111"/>
    </row>
    <row r="129" ht="45" customHeight="1" x14ac:dyDescent="0.25"/>
  </sheetData>
  <autoFilter ref="A7:M61" xr:uid="{5B7D67D4-75FB-4C16-9305-1D644D75C1B8}"/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65EF-F1FF-41F8-AAD7-E089A582AB9E}">
  <dimension ref="A1:T146"/>
  <sheetViews>
    <sheetView topLeftCell="A93" zoomScale="84" zoomScaleNormal="76" workbookViewId="0">
      <selection activeCell="A8" sqref="A8:M97"/>
    </sheetView>
  </sheetViews>
  <sheetFormatPr baseColWidth="10" defaultColWidth="11.44140625" defaultRowHeight="13.2" x14ac:dyDescent="0.25"/>
  <cols>
    <col min="1" max="1" width="18.6640625" style="4" bestFit="1" customWidth="1"/>
    <col min="2" max="2" width="21.5546875" style="4" bestFit="1" customWidth="1"/>
    <col min="3" max="3" width="45.44140625" style="4" bestFit="1" customWidth="1"/>
    <col min="4" max="4" width="21.33203125" style="4" bestFit="1" customWidth="1"/>
    <col min="5" max="5" width="21.5546875" style="4" bestFit="1" customWidth="1"/>
    <col min="6" max="8" width="10.6640625" style="4" customWidth="1"/>
    <col min="9" max="10" width="10.6640625" style="3" customWidth="1"/>
    <col min="11" max="11" width="10.6640625" style="2" customWidth="1"/>
    <col min="12" max="12" width="10.6640625" style="1" customWidth="1"/>
    <col min="13" max="13" width="48.109375" style="1" bestFit="1" customWidth="1"/>
    <col min="14" max="14" width="10.6640625" customWidth="1"/>
  </cols>
  <sheetData>
    <row r="1" spans="1:20" ht="32.25" customHeight="1" x14ac:dyDescent="0.25">
      <c r="A1" s="175"/>
      <c r="B1" s="177" t="s">
        <v>0</v>
      </c>
      <c r="C1" s="177"/>
      <c r="D1" s="177"/>
      <c r="E1" s="177"/>
      <c r="F1" s="177"/>
      <c r="G1" s="177"/>
      <c r="H1" s="177"/>
      <c r="I1" s="177"/>
      <c r="J1" s="177"/>
      <c r="K1" s="177"/>
      <c r="L1" s="179"/>
      <c r="M1" s="180"/>
    </row>
    <row r="2" spans="1:20" ht="20.25" customHeight="1" x14ac:dyDescent="0.25">
      <c r="A2" s="176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81"/>
      <c r="M2" s="182"/>
    </row>
    <row r="3" spans="1:20" ht="12.75" customHeight="1" x14ac:dyDescent="0.25">
      <c r="A3" s="183" t="s">
        <v>1</v>
      </c>
      <c r="B3" s="185" t="s">
        <v>2</v>
      </c>
      <c r="C3" s="185"/>
      <c r="D3" s="185"/>
      <c r="E3" s="185"/>
      <c r="F3" s="185"/>
      <c r="G3" s="185"/>
      <c r="H3" s="185"/>
      <c r="I3" s="185"/>
      <c r="J3" s="185"/>
      <c r="K3" s="185"/>
      <c r="L3" s="187" t="s">
        <v>3</v>
      </c>
      <c r="M3" s="188"/>
    </row>
    <row r="4" spans="1:20" ht="13.8" thickBot="1" x14ac:dyDescent="0.3">
      <c r="A4" s="184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6" t="s">
        <v>4</v>
      </c>
      <c r="M4" s="15"/>
    </row>
    <row r="5" spans="1:20" ht="13.8" thickBot="1" x14ac:dyDescent="0.3"/>
    <row r="6" spans="1:20" ht="14.4" thickBot="1" x14ac:dyDescent="0.3">
      <c r="A6" s="24" t="s">
        <v>5</v>
      </c>
      <c r="B6" s="171" t="s">
        <v>6</v>
      </c>
      <c r="C6" s="171"/>
      <c r="D6" s="171"/>
      <c r="E6" s="171"/>
      <c r="F6" s="171"/>
      <c r="G6" s="171"/>
      <c r="H6" s="172" t="s">
        <v>7</v>
      </c>
      <c r="I6" s="173"/>
      <c r="J6" s="173"/>
      <c r="K6" s="173"/>
      <c r="L6" s="174"/>
      <c r="M6" s="25"/>
    </row>
    <row r="7" spans="1:20" s="14" customFormat="1" ht="49.5" customHeight="1" x14ac:dyDescent="0.25">
      <c r="A7" s="18" cm="1">
        <f t="array" aca="1" ref="A7" ca="1">+A78+A1:L7+A7:L7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144</v>
      </c>
      <c r="B8" s="90" t="s">
        <v>30</v>
      </c>
      <c r="C8" s="90" t="s">
        <v>31</v>
      </c>
      <c r="D8" s="84">
        <v>1</v>
      </c>
      <c r="E8" s="8">
        <v>30</v>
      </c>
      <c r="F8" s="85">
        <v>45909</v>
      </c>
      <c r="G8" s="86">
        <v>0.375</v>
      </c>
      <c r="H8" s="85">
        <v>45905</v>
      </c>
      <c r="I8" s="86">
        <v>0.45833333333333331</v>
      </c>
      <c r="J8" s="87">
        <f>E8-L8</f>
        <v>0</v>
      </c>
      <c r="K8" s="8">
        <v>1</v>
      </c>
      <c r="L8" s="88">
        <v>30</v>
      </c>
      <c r="M8" s="91" t="s">
        <v>156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90" t="s">
        <v>36</v>
      </c>
      <c r="C9" s="85" t="s">
        <v>37</v>
      </c>
      <c r="D9" s="84">
        <v>1</v>
      </c>
      <c r="E9" s="49">
        <v>30</v>
      </c>
      <c r="F9" s="85">
        <v>45909</v>
      </c>
      <c r="G9" s="86">
        <v>0.375</v>
      </c>
      <c r="H9" s="85">
        <v>45905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75</v>
      </c>
      <c r="O9" s="5" t="s">
        <v>155</v>
      </c>
    </row>
    <row r="10" spans="1:20" s="5" customFormat="1" ht="39" customHeight="1" x14ac:dyDescent="0.25">
      <c r="A10" s="53" t="s">
        <v>252</v>
      </c>
      <c r="B10" s="95" t="s">
        <v>36</v>
      </c>
      <c r="C10" s="53" t="s">
        <v>37</v>
      </c>
      <c r="D10" s="53">
        <v>2</v>
      </c>
      <c r="E10" s="53">
        <v>30</v>
      </c>
      <c r="F10" s="80">
        <v>45909</v>
      </c>
      <c r="G10" s="81">
        <v>0.375</v>
      </c>
      <c r="H10" s="80">
        <v>45907</v>
      </c>
      <c r="I10" s="81">
        <v>0.52083333333333337</v>
      </c>
      <c r="J10" s="87">
        <f>E10-L10</f>
        <v>0</v>
      </c>
      <c r="K10" s="53">
        <v>2</v>
      </c>
      <c r="L10" s="53">
        <v>30</v>
      </c>
      <c r="M10" s="79" t="s">
        <v>253</v>
      </c>
    </row>
    <row r="11" spans="1:20" s="5" customFormat="1" ht="43.5" customHeight="1" x14ac:dyDescent="0.25">
      <c r="A11" s="53" t="s">
        <v>252</v>
      </c>
      <c r="B11" s="95" t="s">
        <v>42</v>
      </c>
      <c r="C11" s="53" t="s">
        <v>43</v>
      </c>
      <c r="D11" s="53">
        <v>2</v>
      </c>
      <c r="E11" s="53">
        <v>30</v>
      </c>
      <c r="F11" s="80">
        <v>45909</v>
      </c>
      <c r="G11" s="81">
        <v>0.375</v>
      </c>
      <c r="H11" s="80">
        <v>45907</v>
      </c>
      <c r="I11" s="81">
        <v>0.54166666666666663</v>
      </c>
      <c r="J11" s="87">
        <f t="shared" ref="J11:J74" si="0">E11-L11</f>
        <v>0</v>
      </c>
      <c r="K11" s="53">
        <v>2</v>
      </c>
      <c r="L11" s="53">
        <v>30</v>
      </c>
      <c r="M11" s="79" t="s">
        <v>253</v>
      </c>
    </row>
    <row r="12" spans="1:20" s="5" customFormat="1" ht="35.1" customHeight="1" x14ac:dyDescent="0.25">
      <c r="A12" s="53" t="s">
        <v>254</v>
      </c>
      <c r="B12" s="95" t="s">
        <v>36</v>
      </c>
      <c r="C12" s="53" t="s">
        <v>37</v>
      </c>
      <c r="D12" s="53">
        <v>1</v>
      </c>
      <c r="E12" s="53">
        <v>30</v>
      </c>
      <c r="F12" s="80">
        <v>45909</v>
      </c>
      <c r="G12" s="81">
        <v>0.375</v>
      </c>
      <c r="H12" s="80">
        <v>45907</v>
      </c>
      <c r="I12" s="81">
        <v>0.5625</v>
      </c>
      <c r="J12" s="87">
        <f t="shared" si="0"/>
        <v>0</v>
      </c>
      <c r="K12" s="53">
        <v>1</v>
      </c>
      <c r="L12" s="53">
        <v>30</v>
      </c>
      <c r="M12" s="79" t="s">
        <v>255</v>
      </c>
    </row>
    <row r="13" spans="1:20" s="5" customFormat="1" ht="35.1" customHeight="1" x14ac:dyDescent="0.25">
      <c r="A13" s="79" t="s">
        <v>254</v>
      </c>
      <c r="B13" s="95" t="s">
        <v>42</v>
      </c>
      <c r="C13" s="53" t="s">
        <v>43</v>
      </c>
      <c r="D13" s="53">
        <v>1</v>
      </c>
      <c r="E13" s="53">
        <v>30</v>
      </c>
      <c r="F13" s="80">
        <v>45909</v>
      </c>
      <c r="G13" s="81">
        <v>0.375</v>
      </c>
      <c r="H13" s="80">
        <v>45907</v>
      </c>
      <c r="I13" s="81">
        <v>0.58333333333333337</v>
      </c>
      <c r="J13" s="87">
        <f t="shared" si="0"/>
        <v>0</v>
      </c>
      <c r="K13" s="53">
        <v>2</v>
      </c>
      <c r="L13" s="53">
        <v>30</v>
      </c>
      <c r="M13" s="79" t="s">
        <v>255</v>
      </c>
    </row>
    <row r="14" spans="1:20" s="5" customFormat="1" ht="35.1" customHeight="1" x14ac:dyDescent="0.25">
      <c r="A14" s="53" t="s">
        <v>256</v>
      </c>
      <c r="B14" s="95" t="s">
        <v>36</v>
      </c>
      <c r="C14" s="53" t="s">
        <v>37</v>
      </c>
      <c r="D14" s="53">
        <v>2</v>
      </c>
      <c r="E14" s="53">
        <v>30</v>
      </c>
      <c r="F14" s="80">
        <v>45909</v>
      </c>
      <c r="G14" s="81">
        <v>0.375</v>
      </c>
      <c r="H14" s="80">
        <v>45907</v>
      </c>
      <c r="I14" s="81">
        <v>0.58333333333333337</v>
      </c>
      <c r="J14" s="53">
        <f t="shared" si="0"/>
        <v>0</v>
      </c>
      <c r="K14" s="53">
        <v>2</v>
      </c>
      <c r="L14" s="53">
        <v>30</v>
      </c>
      <c r="M14" s="79" t="s">
        <v>257</v>
      </c>
    </row>
    <row r="15" spans="1:20" s="5" customFormat="1" ht="35.1" customHeight="1" x14ac:dyDescent="0.25">
      <c r="A15" s="79" t="s">
        <v>256</v>
      </c>
      <c r="B15" s="95" t="s">
        <v>42</v>
      </c>
      <c r="C15" s="53" t="s">
        <v>43</v>
      </c>
      <c r="D15" s="53">
        <v>2</v>
      </c>
      <c r="E15" s="53">
        <v>30</v>
      </c>
      <c r="F15" s="80">
        <v>45909</v>
      </c>
      <c r="G15" s="81">
        <v>0.375</v>
      </c>
      <c r="H15" s="80">
        <v>45907</v>
      </c>
      <c r="I15" s="81">
        <v>0.58333333333333337</v>
      </c>
      <c r="J15" s="53">
        <f t="shared" si="0"/>
        <v>0</v>
      </c>
      <c r="K15" s="53">
        <v>2</v>
      </c>
      <c r="L15" s="53">
        <v>30</v>
      </c>
      <c r="M15" s="79" t="s">
        <v>257</v>
      </c>
    </row>
    <row r="16" spans="1:20" s="5" customFormat="1" ht="38.4" customHeight="1" x14ac:dyDescent="0.25">
      <c r="A16" s="79" t="s">
        <v>258</v>
      </c>
      <c r="B16" s="95" t="s">
        <v>36</v>
      </c>
      <c r="C16" s="53" t="s">
        <v>37</v>
      </c>
      <c r="D16" s="53">
        <v>2</v>
      </c>
      <c r="E16" s="53">
        <v>30</v>
      </c>
      <c r="F16" s="80">
        <v>45909</v>
      </c>
      <c r="G16" s="81">
        <v>0.375</v>
      </c>
      <c r="H16" s="80">
        <v>45907</v>
      </c>
      <c r="I16" s="81">
        <v>0.58333333333333337</v>
      </c>
      <c r="J16" s="53">
        <f t="shared" si="0"/>
        <v>0</v>
      </c>
      <c r="K16" s="53">
        <v>1</v>
      </c>
      <c r="L16" s="53">
        <v>30</v>
      </c>
      <c r="M16" s="79" t="s">
        <v>259</v>
      </c>
    </row>
    <row r="17" spans="1:13" s="5" customFormat="1" ht="30.75" customHeight="1" x14ac:dyDescent="0.25">
      <c r="A17" s="79" t="s">
        <v>258</v>
      </c>
      <c r="B17" s="95" t="s">
        <v>42</v>
      </c>
      <c r="C17" s="53" t="s">
        <v>43</v>
      </c>
      <c r="D17" s="53">
        <v>2</v>
      </c>
      <c r="E17" s="53">
        <v>30</v>
      </c>
      <c r="F17" s="80">
        <v>45909</v>
      </c>
      <c r="G17" s="81">
        <v>0.375</v>
      </c>
      <c r="H17" s="80">
        <v>45907</v>
      </c>
      <c r="I17" s="81">
        <v>0.58333333333333337</v>
      </c>
      <c r="J17" s="53">
        <f t="shared" si="0"/>
        <v>0</v>
      </c>
      <c r="K17" s="53">
        <v>1</v>
      </c>
      <c r="L17" s="53">
        <v>30</v>
      </c>
      <c r="M17" s="79" t="s">
        <v>259</v>
      </c>
    </row>
    <row r="18" spans="1:13" s="5" customFormat="1" ht="27" customHeight="1" x14ac:dyDescent="0.25">
      <c r="A18" s="53" t="s">
        <v>260</v>
      </c>
      <c r="B18" s="95" t="s">
        <v>36</v>
      </c>
      <c r="C18" s="53" t="s">
        <v>37</v>
      </c>
      <c r="D18" s="53">
        <v>1</v>
      </c>
      <c r="E18" s="53">
        <v>30</v>
      </c>
      <c r="F18" s="80">
        <v>45909</v>
      </c>
      <c r="G18" s="81">
        <v>0.375</v>
      </c>
      <c r="H18" s="80">
        <v>45907</v>
      </c>
      <c r="I18" s="81">
        <v>0.58333333333333337</v>
      </c>
      <c r="J18" s="53">
        <f t="shared" si="0"/>
        <v>0</v>
      </c>
      <c r="K18" s="53">
        <v>3</v>
      </c>
      <c r="L18" s="53">
        <v>30</v>
      </c>
      <c r="M18" s="79" t="s">
        <v>261</v>
      </c>
    </row>
    <row r="19" spans="1:13" s="5" customFormat="1" ht="38.25" customHeight="1" x14ac:dyDescent="0.25">
      <c r="A19" s="53" t="s">
        <v>260</v>
      </c>
      <c r="B19" s="95" t="s">
        <v>42</v>
      </c>
      <c r="C19" s="53" t="s">
        <v>43</v>
      </c>
      <c r="D19" s="53">
        <v>1</v>
      </c>
      <c r="E19" s="53">
        <v>30</v>
      </c>
      <c r="F19" s="80">
        <v>45909</v>
      </c>
      <c r="G19" s="81">
        <v>0.375</v>
      </c>
      <c r="H19" s="80">
        <v>45907</v>
      </c>
      <c r="I19" s="81">
        <v>0.58333333333333337</v>
      </c>
      <c r="J19" s="53">
        <f t="shared" si="0"/>
        <v>0</v>
      </c>
      <c r="K19" s="53">
        <v>2</v>
      </c>
      <c r="L19" s="53">
        <v>30</v>
      </c>
      <c r="M19" s="79" t="s">
        <v>261</v>
      </c>
    </row>
    <row r="20" spans="1:13" s="5" customFormat="1" ht="40.5" customHeight="1" x14ac:dyDescent="0.25">
      <c r="A20" s="53" t="s">
        <v>262</v>
      </c>
      <c r="B20" s="95" t="s">
        <v>36</v>
      </c>
      <c r="C20" s="53" t="s">
        <v>37</v>
      </c>
      <c r="D20" s="53">
        <v>1</v>
      </c>
      <c r="E20" s="53">
        <v>30</v>
      </c>
      <c r="F20" s="80">
        <v>45909</v>
      </c>
      <c r="G20" s="81">
        <v>0.375</v>
      </c>
      <c r="H20" s="80">
        <v>45907</v>
      </c>
      <c r="I20" s="81">
        <v>0.58333333333333337</v>
      </c>
      <c r="J20" s="53">
        <f t="shared" si="0"/>
        <v>0</v>
      </c>
      <c r="K20" s="53">
        <v>2</v>
      </c>
      <c r="L20" s="53">
        <v>30</v>
      </c>
      <c r="M20" s="79" t="s">
        <v>263</v>
      </c>
    </row>
    <row r="21" spans="1:13" s="5" customFormat="1" ht="27" customHeight="1" x14ac:dyDescent="0.25">
      <c r="A21" s="79" t="s">
        <v>262</v>
      </c>
      <c r="B21" s="95" t="s">
        <v>42</v>
      </c>
      <c r="C21" s="53" t="s">
        <v>43</v>
      </c>
      <c r="D21" s="53">
        <v>1</v>
      </c>
      <c r="E21" s="53">
        <v>30</v>
      </c>
      <c r="F21" s="80">
        <v>45909</v>
      </c>
      <c r="G21" s="81">
        <v>0.375</v>
      </c>
      <c r="H21" s="80">
        <v>45907</v>
      </c>
      <c r="I21" s="81">
        <v>0.58333333333333337</v>
      </c>
      <c r="J21" s="53">
        <f t="shared" si="0"/>
        <v>0</v>
      </c>
      <c r="K21" s="53">
        <v>1</v>
      </c>
      <c r="L21" s="53">
        <v>30</v>
      </c>
      <c r="M21" s="79" t="s">
        <v>263</v>
      </c>
    </row>
    <row r="22" spans="1:13" s="5" customFormat="1" ht="27" customHeight="1" x14ac:dyDescent="0.25">
      <c r="A22" s="79" t="s">
        <v>264</v>
      </c>
      <c r="B22" s="95" t="s">
        <v>36</v>
      </c>
      <c r="C22" s="53" t="s">
        <v>37</v>
      </c>
      <c r="D22" s="53">
        <v>1</v>
      </c>
      <c r="E22" s="53">
        <v>30</v>
      </c>
      <c r="F22" s="80">
        <v>45909</v>
      </c>
      <c r="G22" s="81">
        <v>0.375</v>
      </c>
      <c r="H22" s="80">
        <v>45907</v>
      </c>
      <c r="I22" s="81">
        <v>0.58333333333333337</v>
      </c>
      <c r="J22" s="53">
        <f t="shared" si="0"/>
        <v>0</v>
      </c>
      <c r="K22" s="53">
        <v>1</v>
      </c>
      <c r="L22" s="53">
        <v>30</v>
      </c>
      <c r="M22" s="79" t="s">
        <v>265</v>
      </c>
    </row>
    <row r="23" spans="1:13" s="5" customFormat="1" ht="27" customHeight="1" x14ac:dyDescent="0.25">
      <c r="A23" s="79" t="s">
        <v>264</v>
      </c>
      <c r="B23" s="95" t="s">
        <v>42</v>
      </c>
      <c r="C23" s="53" t="s">
        <v>43</v>
      </c>
      <c r="D23" s="53">
        <v>1</v>
      </c>
      <c r="E23" s="53">
        <v>30</v>
      </c>
      <c r="F23" s="80">
        <v>45909</v>
      </c>
      <c r="G23" s="81">
        <v>0.375</v>
      </c>
      <c r="H23" s="80">
        <v>45907</v>
      </c>
      <c r="I23" s="81">
        <v>0.58333333333333337</v>
      </c>
      <c r="J23" s="53">
        <f t="shared" si="0"/>
        <v>0</v>
      </c>
      <c r="K23" s="53">
        <v>1</v>
      </c>
      <c r="L23" s="53">
        <v>30</v>
      </c>
      <c r="M23" s="79" t="s">
        <v>265</v>
      </c>
    </row>
    <row r="24" spans="1:13" s="5" customFormat="1" ht="27" customHeight="1" x14ac:dyDescent="0.25">
      <c r="A24" s="79" t="s">
        <v>266</v>
      </c>
      <c r="B24" s="95" t="s">
        <v>36</v>
      </c>
      <c r="C24" s="53" t="s">
        <v>37</v>
      </c>
      <c r="D24" s="53">
        <v>1</v>
      </c>
      <c r="E24" s="53">
        <v>20</v>
      </c>
      <c r="F24" s="80">
        <v>45909</v>
      </c>
      <c r="G24" s="81">
        <v>0.375</v>
      </c>
      <c r="H24" s="80">
        <v>45907</v>
      </c>
      <c r="I24" s="81">
        <v>0.58333333333333337</v>
      </c>
      <c r="J24" s="53">
        <f t="shared" si="0"/>
        <v>-10</v>
      </c>
      <c r="K24" s="53">
        <v>1</v>
      </c>
      <c r="L24" s="53">
        <v>30</v>
      </c>
      <c r="M24" s="79" t="s">
        <v>267</v>
      </c>
    </row>
    <row r="25" spans="1:13" s="5" customFormat="1" ht="27" customHeight="1" x14ac:dyDescent="0.25">
      <c r="A25" s="79" t="s">
        <v>266</v>
      </c>
      <c r="B25" s="95" t="s">
        <v>42</v>
      </c>
      <c r="C25" s="53" t="s">
        <v>43</v>
      </c>
      <c r="D25" s="53">
        <v>1</v>
      </c>
      <c r="E25" s="53">
        <v>20</v>
      </c>
      <c r="F25" s="80">
        <v>45909</v>
      </c>
      <c r="G25" s="81">
        <v>0.375</v>
      </c>
      <c r="H25" s="80">
        <v>45907</v>
      </c>
      <c r="I25" s="81">
        <v>0.58333333333333337</v>
      </c>
      <c r="J25" s="53">
        <f t="shared" si="0"/>
        <v>-10</v>
      </c>
      <c r="K25" s="53">
        <v>1</v>
      </c>
      <c r="L25" s="53">
        <v>30</v>
      </c>
      <c r="M25" s="79" t="s">
        <v>267</v>
      </c>
    </row>
    <row r="26" spans="1:13" s="5" customFormat="1" ht="27" customHeight="1" x14ac:dyDescent="0.25">
      <c r="A26" s="79" t="s">
        <v>268</v>
      </c>
      <c r="B26" s="95" t="s">
        <v>36</v>
      </c>
      <c r="C26" s="53" t="s">
        <v>37</v>
      </c>
      <c r="D26" s="53">
        <v>1</v>
      </c>
      <c r="E26" s="53">
        <v>20</v>
      </c>
      <c r="F26" s="80">
        <v>45909</v>
      </c>
      <c r="G26" s="81">
        <v>0.375</v>
      </c>
      <c r="H26" s="80">
        <v>45907</v>
      </c>
      <c r="I26" s="81">
        <v>0.58333333333333337</v>
      </c>
      <c r="J26" s="53">
        <f t="shared" si="0"/>
        <v>-10</v>
      </c>
      <c r="K26" s="53">
        <v>1</v>
      </c>
      <c r="L26" s="53">
        <v>30</v>
      </c>
      <c r="M26" s="79" t="s">
        <v>269</v>
      </c>
    </row>
    <row r="27" spans="1:13" s="5" customFormat="1" ht="27" customHeight="1" x14ac:dyDescent="0.25">
      <c r="A27" s="79" t="s">
        <v>268</v>
      </c>
      <c r="B27" s="95" t="s">
        <v>42</v>
      </c>
      <c r="C27" s="53" t="s">
        <v>43</v>
      </c>
      <c r="D27" s="53">
        <v>1</v>
      </c>
      <c r="E27" s="53">
        <v>20</v>
      </c>
      <c r="F27" s="80">
        <v>45909</v>
      </c>
      <c r="G27" s="81">
        <v>0.375</v>
      </c>
      <c r="H27" s="80">
        <v>45907</v>
      </c>
      <c r="I27" s="81">
        <v>0.58333333333333337</v>
      </c>
      <c r="J27" s="53">
        <f t="shared" si="0"/>
        <v>0</v>
      </c>
      <c r="K27" s="53">
        <v>1</v>
      </c>
      <c r="L27" s="53">
        <v>20</v>
      </c>
      <c r="M27" s="79" t="s">
        <v>269</v>
      </c>
    </row>
    <row r="28" spans="1:13" s="5" customFormat="1" ht="27" customHeight="1" x14ac:dyDescent="0.25">
      <c r="A28" s="79" t="s">
        <v>270</v>
      </c>
      <c r="B28" s="95" t="s">
        <v>36</v>
      </c>
      <c r="C28" s="53" t="s">
        <v>37</v>
      </c>
      <c r="D28" s="53">
        <v>1</v>
      </c>
      <c r="E28" s="53">
        <v>20</v>
      </c>
      <c r="F28" s="80">
        <v>45909</v>
      </c>
      <c r="G28" s="81">
        <v>0.375</v>
      </c>
      <c r="H28" s="80">
        <v>45907</v>
      </c>
      <c r="I28" s="81">
        <v>0.58333333333333337</v>
      </c>
      <c r="J28" s="53">
        <f t="shared" si="0"/>
        <v>1</v>
      </c>
      <c r="K28" s="53">
        <v>2</v>
      </c>
      <c r="L28" s="53">
        <v>19</v>
      </c>
      <c r="M28" s="79" t="s">
        <v>273</v>
      </c>
    </row>
    <row r="29" spans="1:13" s="5" customFormat="1" ht="36.75" customHeight="1" x14ac:dyDescent="0.25">
      <c r="A29" s="79" t="s">
        <v>271</v>
      </c>
      <c r="B29" s="95" t="s">
        <v>42</v>
      </c>
      <c r="C29" s="53" t="s">
        <v>43</v>
      </c>
      <c r="D29" s="53">
        <v>1</v>
      </c>
      <c r="E29" s="53">
        <v>20</v>
      </c>
      <c r="F29" s="80">
        <v>45909</v>
      </c>
      <c r="G29" s="81">
        <v>0.375</v>
      </c>
      <c r="H29" s="80">
        <v>45907</v>
      </c>
      <c r="I29" s="81">
        <v>0.58333333333333337</v>
      </c>
      <c r="J29" s="53">
        <f t="shared" si="0"/>
        <v>0</v>
      </c>
      <c r="K29" s="53">
        <v>2</v>
      </c>
      <c r="L29" s="53">
        <v>20</v>
      </c>
      <c r="M29" s="79" t="s">
        <v>273</v>
      </c>
    </row>
    <row r="30" spans="1:13" s="5" customFormat="1" ht="37.5" customHeight="1" x14ac:dyDescent="0.25">
      <c r="A30" s="79" t="s">
        <v>272</v>
      </c>
      <c r="B30" s="95" t="s">
        <v>36</v>
      </c>
      <c r="C30" s="53" t="s">
        <v>37</v>
      </c>
      <c r="D30" s="53">
        <v>1</v>
      </c>
      <c r="E30" s="53">
        <v>15</v>
      </c>
      <c r="F30" s="80">
        <v>45909</v>
      </c>
      <c r="G30" s="81">
        <v>0.375</v>
      </c>
      <c r="H30" s="80">
        <v>45907</v>
      </c>
      <c r="I30" s="81">
        <v>0.58333333333333337</v>
      </c>
      <c r="J30" s="53">
        <f t="shared" si="0"/>
        <v>5</v>
      </c>
      <c r="K30" s="53">
        <v>1</v>
      </c>
      <c r="L30" s="53">
        <v>10</v>
      </c>
      <c r="M30" s="79" t="s">
        <v>274</v>
      </c>
    </row>
    <row r="31" spans="1:13" s="5" customFormat="1" ht="38.25" customHeight="1" x14ac:dyDescent="0.25">
      <c r="A31" s="79" t="s">
        <v>272</v>
      </c>
      <c r="B31" s="95" t="s">
        <v>42</v>
      </c>
      <c r="C31" s="53" t="s">
        <v>43</v>
      </c>
      <c r="D31" s="53">
        <v>1</v>
      </c>
      <c r="E31" s="53">
        <v>15</v>
      </c>
      <c r="F31" s="80">
        <v>45909</v>
      </c>
      <c r="G31" s="81">
        <v>0.375</v>
      </c>
      <c r="H31" s="80">
        <v>45907</v>
      </c>
      <c r="I31" s="81">
        <v>0.58333333333333337</v>
      </c>
      <c r="J31" s="53">
        <f t="shared" si="0"/>
        <v>5</v>
      </c>
      <c r="K31" s="53">
        <v>1</v>
      </c>
      <c r="L31" s="53">
        <v>10</v>
      </c>
      <c r="M31" s="79" t="s">
        <v>274</v>
      </c>
    </row>
    <row r="32" spans="1:13" s="5" customFormat="1" ht="36.75" customHeight="1" x14ac:dyDescent="0.25">
      <c r="A32" s="79" t="s">
        <v>275</v>
      </c>
      <c r="B32" s="95" t="s">
        <v>36</v>
      </c>
      <c r="C32" s="53" t="s">
        <v>37</v>
      </c>
      <c r="D32" s="53">
        <v>1</v>
      </c>
      <c r="E32" s="53">
        <v>20</v>
      </c>
      <c r="F32" s="80">
        <v>45909</v>
      </c>
      <c r="G32" s="81">
        <v>0.375</v>
      </c>
      <c r="H32" s="80">
        <v>45907</v>
      </c>
      <c r="I32" s="81">
        <v>0.58333333333333337</v>
      </c>
      <c r="J32" s="53">
        <f t="shared" si="0"/>
        <v>10</v>
      </c>
      <c r="K32" s="53">
        <v>1</v>
      </c>
      <c r="L32" s="53">
        <v>10</v>
      </c>
      <c r="M32" s="79" t="s">
        <v>276</v>
      </c>
    </row>
    <row r="33" spans="1:13" s="5" customFormat="1" ht="42" customHeight="1" x14ac:dyDescent="0.25">
      <c r="A33" s="79" t="s">
        <v>275</v>
      </c>
      <c r="B33" s="95" t="s">
        <v>42</v>
      </c>
      <c r="C33" s="53" t="s">
        <v>43</v>
      </c>
      <c r="D33" s="53">
        <v>1</v>
      </c>
      <c r="E33" s="53">
        <v>20</v>
      </c>
      <c r="F33" s="80">
        <v>45909</v>
      </c>
      <c r="G33" s="81">
        <v>0.375</v>
      </c>
      <c r="H33" s="80">
        <v>45907</v>
      </c>
      <c r="I33" s="81">
        <v>0.58333333333333337</v>
      </c>
      <c r="J33" s="53">
        <f t="shared" si="0"/>
        <v>10</v>
      </c>
      <c r="K33" s="53">
        <v>1</v>
      </c>
      <c r="L33" s="53">
        <v>10</v>
      </c>
      <c r="M33" s="79" t="s">
        <v>276</v>
      </c>
    </row>
    <row r="34" spans="1:13" s="5" customFormat="1" ht="39" customHeight="1" x14ac:dyDescent="0.25">
      <c r="A34" s="79" t="s">
        <v>277</v>
      </c>
      <c r="B34" s="95" t="s">
        <v>21</v>
      </c>
      <c r="C34" s="53" t="s">
        <v>22</v>
      </c>
      <c r="D34" s="53">
        <v>1</v>
      </c>
      <c r="E34" s="53">
        <v>55</v>
      </c>
      <c r="F34" s="80">
        <v>45909</v>
      </c>
      <c r="G34" s="81">
        <v>0.375</v>
      </c>
      <c r="H34" s="80">
        <v>45906</v>
      </c>
      <c r="I34" s="81">
        <v>0.35416666666666669</v>
      </c>
      <c r="J34" s="53">
        <f t="shared" si="0"/>
        <v>-5</v>
      </c>
      <c r="K34" s="53">
        <v>2</v>
      </c>
      <c r="L34" s="53">
        <v>60</v>
      </c>
      <c r="M34" s="79" t="s">
        <v>278</v>
      </c>
    </row>
    <row r="35" spans="1:13" s="5" customFormat="1" ht="42" customHeight="1" x14ac:dyDescent="0.25">
      <c r="A35" s="79" t="s">
        <v>277</v>
      </c>
      <c r="B35" s="95" t="s">
        <v>136</v>
      </c>
      <c r="C35" s="53" t="s">
        <v>34</v>
      </c>
      <c r="D35" s="53">
        <v>1</v>
      </c>
      <c r="E35" s="53">
        <v>55</v>
      </c>
      <c r="F35" s="80">
        <v>45909</v>
      </c>
      <c r="G35" s="81">
        <v>0.375</v>
      </c>
      <c r="H35" s="80">
        <v>45906</v>
      </c>
      <c r="I35" s="81">
        <v>0.39583333333333298</v>
      </c>
      <c r="J35" s="53">
        <f t="shared" si="0"/>
        <v>-5</v>
      </c>
      <c r="K35" s="53">
        <v>1</v>
      </c>
      <c r="L35" s="53">
        <v>60</v>
      </c>
      <c r="M35" s="79" t="s">
        <v>278</v>
      </c>
    </row>
    <row r="36" spans="1:13" s="5" customFormat="1" ht="47.25" customHeight="1" x14ac:dyDescent="0.25">
      <c r="A36" s="79" t="s">
        <v>279</v>
      </c>
      <c r="B36" s="95" t="s">
        <v>21</v>
      </c>
      <c r="C36" s="53" t="s">
        <v>22</v>
      </c>
      <c r="D36" s="53">
        <v>1</v>
      </c>
      <c r="E36" s="53">
        <v>60</v>
      </c>
      <c r="F36" s="80">
        <v>45909</v>
      </c>
      <c r="G36" s="81">
        <v>0.375</v>
      </c>
      <c r="H36" s="80">
        <v>45906</v>
      </c>
      <c r="I36" s="81">
        <v>0.4375</v>
      </c>
      <c r="J36" s="53">
        <f t="shared" si="0"/>
        <v>0</v>
      </c>
      <c r="K36" s="53">
        <v>3</v>
      </c>
      <c r="L36" s="53">
        <v>60</v>
      </c>
      <c r="M36" s="79" t="s">
        <v>280</v>
      </c>
    </row>
    <row r="37" spans="1:13" s="5" customFormat="1" ht="33.9" customHeight="1" x14ac:dyDescent="0.25">
      <c r="A37" s="79" t="s">
        <v>279</v>
      </c>
      <c r="B37" s="95" t="s">
        <v>136</v>
      </c>
      <c r="C37" s="53" t="s">
        <v>34</v>
      </c>
      <c r="D37" s="53">
        <v>1</v>
      </c>
      <c r="E37" s="53">
        <v>60</v>
      </c>
      <c r="F37" s="80">
        <v>45909</v>
      </c>
      <c r="G37" s="81">
        <v>0.375</v>
      </c>
      <c r="H37" s="80">
        <v>45906</v>
      </c>
      <c r="I37" s="81">
        <v>0.47916666666666702</v>
      </c>
      <c r="J37" s="53">
        <f t="shared" si="0"/>
        <v>0</v>
      </c>
      <c r="K37" s="53">
        <v>1</v>
      </c>
      <c r="L37" s="53">
        <v>60</v>
      </c>
      <c r="M37" s="79" t="s">
        <v>280</v>
      </c>
    </row>
    <row r="38" spans="1:13" s="5" customFormat="1" ht="28.5" customHeight="1" x14ac:dyDescent="0.25">
      <c r="A38" s="79" t="s">
        <v>281</v>
      </c>
      <c r="B38" s="95" t="s">
        <v>21</v>
      </c>
      <c r="C38" s="53" t="s">
        <v>22</v>
      </c>
      <c r="D38" s="53">
        <v>1</v>
      </c>
      <c r="E38" s="53">
        <v>30</v>
      </c>
      <c r="F38" s="80">
        <v>45909</v>
      </c>
      <c r="G38" s="81">
        <v>0.375</v>
      </c>
      <c r="H38" s="80">
        <v>45906</v>
      </c>
      <c r="I38" s="81">
        <v>0.5</v>
      </c>
      <c r="J38" s="53">
        <f t="shared" si="0"/>
        <v>0</v>
      </c>
      <c r="K38" s="53">
        <v>1</v>
      </c>
      <c r="L38" s="53">
        <v>30</v>
      </c>
      <c r="M38" s="79" t="s">
        <v>282</v>
      </c>
    </row>
    <row r="39" spans="1:13" s="5" customFormat="1" ht="39" customHeight="1" x14ac:dyDescent="0.25">
      <c r="A39" s="79" t="s">
        <v>281</v>
      </c>
      <c r="B39" s="95" t="s">
        <v>136</v>
      </c>
      <c r="C39" s="53" t="s">
        <v>34</v>
      </c>
      <c r="D39" s="53">
        <v>1</v>
      </c>
      <c r="E39" s="53">
        <v>30</v>
      </c>
      <c r="F39" s="80">
        <v>45909</v>
      </c>
      <c r="G39" s="81">
        <v>0.375</v>
      </c>
      <c r="H39" s="80">
        <v>45906</v>
      </c>
      <c r="I39" s="81">
        <v>0.52083333333333337</v>
      </c>
      <c r="J39" s="53">
        <f t="shared" si="0"/>
        <v>2</v>
      </c>
      <c r="K39" s="53">
        <v>1</v>
      </c>
      <c r="L39" s="53">
        <v>28</v>
      </c>
      <c r="M39" s="79" t="s">
        <v>282</v>
      </c>
    </row>
    <row r="40" spans="1:13" s="5" customFormat="1" ht="38.25" customHeight="1" x14ac:dyDescent="0.25">
      <c r="A40" s="79" t="s">
        <v>283</v>
      </c>
      <c r="B40" s="95" t="s">
        <v>21</v>
      </c>
      <c r="C40" s="53" t="s">
        <v>22</v>
      </c>
      <c r="D40" s="53">
        <v>1</v>
      </c>
      <c r="E40" s="53">
        <v>30</v>
      </c>
      <c r="F40" s="80">
        <v>45909</v>
      </c>
      <c r="G40" s="81">
        <v>0.375</v>
      </c>
      <c r="H40" s="80">
        <v>45906</v>
      </c>
      <c r="I40" s="81">
        <v>0.54166666666666663</v>
      </c>
      <c r="J40" s="53">
        <f t="shared" si="0"/>
        <v>0</v>
      </c>
      <c r="K40" s="53">
        <v>1</v>
      </c>
      <c r="L40" s="53">
        <v>30</v>
      </c>
      <c r="M40" s="79" t="s">
        <v>284</v>
      </c>
    </row>
    <row r="41" spans="1:13" s="5" customFormat="1" ht="38.25" customHeight="1" x14ac:dyDescent="0.25">
      <c r="A41" s="79" t="s">
        <v>283</v>
      </c>
      <c r="B41" s="95" t="s">
        <v>136</v>
      </c>
      <c r="C41" s="53" t="s">
        <v>34</v>
      </c>
      <c r="D41" s="53">
        <v>1</v>
      </c>
      <c r="E41" s="53">
        <v>30</v>
      </c>
      <c r="F41" s="80">
        <v>45909</v>
      </c>
      <c r="G41" s="81">
        <v>0.375</v>
      </c>
      <c r="H41" s="80">
        <v>45906</v>
      </c>
      <c r="I41" s="81">
        <v>0.5625</v>
      </c>
      <c r="J41" s="53">
        <f t="shared" si="0"/>
        <v>1</v>
      </c>
      <c r="K41" s="53">
        <v>1</v>
      </c>
      <c r="L41" s="53">
        <v>29</v>
      </c>
      <c r="M41" s="79" t="s">
        <v>284</v>
      </c>
    </row>
    <row r="42" spans="1:13" s="5" customFormat="1" ht="42" customHeight="1" x14ac:dyDescent="0.25">
      <c r="A42" s="79" t="s">
        <v>285</v>
      </c>
      <c r="B42" s="95" t="s">
        <v>21</v>
      </c>
      <c r="C42" s="53" t="s">
        <v>22</v>
      </c>
      <c r="D42" s="53">
        <v>1</v>
      </c>
      <c r="E42" s="53">
        <v>30</v>
      </c>
      <c r="F42" s="80">
        <v>45909</v>
      </c>
      <c r="G42" s="81">
        <v>0.375</v>
      </c>
      <c r="H42" s="80">
        <v>45906</v>
      </c>
      <c r="I42" s="81">
        <v>0.58333333333333337</v>
      </c>
      <c r="J42" s="53">
        <f t="shared" si="0"/>
        <v>0</v>
      </c>
      <c r="K42" s="53">
        <v>1</v>
      </c>
      <c r="L42" s="53">
        <v>30</v>
      </c>
      <c r="M42" s="79" t="s">
        <v>286</v>
      </c>
    </row>
    <row r="43" spans="1:13" s="5" customFormat="1" ht="32.4" customHeight="1" x14ac:dyDescent="0.25">
      <c r="A43" s="79" t="s">
        <v>285</v>
      </c>
      <c r="B43" s="95" t="s">
        <v>136</v>
      </c>
      <c r="C43" s="53" t="s">
        <v>34</v>
      </c>
      <c r="D43" s="53">
        <v>1</v>
      </c>
      <c r="E43" s="53">
        <v>30</v>
      </c>
      <c r="F43" s="80">
        <v>45909</v>
      </c>
      <c r="G43" s="81">
        <v>0.375</v>
      </c>
      <c r="H43" s="80">
        <v>45906</v>
      </c>
      <c r="I43" s="81">
        <v>0.58333333333333337</v>
      </c>
      <c r="J43" s="53">
        <f t="shared" si="0"/>
        <v>0</v>
      </c>
      <c r="K43" s="53">
        <v>1</v>
      </c>
      <c r="L43" s="53">
        <v>30</v>
      </c>
      <c r="M43" s="79" t="s">
        <v>286</v>
      </c>
    </row>
    <row r="44" spans="1:13" ht="35.25" customHeight="1" x14ac:dyDescent="0.25">
      <c r="A44" s="79" t="s">
        <v>287</v>
      </c>
      <c r="B44" s="95" t="s">
        <v>21</v>
      </c>
      <c r="C44" s="53" t="s">
        <v>22</v>
      </c>
      <c r="D44" s="53">
        <v>1</v>
      </c>
      <c r="E44" s="53">
        <v>30</v>
      </c>
      <c r="F44" s="80">
        <v>45909</v>
      </c>
      <c r="G44" s="81">
        <v>0.375</v>
      </c>
      <c r="H44" s="80">
        <v>45906</v>
      </c>
      <c r="I44" s="81">
        <v>0.60416666666666663</v>
      </c>
      <c r="J44" s="53">
        <f t="shared" si="0"/>
        <v>0</v>
      </c>
      <c r="K44" s="53">
        <v>1</v>
      </c>
      <c r="L44" s="53">
        <v>30</v>
      </c>
      <c r="M44" s="79" t="s">
        <v>288</v>
      </c>
    </row>
    <row r="45" spans="1:13" s="5" customFormat="1" ht="47.1" customHeight="1" x14ac:dyDescent="0.25">
      <c r="A45" s="79" t="s">
        <v>287</v>
      </c>
      <c r="B45" s="95" t="s">
        <v>136</v>
      </c>
      <c r="C45" s="53" t="s">
        <v>34</v>
      </c>
      <c r="D45" s="53">
        <v>1</v>
      </c>
      <c r="E45" s="53">
        <v>30</v>
      </c>
      <c r="F45" s="80">
        <v>45909</v>
      </c>
      <c r="G45" s="81">
        <v>0.375</v>
      </c>
      <c r="H45" s="80">
        <v>45906</v>
      </c>
      <c r="I45" s="81">
        <v>0.60416666666666663</v>
      </c>
      <c r="J45" s="53">
        <f t="shared" si="0"/>
        <v>5</v>
      </c>
      <c r="K45" s="53">
        <v>1</v>
      </c>
      <c r="L45" s="53">
        <v>25</v>
      </c>
      <c r="M45" s="79" t="s">
        <v>288</v>
      </c>
    </row>
    <row r="46" spans="1:13" s="5" customFormat="1" ht="43.5" customHeight="1" x14ac:dyDescent="0.25">
      <c r="A46" s="79" t="s">
        <v>289</v>
      </c>
      <c r="B46" s="95" t="s">
        <v>21</v>
      </c>
      <c r="C46" s="53" t="s">
        <v>22</v>
      </c>
      <c r="D46" s="53">
        <v>1</v>
      </c>
      <c r="E46" s="53">
        <v>30</v>
      </c>
      <c r="F46" s="80">
        <v>45909</v>
      </c>
      <c r="G46" s="81">
        <v>0.375</v>
      </c>
      <c r="H46" s="80">
        <v>45906</v>
      </c>
      <c r="I46" s="81">
        <v>0.625</v>
      </c>
      <c r="J46" s="53">
        <f t="shared" si="0"/>
        <v>5</v>
      </c>
      <c r="K46" s="53">
        <v>1</v>
      </c>
      <c r="L46" s="53">
        <v>25</v>
      </c>
      <c r="M46" s="79" t="s">
        <v>290</v>
      </c>
    </row>
    <row r="47" spans="1:13" s="5" customFormat="1" ht="42.75" customHeight="1" x14ac:dyDescent="0.25">
      <c r="A47" s="53" t="s">
        <v>289</v>
      </c>
      <c r="B47" s="95" t="s">
        <v>136</v>
      </c>
      <c r="C47" s="53" t="s">
        <v>34</v>
      </c>
      <c r="D47" s="53">
        <v>1</v>
      </c>
      <c r="E47" s="53">
        <v>30</v>
      </c>
      <c r="F47" s="80">
        <v>45909</v>
      </c>
      <c r="G47" s="81">
        <v>0.375</v>
      </c>
      <c r="H47" s="80">
        <v>45906</v>
      </c>
      <c r="I47" s="81">
        <v>0.625</v>
      </c>
      <c r="J47" s="53">
        <f t="shared" si="0"/>
        <v>0</v>
      </c>
      <c r="K47" s="53">
        <v>1</v>
      </c>
      <c r="L47" s="53">
        <v>30</v>
      </c>
      <c r="M47" s="79" t="s">
        <v>290</v>
      </c>
    </row>
    <row r="48" spans="1:13" s="5" customFormat="1" ht="39" customHeight="1" x14ac:dyDescent="0.25">
      <c r="A48" s="79" t="s">
        <v>291</v>
      </c>
      <c r="B48" s="95" t="s">
        <v>21</v>
      </c>
      <c r="C48" s="53" t="s">
        <v>22</v>
      </c>
      <c r="D48" s="53">
        <v>1</v>
      </c>
      <c r="E48" s="53">
        <v>30</v>
      </c>
      <c r="F48" s="80">
        <v>45909</v>
      </c>
      <c r="G48" s="81">
        <v>0.375</v>
      </c>
      <c r="H48" s="80">
        <v>45906</v>
      </c>
      <c r="I48" s="81">
        <v>0.64583333333333337</v>
      </c>
      <c r="J48" s="53">
        <f t="shared" si="0"/>
        <v>0</v>
      </c>
      <c r="K48" s="53">
        <v>1</v>
      </c>
      <c r="L48" s="53">
        <v>30</v>
      </c>
      <c r="M48" s="79" t="s">
        <v>292</v>
      </c>
    </row>
    <row r="49" spans="1:13" s="5" customFormat="1" ht="29.25" customHeight="1" x14ac:dyDescent="0.25">
      <c r="A49" s="79" t="s">
        <v>291</v>
      </c>
      <c r="B49" s="95" t="s">
        <v>136</v>
      </c>
      <c r="C49" s="53" t="s">
        <v>34</v>
      </c>
      <c r="D49" s="53">
        <v>1</v>
      </c>
      <c r="E49" s="53">
        <v>30</v>
      </c>
      <c r="F49" s="80">
        <v>45909</v>
      </c>
      <c r="G49" s="81">
        <v>0.375</v>
      </c>
      <c r="H49" s="80">
        <v>45906</v>
      </c>
      <c r="I49" s="81">
        <v>0.64583333333333337</v>
      </c>
      <c r="J49" s="53">
        <f t="shared" si="0"/>
        <v>0</v>
      </c>
      <c r="K49" s="53">
        <v>1</v>
      </c>
      <c r="L49" s="53">
        <v>30</v>
      </c>
      <c r="M49" s="79" t="s">
        <v>292</v>
      </c>
    </row>
    <row r="50" spans="1:13" s="5" customFormat="1" ht="31.5" customHeight="1" x14ac:dyDescent="0.25">
      <c r="A50" s="79" t="s">
        <v>293</v>
      </c>
      <c r="B50" s="95" t="s">
        <v>21</v>
      </c>
      <c r="C50" s="53" t="s">
        <v>22</v>
      </c>
      <c r="D50" s="53">
        <v>2</v>
      </c>
      <c r="E50" s="53">
        <v>60</v>
      </c>
      <c r="F50" s="80">
        <v>45909</v>
      </c>
      <c r="G50" s="81">
        <v>0.375</v>
      </c>
      <c r="H50" s="80">
        <v>45906</v>
      </c>
      <c r="I50" s="81">
        <v>0.66666666666666663</v>
      </c>
      <c r="J50" s="53">
        <f t="shared" si="0"/>
        <v>35</v>
      </c>
      <c r="K50" s="53">
        <v>1</v>
      </c>
      <c r="L50" s="53">
        <v>25</v>
      </c>
      <c r="M50" s="79" t="s">
        <v>294</v>
      </c>
    </row>
    <row r="51" spans="1:13" s="5" customFormat="1" ht="26.4" customHeight="1" x14ac:dyDescent="0.25">
      <c r="A51" s="79" t="s">
        <v>293</v>
      </c>
      <c r="B51" s="95" t="s">
        <v>136</v>
      </c>
      <c r="C51" s="53" t="s">
        <v>34</v>
      </c>
      <c r="D51" s="53">
        <v>2</v>
      </c>
      <c r="E51" s="53">
        <v>60</v>
      </c>
      <c r="F51" s="80">
        <v>45909</v>
      </c>
      <c r="G51" s="81">
        <v>0.375</v>
      </c>
      <c r="H51" s="80">
        <v>45906</v>
      </c>
      <c r="I51" s="81">
        <v>0.66666666666666663</v>
      </c>
      <c r="J51" s="53">
        <f t="shared" si="0"/>
        <v>35</v>
      </c>
      <c r="K51" s="53">
        <v>1</v>
      </c>
      <c r="L51" s="53">
        <v>25</v>
      </c>
      <c r="M51" s="79" t="s">
        <v>294</v>
      </c>
    </row>
    <row r="52" spans="1:13" s="5" customFormat="1" ht="29.1" customHeight="1" x14ac:dyDescent="0.25">
      <c r="A52" s="79" t="s">
        <v>295</v>
      </c>
      <c r="B52" s="95" t="s">
        <v>21</v>
      </c>
      <c r="C52" s="53" t="s">
        <v>22</v>
      </c>
      <c r="D52" s="53">
        <v>2</v>
      </c>
      <c r="E52" s="53">
        <v>60</v>
      </c>
      <c r="F52" s="80">
        <v>45909</v>
      </c>
      <c r="G52" s="81">
        <v>0.375</v>
      </c>
      <c r="H52" s="80">
        <v>45906</v>
      </c>
      <c r="I52" s="81">
        <v>0.70833333333333337</v>
      </c>
      <c r="J52" s="53">
        <f t="shared" si="0"/>
        <v>38</v>
      </c>
      <c r="K52" s="53">
        <v>1</v>
      </c>
      <c r="L52" s="53">
        <v>22</v>
      </c>
      <c r="M52" s="79" t="s">
        <v>296</v>
      </c>
    </row>
    <row r="53" spans="1:13" s="5" customFormat="1" ht="31.5" customHeight="1" x14ac:dyDescent="0.25">
      <c r="A53" s="79" t="s">
        <v>295</v>
      </c>
      <c r="B53" s="95" t="s">
        <v>136</v>
      </c>
      <c r="C53" s="53" t="s">
        <v>34</v>
      </c>
      <c r="D53" s="53">
        <v>2</v>
      </c>
      <c r="E53" s="53">
        <v>60</v>
      </c>
      <c r="F53" s="80">
        <v>45909</v>
      </c>
      <c r="G53" s="81">
        <v>0.375</v>
      </c>
      <c r="H53" s="80">
        <v>45906</v>
      </c>
      <c r="I53" s="81">
        <v>0.75</v>
      </c>
      <c r="J53" s="53">
        <f t="shared" si="0"/>
        <v>38</v>
      </c>
      <c r="K53" s="53">
        <v>2</v>
      </c>
      <c r="L53" s="53">
        <v>22</v>
      </c>
      <c r="M53" s="79" t="s">
        <v>296</v>
      </c>
    </row>
    <row r="54" spans="1:13" s="5" customFormat="1" ht="26.1" customHeight="1" x14ac:dyDescent="0.25">
      <c r="A54" s="79" t="s">
        <v>297</v>
      </c>
      <c r="B54" s="95" t="s">
        <v>21</v>
      </c>
      <c r="C54" s="53" t="s">
        <v>22</v>
      </c>
      <c r="D54" s="53">
        <v>2</v>
      </c>
      <c r="E54" s="53">
        <v>60</v>
      </c>
      <c r="F54" s="80">
        <v>45909</v>
      </c>
      <c r="G54" s="81">
        <v>0.375</v>
      </c>
      <c r="H54" s="80">
        <v>45906</v>
      </c>
      <c r="I54" s="81">
        <v>0.79166666666666696</v>
      </c>
      <c r="J54" s="53">
        <f t="shared" si="0"/>
        <v>39</v>
      </c>
      <c r="K54" s="53">
        <v>2</v>
      </c>
      <c r="L54" s="53">
        <v>21</v>
      </c>
      <c r="M54" s="79" t="s">
        <v>298</v>
      </c>
    </row>
    <row r="55" spans="1:13" s="5" customFormat="1" ht="39" customHeight="1" x14ac:dyDescent="0.25">
      <c r="A55" s="79" t="s">
        <v>297</v>
      </c>
      <c r="B55" s="95" t="s">
        <v>136</v>
      </c>
      <c r="C55" s="53" t="s">
        <v>34</v>
      </c>
      <c r="D55" s="53">
        <v>2</v>
      </c>
      <c r="E55" s="53">
        <v>60</v>
      </c>
      <c r="F55" s="80">
        <v>45909</v>
      </c>
      <c r="G55" s="81">
        <v>0.375</v>
      </c>
      <c r="H55" s="80">
        <v>45906</v>
      </c>
      <c r="I55" s="81">
        <v>0.83333333333333304</v>
      </c>
      <c r="J55" s="53">
        <f t="shared" si="0"/>
        <v>39</v>
      </c>
      <c r="K55" s="53">
        <v>2</v>
      </c>
      <c r="L55" s="53">
        <v>21</v>
      </c>
      <c r="M55" s="79" t="s">
        <v>298</v>
      </c>
    </row>
    <row r="56" spans="1:13" s="5" customFormat="1" ht="40.5" customHeight="1" x14ac:dyDescent="0.25">
      <c r="A56" s="79" t="s">
        <v>299</v>
      </c>
      <c r="B56" s="95" t="s">
        <v>30</v>
      </c>
      <c r="C56" s="53" t="s">
        <v>31</v>
      </c>
      <c r="D56" s="53">
        <v>1</v>
      </c>
      <c r="E56" s="53">
        <v>30</v>
      </c>
      <c r="F56" s="80">
        <v>45909</v>
      </c>
      <c r="G56" s="81">
        <v>0.375</v>
      </c>
      <c r="H56" s="80">
        <v>45907</v>
      </c>
      <c r="I56" s="81">
        <v>0.5</v>
      </c>
      <c r="J56" s="53">
        <f t="shared" si="0"/>
        <v>0</v>
      </c>
      <c r="K56" s="53">
        <v>2</v>
      </c>
      <c r="L56" s="53">
        <v>30</v>
      </c>
      <c r="M56" s="79" t="s">
        <v>300</v>
      </c>
    </row>
    <row r="57" spans="1:13" s="5" customFormat="1" ht="40.5" customHeight="1" x14ac:dyDescent="0.25">
      <c r="A57" s="53" t="s">
        <v>299</v>
      </c>
      <c r="B57" s="95" t="s">
        <v>39</v>
      </c>
      <c r="C57" s="53" t="s">
        <v>40</v>
      </c>
      <c r="D57" s="53">
        <v>1</v>
      </c>
      <c r="E57" s="53">
        <v>30</v>
      </c>
      <c r="F57" s="80">
        <v>45909</v>
      </c>
      <c r="G57" s="81">
        <v>0.375</v>
      </c>
      <c r="H57" s="80">
        <v>45907</v>
      </c>
      <c r="I57" s="81">
        <v>0.52083333333333337</v>
      </c>
      <c r="J57" s="53">
        <f t="shared" si="0"/>
        <v>0</v>
      </c>
      <c r="K57" s="53">
        <v>2</v>
      </c>
      <c r="L57" s="53">
        <v>30</v>
      </c>
      <c r="M57" s="79" t="s">
        <v>300</v>
      </c>
    </row>
    <row r="58" spans="1:13" s="5" customFormat="1" ht="38.25" customHeight="1" x14ac:dyDescent="0.25">
      <c r="A58" s="79" t="s">
        <v>301</v>
      </c>
      <c r="B58" s="95" t="s">
        <v>30</v>
      </c>
      <c r="C58" s="53" t="s">
        <v>31</v>
      </c>
      <c r="D58" s="53">
        <v>1</v>
      </c>
      <c r="E58" s="53">
        <v>30</v>
      </c>
      <c r="F58" s="80">
        <v>45909</v>
      </c>
      <c r="G58" s="81">
        <v>0.375</v>
      </c>
      <c r="H58" s="80">
        <v>45907</v>
      </c>
      <c r="I58" s="81">
        <v>0.54166666666666663</v>
      </c>
      <c r="J58" s="53">
        <f t="shared" si="0"/>
        <v>0</v>
      </c>
      <c r="K58" s="53">
        <v>2</v>
      </c>
      <c r="L58" s="53">
        <v>30</v>
      </c>
      <c r="M58" s="79" t="s">
        <v>302</v>
      </c>
    </row>
    <row r="59" spans="1:13" s="5" customFormat="1" ht="38.25" customHeight="1" x14ac:dyDescent="0.25">
      <c r="A59" s="79" t="s">
        <v>301</v>
      </c>
      <c r="B59" s="95" t="s">
        <v>39</v>
      </c>
      <c r="C59" s="53" t="s">
        <v>40</v>
      </c>
      <c r="D59" s="53">
        <v>1</v>
      </c>
      <c r="E59" s="53">
        <v>30</v>
      </c>
      <c r="F59" s="80">
        <v>45909</v>
      </c>
      <c r="G59" s="81">
        <v>0.375</v>
      </c>
      <c r="H59" s="80">
        <v>45907</v>
      </c>
      <c r="I59" s="81">
        <v>0.5625</v>
      </c>
      <c r="J59" s="53">
        <f t="shared" si="0"/>
        <v>0</v>
      </c>
      <c r="K59" s="53">
        <v>1</v>
      </c>
      <c r="L59" s="53">
        <v>30</v>
      </c>
      <c r="M59" s="79" t="s">
        <v>302</v>
      </c>
    </row>
    <row r="60" spans="1:13" s="5" customFormat="1" ht="27" customHeight="1" x14ac:dyDescent="0.25">
      <c r="A60" s="79" t="s">
        <v>303</v>
      </c>
      <c r="B60" s="95" t="s">
        <v>30</v>
      </c>
      <c r="C60" s="53" t="s">
        <v>31</v>
      </c>
      <c r="D60" s="53">
        <v>1</v>
      </c>
      <c r="E60" s="53">
        <v>30</v>
      </c>
      <c r="F60" s="80">
        <v>45909</v>
      </c>
      <c r="G60" s="81">
        <v>0.375</v>
      </c>
      <c r="H60" s="80">
        <v>45907</v>
      </c>
      <c r="I60" s="81">
        <v>0.58333333333333337</v>
      </c>
      <c r="J60" s="53">
        <f t="shared" si="0"/>
        <v>-5</v>
      </c>
      <c r="K60" s="53">
        <v>1</v>
      </c>
      <c r="L60" s="53">
        <v>35</v>
      </c>
      <c r="M60" s="79" t="s">
        <v>304</v>
      </c>
    </row>
    <row r="61" spans="1:13" s="5" customFormat="1" ht="33" customHeight="1" x14ac:dyDescent="0.25">
      <c r="A61" s="79" t="s">
        <v>303</v>
      </c>
      <c r="B61" s="95" t="s">
        <v>39</v>
      </c>
      <c r="C61" s="53" t="s">
        <v>40</v>
      </c>
      <c r="D61" s="53">
        <v>1</v>
      </c>
      <c r="E61" s="53">
        <v>30</v>
      </c>
      <c r="F61" s="80">
        <v>45909</v>
      </c>
      <c r="G61" s="81">
        <v>0.375</v>
      </c>
      <c r="H61" s="80">
        <v>45907</v>
      </c>
      <c r="I61" s="81">
        <v>0.60416666666666663</v>
      </c>
      <c r="J61" s="53">
        <f t="shared" si="0"/>
        <v>6</v>
      </c>
      <c r="K61" s="53">
        <v>1</v>
      </c>
      <c r="L61" s="53">
        <v>24</v>
      </c>
      <c r="M61" s="79" t="s">
        <v>304</v>
      </c>
    </row>
    <row r="62" spans="1:13" s="5" customFormat="1" ht="33.75" customHeight="1" x14ac:dyDescent="0.25">
      <c r="A62" s="79" t="s">
        <v>305</v>
      </c>
      <c r="B62" s="95" t="s">
        <v>30</v>
      </c>
      <c r="C62" s="53" t="s">
        <v>31</v>
      </c>
      <c r="D62" s="53">
        <v>2</v>
      </c>
      <c r="E62" s="53">
        <v>20</v>
      </c>
      <c r="F62" s="80">
        <v>45909</v>
      </c>
      <c r="G62" s="81">
        <v>0.375</v>
      </c>
      <c r="H62" s="80">
        <v>45907</v>
      </c>
      <c r="I62" s="81">
        <v>0.625</v>
      </c>
      <c r="J62" s="53">
        <f t="shared" si="0"/>
        <v>0</v>
      </c>
      <c r="K62" s="53">
        <v>1</v>
      </c>
      <c r="L62" s="53">
        <v>20</v>
      </c>
      <c r="M62" s="53" t="s">
        <v>306</v>
      </c>
    </row>
    <row r="63" spans="1:13" s="5" customFormat="1" ht="32.25" customHeight="1" x14ac:dyDescent="0.25">
      <c r="A63" s="79" t="s">
        <v>305</v>
      </c>
      <c r="B63" s="95" t="s">
        <v>39</v>
      </c>
      <c r="C63" s="53" t="s">
        <v>40</v>
      </c>
      <c r="D63" s="53">
        <v>2</v>
      </c>
      <c r="E63" s="53">
        <v>20</v>
      </c>
      <c r="F63" s="80">
        <v>45909</v>
      </c>
      <c r="G63" s="81">
        <v>0.375</v>
      </c>
      <c r="H63" s="80">
        <v>45907</v>
      </c>
      <c r="I63" s="81">
        <v>0.63888888888888884</v>
      </c>
      <c r="J63" s="53">
        <f t="shared" si="0"/>
        <v>0</v>
      </c>
      <c r="K63" s="53">
        <v>1</v>
      </c>
      <c r="L63" s="53">
        <v>20</v>
      </c>
      <c r="M63" t="s">
        <v>306</v>
      </c>
    </row>
    <row r="64" spans="1:13" s="5" customFormat="1" ht="27" customHeight="1" x14ac:dyDescent="0.25">
      <c r="A64" s="79" t="s">
        <v>308</v>
      </c>
      <c r="B64" s="95" t="s">
        <v>30</v>
      </c>
      <c r="C64" s="53" t="s">
        <v>31</v>
      </c>
      <c r="D64" s="53">
        <v>1</v>
      </c>
      <c r="E64" s="53">
        <v>20</v>
      </c>
      <c r="F64" s="80">
        <v>45909</v>
      </c>
      <c r="G64" s="81">
        <v>0.375</v>
      </c>
      <c r="H64" s="80">
        <v>45907</v>
      </c>
      <c r="I64" s="81">
        <v>0.65277777777777779</v>
      </c>
      <c r="J64" s="53">
        <f t="shared" si="0"/>
        <v>0</v>
      </c>
      <c r="K64" s="53">
        <v>1</v>
      </c>
      <c r="L64" s="53">
        <v>20</v>
      </c>
      <c r="M64" s="79" t="s">
        <v>307</v>
      </c>
    </row>
    <row r="65" spans="1:13" s="5" customFormat="1" ht="24.9" customHeight="1" x14ac:dyDescent="0.25">
      <c r="A65" s="79" t="s">
        <v>308</v>
      </c>
      <c r="B65" s="95" t="s">
        <v>39</v>
      </c>
      <c r="C65" s="53" t="s">
        <v>40</v>
      </c>
      <c r="D65" s="53">
        <v>1</v>
      </c>
      <c r="E65" s="53">
        <v>20</v>
      </c>
      <c r="F65" s="80">
        <v>45909</v>
      </c>
      <c r="G65" s="81">
        <v>0.375</v>
      </c>
      <c r="H65" s="80">
        <v>45907</v>
      </c>
      <c r="I65" s="81">
        <v>0.66666666666666663</v>
      </c>
      <c r="J65" s="53">
        <f t="shared" si="0"/>
        <v>-5</v>
      </c>
      <c r="K65" s="53">
        <v>1</v>
      </c>
      <c r="L65" s="53">
        <v>25</v>
      </c>
      <c r="M65" s="79" t="s">
        <v>307</v>
      </c>
    </row>
    <row r="66" spans="1:13" s="5" customFormat="1" ht="28.5" customHeight="1" x14ac:dyDescent="0.25">
      <c r="A66" s="79" t="s">
        <v>309</v>
      </c>
      <c r="B66" s="95" t="s">
        <v>30</v>
      </c>
      <c r="C66" s="53" t="s">
        <v>31</v>
      </c>
      <c r="D66" s="53">
        <v>1</v>
      </c>
      <c r="E66" s="53">
        <v>20</v>
      </c>
      <c r="F66" s="80">
        <v>45909</v>
      </c>
      <c r="G66" s="81">
        <v>0.375</v>
      </c>
      <c r="H66" s="80">
        <v>45907</v>
      </c>
      <c r="I66" s="81">
        <v>0.68055555555555558</v>
      </c>
      <c r="J66" s="53">
        <f t="shared" si="0"/>
        <v>-5</v>
      </c>
      <c r="K66" s="53">
        <v>1</v>
      </c>
      <c r="L66" s="53">
        <v>25</v>
      </c>
      <c r="M66" s="79" t="s">
        <v>310</v>
      </c>
    </row>
    <row r="67" spans="1:13" s="5" customFormat="1" ht="35.4" customHeight="1" x14ac:dyDescent="0.25">
      <c r="A67" s="79" t="s">
        <v>309</v>
      </c>
      <c r="B67" s="95" t="s">
        <v>39</v>
      </c>
      <c r="C67" s="53" t="s">
        <v>40</v>
      </c>
      <c r="D67" s="53">
        <v>1</v>
      </c>
      <c r="E67" s="53">
        <v>20</v>
      </c>
      <c r="F67" s="80">
        <v>45909</v>
      </c>
      <c r="G67" s="81">
        <v>0.375</v>
      </c>
      <c r="H67" s="80">
        <v>45907</v>
      </c>
      <c r="I67" s="81">
        <v>0.69444444444444442</v>
      </c>
      <c r="J67" s="53">
        <f t="shared" si="0"/>
        <v>5</v>
      </c>
      <c r="K67" s="53">
        <v>1</v>
      </c>
      <c r="L67" s="53">
        <v>15</v>
      </c>
      <c r="M67" s="79" t="s">
        <v>310</v>
      </c>
    </row>
    <row r="68" spans="1:13" s="5" customFormat="1" ht="36.6" customHeight="1" x14ac:dyDescent="0.25">
      <c r="A68" s="79" t="s">
        <v>311</v>
      </c>
      <c r="B68" s="95" t="s">
        <v>30</v>
      </c>
      <c r="C68" s="53" t="s">
        <v>31</v>
      </c>
      <c r="D68" s="53">
        <v>1</v>
      </c>
      <c r="E68" s="53">
        <v>20</v>
      </c>
      <c r="F68" s="80">
        <v>45909</v>
      </c>
      <c r="G68" s="81">
        <v>0.375</v>
      </c>
      <c r="H68" s="80">
        <v>45907</v>
      </c>
      <c r="I68" s="81">
        <v>0.70833333333333337</v>
      </c>
      <c r="J68" s="53">
        <f t="shared" si="0"/>
        <v>10</v>
      </c>
      <c r="K68" s="53">
        <v>1</v>
      </c>
      <c r="L68" s="53">
        <v>10</v>
      </c>
      <c r="M68" s="53" t="s">
        <v>312</v>
      </c>
    </row>
    <row r="69" spans="1:13" s="5" customFormat="1" ht="36.6" customHeight="1" x14ac:dyDescent="0.25">
      <c r="A69" s="79" t="s">
        <v>311</v>
      </c>
      <c r="B69" s="95" t="s">
        <v>39</v>
      </c>
      <c r="C69" s="53" t="s">
        <v>40</v>
      </c>
      <c r="D69" s="53">
        <v>1</v>
      </c>
      <c r="E69" s="53">
        <v>20</v>
      </c>
      <c r="F69" s="80">
        <v>45909</v>
      </c>
      <c r="G69" s="81" t="s">
        <v>306</v>
      </c>
      <c r="H69" s="80">
        <v>45907</v>
      </c>
      <c r="I69" s="81">
        <v>0.72222222222222221</v>
      </c>
      <c r="J69" s="53">
        <f t="shared" si="0"/>
        <v>10</v>
      </c>
      <c r="K69" s="53">
        <v>1</v>
      </c>
      <c r="L69" s="53">
        <v>10</v>
      </c>
      <c r="M69" s="53" t="s">
        <v>312</v>
      </c>
    </row>
    <row r="70" spans="1:13" s="5" customFormat="1" ht="35.4" customHeight="1" x14ac:dyDescent="0.25">
      <c r="A70" s="79" t="s">
        <v>313</v>
      </c>
      <c r="B70" s="95" t="s">
        <v>30</v>
      </c>
      <c r="C70" s="53" t="s">
        <v>31</v>
      </c>
      <c r="D70" s="53">
        <v>1</v>
      </c>
      <c r="E70" s="53">
        <v>20</v>
      </c>
      <c r="F70" s="80">
        <v>45909</v>
      </c>
      <c r="G70" s="81">
        <v>0.375</v>
      </c>
      <c r="H70" s="80">
        <v>45907</v>
      </c>
      <c r="I70" s="81">
        <v>0.73611111111111116</v>
      </c>
      <c r="J70" s="53">
        <f t="shared" si="0"/>
        <v>10</v>
      </c>
      <c r="K70" s="53">
        <v>1</v>
      </c>
      <c r="L70" s="53">
        <v>10</v>
      </c>
      <c r="M70" s="79" t="s">
        <v>314</v>
      </c>
    </row>
    <row r="71" spans="1:13" s="5" customFormat="1" ht="35.4" customHeight="1" x14ac:dyDescent="0.25">
      <c r="A71" s="79" t="s">
        <v>313</v>
      </c>
      <c r="B71" s="95" t="s">
        <v>39</v>
      </c>
      <c r="C71" s="53" t="s">
        <v>40</v>
      </c>
      <c r="D71" s="53">
        <v>1</v>
      </c>
      <c r="E71" s="53">
        <v>20</v>
      </c>
      <c r="F71" s="80">
        <v>45909</v>
      </c>
      <c r="G71" s="81">
        <v>0.375</v>
      </c>
      <c r="H71" s="80">
        <v>45907</v>
      </c>
      <c r="I71" s="81">
        <v>0.75</v>
      </c>
      <c r="J71" s="53">
        <f t="shared" si="0"/>
        <v>5</v>
      </c>
      <c r="K71" s="53">
        <v>1</v>
      </c>
      <c r="L71" s="53">
        <v>15</v>
      </c>
      <c r="M71" s="79" t="s">
        <v>314</v>
      </c>
    </row>
    <row r="72" spans="1:13" s="5" customFormat="1" ht="35.4" customHeight="1" x14ac:dyDescent="0.25">
      <c r="A72" s="79" t="s">
        <v>315</v>
      </c>
      <c r="B72" s="95" t="s">
        <v>30</v>
      </c>
      <c r="C72" s="53" t="s">
        <v>31</v>
      </c>
      <c r="D72" s="53">
        <v>1</v>
      </c>
      <c r="E72" s="53">
        <v>10</v>
      </c>
      <c r="F72" s="80">
        <v>45909</v>
      </c>
      <c r="G72" s="81">
        <v>0.375</v>
      </c>
      <c r="H72" s="80">
        <v>45907</v>
      </c>
      <c r="I72" s="81">
        <v>0.75694444444444442</v>
      </c>
      <c r="J72" s="53">
        <f t="shared" si="0"/>
        <v>0</v>
      </c>
      <c r="K72" s="53">
        <v>1</v>
      </c>
      <c r="L72" s="53">
        <v>10</v>
      </c>
      <c r="M72" s="79" t="s">
        <v>316</v>
      </c>
    </row>
    <row r="73" spans="1:13" s="5" customFormat="1" ht="35.4" customHeight="1" x14ac:dyDescent="0.25">
      <c r="A73" s="79" t="s">
        <v>315</v>
      </c>
      <c r="B73" s="95" t="s">
        <v>39</v>
      </c>
      <c r="C73" s="53" t="s">
        <v>40</v>
      </c>
      <c r="D73" s="53">
        <v>1</v>
      </c>
      <c r="E73" s="53">
        <v>10</v>
      </c>
      <c r="F73" s="80">
        <v>45909</v>
      </c>
      <c r="G73" s="81">
        <v>0.375</v>
      </c>
      <c r="H73" s="80">
        <v>45907</v>
      </c>
      <c r="I73" s="81">
        <v>0.76388888888888884</v>
      </c>
      <c r="J73" s="53">
        <f t="shared" si="0"/>
        <v>0</v>
      </c>
      <c r="K73" s="53">
        <v>1</v>
      </c>
      <c r="L73" s="53">
        <v>10</v>
      </c>
      <c r="M73" s="79" t="s">
        <v>316</v>
      </c>
    </row>
    <row r="74" spans="1:13" s="5" customFormat="1" ht="35.4" customHeight="1" x14ac:dyDescent="0.25">
      <c r="A74" s="99" t="s">
        <v>471</v>
      </c>
      <c r="B74" s="53" t="s">
        <v>36</v>
      </c>
      <c r="C74" s="53" t="s">
        <v>37</v>
      </c>
      <c r="D74" s="53">
        <v>1</v>
      </c>
      <c r="E74" s="53">
        <v>30</v>
      </c>
      <c r="F74" s="80">
        <v>45909</v>
      </c>
      <c r="G74" s="81">
        <v>0.375</v>
      </c>
      <c r="H74" s="80">
        <v>45930</v>
      </c>
      <c r="I74" s="81">
        <v>0.79166666666666663</v>
      </c>
      <c r="J74" s="87">
        <f t="shared" si="0"/>
        <v>0</v>
      </c>
      <c r="K74" s="53">
        <v>3</v>
      </c>
      <c r="L74" s="53">
        <v>30</v>
      </c>
      <c r="M74" s="79" t="s">
        <v>472</v>
      </c>
    </row>
    <row r="75" spans="1:13" s="5" customFormat="1" ht="35.4" customHeight="1" x14ac:dyDescent="0.2">
      <c r="A75" s="92" t="s">
        <v>123</v>
      </c>
      <c r="B75" s="90" t="s">
        <v>36</v>
      </c>
      <c r="C75" s="85" t="s">
        <v>37</v>
      </c>
      <c r="D75" s="49">
        <v>1</v>
      </c>
      <c r="E75" s="49">
        <v>20</v>
      </c>
      <c r="F75" s="85">
        <v>45909</v>
      </c>
      <c r="G75" s="86">
        <v>0.375</v>
      </c>
      <c r="H75" s="85">
        <v>45907</v>
      </c>
      <c r="I75" s="86">
        <v>0.80555555555555558</v>
      </c>
      <c r="J75" s="87">
        <f t="shared" ref="J75:J97" si="1">E75-L75</f>
        <v>0</v>
      </c>
      <c r="K75" s="8">
        <v>1</v>
      </c>
      <c r="L75" s="88">
        <v>20</v>
      </c>
      <c r="M75" s="93" t="s">
        <v>124</v>
      </c>
    </row>
    <row r="76" spans="1:13" s="5" customFormat="1" ht="35.4" customHeight="1" x14ac:dyDescent="0.2">
      <c r="A76" s="38" t="s">
        <v>123</v>
      </c>
      <c r="B76" s="90" t="s">
        <v>143</v>
      </c>
      <c r="C76" s="85" t="s">
        <v>43</v>
      </c>
      <c r="D76" s="49">
        <v>1</v>
      </c>
      <c r="E76" s="49">
        <v>20</v>
      </c>
      <c r="F76" s="85">
        <v>45909</v>
      </c>
      <c r="G76" s="86">
        <v>0.375</v>
      </c>
      <c r="H76" s="85">
        <v>45907</v>
      </c>
      <c r="I76" s="86">
        <v>0.80555555555555558</v>
      </c>
      <c r="J76" s="87">
        <f t="shared" si="1"/>
        <v>0</v>
      </c>
      <c r="K76" s="8">
        <v>1</v>
      </c>
      <c r="L76" s="88">
        <v>20</v>
      </c>
      <c r="M76" s="93" t="s">
        <v>124</v>
      </c>
    </row>
    <row r="77" spans="1:13" s="5" customFormat="1" ht="35.4" customHeight="1" x14ac:dyDescent="0.25">
      <c r="A77" s="13" t="s">
        <v>175</v>
      </c>
      <c r="B77" s="96" t="s">
        <v>36</v>
      </c>
      <c r="C77" s="13" t="s">
        <v>37</v>
      </c>
      <c r="D77" s="53">
        <v>1</v>
      </c>
      <c r="E77" s="53">
        <v>30</v>
      </c>
      <c r="F77" s="13">
        <v>45909</v>
      </c>
      <c r="G77" s="86">
        <v>0.375</v>
      </c>
      <c r="H77" s="13">
        <v>45907</v>
      </c>
      <c r="I77" s="12">
        <v>0.83333333333333337</v>
      </c>
      <c r="J77" s="53">
        <f t="shared" si="1"/>
        <v>6</v>
      </c>
      <c r="K77" s="50">
        <v>1</v>
      </c>
      <c r="L77" s="68">
        <v>24</v>
      </c>
      <c r="M77" s="52" t="s">
        <v>176</v>
      </c>
    </row>
    <row r="78" spans="1:13" s="5" customFormat="1" ht="35.4" customHeight="1" x14ac:dyDescent="0.25">
      <c r="A78" s="13" t="s">
        <v>177</v>
      </c>
      <c r="B78" s="96" t="s">
        <v>39</v>
      </c>
      <c r="C78" s="13" t="s">
        <v>40</v>
      </c>
      <c r="D78" s="53">
        <v>1</v>
      </c>
      <c r="E78" s="53">
        <v>30</v>
      </c>
      <c r="F78" s="13">
        <v>45909</v>
      </c>
      <c r="G78" s="86">
        <v>0.375</v>
      </c>
      <c r="H78" s="13">
        <v>45907</v>
      </c>
      <c r="I78" s="12">
        <v>0.83333333333333337</v>
      </c>
      <c r="J78" s="53">
        <f t="shared" si="1"/>
        <v>0</v>
      </c>
      <c r="K78" s="50">
        <v>1</v>
      </c>
      <c r="L78" s="68">
        <v>30</v>
      </c>
      <c r="M78" s="52" t="s">
        <v>178</v>
      </c>
    </row>
    <row r="79" spans="1:13" s="5" customFormat="1" ht="35.4" customHeight="1" x14ac:dyDescent="0.25">
      <c r="A79" s="61" t="s">
        <v>179</v>
      </c>
      <c r="B79" s="96" t="s">
        <v>39</v>
      </c>
      <c r="C79" s="13" t="s">
        <v>40</v>
      </c>
      <c r="D79" s="53">
        <v>5</v>
      </c>
      <c r="E79" s="53">
        <v>50</v>
      </c>
      <c r="F79" s="13">
        <v>45909</v>
      </c>
      <c r="G79" s="86">
        <v>0.375</v>
      </c>
      <c r="H79" s="13">
        <v>45907</v>
      </c>
      <c r="I79" s="12">
        <v>0.86805555555555558</v>
      </c>
      <c r="J79" s="53">
        <f t="shared" si="1"/>
        <v>5</v>
      </c>
      <c r="K79" s="50">
        <v>5</v>
      </c>
      <c r="L79" s="68">
        <v>45</v>
      </c>
      <c r="M79" s="52" t="s">
        <v>180</v>
      </c>
    </row>
    <row r="80" spans="1:13" s="5" customFormat="1" ht="35.4" customHeight="1" x14ac:dyDescent="0.2">
      <c r="A80" s="23" t="s">
        <v>146</v>
      </c>
      <c r="B80" s="90" t="s">
        <v>30</v>
      </c>
      <c r="C80" s="90" t="s">
        <v>207</v>
      </c>
      <c r="D80" s="84">
        <v>1</v>
      </c>
      <c r="E80" s="49">
        <v>60</v>
      </c>
      <c r="F80" s="85">
        <v>45909</v>
      </c>
      <c r="G80" s="86">
        <v>0.375</v>
      </c>
      <c r="H80" s="85">
        <v>45907</v>
      </c>
      <c r="I80" s="86">
        <v>0.91666666666666663</v>
      </c>
      <c r="J80" s="87">
        <f t="shared" si="1"/>
        <v>50</v>
      </c>
      <c r="K80" s="8">
        <v>1</v>
      </c>
      <c r="L80" s="88">
        <v>10</v>
      </c>
      <c r="M80" s="91" t="s">
        <v>149</v>
      </c>
    </row>
    <row r="81" spans="1:13" s="5" customFormat="1" ht="35.4" customHeight="1" x14ac:dyDescent="0.2">
      <c r="A81" s="23" t="s">
        <v>146</v>
      </c>
      <c r="B81" s="90" t="s">
        <v>42</v>
      </c>
      <c r="C81" s="85" t="s">
        <v>77</v>
      </c>
      <c r="D81" s="84">
        <v>1</v>
      </c>
      <c r="E81" s="49">
        <v>60</v>
      </c>
      <c r="F81" s="85">
        <v>45909</v>
      </c>
      <c r="G81" s="86">
        <v>0.375</v>
      </c>
      <c r="H81" s="85">
        <v>45907</v>
      </c>
      <c r="I81" s="86">
        <v>0.91666666666666663</v>
      </c>
      <c r="J81" s="87">
        <f t="shared" si="1"/>
        <v>50</v>
      </c>
      <c r="K81" s="8">
        <v>1</v>
      </c>
      <c r="L81" s="88">
        <v>10</v>
      </c>
      <c r="M81" s="91" t="s">
        <v>149</v>
      </c>
    </row>
    <row r="82" spans="1:13" s="5" customFormat="1" ht="37.5" customHeight="1" x14ac:dyDescent="0.2">
      <c r="A82" s="23" t="s">
        <v>146</v>
      </c>
      <c r="B82" s="90" t="s">
        <v>21</v>
      </c>
      <c r="C82" s="85" t="s">
        <v>86</v>
      </c>
      <c r="D82" s="84">
        <v>1</v>
      </c>
      <c r="E82" s="49">
        <v>60</v>
      </c>
      <c r="F82" s="85">
        <v>45909</v>
      </c>
      <c r="G82" s="86">
        <v>0.375</v>
      </c>
      <c r="H82" s="85">
        <v>45907</v>
      </c>
      <c r="I82" s="86">
        <v>0.91666666666666663</v>
      </c>
      <c r="J82" s="87">
        <f t="shared" si="1"/>
        <v>50</v>
      </c>
      <c r="K82" s="8">
        <v>1</v>
      </c>
      <c r="L82" s="88">
        <v>10</v>
      </c>
      <c r="M82" s="91" t="s">
        <v>149</v>
      </c>
    </row>
    <row r="83" spans="1:13" ht="23.4" x14ac:dyDescent="0.25">
      <c r="A83" s="23" t="s">
        <v>146</v>
      </c>
      <c r="B83" s="90" t="s">
        <v>136</v>
      </c>
      <c r="C83" s="85" t="s">
        <v>151</v>
      </c>
      <c r="D83" s="84">
        <v>1</v>
      </c>
      <c r="E83" s="49">
        <v>60</v>
      </c>
      <c r="F83" s="85">
        <v>45909</v>
      </c>
      <c r="G83" s="86">
        <v>0.375</v>
      </c>
      <c r="H83" s="85">
        <v>45907</v>
      </c>
      <c r="I83" s="86">
        <v>0.91666666666666663</v>
      </c>
      <c r="J83" s="87">
        <f t="shared" si="1"/>
        <v>50</v>
      </c>
      <c r="K83" s="8">
        <v>1</v>
      </c>
      <c r="L83" s="88">
        <v>10</v>
      </c>
      <c r="M83" s="91" t="s">
        <v>149</v>
      </c>
    </row>
    <row r="84" spans="1:13" ht="23.4" x14ac:dyDescent="0.25">
      <c r="A84" s="23" t="s">
        <v>146</v>
      </c>
      <c r="B84" s="90" t="s">
        <v>36</v>
      </c>
      <c r="C84" s="85" t="s">
        <v>80</v>
      </c>
      <c r="D84" s="84">
        <v>1</v>
      </c>
      <c r="E84" s="49">
        <v>60</v>
      </c>
      <c r="F84" s="85">
        <v>45909</v>
      </c>
      <c r="G84" s="86">
        <v>0.375</v>
      </c>
      <c r="H84" s="85">
        <v>45907</v>
      </c>
      <c r="I84" s="86">
        <v>0.91666666666666663</v>
      </c>
      <c r="J84" s="87">
        <f t="shared" si="1"/>
        <v>50</v>
      </c>
      <c r="K84" s="8">
        <v>1</v>
      </c>
      <c r="L84" s="88">
        <v>10</v>
      </c>
      <c r="M84" s="91" t="s">
        <v>149</v>
      </c>
    </row>
    <row r="85" spans="1:13" ht="23.4" x14ac:dyDescent="0.25">
      <c r="A85" s="23" t="s">
        <v>146</v>
      </c>
      <c r="B85" s="90" t="s">
        <v>39</v>
      </c>
      <c r="C85" s="85" t="s">
        <v>150</v>
      </c>
      <c r="D85" s="84">
        <v>1</v>
      </c>
      <c r="E85" s="49">
        <v>60</v>
      </c>
      <c r="F85" s="85">
        <v>45909</v>
      </c>
      <c r="G85" s="86">
        <v>0.375</v>
      </c>
      <c r="H85" s="85">
        <v>45907</v>
      </c>
      <c r="I85" s="86">
        <v>0.91666666666666663</v>
      </c>
      <c r="J85" s="87">
        <f t="shared" si="1"/>
        <v>50</v>
      </c>
      <c r="K85" s="8">
        <v>1</v>
      </c>
      <c r="L85" s="88">
        <v>10</v>
      </c>
      <c r="M85" s="91" t="s">
        <v>149</v>
      </c>
    </row>
    <row r="86" spans="1:13" ht="23.4" x14ac:dyDescent="0.25">
      <c r="A86" s="23" t="s">
        <v>52</v>
      </c>
      <c r="B86" s="90" t="s">
        <v>21</v>
      </c>
      <c r="C86" s="90" t="s">
        <v>22</v>
      </c>
      <c r="D86" s="84">
        <v>1</v>
      </c>
      <c r="E86" s="49">
        <v>30</v>
      </c>
      <c r="F86" s="85">
        <v>45909</v>
      </c>
      <c r="G86" s="86">
        <v>0.375</v>
      </c>
      <c r="H86" s="85">
        <v>45907</v>
      </c>
      <c r="I86" s="86">
        <v>0.91666666666666663</v>
      </c>
      <c r="J86" s="87">
        <f t="shared" si="1"/>
        <v>0</v>
      </c>
      <c r="K86" s="8">
        <v>1</v>
      </c>
      <c r="L86" s="88">
        <v>30</v>
      </c>
      <c r="M86" s="91" t="s">
        <v>53</v>
      </c>
    </row>
    <row r="87" spans="1:13" ht="23.4" x14ac:dyDescent="0.25">
      <c r="A87" s="23" t="s">
        <v>153</v>
      </c>
      <c r="B87" s="90" t="s">
        <v>36</v>
      </c>
      <c r="C87" s="90" t="s">
        <v>37</v>
      </c>
      <c r="D87" s="84">
        <v>1</v>
      </c>
      <c r="E87" s="5">
        <v>30</v>
      </c>
      <c r="F87" s="85">
        <v>45909</v>
      </c>
      <c r="G87" s="86">
        <v>0.375</v>
      </c>
      <c r="H87" s="85">
        <v>45907</v>
      </c>
      <c r="I87" s="86">
        <v>0.91666666666666663</v>
      </c>
      <c r="J87" s="87">
        <f t="shared" si="1"/>
        <v>0</v>
      </c>
      <c r="K87" s="8">
        <v>1</v>
      </c>
      <c r="L87" s="88">
        <v>30</v>
      </c>
      <c r="M87" s="91" t="s">
        <v>53</v>
      </c>
    </row>
    <row r="88" spans="1:13" ht="23.4" x14ac:dyDescent="0.25">
      <c r="A88" s="23" t="s">
        <v>79</v>
      </c>
      <c r="B88" s="90" t="s">
        <v>36</v>
      </c>
      <c r="C88" s="90" t="s">
        <v>37</v>
      </c>
      <c r="D88" s="84">
        <v>1</v>
      </c>
      <c r="E88" s="49">
        <v>45</v>
      </c>
      <c r="F88" s="85">
        <v>45909</v>
      </c>
      <c r="G88" s="86">
        <v>0.375</v>
      </c>
      <c r="H88" s="85">
        <v>45907</v>
      </c>
      <c r="I88" s="86">
        <v>0.9375</v>
      </c>
      <c r="J88" s="87">
        <f t="shared" si="1"/>
        <v>-35</v>
      </c>
      <c r="K88" s="8">
        <v>1</v>
      </c>
      <c r="L88" s="88">
        <v>80</v>
      </c>
      <c r="M88" s="91" t="s">
        <v>81</v>
      </c>
    </row>
    <row r="89" spans="1:13" ht="34.799999999999997" x14ac:dyDescent="0.25">
      <c r="A89" s="23" t="s">
        <v>85</v>
      </c>
      <c r="B89" s="90" t="s">
        <v>21</v>
      </c>
      <c r="C89" s="90" t="s">
        <v>22</v>
      </c>
      <c r="D89" s="84">
        <v>1</v>
      </c>
      <c r="E89" s="49">
        <v>60</v>
      </c>
      <c r="F89" s="85">
        <v>45909</v>
      </c>
      <c r="G89" s="86">
        <v>0.375</v>
      </c>
      <c r="H89" s="85">
        <v>45907</v>
      </c>
      <c r="I89" s="86">
        <v>0.9375</v>
      </c>
      <c r="J89" s="87">
        <f t="shared" si="1"/>
        <v>10</v>
      </c>
      <c r="K89" s="8">
        <v>1</v>
      </c>
      <c r="L89" s="88">
        <v>50</v>
      </c>
      <c r="M89" s="91" t="s">
        <v>87</v>
      </c>
    </row>
    <row r="90" spans="1:13" x14ac:dyDescent="0.25">
      <c r="A90" s="23" t="s">
        <v>88</v>
      </c>
      <c r="B90" s="90" t="s">
        <v>21</v>
      </c>
      <c r="C90" s="85" t="s">
        <v>22</v>
      </c>
      <c r="D90" s="84">
        <v>1</v>
      </c>
      <c r="E90" s="49">
        <v>55</v>
      </c>
      <c r="F90" s="85">
        <v>45909</v>
      </c>
      <c r="G90" s="86">
        <v>0.375</v>
      </c>
      <c r="H90" s="85">
        <v>45907</v>
      </c>
      <c r="I90" s="86">
        <v>0.9375</v>
      </c>
      <c r="J90" s="87">
        <f t="shared" si="1"/>
        <v>0</v>
      </c>
      <c r="K90" s="8">
        <v>1</v>
      </c>
      <c r="L90" s="88">
        <v>55</v>
      </c>
      <c r="M90" s="91" t="s">
        <v>89</v>
      </c>
    </row>
    <row r="91" spans="1:13" ht="23.4" x14ac:dyDescent="0.25">
      <c r="A91" s="33" t="s">
        <v>131</v>
      </c>
      <c r="B91" s="90" t="s">
        <v>36</v>
      </c>
      <c r="C91" s="85" t="s">
        <v>37</v>
      </c>
      <c r="D91" s="49">
        <v>1</v>
      </c>
      <c r="E91" s="49">
        <v>30</v>
      </c>
      <c r="F91" s="85">
        <v>45909</v>
      </c>
      <c r="G91" s="86">
        <v>0.375</v>
      </c>
      <c r="H91" s="85">
        <v>45907</v>
      </c>
      <c r="I91" s="86">
        <v>0.9375</v>
      </c>
      <c r="J91" s="87">
        <f t="shared" si="1"/>
        <v>-2</v>
      </c>
      <c r="K91" s="8">
        <v>1</v>
      </c>
      <c r="L91" s="88">
        <v>32</v>
      </c>
      <c r="M91" s="91" t="s">
        <v>132</v>
      </c>
    </row>
    <row r="92" spans="1:13" ht="23.4" x14ac:dyDescent="0.25">
      <c r="A92" s="33" t="s">
        <v>131</v>
      </c>
      <c r="B92" s="90" t="s">
        <v>42</v>
      </c>
      <c r="C92" s="85" t="s">
        <v>43</v>
      </c>
      <c r="D92" s="49">
        <v>1</v>
      </c>
      <c r="E92" s="49">
        <v>30</v>
      </c>
      <c r="F92" s="85">
        <v>45909</v>
      </c>
      <c r="G92" s="86">
        <v>0.375</v>
      </c>
      <c r="H92" s="85">
        <v>45907</v>
      </c>
      <c r="I92" s="86">
        <v>0.9375</v>
      </c>
      <c r="J92" s="87">
        <f t="shared" si="1"/>
        <v>-2</v>
      </c>
      <c r="K92" s="8">
        <v>1</v>
      </c>
      <c r="L92" s="88">
        <v>32</v>
      </c>
      <c r="M92" s="91" t="s">
        <v>132</v>
      </c>
    </row>
    <row r="93" spans="1:13" ht="23.4" x14ac:dyDescent="0.25">
      <c r="A93" s="33" t="s">
        <v>131</v>
      </c>
      <c r="B93" s="90" t="s">
        <v>30</v>
      </c>
      <c r="C93" s="85" t="s">
        <v>31</v>
      </c>
      <c r="D93" s="49">
        <v>1</v>
      </c>
      <c r="E93" s="49">
        <v>30</v>
      </c>
      <c r="F93" s="85">
        <v>45909</v>
      </c>
      <c r="G93" s="86">
        <v>0.375</v>
      </c>
      <c r="H93" s="85">
        <v>45907</v>
      </c>
      <c r="I93" s="86">
        <v>0.9375</v>
      </c>
      <c r="J93" s="87">
        <f t="shared" si="1"/>
        <v>-2</v>
      </c>
      <c r="K93" s="8">
        <v>1</v>
      </c>
      <c r="L93" s="88">
        <v>32</v>
      </c>
      <c r="M93" s="91" t="s">
        <v>132</v>
      </c>
    </row>
    <row r="94" spans="1:13" ht="23.4" x14ac:dyDescent="0.25">
      <c r="A94" s="33" t="s">
        <v>131</v>
      </c>
      <c r="B94" s="90" t="s">
        <v>21</v>
      </c>
      <c r="C94" s="85" t="s">
        <v>22</v>
      </c>
      <c r="D94" s="49">
        <v>1</v>
      </c>
      <c r="E94" s="49">
        <v>30</v>
      </c>
      <c r="F94" s="85">
        <v>45909</v>
      </c>
      <c r="G94" s="86">
        <v>0.375</v>
      </c>
      <c r="H94" s="85">
        <v>45907</v>
      </c>
      <c r="I94" s="86">
        <v>0.9375</v>
      </c>
      <c r="J94" s="87">
        <f t="shared" si="1"/>
        <v>-2</v>
      </c>
      <c r="K94" s="8">
        <v>1</v>
      </c>
      <c r="L94" s="88">
        <v>32</v>
      </c>
      <c r="M94" s="91" t="s">
        <v>132</v>
      </c>
    </row>
    <row r="95" spans="1:13" ht="23.4" x14ac:dyDescent="0.25">
      <c r="A95" s="33" t="s">
        <v>131</v>
      </c>
      <c r="B95" s="90" t="s">
        <v>136</v>
      </c>
      <c r="C95" s="85" t="s">
        <v>34</v>
      </c>
      <c r="D95" s="49">
        <v>1</v>
      </c>
      <c r="E95" s="49">
        <v>30</v>
      </c>
      <c r="F95" s="85">
        <v>45909</v>
      </c>
      <c r="G95" s="86">
        <v>0.375</v>
      </c>
      <c r="H95" s="85">
        <v>45907</v>
      </c>
      <c r="I95" s="86">
        <v>0.9375</v>
      </c>
      <c r="J95" s="87">
        <f t="shared" si="1"/>
        <v>-2</v>
      </c>
      <c r="K95" s="8">
        <v>1</v>
      </c>
      <c r="L95" s="88">
        <v>32</v>
      </c>
      <c r="M95" s="91" t="s">
        <v>132</v>
      </c>
    </row>
    <row r="96" spans="1:13" ht="23.4" x14ac:dyDescent="0.25">
      <c r="A96" s="33" t="s">
        <v>131</v>
      </c>
      <c r="B96" s="90" t="s">
        <v>39</v>
      </c>
      <c r="C96" s="85" t="s">
        <v>40</v>
      </c>
      <c r="D96" s="49">
        <v>1</v>
      </c>
      <c r="E96" s="49">
        <v>30</v>
      </c>
      <c r="F96" s="85">
        <v>45909</v>
      </c>
      <c r="G96" s="86">
        <v>0.375</v>
      </c>
      <c r="H96" s="85">
        <v>45907</v>
      </c>
      <c r="I96" s="86">
        <v>0.9375</v>
      </c>
      <c r="J96" s="87">
        <f t="shared" si="1"/>
        <v>-2</v>
      </c>
      <c r="K96" s="8">
        <v>1</v>
      </c>
      <c r="L96" s="88">
        <v>32</v>
      </c>
      <c r="M96" s="91" t="s">
        <v>132</v>
      </c>
    </row>
    <row r="97" spans="1:13" ht="23.4" x14ac:dyDescent="0.25">
      <c r="A97" s="33" t="s">
        <v>133</v>
      </c>
      <c r="B97" s="90" t="s">
        <v>21</v>
      </c>
      <c r="C97" s="85" t="s">
        <v>22</v>
      </c>
      <c r="D97" s="49">
        <v>3</v>
      </c>
      <c r="E97" s="49">
        <v>20</v>
      </c>
      <c r="F97" s="85">
        <v>45909</v>
      </c>
      <c r="G97" s="86">
        <v>0.375</v>
      </c>
      <c r="H97" s="85">
        <v>45908</v>
      </c>
      <c r="I97" s="86">
        <v>0.375</v>
      </c>
      <c r="J97" s="87">
        <f t="shared" si="1"/>
        <v>5</v>
      </c>
      <c r="K97" s="8">
        <v>3</v>
      </c>
      <c r="L97" s="88">
        <v>15</v>
      </c>
      <c r="M97" s="91" t="s">
        <v>134</v>
      </c>
    </row>
    <row r="98" spans="1:13" x14ac:dyDescent="0.25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x14ac:dyDescent="0.25">
      <c r="A99" s="70" t="s">
        <v>210</v>
      </c>
      <c r="B99" t="s">
        <v>215</v>
      </c>
      <c r="C99" t="s">
        <v>214</v>
      </c>
      <c r="D99" t="s">
        <v>212</v>
      </c>
      <c r="E99" t="s">
        <v>213</v>
      </c>
    </row>
    <row r="100" spans="1:13" x14ac:dyDescent="0.25">
      <c r="A100" s="71" t="s">
        <v>36</v>
      </c>
      <c r="B100">
        <v>22</v>
      </c>
      <c r="C100">
        <v>550</v>
      </c>
      <c r="D100">
        <v>535</v>
      </c>
      <c r="E100">
        <v>25</v>
      </c>
    </row>
    <row r="101" spans="1:13" x14ac:dyDescent="0.25">
      <c r="A101" s="71" t="s">
        <v>39</v>
      </c>
      <c r="B101">
        <v>18</v>
      </c>
      <c r="C101">
        <v>370</v>
      </c>
      <c r="D101">
        <v>296</v>
      </c>
      <c r="E101">
        <v>18</v>
      </c>
    </row>
    <row r="102" spans="1:13" x14ac:dyDescent="0.25">
      <c r="A102" s="71" t="s">
        <v>21</v>
      </c>
      <c r="B102">
        <v>22</v>
      </c>
      <c r="C102">
        <v>730</v>
      </c>
      <c r="D102">
        <v>555</v>
      </c>
      <c r="E102">
        <v>23</v>
      </c>
    </row>
    <row r="103" spans="1:13" x14ac:dyDescent="0.25">
      <c r="A103" s="71" t="s">
        <v>136</v>
      </c>
      <c r="B103">
        <v>16</v>
      </c>
      <c r="C103">
        <v>565</v>
      </c>
      <c r="D103">
        <v>402</v>
      </c>
      <c r="E103">
        <v>15</v>
      </c>
    </row>
    <row r="104" spans="1:13" x14ac:dyDescent="0.25">
      <c r="A104" s="71" t="s">
        <v>42</v>
      </c>
      <c r="B104">
        <v>17</v>
      </c>
      <c r="C104">
        <v>395</v>
      </c>
      <c r="D104">
        <v>342</v>
      </c>
      <c r="E104">
        <v>19</v>
      </c>
    </row>
    <row r="105" spans="1:13" x14ac:dyDescent="0.25">
      <c r="A105" s="71" t="s">
        <v>30</v>
      </c>
      <c r="B105">
        <v>13</v>
      </c>
      <c r="C105">
        <v>320</v>
      </c>
      <c r="D105">
        <v>262</v>
      </c>
      <c r="E105">
        <v>14</v>
      </c>
    </row>
    <row r="106" spans="1:13" x14ac:dyDescent="0.25">
      <c r="A106" s="71" t="s">
        <v>211</v>
      </c>
      <c r="B106">
        <v>108</v>
      </c>
      <c r="C106">
        <v>2930</v>
      </c>
      <c r="D106">
        <v>2392</v>
      </c>
      <c r="E106">
        <v>114</v>
      </c>
    </row>
    <row r="107" spans="1:13" x14ac:dyDescent="0.25">
      <c r="A107"/>
      <c r="B107"/>
      <c r="C107"/>
      <c r="D107"/>
      <c r="E107"/>
    </row>
    <row r="108" spans="1:13" x14ac:dyDescent="0.25">
      <c r="A108"/>
      <c r="B108"/>
      <c r="C108"/>
    </row>
    <row r="109" spans="1:13" x14ac:dyDescent="0.25">
      <c r="A109"/>
      <c r="B109"/>
      <c r="C109"/>
    </row>
    <row r="110" spans="1:13" x14ac:dyDescent="0.25">
      <c r="A110" s="95" t="s">
        <v>317</v>
      </c>
      <c r="B110" s="53">
        <v>33</v>
      </c>
      <c r="C110"/>
    </row>
    <row r="111" spans="1:13" ht="30" customHeight="1" x14ac:dyDescent="0.25">
      <c r="A111"/>
      <c r="B111"/>
      <c r="C111"/>
    </row>
    <row r="112" spans="1:13" ht="23.25" customHeight="1" x14ac:dyDescent="0.25">
      <c r="A112"/>
      <c r="B112"/>
      <c r="C112"/>
    </row>
    <row r="113" spans="1:20" x14ac:dyDescent="0.25">
      <c r="A113"/>
      <c r="B113"/>
      <c r="C113"/>
    </row>
    <row r="114" spans="1:20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20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20" x14ac:dyDescent="0.25">
      <c r="A116"/>
      <c r="B116"/>
      <c r="C116"/>
    </row>
    <row r="119" spans="1:20" s="5" customFormat="1" ht="12" customHeight="1" x14ac:dyDescent="0.25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5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5"/>
    <row r="125" spans="1:20" ht="36.75" customHeight="1" x14ac:dyDescent="0.25">
      <c r="A125" s="70" t="s">
        <v>210</v>
      </c>
      <c r="B125" t="s">
        <v>213</v>
      </c>
      <c r="C125" t="s">
        <v>215</v>
      </c>
    </row>
    <row r="126" spans="1:20" ht="33.75" customHeight="1" x14ac:dyDescent="0.25">
      <c r="A126" s="71" t="s">
        <v>36</v>
      </c>
      <c r="B126">
        <v>25</v>
      </c>
      <c r="C126">
        <v>22</v>
      </c>
    </row>
    <row r="127" spans="1:20" ht="26.25" customHeight="1" x14ac:dyDescent="0.25">
      <c r="A127" s="71" t="s">
        <v>39</v>
      </c>
      <c r="B127">
        <v>18</v>
      </c>
      <c r="C127">
        <v>18</v>
      </c>
    </row>
    <row r="128" spans="1:20" ht="27.75" customHeight="1" x14ac:dyDescent="0.25">
      <c r="A128" s="71" t="s">
        <v>21</v>
      </c>
      <c r="B128">
        <v>23</v>
      </c>
      <c r="C128">
        <v>22</v>
      </c>
    </row>
    <row r="129" spans="1:3" ht="40.5" customHeight="1" x14ac:dyDescent="0.25">
      <c r="A129" s="71" t="s">
        <v>136</v>
      </c>
      <c r="B129">
        <v>15</v>
      </c>
      <c r="C129">
        <v>16</v>
      </c>
    </row>
    <row r="130" spans="1:3" x14ac:dyDescent="0.25">
      <c r="A130" s="71" t="s">
        <v>42</v>
      </c>
      <c r="B130">
        <v>19</v>
      </c>
      <c r="C130">
        <v>17</v>
      </c>
    </row>
    <row r="131" spans="1:3" x14ac:dyDescent="0.25">
      <c r="A131" s="71" t="s">
        <v>30</v>
      </c>
      <c r="B131">
        <v>14</v>
      </c>
      <c r="C131">
        <v>13</v>
      </c>
    </row>
    <row r="132" spans="1:3" x14ac:dyDescent="0.25">
      <c r="A132" s="71" t="s">
        <v>211</v>
      </c>
      <c r="B132">
        <v>114</v>
      </c>
      <c r="C132">
        <v>108</v>
      </c>
    </row>
    <row r="133" spans="1:3" x14ac:dyDescent="0.25">
      <c r="A133"/>
      <c r="B133"/>
      <c r="C133"/>
    </row>
    <row r="134" spans="1:3" x14ac:dyDescent="0.25">
      <c r="A134"/>
      <c r="B134"/>
      <c r="C134"/>
    </row>
    <row r="135" spans="1:3" x14ac:dyDescent="0.25">
      <c r="A135"/>
      <c r="B135"/>
      <c r="C135"/>
    </row>
    <row r="136" spans="1:3" x14ac:dyDescent="0.25">
      <c r="A136"/>
      <c r="B136"/>
      <c r="C136"/>
    </row>
    <row r="137" spans="1:3" x14ac:dyDescent="0.25">
      <c r="A137"/>
      <c r="B137"/>
      <c r="C137"/>
    </row>
    <row r="138" spans="1:3" x14ac:dyDescent="0.25">
      <c r="A138"/>
      <c r="B138"/>
      <c r="C138"/>
    </row>
    <row r="139" spans="1:3" x14ac:dyDescent="0.25">
      <c r="A139"/>
      <c r="B139"/>
      <c r="C139"/>
    </row>
    <row r="140" spans="1:3" x14ac:dyDescent="0.25">
      <c r="A140"/>
      <c r="B140"/>
      <c r="C140"/>
    </row>
    <row r="141" spans="1:3" x14ac:dyDescent="0.25">
      <c r="A141"/>
      <c r="B141"/>
      <c r="C141"/>
    </row>
    <row r="142" spans="1:3" x14ac:dyDescent="0.25">
      <c r="A142"/>
      <c r="B142"/>
      <c r="C142"/>
    </row>
    <row r="143" spans="1:3" x14ac:dyDescent="0.25">
      <c r="A143"/>
    </row>
    <row r="144" spans="1:3" x14ac:dyDescent="0.25">
      <c r="A144"/>
    </row>
    <row r="145" spans="1:1" x14ac:dyDescent="0.25">
      <c r="A145"/>
    </row>
    <row r="146" spans="1:1" x14ac:dyDescent="0.25">
      <c r="A146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3"/>
  <headerFooter alignWithMargins="0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27CC-0E68-4F58-93A4-AB54BAA33A91}">
  <dimension ref="A1:T129"/>
  <sheetViews>
    <sheetView topLeftCell="A49" zoomScale="84" zoomScaleNormal="76" workbookViewId="0">
      <selection activeCell="A8" sqref="A8:M56"/>
    </sheetView>
  </sheetViews>
  <sheetFormatPr baseColWidth="10" defaultColWidth="11.44140625" defaultRowHeight="13.2" x14ac:dyDescent="0.25"/>
  <cols>
    <col min="1" max="1" width="18.6640625" style="4" bestFit="1" customWidth="1"/>
    <col min="2" max="2" width="45.44140625" style="4" bestFit="1" customWidth="1"/>
    <col min="3" max="3" width="21.5546875" style="4" bestFit="1" customWidth="1"/>
    <col min="4" max="4" width="21.33203125" style="4" bestFit="1" customWidth="1"/>
    <col min="5" max="5" width="21.5546875" style="4" bestFit="1" customWidth="1"/>
    <col min="6" max="8" width="10.6640625" style="4" customWidth="1"/>
    <col min="9" max="10" width="10.6640625" style="3" customWidth="1"/>
    <col min="11" max="11" width="10.6640625" style="2" customWidth="1"/>
    <col min="12" max="12" width="10.6640625" style="1" customWidth="1"/>
    <col min="13" max="13" width="48.109375" style="1" bestFit="1" customWidth="1"/>
    <col min="14" max="14" width="10.6640625" customWidth="1"/>
  </cols>
  <sheetData>
    <row r="1" spans="1:20" ht="32.25" customHeight="1" x14ac:dyDescent="0.25">
      <c r="A1" s="175"/>
      <c r="B1" s="177" t="s">
        <v>0</v>
      </c>
      <c r="C1" s="177"/>
      <c r="D1" s="177"/>
      <c r="E1" s="177"/>
      <c r="F1" s="177"/>
      <c r="G1" s="177"/>
      <c r="H1" s="177"/>
      <c r="I1" s="177"/>
      <c r="J1" s="177"/>
      <c r="K1" s="177"/>
      <c r="L1" s="179"/>
      <c r="M1" s="180"/>
    </row>
    <row r="2" spans="1:20" ht="20.25" customHeight="1" x14ac:dyDescent="0.25">
      <c r="A2" s="176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81"/>
      <c r="M2" s="182"/>
    </row>
    <row r="3" spans="1:20" ht="12.75" customHeight="1" x14ac:dyDescent="0.25">
      <c r="A3" s="183" t="s">
        <v>1</v>
      </c>
      <c r="B3" s="185" t="s">
        <v>2</v>
      </c>
      <c r="C3" s="185"/>
      <c r="D3" s="185"/>
      <c r="E3" s="185"/>
      <c r="F3" s="185"/>
      <c r="G3" s="185"/>
      <c r="H3" s="185"/>
      <c r="I3" s="185"/>
      <c r="J3" s="185"/>
      <c r="K3" s="185"/>
      <c r="L3" s="187" t="s">
        <v>3</v>
      </c>
      <c r="M3" s="188"/>
    </row>
    <row r="4" spans="1:20" ht="13.8" thickBot="1" x14ac:dyDescent="0.3">
      <c r="A4" s="184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6" t="s">
        <v>4</v>
      </c>
      <c r="M4" s="15"/>
    </row>
    <row r="5" spans="1:20" ht="13.8" thickBot="1" x14ac:dyDescent="0.3"/>
    <row r="6" spans="1:20" ht="14.4" thickBot="1" x14ac:dyDescent="0.3">
      <c r="A6" s="24" t="s">
        <v>5</v>
      </c>
      <c r="B6" s="171" t="s">
        <v>6</v>
      </c>
      <c r="C6" s="171"/>
      <c r="D6" s="171"/>
      <c r="E6" s="171"/>
      <c r="F6" s="171"/>
      <c r="G6" s="171"/>
      <c r="H6" s="172" t="s">
        <v>7</v>
      </c>
      <c r="I6" s="173"/>
      <c r="J6" s="173"/>
      <c r="K6" s="173"/>
      <c r="L6" s="174"/>
      <c r="M6" s="25"/>
    </row>
    <row r="7" spans="1:20" s="14" customFormat="1" ht="49.5" customHeight="1" x14ac:dyDescent="0.25">
      <c r="A7" s="18" cm="1">
        <f t="array" aca="1" ref="A7" ca="1">+A37+A1:L7+A7:L7</f>
        <v>0</v>
      </c>
      <c r="B7" s="19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90" t="s">
        <v>36</v>
      </c>
      <c r="C8" s="85" t="s">
        <v>37</v>
      </c>
      <c r="D8" s="84">
        <v>1</v>
      </c>
      <c r="E8" s="49">
        <v>30</v>
      </c>
      <c r="F8" s="85">
        <v>45917</v>
      </c>
      <c r="G8" s="86">
        <v>0.375</v>
      </c>
      <c r="H8" s="85">
        <v>45915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90" t="s">
        <v>30</v>
      </c>
      <c r="C9" s="85" t="s">
        <v>37</v>
      </c>
      <c r="D9" s="84">
        <v>1</v>
      </c>
      <c r="E9" s="49">
        <v>30</v>
      </c>
      <c r="F9" s="85">
        <v>45917</v>
      </c>
      <c r="G9" s="86">
        <v>0.375</v>
      </c>
      <c r="H9" s="85">
        <v>45915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355</v>
      </c>
      <c r="O9" s="5" t="s">
        <v>155</v>
      </c>
    </row>
    <row r="10" spans="1:20" s="5" customFormat="1" ht="39" customHeight="1" x14ac:dyDescent="0.25">
      <c r="A10" s="79" t="s">
        <v>322</v>
      </c>
      <c r="B10" s="95" t="s">
        <v>21</v>
      </c>
      <c r="C10" s="53" t="s">
        <v>22</v>
      </c>
      <c r="D10" s="53">
        <v>1</v>
      </c>
      <c r="E10" s="53">
        <v>30</v>
      </c>
      <c r="F10" s="80">
        <v>45917</v>
      </c>
      <c r="G10" s="81">
        <v>0.375</v>
      </c>
      <c r="H10" s="80">
        <v>45916</v>
      </c>
      <c r="I10" s="81">
        <v>0.54166666666666663</v>
      </c>
      <c r="J10" s="87">
        <f>E10-L10</f>
        <v>0</v>
      </c>
      <c r="K10" s="53">
        <v>1</v>
      </c>
      <c r="L10" s="53">
        <v>30</v>
      </c>
      <c r="M10" s="79" t="s">
        <v>323</v>
      </c>
    </row>
    <row r="11" spans="1:20" s="5" customFormat="1" ht="43.5" customHeight="1" x14ac:dyDescent="0.25">
      <c r="A11" s="79" t="s">
        <v>324</v>
      </c>
      <c r="B11" s="95" t="s">
        <v>30</v>
      </c>
      <c r="C11" s="53" t="s">
        <v>31</v>
      </c>
      <c r="D11" s="53">
        <v>2</v>
      </c>
      <c r="E11" s="53">
        <v>30</v>
      </c>
      <c r="F11" s="80">
        <v>45917</v>
      </c>
      <c r="G11" s="81">
        <v>0.375</v>
      </c>
      <c r="H11" s="80">
        <v>45916</v>
      </c>
      <c r="I11" s="81">
        <v>0.54166666666666663</v>
      </c>
      <c r="J11" s="87">
        <f t="shared" ref="J11:J56" si="0">E11-L11</f>
        <v>2</v>
      </c>
      <c r="K11" s="53">
        <v>2</v>
      </c>
      <c r="L11" s="53">
        <v>28</v>
      </c>
      <c r="M11" s="79" t="s">
        <v>325</v>
      </c>
    </row>
    <row r="12" spans="1:20" s="5" customFormat="1" ht="35.1" customHeight="1" x14ac:dyDescent="0.25">
      <c r="A12" s="53" t="s">
        <v>326</v>
      </c>
      <c r="B12" s="95" t="s">
        <v>30</v>
      </c>
      <c r="C12" s="53" t="s">
        <v>31</v>
      </c>
      <c r="D12" s="53">
        <v>1</v>
      </c>
      <c r="E12" s="53">
        <v>30</v>
      </c>
      <c r="F12" s="80">
        <v>45917</v>
      </c>
      <c r="G12" s="81">
        <v>0.375</v>
      </c>
      <c r="H12" s="80">
        <v>45916</v>
      </c>
      <c r="I12" s="81">
        <v>0.5625</v>
      </c>
      <c r="J12" s="87">
        <f t="shared" si="0"/>
        <v>0</v>
      </c>
      <c r="K12" s="53">
        <v>2</v>
      </c>
      <c r="L12" s="53">
        <v>30</v>
      </c>
      <c r="M12" s="79" t="s">
        <v>331</v>
      </c>
    </row>
    <row r="13" spans="1:20" s="5" customFormat="1" ht="35.1" customHeight="1" x14ac:dyDescent="0.25">
      <c r="A13" s="79" t="s">
        <v>327</v>
      </c>
      <c r="B13" s="95" t="s">
        <v>136</v>
      </c>
      <c r="C13" s="53" t="s">
        <v>34</v>
      </c>
      <c r="D13" s="53">
        <v>2</v>
      </c>
      <c r="E13" s="53">
        <v>30</v>
      </c>
      <c r="F13" s="80">
        <v>45917</v>
      </c>
      <c r="G13" s="81">
        <v>0.375</v>
      </c>
      <c r="H13" s="80">
        <v>45916</v>
      </c>
      <c r="I13" s="81">
        <v>0.54166666666666663</v>
      </c>
      <c r="J13" s="87">
        <f t="shared" si="0"/>
        <v>0</v>
      </c>
      <c r="K13" s="53">
        <v>2</v>
      </c>
      <c r="L13" s="53">
        <v>30</v>
      </c>
      <c r="M13" s="79" t="s">
        <v>330</v>
      </c>
    </row>
    <row r="14" spans="1:20" s="5" customFormat="1" ht="35.1" customHeight="1" x14ac:dyDescent="0.25">
      <c r="A14" s="53" t="s">
        <v>328</v>
      </c>
      <c r="B14" s="95" t="s">
        <v>136</v>
      </c>
      <c r="C14" s="53" t="s">
        <v>34</v>
      </c>
      <c r="D14" s="53">
        <v>2</v>
      </c>
      <c r="E14" s="53">
        <v>30</v>
      </c>
      <c r="F14" s="80">
        <v>45917</v>
      </c>
      <c r="G14" s="81">
        <v>0.375</v>
      </c>
      <c r="H14" s="80">
        <v>45916</v>
      </c>
      <c r="I14" s="81">
        <v>0.5625</v>
      </c>
      <c r="J14" s="87">
        <f t="shared" si="0"/>
        <v>7</v>
      </c>
      <c r="K14" s="53">
        <v>1</v>
      </c>
      <c r="L14" s="53">
        <v>23</v>
      </c>
      <c r="M14" s="79" t="s">
        <v>329</v>
      </c>
    </row>
    <row r="15" spans="1:20" s="5" customFormat="1" ht="35.1" customHeight="1" x14ac:dyDescent="0.25">
      <c r="A15" s="79" t="s">
        <v>332</v>
      </c>
      <c r="B15" s="95" t="s">
        <v>136</v>
      </c>
      <c r="C15" s="53" t="s">
        <v>34</v>
      </c>
      <c r="D15" s="53">
        <v>1</v>
      </c>
      <c r="E15" s="53">
        <v>30</v>
      </c>
      <c r="F15" s="80">
        <v>45917</v>
      </c>
      <c r="G15" s="81">
        <v>0.375</v>
      </c>
      <c r="H15" s="80">
        <v>45916</v>
      </c>
      <c r="I15" s="81">
        <v>0.58333333333333337</v>
      </c>
      <c r="J15" s="87">
        <f t="shared" si="0"/>
        <v>0</v>
      </c>
      <c r="K15" s="53">
        <v>1</v>
      </c>
      <c r="L15" s="53">
        <v>30</v>
      </c>
      <c r="M15" s="79" t="s">
        <v>333</v>
      </c>
    </row>
    <row r="16" spans="1:20" s="5" customFormat="1" ht="38.4" customHeight="1" x14ac:dyDescent="0.25">
      <c r="A16" s="79" t="s">
        <v>334</v>
      </c>
      <c r="B16" s="95" t="s">
        <v>21</v>
      </c>
      <c r="C16" s="53" t="s">
        <v>22</v>
      </c>
      <c r="D16" s="53">
        <v>1</v>
      </c>
      <c r="E16" s="53">
        <v>30</v>
      </c>
      <c r="F16" s="80">
        <v>45917</v>
      </c>
      <c r="G16" s="81">
        <v>0.375</v>
      </c>
      <c r="H16" s="80">
        <v>45916</v>
      </c>
      <c r="I16" s="81">
        <v>0.5625</v>
      </c>
      <c r="J16" s="87">
        <f t="shared" si="0"/>
        <v>5</v>
      </c>
      <c r="K16" s="53">
        <v>2</v>
      </c>
      <c r="L16" s="53">
        <v>25</v>
      </c>
      <c r="M16" s="79" t="s">
        <v>335</v>
      </c>
    </row>
    <row r="17" spans="1:13" s="5" customFormat="1" ht="30.75" customHeight="1" x14ac:dyDescent="0.25">
      <c r="A17" s="79" t="s">
        <v>336</v>
      </c>
      <c r="B17" s="95" t="s">
        <v>30</v>
      </c>
      <c r="C17" s="53" t="s">
        <v>31</v>
      </c>
      <c r="D17" s="53">
        <v>1</v>
      </c>
      <c r="E17" s="53">
        <v>60</v>
      </c>
      <c r="F17" s="80">
        <v>45917</v>
      </c>
      <c r="G17" s="81">
        <v>0.375</v>
      </c>
      <c r="H17" s="80">
        <v>45916</v>
      </c>
      <c r="I17" s="81">
        <v>0.60416666666666663</v>
      </c>
      <c r="J17" s="87">
        <f t="shared" si="0"/>
        <v>-5</v>
      </c>
      <c r="K17" s="53">
        <v>1</v>
      </c>
      <c r="L17" s="53">
        <v>65</v>
      </c>
      <c r="M17" s="79" t="s">
        <v>337</v>
      </c>
    </row>
    <row r="18" spans="1:13" s="5" customFormat="1" ht="27" customHeight="1" x14ac:dyDescent="0.25">
      <c r="A18" s="53" t="s">
        <v>319</v>
      </c>
      <c r="B18" s="95" t="s">
        <v>136</v>
      </c>
      <c r="C18" s="53" t="s">
        <v>34</v>
      </c>
      <c r="D18" s="53">
        <v>1</v>
      </c>
      <c r="E18" s="53">
        <v>60</v>
      </c>
      <c r="F18" s="80">
        <v>45917</v>
      </c>
      <c r="G18" s="81">
        <v>0.375</v>
      </c>
      <c r="H18" s="80">
        <v>45916</v>
      </c>
      <c r="I18" s="81">
        <v>0.625</v>
      </c>
      <c r="J18" s="87">
        <f t="shared" si="0"/>
        <v>0</v>
      </c>
      <c r="K18" s="53">
        <v>1</v>
      </c>
      <c r="L18" s="53">
        <v>60</v>
      </c>
      <c r="M18" s="79" t="s">
        <v>320</v>
      </c>
    </row>
    <row r="19" spans="1:13" s="5" customFormat="1" ht="38.25" customHeight="1" x14ac:dyDescent="0.25">
      <c r="A19" s="53" t="s">
        <v>338</v>
      </c>
      <c r="B19" s="95" t="s">
        <v>21</v>
      </c>
      <c r="C19" s="53" t="s">
        <v>22</v>
      </c>
      <c r="D19" s="53">
        <v>1</v>
      </c>
      <c r="E19" s="53">
        <v>60</v>
      </c>
      <c r="F19" s="80">
        <v>45917</v>
      </c>
      <c r="G19" s="81">
        <v>0.375</v>
      </c>
      <c r="H19" s="80">
        <v>45916</v>
      </c>
      <c r="I19" s="81">
        <v>0.60416666666666663</v>
      </c>
      <c r="J19" s="87">
        <f t="shared" si="0"/>
        <v>5</v>
      </c>
      <c r="K19" s="53">
        <v>1</v>
      </c>
      <c r="L19" s="53">
        <v>55</v>
      </c>
      <c r="M19" s="79" t="s">
        <v>321</v>
      </c>
    </row>
    <row r="20" spans="1:13" s="5" customFormat="1" ht="40.5" customHeight="1" x14ac:dyDescent="0.25">
      <c r="A20" s="79" t="s">
        <v>339</v>
      </c>
      <c r="B20" s="95" t="s">
        <v>36</v>
      </c>
      <c r="C20" s="53" t="s">
        <v>37</v>
      </c>
      <c r="D20" s="53">
        <v>1</v>
      </c>
      <c r="E20" s="53">
        <v>60</v>
      </c>
      <c r="F20" s="80">
        <v>45917</v>
      </c>
      <c r="G20" s="81">
        <v>0.375</v>
      </c>
      <c r="H20" s="80">
        <v>45916</v>
      </c>
      <c r="I20" s="81">
        <v>0.58333333333333337</v>
      </c>
      <c r="J20" s="87">
        <f t="shared" si="0"/>
        <v>0</v>
      </c>
      <c r="K20" s="53">
        <v>1</v>
      </c>
      <c r="L20" s="53">
        <v>60</v>
      </c>
      <c r="M20" s="79" t="s">
        <v>340</v>
      </c>
    </row>
    <row r="21" spans="1:13" s="5" customFormat="1" ht="27" customHeight="1" x14ac:dyDescent="0.25">
      <c r="A21" s="79" t="s">
        <v>341</v>
      </c>
      <c r="B21" s="95" t="s">
        <v>42</v>
      </c>
      <c r="C21" s="53" t="s">
        <v>43</v>
      </c>
      <c r="D21" s="53">
        <v>1</v>
      </c>
      <c r="E21" s="53">
        <v>60</v>
      </c>
      <c r="F21" s="80">
        <v>45917</v>
      </c>
      <c r="G21" s="81">
        <v>0.375</v>
      </c>
      <c r="H21" s="80">
        <v>45916</v>
      </c>
      <c r="I21" s="81">
        <v>0.58333333333333337</v>
      </c>
      <c r="J21" s="87">
        <f t="shared" si="0"/>
        <v>6</v>
      </c>
      <c r="K21" s="53">
        <v>1</v>
      </c>
      <c r="L21" s="53">
        <v>54</v>
      </c>
      <c r="M21" s="79" t="s">
        <v>342</v>
      </c>
    </row>
    <row r="22" spans="1:13" s="5" customFormat="1" ht="27" customHeight="1" x14ac:dyDescent="0.25">
      <c r="A22" s="79" t="s">
        <v>343</v>
      </c>
      <c r="B22" s="95" t="s">
        <v>39</v>
      </c>
      <c r="C22" s="53" t="s">
        <v>40</v>
      </c>
      <c r="D22" s="53">
        <v>1</v>
      </c>
      <c r="E22" s="53">
        <v>60</v>
      </c>
      <c r="F22" s="80">
        <v>45917</v>
      </c>
      <c r="G22" s="81">
        <v>0.375</v>
      </c>
      <c r="H22" s="80">
        <v>45916</v>
      </c>
      <c r="I22" s="81">
        <v>0.58333333333333337</v>
      </c>
      <c r="J22" s="87">
        <f t="shared" si="0"/>
        <v>0</v>
      </c>
      <c r="K22" s="53">
        <v>1</v>
      </c>
      <c r="L22" s="53">
        <v>60</v>
      </c>
      <c r="M22" s="79" t="s">
        <v>344</v>
      </c>
    </row>
    <row r="23" spans="1:13" s="5" customFormat="1" ht="27" customHeight="1" x14ac:dyDescent="0.25">
      <c r="A23" s="79" t="s">
        <v>345</v>
      </c>
      <c r="B23" s="95" t="s">
        <v>21</v>
      </c>
      <c r="C23" s="53" t="s">
        <v>22</v>
      </c>
      <c r="D23" s="53">
        <v>1</v>
      </c>
      <c r="E23" s="53">
        <v>60</v>
      </c>
      <c r="F23" s="80">
        <v>45917</v>
      </c>
      <c r="G23" s="81">
        <v>0.375</v>
      </c>
      <c r="H23" s="80">
        <v>45916</v>
      </c>
      <c r="I23" s="81">
        <v>0.64583333333333337</v>
      </c>
      <c r="J23" s="87">
        <f t="shared" si="0"/>
        <v>0</v>
      </c>
      <c r="K23" s="53">
        <v>1</v>
      </c>
      <c r="L23" s="53">
        <v>60</v>
      </c>
      <c r="M23" s="79" t="s">
        <v>348</v>
      </c>
    </row>
    <row r="24" spans="1:13" s="5" customFormat="1" ht="27" customHeight="1" x14ac:dyDescent="0.25">
      <c r="A24" s="79" t="s">
        <v>346</v>
      </c>
      <c r="B24" s="95" t="s">
        <v>36</v>
      </c>
      <c r="C24" s="53" t="s">
        <v>37</v>
      </c>
      <c r="D24" s="53">
        <v>2</v>
      </c>
      <c r="E24" s="53">
        <v>60</v>
      </c>
      <c r="F24" s="80">
        <v>45917</v>
      </c>
      <c r="G24" s="81">
        <v>0.375</v>
      </c>
      <c r="H24" s="80">
        <v>45916</v>
      </c>
      <c r="I24" s="81">
        <v>0.625</v>
      </c>
      <c r="J24" s="87">
        <f t="shared" si="0"/>
        <v>-1</v>
      </c>
      <c r="K24" s="53">
        <v>1</v>
      </c>
      <c r="L24" s="53">
        <v>61</v>
      </c>
      <c r="M24" s="79" t="s">
        <v>347</v>
      </c>
    </row>
    <row r="25" spans="1:13" s="5" customFormat="1" ht="27" customHeight="1" x14ac:dyDescent="0.25">
      <c r="A25" s="79" t="s">
        <v>349</v>
      </c>
      <c r="B25" s="95" t="s">
        <v>42</v>
      </c>
      <c r="C25" s="53" t="s">
        <v>43</v>
      </c>
      <c r="D25" s="53">
        <v>2</v>
      </c>
      <c r="E25" s="53">
        <v>60</v>
      </c>
      <c r="F25" s="80">
        <v>45917</v>
      </c>
      <c r="G25" s="81">
        <v>0.375</v>
      </c>
      <c r="H25" s="80">
        <v>45916</v>
      </c>
      <c r="I25" s="81">
        <v>0.66666666666666696</v>
      </c>
      <c r="J25" s="87">
        <f t="shared" si="0"/>
        <v>0</v>
      </c>
      <c r="K25" s="53">
        <v>1</v>
      </c>
      <c r="L25" s="53">
        <v>60</v>
      </c>
      <c r="M25" s="79" t="s">
        <v>350</v>
      </c>
    </row>
    <row r="26" spans="1:13" s="5" customFormat="1" ht="27" customHeight="1" x14ac:dyDescent="0.25">
      <c r="A26" s="79" t="s">
        <v>352</v>
      </c>
      <c r="B26" s="95" t="s">
        <v>39</v>
      </c>
      <c r="C26" s="53" t="s">
        <v>40</v>
      </c>
      <c r="D26" s="53">
        <v>2</v>
      </c>
      <c r="E26" s="53">
        <v>60</v>
      </c>
      <c r="F26" s="80">
        <v>45917</v>
      </c>
      <c r="G26" s="81">
        <v>0.375</v>
      </c>
      <c r="H26" s="80">
        <v>45916</v>
      </c>
      <c r="I26" s="81">
        <v>0.70833333333333304</v>
      </c>
      <c r="J26" s="87">
        <f t="shared" si="0"/>
        <v>3</v>
      </c>
      <c r="K26" s="53">
        <v>1</v>
      </c>
      <c r="L26" s="53">
        <v>57</v>
      </c>
      <c r="M26" s="79" t="s">
        <v>351</v>
      </c>
    </row>
    <row r="27" spans="1:13" s="5" customFormat="1" ht="27" customHeight="1" x14ac:dyDescent="0.25">
      <c r="A27" s="79" t="s">
        <v>353</v>
      </c>
      <c r="B27" s="95" t="s">
        <v>30</v>
      </c>
      <c r="C27" s="53" t="s">
        <v>31</v>
      </c>
      <c r="D27" s="53">
        <v>1</v>
      </c>
      <c r="E27" s="53">
        <v>30</v>
      </c>
      <c r="F27" s="80">
        <v>45917</v>
      </c>
      <c r="G27" s="81">
        <v>0.375</v>
      </c>
      <c r="H27" s="80">
        <v>45916</v>
      </c>
      <c r="I27" s="81">
        <v>0.79166666666666663</v>
      </c>
      <c r="J27" s="87">
        <f t="shared" si="0"/>
        <v>5</v>
      </c>
      <c r="K27" s="53">
        <v>1</v>
      </c>
      <c r="L27" s="53">
        <v>25</v>
      </c>
      <c r="M27" s="79" t="s">
        <v>354</v>
      </c>
    </row>
    <row r="28" spans="1:13" s="5" customFormat="1" ht="27" customHeight="1" x14ac:dyDescent="0.25">
      <c r="A28" s="79" t="s">
        <v>353</v>
      </c>
      <c r="B28" s="95" t="s">
        <v>21</v>
      </c>
      <c r="C28" s="53" t="s">
        <v>22</v>
      </c>
      <c r="D28" s="53">
        <v>1</v>
      </c>
      <c r="E28" s="53">
        <v>30</v>
      </c>
      <c r="F28" s="80">
        <v>45917</v>
      </c>
      <c r="G28" s="81">
        <v>0.375</v>
      </c>
      <c r="H28" s="80">
        <v>45916</v>
      </c>
      <c r="I28" s="81">
        <v>0.79166666666666663</v>
      </c>
      <c r="J28" s="87">
        <f t="shared" si="0"/>
        <v>5</v>
      </c>
      <c r="K28" s="53">
        <v>1</v>
      </c>
      <c r="L28" s="53">
        <v>25</v>
      </c>
      <c r="M28" s="79" t="s">
        <v>354</v>
      </c>
    </row>
    <row r="29" spans="1:13" s="5" customFormat="1" ht="36.75" customHeight="1" x14ac:dyDescent="0.25">
      <c r="A29" s="79" t="s">
        <v>353</v>
      </c>
      <c r="B29" s="95" t="s">
        <v>36</v>
      </c>
      <c r="C29" s="53" t="s">
        <v>37</v>
      </c>
      <c r="D29" s="53">
        <v>1</v>
      </c>
      <c r="E29" s="53">
        <v>30</v>
      </c>
      <c r="F29" s="80">
        <v>45917</v>
      </c>
      <c r="G29" s="81">
        <v>0.375</v>
      </c>
      <c r="H29" s="80">
        <v>45916</v>
      </c>
      <c r="I29" s="81">
        <v>0.79166666666666663</v>
      </c>
      <c r="J29" s="87">
        <f t="shared" si="0"/>
        <v>5</v>
      </c>
      <c r="K29" s="53">
        <v>1</v>
      </c>
      <c r="L29" s="53">
        <v>25</v>
      </c>
      <c r="M29" s="79" t="s">
        <v>354</v>
      </c>
    </row>
    <row r="30" spans="1:13" s="5" customFormat="1" ht="37.5" customHeight="1" x14ac:dyDescent="0.25">
      <c r="A30" s="79" t="s">
        <v>353</v>
      </c>
      <c r="B30" s="95" t="s">
        <v>136</v>
      </c>
      <c r="C30" s="53" t="s">
        <v>34</v>
      </c>
      <c r="D30" s="53">
        <v>1</v>
      </c>
      <c r="E30" s="53">
        <v>30</v>
      </c>
      <c r="F30" s="80">
        <v>45917</v>
      </c>
      <c r="G30" s="81">
        <v>0.375</v>
      </c>
      <c r="H30" s="80">
        <v>45916</v>
      </c>
      <c r="I30" s="81">
        <v>0.79166666666666663</v>
      </c>
      <c r="J30" s="87">
        <f t="shared" si="0"/>
        <v>5</v>
      </c>
      <c r="K30" s="53">
        <v>1</v>
      </c>
      <c r="L30" s="53">
        <v>25</v>
      </c>
      <c r="M30" s="79" t="s">
        <v>354</v>
      </c>
    </row>
    <row r="31" spans="1:13" s="5" customFormat="1" ht="38.25" customHeight="1" x14ac:dyDescent="0.25">
      <c r="A31" s="79" t="s">
        <v>353</v>
      </c>
      <c r="B31" s="95" t="s">
        <v>39</v>
      </c>
      <c r="C31" s="53" t="s">
        <v>40</v>
      </c>
      <c r="D31" s="53">
        <v>1</v>
      </c>
      <c r="E31" s="53">
        <v>30</v>
      </c>
      <c r="F31" s="80">
        <v>45917</v>
      </c>
      <c r="G31" s="81">
        <v>0.375</v>
      </c>
      <c r="H31" s="80">
        <v>45916</v>
      </c>
      <c r="I31" s="81">
        <v>0.79166666666666663</v>
      </c>
      <c r="J31" s="87">
        <f t="shared" si="0"/>
        <v>5</v>
      </c>
      <c r="K31" s="53">
        <v>1</v>
      </c>
      <c r="L31" s="53">
        <v>25</v>
      </c>
      <c r="M31" s="79" t="s">
        <v>354</v>
      </c>
    </row>
    <row r="32" spans="1:13" s="5" customFormat="1" ht="36.75" customHeight="1" x14ac:dyDescent="0.25">
      <c r="A32" s="99" t="s">
        <v>471</v>
      </c>
      <c r="B32" s="53" t="s">
        <v>36</v>
      </c>
      <c r="C32" s="53" t="s">
        <v>37</v>
      </c>
      <c r="D32" s="53">
        <v>1</v>
      </c>
      <c r="E32" s="53">
        <v>30</v>
      </c>
      <c r="F32" s="80">
        <v>45917</v>
      </c>
      <c r="G32" s="81">
        <v>0.375</v>
      </c>
      <c r="H32" s="80">
        <v>45930</v>
      </c>
      <c r="I32" s="81">
        <v>0.79166666666666663</v>
      </c>
      <c r="J32" s="87">
        <f t="shared" si="0"/>
        <v>0</v>
      </c>
      <c r="K32" s="53">
        <v>3</v>
      </c>
      <c r="L32" s="53">
        <v>30</v>
      </c>
      <c r="M32" s="79" t="s">
        <v>472</v>
      </c>
    </row>
    <row r="33" spans="1:13" s="5" customFormat="1" ht="42" customHeight="1" x14ac:dyDescent="0.25">
      <c r="A33" s="79" t="s">
        <v>353</v>
      </c>
      <c r="B33" s="95" t="s">
        <v>42</v>
      </c>
      <c r="C33" s="53" t="s">
        <v>43</v>
      </c>
      <c r="D33" s="53">
        <v>1</v>
      </c>
      <c r="E33" s="53">
        <v>30</v>
      </c>
      <c r="F33" s="80">
        <v>45917</v>
      </c>
      <c r="G33" s="81">
        <v>0.375</v>
      </c>
      <c r="H33" s="80">
        <v>45916</v>
      </c>
      <c r="I33" s="81">
        <v>0.79166666666666663</v>
      </c>
      <c r="J33" s="87">
        <f t="shared" si="0"/>
        <v>5</v>
      </c>
      <c r="K33" s="53">
        <v>1</v>
      </c>
      <c r="L33" s="53">
        <v>25</v>
      </c>
      <c r="M33" s="79" t="s">
        <v>354</v>
      </c>
    </row>
    <row r="34" spans="1:13" s="5" customFormat="1" ht="39" customHeight="1" x14ac:dyDescent="0.2">
      <c r="A34" s="98" t="s">
        <v>123</v>
      </c>
      <c r="B34" s="90" t="s">
        <v>36</v>
      </c>
      <c r="C34" s="85" t="s">
        <v>37</v>
      </c>
      <c r="D34" s="49">
        <v>1</v>
      </c>
      <c r="E34" s="49">
        <v>20</v>
      </c>
      <c r="F34" s="85">
        <v>45917</v>
      </c>
      <c r="G34" s="86">
        <v>0.375</v>
      </c>
      <c r="H34" s="85">
        <v>45916</v>
      </c>
      <c r="I34" s="86">
        <v>0.80555555555555558</v>
      </c>
      <c r="J34" s="87">
        <f t="shared" si="0"/>
        <v>0</v>
      </c>
      <c r="K34" s="8">
        <v>1</v>
      </c>
      <c r="L34" s="88">
        <v>20</v>
      </c>
      <c r="M34" s="93" t="s">
        <v>124</v>
      </c>
    </row>
    <row r="35" spans="1:13" s="5" customFormat="1" ht="42" customHeight="1" x14ac:dyDescent="0.2">
      <c r="A35" s="38" t="s">
        <v>123</v>
      </c>
      <c r="B35" s="90" t="s">
        <v>143</v>
      </c>
      <c r="C35" s="85" t="s">
        <v>43</v>
      </c>
      <c r="D35" s="49">
        <v>1</v>
      </c>
      <c r="E35" s="49">
        <v>20</v>
      </c>
      <c r="F35" s="85">
        <v>45917</v>
      </c>
      <c r="G35" s="86">
        <v>0.375</v>
      </c>
      <c r="H35" s="85">
        <v>45916</v>
      </c>
      <c r="I35" s="86">
        <v>0.80555555555555558</v>
      </c>
      <c r="J35" s="87">
        <f t="shared" si="0"/>
        <v>0</v>
      </c>
      <c r="K35" s="8">
        <v>1</v>
      </c>
      <c r="L35" s="88">
        <v>20</v>
      </c>
      <c r="M35" s="93" t="s">
        <v>124</v>
      </c>
    </row>
    <row r="36" spans="1:13" s="5" customFormat="1" ht="47.25" customHeight="1" x14ac:dyDescent="0.25">
      <c r="A36" s="13" t="s">
        <v>175</v>
      </c>
      <c r="B36" s="96" t="s">
        <v>36</v>
      </c>
      <c r="C36" s="13" t="s">
        <v>37</v>
      </c>
      <c r="D36" s="53">
        <v>1</v>
      </c>
      <c r="E36" s="53">
        <v>30</v>
      </c>
      <c r="F36" s="13">
        <v>45917</v>
      </c>
      <c r="G36" s="86">
        <v>0.375</v>
      </c>
      <c r="H36" s="13">
        <v>45916</v>
      </c>
      <c r="I36" s="12">
        <v>0.83333333333333337</v>
      </c>
      <c r="J36" s="53">
        <f t="shared" si="0"/>
        <v>6</v>
      </c>
      <c r="K36" s="50">
        <v>1</v>
      </c>
      <c r="L36" s="68">
        <v>24</v>
      </c>
      <c r="M36" s="52" t="s">
        <v>176</v>
      </c>
    </row>
    <row r="37" spans="1:13" s="5" customFormat="1" ht="33.9" customHeight="1" x14ac:dyDescent="0.25">
      <c r="A37" s="13" t="s">
        <v>177</v>
      </c>
      <c r="B37" s="96" t="s">
        <v>39</v>
      </c>
      <c r="C37" s="13" t="s">
        <v>40</v>
      </c>
      <c r="D37" s="53">
        <v>1</v>
      </c>
      <c r="E37" s="53">
        <v>30</v>
      </c>
      <c r="F37" s="13">
        <v>45917</v>
      </c>
      <c r="G37" s="86">
        <v>0.375</v>
      </c>
      <c r="H37" s="13">
        <v>45916</v>
      </c>
      <c r="I37" s="12">
        <v>0.83333333333333337</v>
      </c>
      <c r="J37" s="53">
        <f t="shared" si="0"/>
        <v>0</v>
      </c>
      <c r="K37" s="50">
        <v>1</v>
      </c>
      <c r="L37" s="68">
        <v>30</v>
      </c>
      <c r="M37" s="52" t="s">
        <v>178</v>
      </c>
    </row>
    <row r="38" spans="1:13" s="5" customFormat="1" ht="28.5" customHeight="1" x14ac:dyDescent="0.25">
      <c r="A38" s="61" t="s">
        <v>179</v>
      </c>
      <c r="B38" s="96" t="s">
        <v>39</v>
      </c>
      <c r="C38" s="13" t="s">
        <v>40</v>
      </c>
      <c r="D38" s="53">
        <v>5</v>
      </c>
      <c r="E38" s="53">
        <v>50</v>
      </c>
      <c r="F38" s="13">
        <v>45917</v>
      </c>
      <c r="G38" s="86">
        <v>0.375</v>
      </c>
      <c r="H38" s="13">
        <v>45916</v>
      </c>
      <c r="I38" s="12">
        <v>0.86805555555555558</v>
      </c>
      <c r="J38" s="53">
        <f t="shared" si="0"/>
        <v>5</v>
      </c>
      <c r="K38" s="50">
        <v>5</v>
      </c>
      <c r="L38" s="68">
        <v>45</v>
      </c>
      <c r="M38" s="52" t="s">
        <v>180</v>
      </c>
    </row>
    <row r="39" spans="1:13" s="5" customFormat="1" ht="39" customHeight="1" x14ac:dyDescent="0.2">
      <c r="A39" s="23" t="s">
        <v>146</v>
      </c>
      <c r="B39" s="90" t="s">
        <v>30</v>
      </c>
      <c r="C39" s="90" t="s">
        <v>207</v>
      </c>
      <c r="D39" s="84">
        <v>1</v>
      </c>
      <c r="E39" s="49">
        <v>60</v>
      </c>
      <c r="F39" s="85">
        <v>45917</v>
      </c>
      <c r="G39" s="86">
        <v>0.375</v>
      </c>
      <c r="H39" s="85">
        <v>45916</v>
      </c>
      <c r="I39" s="86">
        <v>0.91666666666666663</v>
      </c>
      <c r="J39" s="87">
        <f t="shared" si="0"/>
        <v>50</v>
      </c>
      <c r="K39" s="8">
        <v>1</v>
      </c>
      <c r="L39" s="88">
        <v>10</v>
      </c>
      <c r="M39" s="91" t="s">
        <v>149</v>
      </c>
    </row>
    <row r="40" spans="1:13" s="5" customFormat="1" ht="38.25" customHeight="1" x14ac:dyDescent="0.2">
      <c r="A40" s="23" t="s">
        <v>146</v>
      </c>
      <c r="B40" s="90" t="s">
        <v>42</v>
      </c>
      <c r="C40" s="85" t="s">
        <v>77</v>
      </c>
      <c r="D40" s="84">
        <v>1</v>
      </c>
      <c r="E40" s="49">
        <v>60</v>
      </c>
      <c r="F40" s="85">
        <v>45917</v>
      </c>
      <c r="G40" s="86">
        <v>0.375</v>
      </c>
      <c r="H40" s="85">
        <v>45916</v>
      </c>
      <c r="I40" s="86">
        <v>0.91666666666666663</v>
      </c>
      <c r="J40" s="87">
        <f t="shared" si="0"/>
        <v>50</v>
      </c>
      <c r="K40" s="8">
        <v>1</v>
      </c>
      <c r="L40" s="88">
        <v>10</v>
      </c>
      <c r="M40" s="91" t="s">
        <v>149</v>
      </c>
    </row>
    <row r="41" spans="1:13" s="5" customFormat="1" ht="38.25" customHeight="1" x14ac:dyDescent="0.2">
      <c r="A41" s="23" t="s">
        <v>146</v>
      </c>
      <c r="B41" s="90" t="s">
        <v>21</v>
      </c>
      <c r="C41" s="85" t="s">
        <v>86</v>
      </c>
      <c r="D41" s="84">
        <v>1</v>
      </c>
      <c r="E41" s="49">
        <v>60</v>
      </c>
      <c r="F41" s="85">
        <v>45917</v>
      </c>
      <c r="G41" s="86">
        <v>0.375</v>
      </c>
      <c r="H41" s="85">
        <v>45916</v>
      </c>
      <c r="I41" s="86">
        <v>0.91666666666666663</v>
      </c>
      <c r="J41" s="87">
        <f t="shared" si="0"/>
        <v>50</v>
      </c>
      <c r="K41" s="8">
        <v>1</v>
      </c>
      <c r="L41" s="88">
        <v>10</v>
      </c>
      <c r="M41" s="91" t="s">
        <v>149</v>
      </c>
    </row>
    <row r="42" spans="1:13" s="5" customFormat="1" ht="42" customHeight="1" x14ac:dyDescent="0.2">
      <c r="A42" s="23" t="s">
        <v>146</v>
      </c>
      <c r="B42" s="90" t="s">
        <v>136</v>
      </c>
      <c r="C42" s="85" t="s">
        <v>151</v>
      </c>
      <c r="D42" s="84">
        <v>1</v>
      </c>
      <c r="E42" s="49">
        <v>60</v>
      </c>
      <c r="F42" s="85">
        <v>45917</v>
      </c>
      <c r="G42" s="86">
        <v>0.375</v>
      </c>
      <c r="H42" s="85">
        <v>45916</v>
      </c>
      <c r="I42" s="86">
        <v>0.91666666666666663</v>
      </c>
      <c r="J42" s="87">
        <f t="shared" si="0"/>
        <v>50</v>
      </c>
      <c r="K42" s="8">
        <v>1</v>
      </c>
      <c r="L42" s="88">
        <v>10</v>
      </c>
      <c r="M42" s="91" t="s">
        <v>149</v>
      </c>
    </row>
    <row r="43" spans="1:13" s="5" customFormat="1" ht="32.4" customHeight="1" x14ac:dyDescent="0.2">
      <c r="A43" s="23" t="s">
        <v>146</v>
      </c>
      <c r="B43" s="90" t="s">
        <v>36</v>
      </c>
      <c r="C43" s="85" t="s">
        <v>80</v>
      </c>
      <c r="D43" s="84">
        <v>1</v>
      </c>
      <c r="E43" s="49">
        <v>60</v>
      </c>
      <c r="F43" s="85">
        <v>45917</v>
      </c>
      <c r="G43" s="86">
        <v>0.375</v>
      </c>
      <c r="H43" s="85">
        <v>45916</v>
      </c>
      <c r="I43" s="86">
        <v>0.91666666666666663</v>
      </c>
      <c r="J43" s="87">
        <f t="shared" si="0"/>
        <v>50</v>
      </c>
      <c r="K43" s="8">
        <v>1</v>
      </c>
      <c r="L43" s="88">
        <v>10</v>
      </c>
      <c r="M43" s="91" t="s">
        <v>149</v>
      </c>
    </row>
    <row r="44" spans="1:13" ht="35.25" customHeight="1" x14ac:dyDescent="0.25">
      <c r="A44" s="23" t="s">
        <v>146</v>
      </c>
      <c r="B44" s="90" t="s">
        <v>39</v>
      </c>
      <c r="C44" s="85" t="s">
        <v>150</v>
      </c>
      <c r="D44" s="84">
        <v>1</v>
      </c>
      <c r="E44" s="49">
        <v>60</v>
      </c>
      <c r="F44" s="85">
        <v>45917</v>
      </c>
      <c r="G44" s="86">
        <v>0.375</v>
      </c>
      <c r="H44" s="85">
        <v>45916</v>
      </c>
      <c r="I44" s="86">
        <v>0.91666666666666663</v>
      </c>
      <c r="J44" s="87">
        <f t="shared" si="0"/>
        <v>50</v>
      </c>
      <c r="K44" s="8">
        <v>1</v>
      </c>
      <c r="L44" s="88">
        <v>10</v>
      </c>
      <c r="M44" s="91" t="s">
        <v>149</v>
      </c>
    </row>
    <row r="45" spans="1:13" s="5" customFormat="1" ht="47.1" customHeight="1" x14ac:dyDescent="0.2">
      <c r="A45" s="23" t="s">
        <v>52</v>
      </c>
      <c r="B45" s="90" t="s">
        <v>21</v>
      </c>
      <c r="C45" s="90" t="s">
        <v>22</v>
      </c>
      <c r="D45" s="84">
        <v>1</v>
      </c>
      <c r="E45" s="49">
        <v>30</v>
      </c>
      <c r="F45" s="85">
        <v>45917</v>
      </c>
      <c r="G45" s="86">
        <v>0.375</v>
      </c>
      <c r="H45" s="85">
        <v>45916</v>
      </c>
      <c r="I45" s="86">
        <v>0.91666666666666663</v>
      </c>
      <c r="J45" s="87">
        <f t="shared" si="0"/>
        <v>0</v>
      </c>
      <c r="K45" s="8">
        <v>1</v>
      </c>
      <c r="L45" s="88">
        <v>30</v>
      </c>
      <c r="M45" s="91" t="s">
        <v>53</v>
      </c>
    </row>
    <row r="46" spans="1:13" s="5" customFormat="1" ht="43.5" customHeight="1" x14ac:dyDescent="0.2">
      <c r="A46" s="23" t="s">
        <v>153</v>
      </c>
      <c r="B46" s="90" t="s">
        <v>36</v>
      </c>
      <c r="C46" s="90" t="s">
        <v>37</v>
      </c>
      <c r="D46" s="84">
        <v>1</v>
      </c>
      <c r="E46" s="5">
        <v>30</v>
      </c>
      <c r="F46" s="85">
        <v>45917</v>
      </c>
      <c r="G46" s="86">
        <v>0.375</v>
      </c>
      <c r="H46" s="85">
        <v>45916</v>
      </c>
      <c r="I46" s="86">
        <v>0.91666666666666663</v>
      </c>
      <c r="J46" s="87">
        <f t="shared" si="0"/>
        <v>0</v>
      </c>
      <c r="K46" s="8">
        <v>1</v>
      </c>
      <c r="L46" s="88">
        <v>30</v>
      </c>
      <c r="M46" s="91" t="s">
        <v>53</v>
      </c>
    </row>
    <row r="47" spans="1:13" s="5" customFormat="1" ht="42.75" customHeight="1" x14ac:dyDescent="0.2">
      <c r="A47" s="23" t="s">
        <v>79</v>
      </c>
      <c r="B47" s="90" t="s">
        <v>36</v>
      </c>
      <c r="C47" s="90" t="s">
        <v>37</v>
      </c>
      <c r="D47" s="84">
        <v>1</v>
      </c>
      <c r="E47" s="49">
        <v>45</v>
      </c>
      <c r="F47" s="85">
        <v>45917</v>
      </c>
      <c r="G47" s="86">
        <v>0.375</v>
      </c>
      <c r="H47" s="85">
        <v>45916</v>
      </c>
      <c r="I47" s="86">
        <v>0.9375</v>
      </c>
      <c r="J47" s="87">
        <f t="shared" si="0"/>
        <v>-35</v>
      </c>
      <c r="K47" s="8">
        <v>1</v>
      </c>
      <c r="L47" s="88">
        <v>80</v>
      </c>
      <c r="M47" s="91" t="s">
        <v>81</v>
      </c>
    </row>
    <row r="48" spans="1:13" s="5" customFormat="1" ht="39" customHeight="1" x14ac:dyDescent="0.2">
      <c r="A48" s="23" t="s">
        <v>85</v>
      </c>
      <c r="B48" s="90" t="s">
        <v>21</v>
      </c>
      <c r="C48" s="90" t="s">
        <v>22</v>
      </c>
      <c r="D48" s="84">
        <v>1</v>
      </c>
      <c r="E48" s="49">
        <v>60</v>
      </c>
      <c r="F48" s="85">
        <v>45917</v>
      </c>
      <c r="G48" s="86">
        <v>0.375</v>
      </c>
      <c r="H48" s="85">
        <v>45916</v>
      </c>
      <c r="I48" s="86">
        <v>0.9375</v>
      </c>
      <c r="J48" s="87">
        <f t="shared" si="0"/>
        <v>10</v>
      </c>
      <c r="K48" s="8">
        <v>1</v>
      </c>
      <c r="L48" s="88">
        <v>50</v>
      </c>
      <c r="M48" s="91" t="s">
        <v>87</v>
      </c>
    </row>
    <row r="49" spans="1:13" s="5" customFormat="1" ht="29.25" customHeight="1" x14ac:dyDescent="0.2">
      <c r="A49" s="23" t="s">
        <v>88</v>
      </c>
      <c r="B49" s="90" t="s">
        <v>21</v>
      </c>
      <c r="C49" s="85" t="s">
        <v>22</v>
      </c>
      <c r="D49" s="84">
        <v>1</v>
      </c>
      <c r="E49" s="49">
        <v>55</v>
      </c>
      <c r="F49" s="85">
        <v>45917</v>
      </c>
      <c r="G49" s="86">
        <v>0.375</v>
      </c>
      <c r="H49" s="85">
        <v>45916</v>
      </c>
      <c r="I49" s="86">
        <v>0.9375</v>
      </c>
      <c r="J49" s="87">
        <f t="shared" si="0"/>
        <v>0</v>
      </c>
      <c r="K49" s="8">
        <v>1</v>
      </c>
      <c r="L49" s="88">
        <v>55</v>
      </c>
      <c r="M49" s="91" t="s">
        <v>89</v>
      </c>
    </row>
    <row r="50" spans="1:13" s="5" customFormat="1" ht="31.5" customHeight="1" x14ac:dyDescent="0.2">
      <c r="A50" s="33" t="s">
        <v>131</v>
      </c>
      <c r="B50" s="90" t="s">
        <v>36</v>
      </c>
      <c r="C50" s="85" t="s">
        <v>37</v>
      </c>
      <c r="D50" s="49">
        <v>1</v>
      </c>
      <c r="E50" s="49">
        <v>30</v>
      </c>
      <c r="F50" s="85">
        <v>45917</v>
      </c>
      <c r="G50" s="86">
        <v>0.375</v>
      </c>
      <c r="H50" s="85">
        <v>45916</v>
      </c>
      <c r="I50" s="86">
        <v>0.9375</v>
      </c>
      <c r="J50" s="87">
        <f t="shared" si="0"/>
        <v>-2</v>
      </c>
      <c r="K50" s="8">
        <v>1</v>
      </c>
      <c r="L50" s="88">
        <v>32</v>
      </c>
      <c r="M50" s="91" t="s">
        <v>132</v>
      </c>
    </row>
    <row r="51" spans="1:13" s="5" customFormat="1" ht="26.4" customHeight="1" x14ac:dyDescent="0.2">
      <c r="A51" s="33" t="s">
        <v>131</v>
      </c>
      <c r="B51" s="90" t="s">
        <v>42</v>
      </c>
      <c r="C51" s="85" t="s">
        <v>43</v>
      </c>
      <c r="D51" s="49">
        <v>1</v>
      </c>
      <c r="E51" s="49">
        <v>30</v>
      </c>
      <c r="F51" s="85">
        <v>45917</v>
      </c>
      <c r="G51" s="86">
        <v>0.375</v>
      </c>
      <c r="H51" s="85">
        <v>45916</v>
      </c>
      <c r="I51" s="86">
        <v>0.9375</v>
      </c>
      <c r="J51" s="87">
        <f t="shared" si="0"/>
        <v>-2</v>
      </c>
      <c r="K51" s="8">
        <v>1</v>
      </c>
      <c r="L51" s="88">
        <v>32</v>
      </c>
      <c r="M51" s="91" t="s">
        <v>132</v>
      </c>
    </row>
    <row r="52" spans="1:13" s="5" customFormat="1" ht="29.1" customHeight="1" x14ac:dyDescent="0.2">
      <c r="A52" s="33" t="s">
        <v>131</v>
      </c>
      <c r="B52" s="90" t="s">
        <v>30</v>
      </c>
      <c r="C52" s="85" t="s">
        <v>31</v>
      </c>
      <c r="D52" s="49">
        <v>1</v>
      </c>
      <c r="E52" s="49">
        <v>30</v>
      </c>
      <c r="F52" s="85">
        <v>45917</v>
      </c>
      <c r="G52" s="86">
        <v>0.375</v>
      </c>
      <c r="H52" s="85">
        <v>45916</v>
      </c>
      <c r="I52" s="86">
        <v>0.9375</v>
      </c>
      <c r="J52" s="87">
        <f t="shared" si="0"/>
        <v>-2</v>
      </c>
      <c r="K52" s="8">
        <v>1</v>
      </c>
      <c r="L52" s="88">
        <v>32</v>
      </c>
      <c r="M52" s="91" t="s">
        <v>132</v>
      </c>
    </row>
    <row r="53" spans="1:13" s="5" customFormat="1" ht="31.5" customHeight="1" x14ac:dyDescent="0.2">
      <c r="A53" s="33" t="s">
        <v>131</v>
      </c>
      <c r="B53" s="90" t="s">
        <v>21</v>
      </c>
      <c r="C53" s="85" t="s">
        <v>22</v>
      </c>
      <c r="D53" s="49">
        <v>1</v>
      </c>
      <c r="E53" s="49">
        <v>30</v>
      </c>
      <c r="F53" s="85">
        <v>45917</v>
      </c>
      <c r="G53" s="86">
        <v>0.375</v>
      </c>
      <c r="H53" s="85">
        <v>45916</v>
      </c>
      <c r="I53" s="86">
        <v>0.9375</v>
      </c>
      <c r="J53" s="87">
        <f t="shared" si="0"/>
        <v>-2</v>
      </c>
      <c r="K53" s="8">
        <v>1</v>
      </c>
      <c r="L53" s="88">
        <v>32</v>
      </c>
      <c r="M53" s="91" t="s">
        <v>132</v>
      </c>
    </row>
    <row r="54" spans="1:13" s="5" customFormat="1" ht="26.1" customHeight="1" x14ac:dyDescent="0.2">
      <c r="A54" s="33" t="s">
        <v>131</v>
      </c>
      <c r="B54" s="90" t="s">
        <v>136</v>
      </c>
      <c r="C54" s="85" t="s">
        <v>34</v>
      </c>
      <c r="D54" s="49">
        <v>1</v>
      </c>
      <c r="E54" s="49">
        <v>30</v>
      </c>
      <c r="F54" s="85">
        <v>45917</v>
      </c>
      <c r="G54" s="86">
        <v>0.375</v>
      </c>
      <c r="H54" s="85">
        <v>45916</v>
      </c>
      <c r="I54" s="86">
        <v>0.9375</v>
      </c>
      <c r="J54" s="87">
        <f t="shared" si="0"/>
        <v>-2</v>
      </c>
      <c r="K54" s="8">
        <v>1</v>
      </c>
      <c r="L54" s="88">
        <v>32</v>
      </c>
      <c r="M54" s="91" t="s">
        <v>132</v>
      </c>
    </row>
    <row r="55" spans="1:13" s="5" customFormat="1" ht="39" customHeight="1" x14ac:dyDescent="0.2">
      <c r="A55" s="33" t="s">
        <v>131</v>
      </c>
      <c r="B55" s="90" t="s">
        <v>39</v>
      </c>
      <c r="C55" s="85" t="s">
        <v>40</v>
      </c>
      <c r="D55" s="49">
        <v>1</v>
      </c>
      <c r="E55" s="49">
        <v>30</v>
      </c>
      <c r="F55" s="85">
        <v>45917</v>
      </c>
      <c r="G55" s="86">
        <v>0.375</v>
      </c>
      <c r="H55" s="85">
        <v>45916</v>
      </c>
      <c r="I55" s="86">
        <v>0.9375</v>
      </c>
      <c r="J55" s="87">
        <f t="shared" si="0"/>
        <v>-2</v>
      </c>
      <c r="K55" s="8">
        <v>1</v>
      </c>
      <c r="L55" s="88">
        <v>32</v>
      </c>
      <c r="M55" s="91" t="s">
        <v>132</v>
      </c>
    </row>
    <row r="56" spans="1:13" s="5" customFormat="1" ht="40.5" customHeight="1" x14ac:dyDescent="0.2">
      <c r="A56" s="33" t="s">
        <v>133</v>
      </c>
      <c r="B56" s="90" t="s">
        <v>21</v>
      </c>
      <c r="C56" s="85" t="s">
        <v>22</v>
      </c>
      <c r="D56" s="49">
        <v>3</v>
      </c>
      <c r="E56" s="49">
        <v>20</v>
      </c>
      <c r="F56" s="85">
        <v>45917</v>
      </c>
      <c r="G56" s="86">
        <v>0.375</v>
      </c>
      <c r="H56" s="85">
        <v>45917</v>
      </c>
      <c r="I56" s="86">
        <v>0.375</v>
      </c>
      <c r="J56" s="87">
        <f t="shared" si="0"/>
        <v>5</v>
      </c>
      <c r="K56" s="8">
        <v>3</v>
      </c>
      <c r="L56" s="88">
        <v>15</v>
      </c>
      <c r="M56" s="91" t="s">
        <v>134</v>
      </c>
    </row>
    <row r="57" spans="1:13" s="5" customFormat="1" ht="40.5" customHeight="1" x14ac:dyDescent="0.25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s="5" customFormat="1" ht="38.25" customHeight="1" x14ac:dyDescent="0.25">
      <c r="A58" s="70" t="s">
        <v>210</v>
      </c>
      <c r="B58" t="s">
        <v>215</v>
      </c>
      <c r="C58" t="s">
        <v>214</v>
      </c>
      <c r="D58" t="s">
        <v>212</v>
      </c>
      <c r="E58" t="s">
        <v>213</v>
      </c>
      <c r="F58" s="4"/>
      <c r="G58" s="4"/>
      <c r="H58" s="4"/>
      <c r="I58" s="3"/>
      <c r="J58" s="3"/>
      <c r="K58" s="2"/>
      <c r="L58" s="1"/>
      <c r="M58" s="1"/>
    </row>
    <row r="59" spans="1:13" s="5" customFormat="1" ht="38.25" customHeight="1" x14ac:dyDescent="0.25">
      <c r="A59" s="71" t="s">
        <v>36</v>
      </c>
      <c r="B59">
        <v>11</v>
      </c>
      <c r="C59">
        <v>395</v>
      </c>
      <c r="D59">
        <v>372</v>
      </c>
      <c r="E59">
        <v>10</v>
      </c>
      <c r="F59" s="4"/>
      <c r="G59" s="4"/>
      <c r="H59" s="4"/>
      <c r="I59" s="3"/>
      <c r="J59" s="3"/>
      <c r="K59" s="2"/>
      <c r="L59" s="1"/>
      <c r="M59" s="1"/>
    </row>
    <row r="60" spans="1:13" s="5" customFormat="1" ht="27" customHeight="1" x14ac:dyDescent="0.25">
      <c r="A60" s="71" t="s">
        <v>39</v>
      </c>
      <c r="B60">
        <v>12</v>
      </c>
      <c r="C60">
        <v>320</v>
      </c>
      <c r="D60">
        <v>259</v>
      </c>
      <c r="E60">
        <v>11</v>
      </c>
      <c r="F60" s="4"/>
      <c r="G60" s="4"/>
      <c r="H60" s="4"/>
      <c r="I60" s="3"/>
      <c r="J60" s="3"/>
      <c r="K60" s="2"/>
      <c r="L60" s="1"/>
      <c r="M60" s="1"/>
    </row>
    <row r="61" spans="1:13" s="5" customFormat="1" ht="33" customHeight="1" x14ac:dyDescent="0.25">
      <c r="A61" s="71" t="s">
        <v>21</v>
      </c>
      <c r="B61">
        <v>13</v>
      </c>
      <c r="C61">
        <v>465</v>
      </c>
      <c r="D61">
        <v>387</v>
      </c>
      <c r="E61">
        <v>14</v>
      </c>
      <c r="F61" s="4"/>
      <c r="G61" s="4"/>
      <c r="H61" s="4"/>
      <c r="I61" s="3"/>
      <c r="J61" s="3"/>
      <c r="K61" s="2"/>
      <c r="L61" s="1"/>
      <c r="M61" s="1"/>
    </row>
    <row r="62" spans="1:13" s="5" customFormat="1" ht="33.75" customHeight="1" x14ac:dyDescent="0.25">
      <c r="A62" s="71" t="s">
        <v>136</v>
      </c>
      <c r="B62">
        <v>9</v>
      </c>
      <c r="C62">
        <v>270</v>
      </c>
      <c r="D62">
        <v>210</v>
      </c>
      <c r="E62">
        <v>8</v>
      </c>
      <c r="F62" s="4"/>
      <c r="G62" s="4"/>
      <c r="H62" s="4"/>
      <c r="I62" s="3"/>
      <c r="J62" s="3"/>
      <c r="K62" s="2"/>
      <c r="L62" s="1"/>
      <c r="M62" s="1"/>
    </row>
    <row r="63" spans="1:13" s="5" customFormat="1" ht="32.25" customHeight="1" x14ac:dyDescent="0.25">
      <c r="A63" s="71" t="s">
        <v>42</v>
      </c>
      <c r="B63">
        <v>6</v>
      </c>
      <c r="C63">
        <v>240</v>
      </c>
      <c r="D63">
        <v>181</v>
      </c>
      <c r="E63">
        <v>5</v>
      </c>
      <c r="F63" s="4"/>
      <c r="G63" s="4"/>
      <c r="H63" s="4"/>
      <c r="I63" s="3"/>
      <c r="J63" s="3"/>
      <c r="K63" s="2"/>
      <c r="L63" s="1"/>
      <c r="M63" s="1"/>
    </row>
    <row r="64" spans="1:13" s="5" customFormat="1" ht="27" customHeight="1" x14ac:dyDescent="0.25">
      <c r="A64" s="71" t="s">
        <v>30</v>
      </c>
      <c r="B64">
        <v>8</v>
      </c>
      <c r="C64">
        <v>270</v>
      </c>
      <c r="D64">
        <v>220</v>
      </c>
      <c r="E64">
        <v>9</v>
      </c>
      <c r="F64" s="4"/>
      <c r="G64" s="4"/>
      <c r="H64" s="4"/>
      <c r="I64" s="3"/>
      <c r="J64" s="3"/>
      <c r="K64" s="2"/>
      <c r="L64" s="1"/>
      <c r="M64" s="1"/>
    </row>
    <row r="65" spans="1:13" s="5" customFormat="1" ht="24.9" customHeight="1" x14ac:dyDescent="0.25">
      <c r="A65" s="71" t="s">
        <v>211</v>
      </c>
      <c r="B65">
        <v>59</v>
      </c>
      <c r="C65">
        <v>1960</v>
      </c>
      <c r="D65">
        <v>1629</v>
      </c>
      <c r="E65">
        <v>57</v>
      </c>
      <c r="F65" s="4"/>
      <c r="G65" s="4"/>
      <c r="H65" s="4"/>
      <c r="I65" s="3"/>
      <c r="J65" s="3"/>
      <c r="K65" s="2"/>
      <c r="L65" s="1"/>
      <c r="M65" s="1"/>
    </row>
    <row r="66" spans="1:13" s="5" customFormat="1" ht="28.5" customHeight="1" x14ac:dyDescent="0.25">
      <c r="A66"/>
      <c r="B66"/>
      <c r="C66"/>
      <c r="D66"/>
      <c r="E66"/>
      <c r="F66" s="4"/>
      <c r="G66" s="4"/>
      <c r="H66" s="4"/>
      <c r="I66" s="3"/>
      <c r="J66" s="3"/>
      <c r="K66" s="2"/>
      <c r="L66" s="1"/>
      <c r="M66" s="1"/>
    </row>
    <row r="67" spans="1:13" s="5" customFormat="1" ht="35.4" customHeight="1" x14ac:dyDescent="0.25">
      <c r="A67"/>
      <c r="B67"/>
      <c r="C67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6.6" customHeight="1" x14ac:dyDescent="0.25">
      <c r="A68"/>
      <c r="B68"/>
      <c r="C68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6.6" customHeight="1" x14ac:dyDescent="0.25">
      <c r="A69"/>
      <c r="B69"/>
      <c r="C69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5.4" customHeight="1" x14ac:dyDescent="0.25">
      <c r="A70"/>
      <c r="B70"/>
      <c r="C70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5.4" customHeight="1" x14ac:dyDescent="0.25">
      <c r="A71"/>
      <c r="B71"/>
      <c r="C71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x14ac:dyDescent="0.25">
      <c r="A72"/>
      <c r="B72"/>
      <c r="C72"/>
      <c r="D72" s="4"/>
      <c r="E72" s="4"/>
      <c r="F72" s="4"/>
      <c r="G72" s="4"/>
      <c r="H72" s="4"/>
      <c r="I72" s="3"/>
      <c r="J72" s="3"/>
      <c r="K72" s="2"/>
      <c r="L72" s="1"/>
      <c r="M72" s="1"/>
    </row>
    <row r="73" spans="1:13" s="5" customForma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5" customFormat="1" ht="35.4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13" s="5" customFormat="1" ht="35.4" customHeight="1" x14ac:dyDescent="0.25">
      <c r="A75"/>
      <c r="B75"/>
      <c r="C75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" customHeight="1" x14ac:dyDescent="0.25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" customHeight="1" x14ac:dyDescent="0.25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" customHeight="1" x14ac:dyDescent="0.25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" customHeight="1" x14ac:dyDescent="0.25">
      <c r="A79" s="70" t="s">
        <v>210</v>
      </c>
      <c r="B79" t="s">
        <v>215</v>
      </c>
      <c r="C79" t="s">
        <v>213</v>
      </c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" customHeight="1" x14ac:dyDescent="0.25">
      <c r="A80" s="71" t="s">
        <v>36</v>
      </c>
      <c r="B80">
        <v>11</v>
      </c>
      <c r="C80">
        <v>10</v>
      </c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ht="35.4" customHeight="1" x14ac:dyDescent="0.25">
      <c r="A81" s="71" t="s">
        <v>39</v>
      </c>
      <c r="B81">
        <v>12</v>
      </c>
      <c r="C81">
        <v>11</v>
      </c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7.5" customHeight="1" x14ac:dyDescent="0.25">
      <c r="A82" s="71" t="s">
        <v>21</v>
      </c>
      <c r="B82">
        <v>13</v>
      </c>
      <c r="C82">
        <v>14</v>
      </c>
      <c r="D82" s="4"/>
      <c r="E82" s="4"/>
      <c r="F82" s="4"/>
      <c r="G82" s="4"/>
      <c r="H82" s="4"/>
      <c r="I82" s="3"/>
      <c r="J82" s="3"/>
      <c r="K82" s="2"/>
      <c r="L82" s="1"/>
      <c r="M82" s="1"/>
    </row>
    <row r="83" spans="1:13" x14ac:dyDescent="0.25">
      <c r="A83" s="71" t="s">
        <v>136</v>
      </c>
      <c r="B83">
        <v>9</v>
      </c>
      <c r="C83">
        <v>8</v>
      </c>
    </row>
    <row r="84" spans="1:13" x14ac:dyDescent="0.25">
      <c r="A84" s="71" t="s">
        <v>42</v>
      </c>
      <c r="B84">
        <v>6</v>
      </c>
      <c r="C84">
        <v>5</v>
      </c>
    </row>
    <row r="85" spans="1:13" x14ac:dyDescent="0.25">
      <c r="A85" s="71" t="s">
        <v>30</v>
      </c>
      <c r="B85">
        <v>8</v>
      </c>
      <c r="C85">
        <v>9</v>
      </c>
    </row>
    <row r="86" spans="1:13" x14ac:dyDescent="0.25">
      <c r="A86" s="71" t="s">
        <v>211</v>
      </c>
      <c r="B86">
        <v>59</v>
      </c>
      <c r="C86">
        <v>57</v>
      </c>
    </row>
    <row r="87" spans="1:13" x14ac:dyDescent="0.25">
      <c r="A87"/>
      <c r="B87"/>
      <c r="C87"/>
    </row>
    <row r="88" spans="1:13" x14ac:dyDescent="0.25">
      <c r="A88"/>
      <c r="B88"/>
      <c r="C88"/>
    </row>
    <row r="89" spans="1:13" x14ac:dyDescent="0.25">
      <c r="A89"/>
      <c r="B89"/>
      <c r="C89"/>
    </row>
    <row r="90" spans="1:13" x14ac:dyDescent="0.25">
      <c r="A90"/>
      <c r="B90"/>
      <c r="C90"/>
    </row>
    <row r="91" spans="1:13" x14ac:dyDescent="0.25">
      <c r="A91"/>
      <c r="B91"/>
      <c r="C91"/>
    </row>
    <row r="92" spans="1:13" x14ac:dyDescent="0.25">
      <c r="A92"/>
      <c r="B92"/>
      <c r="C92"/>
    </row>
    <row r="93" spans="1:13" x14ac:dyDescent="0.25">
      <c r="A93"/>
      <c r="B93"/>
      <c r="C93"/>
    </row>
    <row r="94" spans="1:13" x14ac:dyDescent="0.25">
      <c r="A94"/>
      <c r="B94"/>
      <c r="C94"/>
    </row>
    <row r="95" spans="1:13" x14ac:dyDescent="0.25">
      <c r="A95"/>
      <c r="B95"/>
      <c r="C95"/>
    </row>
    <row r="96" spans="1:13" x14ac:dyDescent="0.25">
      <c r="A96"/>
      <c r="B96"/>
      <c r="C96"/>
    </row>
    <row r="111" ht="30" customHeight="1" x14ac:dyDescent="0.25"/>
    <row r="112" ht="23.25" customHeight="1" x14ac:dyDescent="0.25"/>
    <row r="119" spans="1:20" s="5" customFormat="1" ht="12" customHeight="1" x14ac:dyDescent="0.25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5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5"/>
    <row r="125" spans="1:20" ht="36.75" customHeight="1" x14ac:dyDescent="0.25"/>
    <row r="126" spans="1:20" ht="33.75" customHeight="1" x14ac:dyDescent="0.25"/>
    <row r="127" spans="1:20" ht="26.25" customHeight="1" x14ac:dyDescent="0.25"/>
    <row r="128" spans="1:20" ht="27.75" customHeight="1" x14ac:dyDescent="0.25"/>
    <row r="129" ht="40.5" customHeight="1" x14ac:dyDescent="0.25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3"/>
  <headerFooter alignWithMargins="0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F09D-5975-4EC2-906A-F1516E297C96}">
  <dimension ref="A1:Z132"/>
  <sheetViews>
    <sheetView topLeftCell="A63" zoomScale="84" zoomScaleNormal="76" workbookViewId="0">
      <selection activeCell="A8" sqref="A8:M65"/>
    </sheetView>
  </sheetViews>
  <sheetFormatPr baseColWidth="10" defaultColWidth="11.44140625" defaultRowHeight="13.2" x14ac:dyDescent="0.25"/>
  <cols>
    <col min="1" max="1" width="18.6640625" style="4" bestFit="1" customWidth="1"/>
    <col min="2" max="2" width="45.44140625" style="4" bestFit="1" customWidth="1"/>
    <col min="3" max="3" width="36.6640625" style="4" bestFit="1" customWidth="1"/>
    <col min="4" max="4" width="21.5546875" style="4" bestFit="1" customWidth="1"/>
    <col min="5" max="5" width="21.33203125" style="4" bestFit="1" customWidth="1"/>
    <col min="6" max="8" width="10.6640625" style="4" customWidth="1"/>
    <col min="9" max="10" width="10.6640625" style="3" customWidth="1"/>
    <col min="11" max="11" width="10.6640625" style="2" customWidth="1"/>
    <col min="12" max="12" width="10.6640625" style="1" customWidth="1"/>
    <col min="13" max="13" width="48.109375" style="1" bestFit="1" customWidth="1"/>
    <col min="14" max="14" width="10.6640625" customWidth="1"/>
  </cols>
  <sheetData>
    <row r="1" spans="1:20" ht="32.25" customHeight="1" x14ac:dyDescent="0.25">
      <c r="A1" s="175"/>
      <c r="B1" s="177" t="s">
        <v>0</v>
      </c>
      <c r="C1" s="177"/>
      <c r="D1" s="177"/>
      <c r="E1" s="177"/>
      <c r="F1" s="177"/>
      <c r="G1" s="177"/>
      <c r="H1" s="177"/>
      <c r="I1" s="177"/>
      <c r="J1" s="177"/>
      <c r="K1" s="177"/>
      <c r="L1" s="179"/>
      <c r="M1" s="180"/>
    </row>
    <row r="2" spans="1:20" ht="20.25" customHeight="1" x14ac:dyDescent="0.25">
      <c r="A2" s="176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81"/>
      <c r="M2" s="182"/>
    </row>
    <row r="3" spans="1:20" ht="12.75" customHeight="1" x14ac:dyDescent="0.25">
      <c r="A3" s="183" t="s">
        <v>1</v>
      </c>
      <c r="B3" s="185" t="s">
        <v>2</v>
      </c>
      <c r="C3" s="185"/>
      <c r="D3" s="185"/>
      <c r="E3" s="185"/>
      <c r="F3" s="185"/>
      <c r="G3" s="185"/>
      <c r="H3" s="185"/>
      <c r="I3" s="185"/>
      <c r="J3" s="185"/>
      <c r="K3" s="185"/>
      <c r="L3" s="187" t="s">
        <v>3</v>
      </c>
      <c r="M3" s="188"/>
    </row>
    <row r="4" spans="1:20" ht="13.8" thickBot="1" x14ac:dyDescent="0.3">
      <c r="A4" s="184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6" t="s">
        <v>4</v>
      </c>
      <c r="M4" s="15"/>
    </row>
    <row r="5" spans="1:20" ht="13.8" thickBot="1" x14ac:dyDescent="0.3"/>
    <row r="6" spans="1:20" ht="14.4" thickBot="1" x14ac:dyDescent="0.3">
      <c r="A6" s="24" t="s">
        <v>5</v>
      </c>
      <c r="B6" s="171" t="s">
        <v>6</v>
      </c>
      <c r="C6" s="171"/>
      <c r="D6" s="171"/>
      <c r="E6" s="171"/>
      <c r="F6" s="171"/>
      <c r="G6" s="171"/>
      <c r="H6" s="172" t="s">
        <v>7</v>
      </c>
      <c r="I6" s="173"/>
      <c r="J6" s="173"/>
      <c r="K6" s="173"/>
      <c r="L6" s="174"/>
      <c r="M6" s="25"/>
    </row>
    <row r="7" spans="1:20" s="14" customFormat="1" ht="49.5" customHeight="1" x14ac:dyDescent="0.25">
      <c r="A7" s="18" cm="1">
        <f t="array" aca="1" ref="A7" ca="1">+A46+A1:L7+A7:L7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45931</v>
      </c>
      <c r="G8" s="86">
        <v>0.375</v>
      </c>
      <c r="H8" s="85">
        <v>45922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356</v>
      </c>
      <c r="B9" s="85" t="s">
        <v>30</v>
      </c>
      <c r="C9" s="85" t="s">
        <v>31</v>
      </c>
      <c r="D9" s="84">
        <v>1</v>
      </c>
      <c r="E9" s="49">
        <v>30</v>
      </c>
      <c r="F9" s="85">
        <v>45931</v>
      </c>
      <c r="G9" s="86">
        <v>0.375</v>
      </c>
      <c r="H9" s="85">
        <v>45922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5">
      <c r="A10" s="79" t="s">
        <v>357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45931</v>
      </c>
      <c r="G10" s="81">
        <v>0.375</v>
      </c>
      <c r="H10" s="80">
        <v>45923</v>
      </c>
      <c r="I10" s="81">
        <v>0.33333333333333331</v>
      </c>
      <c r="J10" s="87">
        <f t="shared" ref="J10:J42" si="0">E10-L10</f>
        <v>0</v>
      </c>
      <c r="K10" s="53">
        <v>1</v>
      </c>
      <c r="L10" s="53">
        <v>30</v>
      </c>
      <c r="M10" s="79" t="s">
        <v>358</v>
      </c>
    </row>
    <row r="11" spans="1:20" s="5" customFormat="1" ht="43.5" customHeight="1" x14ac:dyDescent="0.25">
      <c r="A11" s="79" t="s">
        <v>359</v>
      </c>
      <c r="B11" s="53" t="s">
        <v>42</v>
      </c>
      <c r="C11" s="53" t="s">
        <v>43</v>
      </c>
      <c r="D11" s="53">
        <v>2</v>
      </c>
      <c r="E11" s="53">
        <v>60</v>
      </c>
      <c r="F11" s="80">
        <v>45931</v>
      </c>
      <c r="G11" s="81">
        <v>0.375</v>
      </c>
      <c r="H11" s="80">
        <v>45923</v>
      </c>
      <c r="I11" s="81">
        <v>0.67013888888888884</v>
      </c>
      <c r="J11" s="87">
        <f t="shared" si="0"/>
        <v>-5</v>
      </c>
      <c r="K11" s="53">
        <v>2</v>
      </c>
      <c r="L11" s="53">
        <v>65</v>
      </c>
      <c r="M11" s="79" t="s">
        <v>360</v>
      </c>
    </row>
    <row r="12" spans="1:20" s="5" customFormat="1" ht="43.5" customHeight="1" x14ac:dyDescent="0.25">
      <c r="A12" s="53" t="s">
        <v>361</v>
      </c>
      <c r="B12" s="53" t="s">
        <v>42</v>
      </c>
      <c r="C12" s="53" t="s">
        <v>43</v>
      </c>
      <c r="D12" s="53">
        <v>2</v>
      </c>
      <c r="E12" s="53">
        <v>60</v>
      </c>
      <c r="F12" s="80">
        <v>45931</v>
      </c>
      <c r="G12" s="81">
        <v>0.375</v>
      </c>
      <c r="H12" s="80">
        <v>45923</v>
      </c>
      <c r="I12" s="81">
        <v>0.70833333333333337</v>
      </c>
      <c r="J12" s="87">
        <f t="shared" si="0"/>
        <v>5</v>
      </c>
      <c r="K12" s="53">
        <v>2</v>
      </c>
      <c r="L12" s="53">
        <v>55</v>
      </c>
      <c r="M12" s="79" t="s">
        <v>362</v>
      </c>
    </row>
    <row r="13" spans="1:20" s="5" customFormat="1" ht="47.25" customHeight="1" x14ac:dyDescent="0.25">
      <c r="A13" s="79" t="s">
        <v>363</v>
      </c>
      <c r="B13" s="53" t="s">
        <v>42</v>
      </c>
      <c r="C13" s="53" t="s">
        <v>43</v>
      </c>
      <c r="D13" s="53">
        <v>2</v>
      </c>
      <c r="E13" s="53">
        <v>60</v>
      </c>
      <c r="F13" s="80">
        <v>45931</v>
      </c>
      <c r="G13" s="81">
        <v>0.375</v>
      </c>
      <c r="H13" s="80">
        <v>45923</v>
      </c>
      <c r="I13" s="81">
        <v>0.75</v>
      </c>
      <c r="J13" s="87">
        <f t="shared" si="0"/>
        <v>10</v>
      </c>
      <c r="K13" s="53">
        <v>2</v>
      </c>
      <c r="L13" s="53">
        <v>50</v>
      </c>
      <c r="M13" s="79" t="s">
        <v>364</v>
      </c>
    </row>
    <row r="14" spans="1:20" s="5" customFormat="1" ht="43.5" customHeight="1" x14ac:dyDescent="0.25">
      <c r="A14" s="79" t="s">
        <v>365</v>
      </c>
      <c r="B14" s="53" t="s">
        <v>136</v>
      </c>
      <c r="C14" s="53" t="s">
        <v>34</v>
      </c>
      <c r="D14" s="53">
        <v>2</v>
      </c>
      <c r="E14" s="53">
        <v>60</v>
      </c>
      <c r="F14" s="80">
        <v>45931</v>
      </c>
      <c r="G14" s="81">
        <v>0.375</v>
      </c>
      <c r="H14" s="80">
        <v>45924</v>
      </c>
      <c r="I14" s="81">
        <v>0.75</v>
      </c>
      <c r="J14" s="87">
        <f t="shared" si="0"/>
        <v>0</v>
      </c>
      <c r="K14" s="53">
        <v>1</v>
      </c>
      <c r="L14" s="53">
        <v>60</v>
      </c>
      <c r="M14" s="79" t="s">
        <v>366</v>
      </c>
    </row>
    <row r="15" spans="1:20" s="5" customFormat="1" ht="39.75" customHeight="1" x14ac:dyDescent="0.25">
      <c r="A15" s="79" t="s">
        <v>367</v>
      </c>
      <c r="B15" s="53" t="s">
        <v>21</v>
      </c>
      <c r="C15" s="53" t="s">
        <v>22</v>
      </c>
      <c r="D15" s="53">
        <v>2</v>
      </c>
      <c r="E15" s="53">
        <v>60</v>
      </c>
      <c r="F15" s="80">
        <v>45931</v>
      </c>
      <c r="G15" s="81">
        <v>0.375</v>
      </c>
      <c r="H15" s="80">
        <v>45923</v>
      </c>
      <c r="I15" s="81">
        <v>0.375</v>
      </c>
      <c r="J15" s="87">
        <f t="shared" si="0"/>
        <v>0</v>
      </c>
      <c r="K15" s="53">
        <v>2</v>
      </c>
      <c r="L15" s="53">
        <v>60</v>
      </c>
      <c r="M15" s="79" t="s">
        <v>368</v>
      </c>
    </row>
    <row r="16" spans="1:20" s="5" customFormat="1" ht="38.4" customHeight="1" x14ac:dyDescent="0.25">
      <c r="A16" s="79" t="s">
        <v>369</v>
      </c>
      <c r="B16" s="53" t="s">
        <v>21</v>
      </c>
      <c r="C16" s="53" t="s">
        <v>22</v>
      </c>
      <c r="D16" s="53">
        <v>1</v>
      </c>
      <c r="E16" s="53">
        <v>60</v>
      </c>
      <c r="F16" s="80">
        <v>45931</v>
      </c>
      <c r="G16" s="81">
        <v>0.375</v>
      </c>
      <c r="H16" s="80">
        <v>45923</v>
      </c>
      <c r="I16" s="81">
        <v>0.41666666666666669</v>
      </c>
      <c r="J16" s="87">
        <f t="shared" si="0"/>
        <v>5</v>
      </c>
      <c r="K16" s="53">
        <v>2</v>
      </c>
      <c r="L16" s="53">
        <v>55</v>
      </c>
      <c r="M16" s="79" t="s">
        <v>370</v>
      </c>
    </row>
    <row r="17" spans="1:13" s="5" customFormat="1" ht="30.75" customHeight="1" x14ac:dyDescent="0.25">
      <c r="A17" s="79" t="s">
        <v>371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45931</v>
      </c>
      <c r="G17" s="81">
        <v>0.375</v>
      </c>
      <c r="H17" s="80">
        <v>45925</v>
      </c>
      <c r="I17" s="81">
        <v>0.5</v>
      </c>
      <c r="J17" s="87">
        <f>E17-L17</f>
        <v>0</v>
      </c>
      <c r="K17" s="53">
        <v>2</v>
      </c>
      <c r="L17" s="53">
        <v>60</v>
      </c>
      <c r="M17" s="79" t="s">
        <v>372</v>
      </c>
    </row>
    <row r="18" spans="1:13" s="5" customFormat="1" ht="41.25" customHeight="1" x14ac:dyDescent="0.25">
      <c r="A18" s="79" t="s">
        <v>373</v>
      </c>
      <c r="B18" s="53" t="s">
        <v>36</v>
      </c>
      <c r="C18" s="53" t="s">
        <v>37</v>
      </c>
      <c r="D18" s="53">
        <v>1</v>
      </c>
      <c r="E18" s="53">
        <v>60</v>
      </c>
      <c r="F18" s="80">
        <v>45931</v>
      </c>
      <c r="G18" s="81">
        <v>0.375</v>
      </c>
      <c r="H18" s="80">
        <v>45923</v>
      </c>
      <c r="I18" s="81">
        <v>0.875</v>
      </c>
      <c r="J18" s="87">
        <f t="shared" si="0"/>
        <v>0</v>
      </c>
      <c r="K18" s="53">
        <v>1</v>
      </c>
      <c r="L18" s="53">
        <v>60</v>
      </c>
      <c r="M18" s="79" t="s">
        <v>374</v>
      </c>
    </row>
    <row r="19" spans="1:13" s="5" customFormat="1" ht="38.25" customHeight="1" x14ac:dyDescent="0.25">
      <c r="A19" s="53" t="s">
        <v>375</v>
      </c>
      <c r="B19" s="53" t="s">
        <v>39</v>
      </c>
      <c r="C19" s="53" t="s">
        <v>40</v>
      </c>
      <c r="D19" s="53">
        <v>2</v>
      </c>
      <c r="E19" s="53">
        <v>60</v>
      </c>
      <c r="F19" s="80">
        <v>45931</v>
      </c>
      <c r="G19" s="81">
        <v>0.375</v>
      </c>
      <c r="H19" s="80">
        <v>45924</v>
      </c>
      <c r="I19" s="81">
        <v>0.5</v>
      </c>
      <c r="J19" s="87">
        <f t="shared" si="0"/>
        <v>0</v>
      </c>
      <c r="K19" s="53">
        <v>2</v>
      </c>
      <c r="L19" s="53">
        <v>60</v>
      </c>
      <c r="M19" s="79" t="s">
        <v>376</v>
      </c>
    </row>
    <row r="20" spans="1:13" s="5" customFormat="1" ht="40.5" customHeight="1" x14ac:dyDescent="0.25">
      <c r="A20" s="79" t="s">
        <v>377</v>
      </c>
      <c r="B20" s="53" t="s">
        <v>21</v>
      </c>
      <c r="C20" s="53" t="s">
        <v>22</v>
      </c>
      <c r="D20" s="53">
        <v>2</v>
      </c>
      <c r="E20" s="53">
        <v>60</v>
      </c>
      <c r="F20" s="80">
        <v>45931</v>
      </c>
      <c r="G20" s="81">
        <v>0.375</v>
      </c>
      <c r="H20" s="80">
        <v>45923</v>
      </c>
      <c r="I20" s="81">
        <v>0.45833333333333331</v>
      </c>
      <c r="J20" s="87">
        <f t="shared" si="0"/>
        <v>0</v>
      </c>
      <c r="K20" s="53">
        <v>2</v>
      </c>
      <c r="L20" s="53">
        <v>60</v>
      </c>
      <c r="M20" s="79" t="s">
        <v>378</v>
      </c>
    </row>
    <row r="21" spans="1:13" s="5" customFormat="1" ht="41.25" customHeight="1" x14ac:dyDescent="0.25">
      <c r="A21" s="79" t="s">
        <v>377</v>
      </c>
      <c r="B21" s="53" t="s">
        <v>39</v>
      </c>
      <c r="C21" s="53" t="s">
        <v>40</v>
      </c>
      <c r="D21" s="53">
        <v>2</v>
      </c>
      <c r="E21" s="53">
        <v>60</v>
      </c>
      <c r="F21" s="80">
        <v>45931</v>
      </c>
      <c r="G21" s="81">
        <v>0.375</v>
      </c>
      <c r="H21" s="80">
        <v>45924</v>
      </c>
      <c r="I21" s="81">
        <v>0.54166666666666663</v>
      </c>
      <c r="J21" s="87">
        <f>E21-L21</f>
        <v>0</v>
      </c>
      <c r="K21" s="53">
        <v>2</v>
      </c>
      <c r="L21" s="53">
        <v>60</v>
      </c>
      <c r="M21" s="79" t="s">
        <v>378</v>
      </c>
    </row>
    <row r="22" spans="1:13" s="5" customFormat="1" ht="42.75" customHeight="1" x14ac:dyDescent="0.25">
      <c r="A22" s="79" t="s">
        <v>379</v>
      </c>
      <c r="B22" s="53" t="s">
        <v>21</v>
      </c>
      <c r="C22" s="53" t="s">
        <v>22</v>
      </c>
      <c r="D22" s="53">
        <v>2</v>
      </c>
      <c r="E22" s="53">
        <v>60</v>
      </c>
      <c r="F22" s="80">
        <v>45931</v>
      </c>
      <c r="G22" s="81">
        <v>0.375</v>
      </c>
      <c r="H22" s="80">
        <v>45923</v>
      </c>
      <c r="I22" s="81">
        <v>0.5</v>
      </c>
      <c r="J22" s="87">
        <f>E22-L22</f>
        <v>0</v>
      </c>
      <c r="K22" s="53">
        <v>2</v>
      </c>
      <c r="L22" s="53">
        <v>60</v>
      </c>
      <c r="M22" s="79" t="s">
        <v>380</v>
      </c>
    </row>
    <row r="23" spans="1:13" s="5" customFormat="1" ht="40.5" customHeight="1" x14ac:dyDescent="0.25">
      <c r="A23" s="79" t="s">
        <v>379</v>
      </c>
      <c r="B23" s="53" t="s">
        <v>39</v>
      </c>
      <c r="C23" s="53" t="s">
        <v>40</v>
      </c>
      <c r="D23" s="53">
        <v>2</v>
      </c>
      <c r="E23" s="53">
        <v>60</v>
      </c>
      <c r="F23" s="80">
        <v>45931</v>
      </c>
      <c r="G23" s="81">
        <v>0.375</v>
      </c>
      <c r="H23" s="80">
        <v>45924</v>
      </c>
      <c r="I23" s="81">
        <v>0.58333333333333337</v>
      </c>
      <c r="J23" s="87">
        <f t="shared" si="0"/>
        <v>0</v>
      </c>
      <c r="K23" s="53">
        <v>2</v>
      </c>
      <c r="L23" s="53">
        <v>60</v>
      </c>
      <c r="M23" s="79" t="s">
        <v>380</v>
      </c>
    </row>
    <row r="24" spans="1:13" s="5" customFormat="1" ht="41.25" customHeight="1" x14ac:dyDescent="0.25">
      <c r="A24" s="79" t="s">
        <v>381</v>
      </c>
      <c r="B24" s="53" t="s">
        <v>21</v>
      </c>
      <c r="C24" s="53" t="s">
        <v>22</v>
      </c>
      <c r="D24" s="53">
        <v>2</v>
      </c>
      <c r="E24" s="53">
        <v>60</v>
      </c>
      <c r="F24" s="80">
        <v>45931</v>
      </c>
      <c r="G24" s="81">
        <v>0.375</v>
      </c>
      <c r="H24" s="80">
        <v>45929</v>
      </c>
      <c r="I24" s="81">
        <v>0.54166666666666663</v>
      </c>
      <c r="J24" s="87">
        <f t="shared" si="0"/>
        <v>0</v>
      </c>
      <c r="K24" s="53">
        <v>2</v>
      </c>
      <c r="L24" s="53">
        <v>60</v>
      </c>
      <c r="M24" s="79" t="s">
        <v>382</v>
      </c>
    </row>
    <row r="25" spans="1:13" s="5" customFormat="1" ht="41.25" customHeight="1" x14ac:dyDescent="0.25">
      <c r="A25" s="79" t="s">
        <v>381</v>
      </c>
      <c r="B25" s="53" t="s">
        <v>39</v>
      </c>
      <c r="C25" s="53" t="s">
        <v>40</v>
      </c>
      <c r="D25" s="53">
        <v>2</v>
      </c>
      <c r="E25" s="53">
        <v>60</v>
      </c>
      <c r="F25" s="80">
        <v>45931</v>
      </c>
      <c r="G25" s="81">
        <v>0.375</v>
      </c>
      <c r="H25" s="80">
        <v>45929</v>
      </c>
      <c r="I25" s="81">
        <v>0.625</v>
      </c>
      <c r="J25" s="87">
        <f t="shared" si="0"/>
        <v>0</v>
      </c>
      <c r="K25" s="53">
        <v>2</v>
      </c>
      <c r="L25" s="53">
        <v>60</v>
      </c>
      <c r="M25" s="79" t="s">
        <v>382</v>
      </c>
    </row>
    <row r="26" spans="1:13" s="5" customFormat="1" ht="41.25" customHeight="1" x14ac:dyDescent="0.25">
      <c r="A26" s="79" t="s">
        <v>383</v>
      </c>
      <c r="B26" s="53" t="s">
        <v>21</v>
      </c>
      <c r="C26" s="53" t="s">
        <v>22</v>
      </c>
      <c r="D26" s="53">
        <v>2</v>
      </c>
      <c r="E26" s="53">
        <v>60</v>
      </c>
      <c r="F26" s="80">
        <v>45931</v>
      </c>
      <c r="G26" s="81">
        <v>0.375</v>
      </c>
      <c r="H26" s="80">
        <v>45929</v>
      </c>
      <c r="I26" s="81">
        <v>0.58333333333333337</v>
      </c>
      <c r="J26" s="87">
        <f t="shared" si="0"/>
        <v>0</v>
      </c>
      <c r="K26" s="53">
        <v>2</v>
      </c>
      <c r="L26" s="53">
        <v>60</v>
      </c>
      <c r="M26" s="79" t="s">
        <v>384</v>
      </c>
    </row>
    <row r="27" spans="1:13" s="5" customFormat="1" ht="42.75" customHeight="1" x14ac:dyDescent="0.25">
      <c r="A27" s="79" t="s">
        <v>383</v>
      </c>
      <c r="B27" s="53" t="s">
        <v>39</v>
      </c>
      <c r="C27" s="53" t="s">
        <v>40</v>
      </c>
      <c r="D27" s="53">
        <v>2</v>
      </c>
      <c r="E27" s="53">
        <v>60</v>
      </c>
      <c r="F27" s="80">
        <v>45931</v>
      </c>
      <c r="G27" s="81">
        <v>0.375</v>
      </c>
      <c r="H27" s="80">
        <v>45929</v>
      </c>
      <c r="I27" s="81">
        <v>0.66666666666666663</v>
      </c>
      <c r="J27" s="87">
        <f t="shared" si="0"/>
        <v>0</v>
      </c>
      <c r="K27" s="53">
        <v>2</v>
      </c>
      <c r="L27" s="53">
        <v>60</v>
      </c>
      <c r="M27" s="79" t="s">
        <v>384</v>
      </c>
    </row>
    <row r="28" spans="1:13" s="5" customFormat="1" ht="27" customHeight="1" x14ac:dyDescent="0.25">
      <c r="A28" s="79" t="s">
        <v>385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45931</v>
      </c>
      <c r="G28" s="81">
        <v>0.375</v>
      </c>
      <c r="H28" s="80">
        <v>45929</v>
      </c>
      <c r="I28" s="81">
        <v>0.60416666666666663</v>
      </c>
      <c r="J28" s="87">
        <f t="shared" si="0"/>
        <v>-4</v>
      </c>
      <c r="K28" s="53">
        <v>1</v>
      </c>
      <c r="L28" s="53">
        <v>34</v>
      </c>
      <c r="M28" s="79" t="s">
        <v>386</v>
      </c>
    </row>
    <row r="29" spans="1:13" s="5" customFormat="1" ht="36.75" customHeight="1" x14ac:dyDescent="0.25">
      <c r="A29" s="79" t="s">
        <v>385</v>
      </c>
      <c r="B29" s="53" t="s">
        <v>39</v>
      </c>
      <c r="C29" s="53" t="s">
        <v>40</v>
      </c>
      <c r="D29" s="53">
        <v>1</v>
      </c>
      <c r="E29" s="53">
        <v>30</v>
      </c>
      <c r="F29" s="80">
        <v>45931</v>
      </c>
      <c r="G29" s="81">
        <v>0.375</v>
      </c>
      <c r="H29" s="80">
        <v>45929</v>
      </c>
      <c r="I29" s="81">
        <v>0.6875</v>
      </c>
      <c r="J29" s="87">
        <f t="shared" si="0"/>
        <v>-4</v>
      </c>
      <c r="K29" s="53">
        <v>1</v>
      </c>
      <c r="L29" s="53">
        <v>34</v>
      </c>
      <c r="M29" s="79" t="s">
        <v>386</v>
      </c>
    </row>
    <row r="30" spans="1:13" s="5" customFormat="1" ht="37.5" customHeight="1" x14ac:dyDescent="0.25">
      <c r="A30" s="79" t="s">
        <v>387</v>
      </c>
      <c r="B30" s="53" t="s">
        <v>36</v>
      </c>
      <c r="C30" s="53" t="s">
        <v>37</v>
      </c>
      <c r="D30" s="53">
        <v>1</v>
      </c>
      <c r="E30" s="53">
        <v>60</v>
      </c>
      <c r="F30" s="80">
        <v>45931</v>
      </c>
      <c r="G30" s="81">
        <v>0.375</v>
      </c>
      <c r="H30" s="80">
        <v>45929</v>
      </c>
      <c r="I30" s="81">
        <v>0.79166666666666663</v>
      </c>
      <c r="J30" s="87">
        <f t="shared" si="0"/>
        <v>5</v>
      </c>
      <c r="K30" s="53">
        <v>1</v>
      </c>
      <c r="L30" s="53">
        <v>55</v>
      </c>
      <c r="M30" s="79" t="s">
        <v>388</v>
      </c>
    </row>
    <row r="31" spans="1:13" s="5" customFormat="1" ht="38.25" customHeight="1" x14ac:dyDescent="0.25">
      <c r="A31" s="79" t="s">
        <v>387</v>
      </c>
      <c r="B31" s="53" t="s">
        <v>42</v>
      </c>
      <c r="C31" s="53" t="s">
        <v>43</v>
      </c>
      <c r="D31" s="53">
        <v>1</v>
      </c>
      <c r="E31" s="53">
        <v>60</v>
      </c>
      <c r="F31" s="80">
        <v>45931</v>
      </c>
      <c r="G31" s="81">
        <v>0.375</v>
      </c>
      <c r="H31" s="80">
        <v>45929</v>
      </c>
      <c r="I31" s="81">
        <v>0.79166666666666663</v>
      </c>
      <c r="J31" s="87">
        <f t="shared" si="0"/>
        <v>5</v>
      </c>
      <c r="K31" s="53">
        <v>1</v>
      </c>
      <c r="L31" s="53">
        <v>55</v>
      </c>
      <c r="M31" s="79" t="s">
        <v>388</v>
      </c>
    </row>
    <row r="32" spans="1:13" s="5" customFormat="1" ht="38.25" customHeight="1" x14ac:dyDescent="0.25">
      <c r="A32" s="79" t="s">
        <v>387</v>
      </c>
      <c r="B32" s="53" t="s">
        <v>136</v>
      </c>
      <c r="C32" s="53" t="s">
        <v>34</v>
      </c>
      <c r="D32" s="53">
        <v>1</v>
      </c>
      <c r="E32" s="53">
        <v>60</v>
      </c>
      <c r="F32" s="80">
        <v>45931</v>
      </c>
      <c r="G32" s="81">
        <v>0.375</v>
      </c>
      <c r="H32" s="80">
        <v>45929</v>
      </c>
      <c r="I32" s="81">
        <v>0.79166666666666663</v>
      </c>
      <c r="J32" s="87">
        <f t="shared" si="0"/>
        <v>5</v>
      </c>
      <c r="K32" s="53">
        <v>1</v>
      </c>
      <c r="L32" s="53">
        <v>55</v>
      </c>
      <c r="M32" s="79" t="s">
        <v>388</v>
      </c>
    </row>
    <row r="33" spans="1:26" s="5" customFormat="1" ht="38.25" customHeight="1" x14ac:dyDescent="0.25">
      <c r="A33" s="79" t="s">
        <v>389</v>
      </c>
      <c r="B33" s="53" t="s">
        <v>21</v>
      </c>
      <c r="C33" s="53" t="s">
        <v>22</v>
      </c>
      <c r="D33" s="53">
        <v>1</v>
      </c>
      <c r="E33" s="53">
        <v>30</v>
      </c>
      <c r="F33" s="80">
        <v>45931</v>
      </c>
      <c r="G33" s="81">
        <v>0.375</v>
      </c>
      <c r="H33" s="80">
        <v>45930</v>
      </c>
      <c r="I33" s="81">
        <v>0.58333333333333337</v>
      </c>
      <c r="J33" s="87">
        <f t="shared" si="0"/>
        <v>5</v>
      </c>
      <c r="K33" s="53">
        <v>2</v>
      </c>
      <c r="L33" s="53">
        <v>25</v>
      </c>
      <c r="M33" s="79" t="s">
        <v>390</v>
      </c>
    </row>
    <row r="34" spans="1:26" s="5" customFormat="1" ht="36.75" customHeight="1" x14ac:dyDescent="0.25">
      <c r="A34" s="79" t="s">
        <v>389</v>
      </c>
      <c r="B34" s="53" t="s">
        <v>39</v>
      </c>
      <c r="C34" s="53" t="s">
        <v>40</v>
      </c>
      <c r="D34" s="53">
        <v>1</v>
      </c>
      <c r="E34" s="53">
        <v>30</v>
      </c>
      <c r="F34" s="80">
        <v>45931</v>
      </c>
      <c r="G34" s="81">
        <v>0.375</v>
      </c>
      <c r="H34" s="80">
        <v>45930</v>
      </c>
      <c r="I34" s="81">
        <v>0.58333333333333337</v>
      </c>
      <c r="J34" s="87">
        <f t="shared" si="0"/>
        <v>5</v>
      </c>
      <c r="K34" s="53">
        <v>2</v>
      </c>
      <c r="L34" s="53">
        <v>25</v>
      </c>
      <c r="M34" s="79" t="s">
        <v>390</v>
      </c>
    </row>
    <row r="35" spans="1:26" s="5" customFormat="1" ht="42" customHeight="1" x14ac:dyDescent="0.25">
      <c r="A35" s="79" t="s">
        <v>391</v>
      </c>
      <c r="B35" s="53" t="s">
        <v>21</v>
      </c>
      <c r="C35" s="53" t="s">
        <v>22</v>
      </c>
      <c r="D35" s="53">
        <v>1</v>
      </c>
      <c r="E35" s="53">
        <v>30</v>
      </c>
      <c r="F35" s="80">
        <v>45931</v>
      </c>
      <c r="G35" s="81">
        <v>0.375</v>
      </c>
      <c r="H35" s="80">
        <v>45930</v>
      </c>
      <c r="I35" s="81">
        <v>0.60416666666666663</v>
      </c>
      <c r="J35" s="87">
        <f t="shared" si="0"/>
        <v>0</v>
      </c>
      <c r="K35" s="53">
        <v>2</v>
      </c>
      <c r="L35" s="53">
        <v>30</v>
      </c>
      <c r="M35" s="79" t="s">
        <v>392</v>
      </c>
    </row>
    <row r="36" spans="1:26" s="5" customFormat="1" ht="39" customHeight="1" x14ac:dyDescent="0.25">
      <c r="A36" s="79" t="s">
        <v>391</v>
      </c>
      <c r="B36" s="53" t="s">
        <v>39</v>
      </c>
      <c r="C36" s="53" t="s">
        <v>40</v>
      </c>
      <c r="D36" s="53">
        <v>1</v>
      </c>
      <c r="E36" s="53">
        <v>30</v>
      </c>
      <c r="F36" s="80">
        <v>45931</v>
      </c>
      <c r="G36" s="81">
        <v>0.375</v>
      </c>
      <c r="H36" s="80">
        <v>45930</v>
      </c>
      <c r="I36" s="81">
        <v>0.60416666666666663</v>
      </c>
      <c r="J36" s="87">
        <f t="shared" si="0"/>
        <v>0</v>
      </c>
      <c r="K36" s="53">
        <v>2</v>
      </c>
      <c r="L36" s="53">
        <v>30</v>
      </c>
      <c r="M36" s="79" t="s">
        <v>392</v>
      </c>
    </row>
    <row r="37" spans="1:26" s="5" customFormat="1" ht="42" customHeight="1" x14ac:dyDescent="0.25">
      <c r="A37" s="79" t="s">
        <v>393</v>
      </c>
      <c r="B37" s="53" t="s">
        <v>21</v>
      </c>
      <c r="C37" s="53" t="s">
        <v>22</v>
      </c>
      <c r="D37" s="53">
        <v>1</v>
      </c>
      <c r="E37" s="53">
        <v>30</v>
      </c>
      <c r="F37" s="80">
        <v>45931</v>
      </c>
      <c r="G37" s="81">
        <v>0.375</v>
      </c>
      <c r="H37" s="80">
        <v>45930</v>
      </c>
      <c r="I37" s="81">
        <v>0.625</v>
      </c>
      <c r="J37" s="87">
        <f t="shared" si="0"/>
        <v>0</v>
      </c>
      <c r="K37" s="53">
        <v>2</v>
      </c>
      <c r="L37" s="53">
        <v>30</v>
      </c>
      <c r="M37" s="79" t="s">
        <v>394</v>
      </c>
    </row>
    <row r="38" spans="1:26" s="5" customFormat="1" ht="47.25" customHeight="1" x14ac:dyDescent="0.25">
      <c r="A38" s="79" t="s">
        <v>393</v>
      </c>
      <c r="B38" s="53" t="s">
        <v>39</v>
      </c>
      <c r="C38" s="53" t="s">
        <v>40</v>
      </c>
      <c r="D38" s="53">
        <v>1</v>
      </c>
      <c r="E38" s="53">
        <v>30</v>
      </c>
      <c r="F38" s="80">
        <v>45931</v>
      </c>
      <c r="G38" s="81">
        <v>0.375</v>
      </c>
      <c r="H38" s="80">
        <v>45930</v>
      </c>
      <c r="I38" s="81">
        <v>0.625</v>
      </c>
      <c r="J38" s="87">
        <f t="shared" si="0"/>
        <v>0</v>
      </c>
      <c r="K38" s="53">
        <v>2</v>
      </c>
      <c r="L38" s="53">
        <v>30</v>
      </c>
      <c r="M38" s="79" t="s">
        <v>394</v>
      </c>
    </row>
    <row r="39" spans="1:26" s="5" customFormat="1" ht="39.75" customHeight="1" x14ac:dyDescent="0.25">
      <c r="A39" s="79" t="s">
        <v>395</v>
      </c>
      <c r="B39" s="53" t="s">
        <v>21</v>
      </c>
      <c r="C39" s="53" t="s">
        <v>22</v>
      </c>
      <c r="D39" s="53">
        <v>1</v>
      </c>
      <c r="E39" s="53">
        <v>30</v>
      </c>
      <c r="F39" s="80">
        <v>45931</v>
      </c>
      <c r="G39" s="81">
        <v>0.375</v>
      </c>
      <c r="H39" s="80">
        <v>45930</v>
      </c>
      <c r="I39" s="81">
        <v>0.64583333333333337</v>
      </c>
      <c r="J39" s="87">
        <f>E39-L39</f>
        <v>5</v>
      </c>
      <c r="K39" s="53">
        <v>2</v>
      </c>
      <c r="L39" s="53">
        <v>25</v>
      </c>
      <c r="M39" s="79" t="s">
        <v>396</v>
      </c>
    </row>
    <row r="40" spans="1:26" s="5" customFormat="1" ht="47.25" customHeight="1" x14ac:dyDescent="0.25">
      <c r="A40" s="79" t="s">
        <v>395</v>
      </c>
      <c r="B40" s="53" t="s">
        <v>39</v>
      </c>
      <c r="C40" s="53" t="s">
        <v>40</v>
      </c>
      <c r="D40" s="53">
        <v>1</v>
      </c>
      <c r="E40" s="53">
        <v>30</v>
      </c>
      <c r="F40" s="80">
        <v>45931</v>
      </c>
      <c r="G40" s="81">
        <v>0.375</v>
      </c>
      <c r="H40" s="80">
        <v>45930</v>
      </c>
      <c r="I40" s="81">
        <v>0.64583333333333337</v>
      </c>
      <c r="J40" s="87">
        <f t="shared" ref="J40" si="1">E40-L40</f>
        <v>5</v>
      </c>
      <c r="K40" s="53">
        <v>2</v>
      </c>
      <c r="L40" s="53">
        <v>25</v>
      </c>
      <c r="M40" s="79" t="s">
        <v>396</v>
      </c>
    </row>
    <row r="41" spans="1:26" s="5" customFormat="1" ht="39" customHeight="1" x14ac:dyDescent="0.25">
      <c r="A41" s="79" t="s">
        <v>468</v>
      </c>
      <c r="B41" s="53" t="s">
        <v>39</v>
      </c>
      <c r="C41" s="53" t="s">
        <v>40</v>
      </c>
      <c r="D41" s="53">
        <v>1</v>
      </c>
      <c r="E41" s="53">
        <v>30</v>
      </c>
      <c r="F41" s="80">
        <v>45931</v>
      </c>
      <c r="G41" s="81">
        <v>0.375</v>
      </c>
      <c r="H41" s="80">
        <v>45930</v>
      </c>
      <c r="I41" s="81">
        <v>0.6875</v>
      </c>
      <c r="J41" s="87">
        <f t="shared" si="0"/>
        <v>5</v>
      </c>
      <c r="K41" s="53">
        <v>2</v>
      </c>
      <c r="L41" s="53">
        <v>25</v>
      </c>
      <c r="M41" s="79" t="s">
        <v>470</v>
      </c>
    </row>
    <row r="42" spans="1:26" s="5" customFormat="1" ht="39" customHeight="1" x14ac:dyDescent="0.25">
      <c r="A42" s="99" t="s">
        <v>471</v>
      </c>
      <c r="B42" s="53" t="s">
        <v>36</v>
      </c>
      <c r="C42" s="53" t="s">
        <v>37</v>
      </c>
      <c r="D42" s="53">
        <v>1</v>
      </c>
      <c r="E42" s="53">
        <v>30</v>
      </c>
      <c r="F42" s="80">
        <v>45931</v>
      </c>
      <c r="G42" s="81">
        <v>0.375</v>
      </c>
      <c r="H42" s="80">
        <v>45930</v>
      </c>
      <c r="I42" s="81">
        <v>0.79166666666666663</v>
      </c>
      <c r="J42" s="87">
        <f t="shared" si="0"/>
        <v>0</v>
      </c>
      <c r="K42" s="53">
        <v>3</v>
      </c>
      <c r="L42" s="53">
        <v>30</v>
      </c>
      <c r="M42" s="79" t="s">
        <v>472</v>
      </c>
    </row>
    <row r="43" spans="1:26" s="5" customFormat="1" ht="38.25" customHeight="1" x14ac:dyDescent="0.25">
      <c r="A43" s="98" t="s">
        <v>123</v>
      </c>
      <c r="B43" s="85" t="s">
        <v>36</v>
      </c>
      <c r="C43" s="85" t="s">
        <v>37</v>
      </c>
      <c r="D43" s="49">
        <v>1</v>
      </c>
      <c r="E43" s="49">
        <v>20</v>
      </c>
      <c r="F43" s="85">
        <v>45931</v>
      </c>
      <c r="G43" s="86">
        <v>0.375</v>
      </c>
      <c r="H43" s="85">
        <v>45930</v>
      </c>
      <c r="I43" s="86">
        <v>0.80555555555555558</v>
      </c>
      <c r="J43" s="87">
        <f>E43-L43</f>
        <v>0</v>
      </c>
      <c r="K43" s="8">
        <v>1</v>
      </c>
      <c r="L43" s="88">
        <v>20</v>
      </c>
      <c r="M43" s="93" t="s">
        <v>124</v>
      </c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s="5" customFormat="1" ht="38.25" customHeight="1" x14ac:dyDescent="0.2">
      <c r="A44" s="38" t="s">
        <v>123</v>
      </c>
      <c r="B44" s="85" t="s">
        <v>143</v>
      </c>
      <c r="C44" s="85" t="s">
        <v>43</v>
      </c>
      <c r="D44" s="49">
        <v>1</v>
      </c>
      <c r="E44" s="49">
        <v>20</v>
      </c>
      <c r="F44" s="85">
        <v>45931</v>
      </c>
      <c r="G44" s="86">
        <v>0.375</v>
      </c>
      <c r="H44" s="85">
        <v>45930</v>
      </c>
      <c r="I44" s="86">
        <v>0.80555555555555558</v>
      </c>
      <c r="J44" s="87">
        <f t="shared" ref="J44:J65" si="2">E44-L44</f>
        <v>0</v>
      </c>
      <c r="K44" s="8">
        <v>1</v>
      </c>
      <c r="L44" s="88">
        <v>20</v>
      </c>
      <c r="M44" s="93" t="s">
        <v>124</v>
      </c>
    </row>
    <row r="45" spans="1:26" s="5" customFormat="1" ht="42" customHeight="1" x14ac:dyDescent="0.25">
      <c r="A45" s="13" t="s">
        <v>175</v>
      </c>
      <c r="B45" s="13" t="s">
        <v>36</v>
      </c>
      <c r="C45" s="13" t="s">
        <v>37</v>
      </c>
      <c r="D45" s="53">
        <v>1</v>
      </c>
      <c r="E45" s="53">
        <v>30</v>
      </c>
      <c r="F45" s="13">
        <v>45931</v>
      </c>
      <c r="G45" s="86">
        <v>0.375</v>
      </c>
      <c r="H45" s="13">
        <v>45930</v>
      </c>
      <c r="I45" s="12">
        <v>0.83333333333333337</v>
      </c>
      <c r="J45" s="53">
        <f t="shared" si="2"/>
        <v>6</v>
      </c>
      <c r="K45" s="50">
        <v>1</v>
      </c>
      <c r="L45" s="68">
        <v>24</v>
      </c>
      <c r="M45" s="52" t="s">
        <v>176</v>
      </c>
    </row>
    <row r="46" spans="1:26" s="5" customFormat="1" ht="32.4" customHeight="1" x14ac:dyDescent="0.25">
      <c r="A46" s="13" t="s">
        <v>177</v>
      </c>
      <c r="B46" s="13" t="s">
        <v>39</v>
      </c>
      <c r="C46" s="13" t="s">
        <v>40</v>
      </c>
      <c r="D46" s="53">
        <v>1</v>
      </c>
      <c r="E46" s="53">
        <v>30</v>
      </c>
      <c r="F46" s="13">
        <v>45931</v>
      </c>
      <c r="G46" s="86">
        <v>0.375</v>
      </c>
      <c r="H46" s="13">
        <v>45930</v>
      </c>
      <c r="I46" s="12">
        <v>0.83333333333333337</v>
      </c>
      <c r="J46" s="53">
        <f t="shared" si="2"/>
        <v>0</v>
      </c>
      <c r="K46" s="50">
        <v>1</v>
      </c>
      <c r="L46" s="68">
        <v>30</v>
      </c>
      <c r="M46" s="52" t="s">
        <v>178</v>
      </c>
    </row>
    <row r="47" spans="1:26" ht="35.25" customHeight="1" x14ac:dyDescent="0.25">
      <c r="A47" s="61" t="s">
        <v>179</v>
      </c>
      <c r="B47" s="13" t="s">
        <v>39</v>
      </c>
      <c r="C47" s="13" t="s">
        <v>40</v>
      </c>
      <c r="D47" s="53">
        <v>5</v>
      </c>
      <c r="E47" s="53">
        <v>50</v>
      </c>
      <c r="F47" s="13">
        <v>45931</v>
      </c>
      <c r="G47" s="86">
        <v>0.375</v>
      </c>
      <c r="H47" s="13">
        <v>45930</v>
      </c>
      <c r="I47" s="12">
        <v>0.86805555555555558</v>
      </c>
      <c r="J47" s="53">
        <f t="shared" si="2"/>
        <v>5</v>
      </c>
      <c r="K47" s="50">
        <v>5</v>
      </c>
      <c r="L47" s="68">
        <v>45</v>
      </c>
      <c r="M47" s="52" t="s">
        <v>180</v>
      </c>
    </row>
    <row r="48" spans="1:26" s="5" customFormat="1" ht="47.1" customHeight="1" x14ac:dyDescent="0.2">
      <c r="A48" s="23" t="s">
        <v>146</v>
      </c>
      <c r="B48" s="85" t="s">
        <v>30</v>
      </c>
      <c r="C48" s="90" t="s">
        <v>207</v>
      </c>
      <c r="D48" s="84">
        <v>1</v>
      </c>
      <c r="E48" s="49">
        <v>60</v>
      </c>
      <c r="F48" s="85">
        <v>45931</v>
      </c>
      <c r="G48" s="86">
        <v>0.375</v>
      </c>
      <c r="H48" s="85">
        <v>45930</v>
      </c>
      <c r="I48" s="86">
        <v>0.91666666666666663</v>
      </c>
      <c r="J48" s="87">
        <f t="shared" si="2"/>
        <v>50</v>
      </c>
      <c r="K48" s="8">
        <v>1</v>
      </c>
      <c r="L48" s="88">
        <v>10</v>
      </c>
      <c r="M48" s="91" t="s">
        <v>149</v>
      </c>
    </row>
    <row r="49" spans="1:13" s="5" customFormat="1" ht="43.5" customHeight="1" x14ac:dyDescent="0.2">
      <c r="A49" s="23" t="s">
        <v>146</v>
      </c>
      <c r="B49" s="85" t="s">
        <v>42</v>
      </c>
      <c r="C49" s="85" t="s">
        <v>77</v>
      </c>
      <c r="D49" s="84">
        <v>1</v>
      </c>
      <c r="E49" s="49">
        <v>60</v>
      </c>
      <c r="F49" s="85">
        <v>45931</v>
      </c>
      <c r="G49" s="86">
        <v>0.375</v>
      </c>
      <c r="H49" s="85">
        <v>45930</v>
      </c>
      <c r="I49" s="86">
        <v>0.91666666666666663</v>
      </c>
      <c r="J49" s="87">
        <f t="shared" si="2"/>
        <v>50</v>
      </c>
      <c r="K49" s="8">
        <v>1</v>
      </c>
      <c r="L49" s="88">
        <v>10</v>
      </c>
      <c r="M49" s="91" t="s">
        <v>149</v>
      </c>
    </row>
    <row r="50" spans="1:13" s="5" customFormat="1" ht="42.75" customHeight="1" x14ac:dyDescent="0.2">
      <c r="A50" s="23" t="s">
        <v>146</v>
      </c>
      <c r="B50" s="85" t="s">
        <v>21</v>
      </c>
      <c r="C50" s="85" t="s">
        <v>86</v>
      </c>
      <c r="D50" s="84">
        <v>1</v>
      </c>
      <c r="E50" s="49">
        <v>60</v>
      </c>
      <c r="F50" s="85">
        <v>45931</v>
      </c>
      <c r="G50" s="86">
        <v>0.375</v>
      </c>
      <c r="H50" s="85">
        <v>45930</v>
      </c>
      <c r="I50" s="86">
        <v>0.91666666666666663</v>
      </c>
      <c r="J50" s="87">
        <f t="shared" si="2"/>
        <v>50</v>
      </c>
      <c r="K50" s="8">
        <v>1</v>
      </c>
      <c r="L50" s="88">
        <v>10</v>
      </c>
      <c r="M50" s="91" t="s">
        <v>149</v>
      </c>
    </row>
    <row r="51" spans="1:13" s="5" customFormat="1" ht="39" customHeight="1" x14ac:dyDescent="0.2">
      <c r="A51" s="23" t="s">
        <v>146</v>
      </c>
      <c r="B51" s="85" t="s">
        <v>136</v>
      </c>
      <c r="C51" s="85" t="s">
        <v>151</v>
      </c>
      <c r="D51" s="84">
        <v>1</v>
      </c>
      <c r="E51" s="49">
        <v>60</v>
      </c>
      <c r="F51" s="85">
        <v>45931</v>
      </c>
      <c r="G51" s="86">
        <v>0.375</v>
      </c>
      <c r="H51" s="85">
        <v>45930</v>
      </c>
      <c r="I51" s="86">
        <v>0.91666666666666663</v>
      </c>
      <c r="J51" s="87">
        <f t="shared" si="2"/>
        <v>50</v>
      </c>
      <c r="K51" s="8">
        <v>1</v>
      </c>
      <c r="L51" s="88">
        <v>10</v>
      </c>
      <c r="M51" s="91" t="s">
        <v>149</v>
      </c>
    </row>
    <row r="52" spans="1:13" s="5" customFormat="1" ht="29.25" customHeight="1" x14ac:dyDescent="0.2">
      <c r="A52" s="23" t="s">
        <v>146</v>
      </c>
      <c r="B52" s="85" t="s">
        <v>36</v>
      </c>
      <c r="C52" s="85" t="s">
        <v>80</v>
      </c>
      <c r="D52" s="84">
        <v>1</v>
      </c>
      <c r="E52" s="49">
        <v>60</v>
      </c>
      <c r="F52" s="85">
        <v>45931</v>
      </c>
      <c r="G52" s="86">
        <v>0.375</v>
      </c>
      <c r="H52" s="85">
        <v>45930</v>
      </c>
      <c r="I52" s="86">
        <v>0.91666666666666663</v>
      </c>
      <c r="J52" s="87">
        <f t="shared" si="2"/>
        <v>50</v>
      </c>
      <c r="K52" s="8">
        <v>1</v>
      </c>
      <c r="L52" s="88">
        <v>10</v>
      </c>
      <c r="M52" s="91" t="s">
        <v>149</v>
      </c>
    </row>
    <row r="53" spans="1:13" s="5" customFormat="1" ht="31.5" customHeight="1" x14ac:dyDescent="0.2">
      <c r="A53" s="23" t="s">
        <v>146</v>
      </c>
      <c r="B53" s="85" t="s">
        <v>39</v>
      </c>
      <c r="C53" s="85" t="s">
        <v>150</v>
      </c>
      <c r="D53" s="84">
        <v>1</v>
      </c>
      <c r="E53" s="49">
        <v>60</v>
      </c>
      <c r="F53" s="85">
        <v>45931</v>
      </c>
      <c r="G53" s="86">
        <v>0.375</v>
      </c>
      <c r="H53" s="85">
        <v>45930</v>
      </c>
      <c r="I53" s="86">
        <v>0.91666666666666663</v>
      </c>
      <c r="J53" s="87">
        <f t="shared" si="2"/>
        <v>50</v>
      </c>
      <c r="K53" s="8">
        <v>1</v>
      </c>
      <c r="L53" s="88">
        <v>10</v>
      </c>
      <c r="M53" s="91" t="s">
        <v>149</v>
      </c>
    </row>
    <row r="54" spans="1:13" s="5" customFormat="1" ht="26.4" customHeight="1" x14ac:dyDescent="0.2">
      <c r="A54" s="23" t="s">
        <v>52</v>
      </c>
      <c r="B54" s="90" t="s">
        <v>21</v>
      </c>
      <c r="C54" s="90" t="s">
        <v>22</v>
      </c>
      <c r="D54" s="84">
        <v>1</v>
      </c>
      <c r="E54" s="49">
        <v>30</v>
      </c>
      <c r="F54" s="85">
        <v>45931</v>
      </c>
      <c r="G54" s="86">
        <v>0.375</v>
      </c>
      <c r="H54" s="85">
        <v>45930</v>
      </c>
      <c r="I54" s="86">
        <v>0.91666666666666663</v>
      </c>
      <c r="J54" s="87">
        <f t="shared" si="2"/>
        <v>0</v>
      </c>
      <c r="K54" s="8">
        <v>1</v>
      </c>
      <c r="L54" s="88">
        <v>30</v>
      </c>
      <c r="M54" s="91" t="s">
        <v>53</v>
      </c>
    </row>
    <row r="55" spans="1:13" s="5" customFormat="1" ht="29.1" customHeight="1" x14ac:dyDescent="0.2">
      <c r="A55" s="23" t="s">
        <v>153</v>
      </c>
      <c r="B55" s="90" t="s">
        <v>36</v>
      </c>
      <c r="C55" s="90" t="s">
        <v>37</v>
      </c>
      <c r="D55" s="84">
        <v>1</v>
      </c>
      <c r="E55" s="5">
        <v>30</v>
      </c>
      <c r="F55" s="85">
        <v>45931</v>
      </c>
      <c r="G55" s="86">
        <v>0.375</v>
      </c>
      <c r="H55" s="85">
        <v>45930</v>
      </c>
      <c r="I55" s="86">
        <v>0.91666666666666663</v>
      </c>
      <c r="J55" s="87">
        <f t="shared" si="2"/>
        <v>0</v>
      </c>
      <c r="K55" s="8">
        <v>1</v>
      </c>
      <c r="L55" s="88">
        <v>30</v>
      </c>
      <c r="M55" s="91" t="s">
        <v>53</v>
      </c>
    </row>
    <row r="56" spans="1:13" s="5" customFormat="1" ht="31.5" customHeight="1" x14ac:dyDescent="0.2">
      <c r="A56" s="23" t="s">
        <v>79</v>
      </c>
      <c r="B56" s="85" t="s">
        <v>36</v>
      </c>
      <c r="C56" s="90" t="s">
        <v>37</v>
      </c>
      <c r="D56" s="84">
        <v>1</v>
      </c>
      <c r="E56" s="49">
        <v>45</v>
      </c>
      <c r="F56" s="85">
        <v>45931</v>
      </c>
      <c r="G56" s="86">
        <v>0.375</v>
      </c>
      <c r="H56" s="85">
        <v>45930</v>
      </c>
      <c r="I56" s="86">
        <v>0.9375</v>
      </c>
      <c r="J56" s="87">
        <f t="shared" si="2"/>
        <v>-35</v>
      </c>
      <c r="K56" s="8">
        <v>1</v>
      </c>
      <c r="L56" s="88">
        <v>80</v>
      </c>
      <c r="M56" s="91" t="s">
        <v>81</v>
      </c>
    </row>
    <row r="57" spans="1:13" s="5" customFormat="1" ht="26.1" customHeight="1" x14ac:dyDescent="0.2">
      <c r="A57" s="23" t="s">
        <v>85</v>
      </c>
      <c r="B57" s="85" t="s">
        <v>21</v>
      </c>
      <c r="C57" s="90" t="s">
        <v>22</v>
      </c>
      <c r="D57" s="84">
        <v>1</v>
      </c>
      <c r="E57" s="49">
        <v>60</v>
      </c>
      <c r="F57" s="85">
        <v>45931</v>
      </c>
      <c r="G57" s="86">
        <v>0.375</v>
      </c>
      <c r="H57" s="85">
        <v>45930</v>
      </c>
      <c r="I57" s="86">
        <v>0.9375</v>
      </c>
      <c r="J57" s="87">
        <f t="shared" si="2"/>
        <v>10</v>
      </c>
      <c r="K57" s="8">
        <v>1</v>
      </c>
      <c r="L57" s="88">
        <v>50</v>
      </c>
      <c r="M57" s="91" t="s">
        <v>87</v>
      </c>
    </row>
    <row r="58" spans="1:13" s="5" customFormat="1" ht="39" customHeight="1" x14ac:dyDescent="0.2">
      <c r="A58" s="23" t="s">
        <v>88</v>
      </c>
      <c r="B58" s="85" t="s">
        <v>21</v>
      </c>
      <c r="C58" s="85" t="s">
        <v>22</v>
      </c>
      <c r="D58" s="84">
        <v>1</v>
      </c>
      <c r="E58" s="49">
        <v>55</v>
      </c>
      <c r="F58" s="85">
        <v>45931</v>
      </c>
      <c r="G58" s="86">
        <v>0.375</v>
      </c>
      <c r="H58" s="85">
        <v>45930</v>
      </c>
      <c r="I58" s="86">
        <v>0.9375</v>
      </c>
      <c r="J58" s="87">
        <f t="shared" si="2"/>
        <v>0</v>
      </c>
      <c r="K58" s="8">
        <v>1</v>
      </c>
      <c r="L58" s="88">
        <v>55</v>
      </c>
      <c r="M58" s="91" t="s">
        <v>89</v>
      </c>
    </row>
    <row r="59" spans="1:13" s="5" customFormat="1" ht="40.5" customHeight="1" x14ac:dyDescent="0.2">
      <c r="A59" s="33" t="s">
        <v>131</v>
      </c>
      <c r="B59" s="85" t="s">
        <v>36</v>
      </c>
      <c r="C59" s="85" t="s">
        <v>37</v>
      </c>
      <c r="D59" s="49">
        <v>1</v>
      </c>
      <c r="E59" s="49">
        <v>30</v>
      </c>
      <c r="F59" s="85">
        <v>45931</v>
      </c>
      <c r="G59" s="86">
        <v>0.375</v>
      </c>
      <c r="H59" s="85">
        <v>45930</v>
      </c>
      <c r="I59" s="86">
        <v>0.9375</v>
      </c>
      <c r="J59" s="87">
        <f t="shared" si="2"/>
        <v>-2</v>
      </c>
      <c r="K59" s="8">
        <v>1</v>
      </c>
      <c r="L59" s="88">
        <v>32</v>
      </c>
      <c r="M59" s="91" t="s">
        <v>132</v>
      </c>
    </row>
    <row r="60" spans="1:13" s="5" customFormat="1" ht="40.5" customHeight="1" x14ac:dyDescent="0.2">
      <c r="A60" s="33" t="s">
        <v>131</v>
      </c>
      <c r="B60" s="85" t="s">
        <v>42</v>
      </c>
      <c r="C60" s="85" t="s">
        <v>43</v>
      </c>
      <c r="D60" s="49">
        <v>1</v>
      </c>
      <c r="E60" s="49">
        <v>30</v>
      </c>
      <c r="F60" s="85">
        <v>45931</v>
      </c>
      <c r="G60" s="86">
        <v>0.375</v>
      </c>
      <c r="H60" s="85">
        <v>45930</v>
      </c>
      <c r="I60" s="86">
        <v>0.9375</v>
      </c>
      <c r="J60" s="87">
        <f t="shared" si="2"/>
        <v>-2</v>
      </c>
      <c r="K60" s="8">
        <v>1</v>
      </c>
      <c r="L60" s="88">
        <v>32</v>
      </c>
      <c r="M60" s="91" t="s">
        <v>132</v>
      </c>
    </row>
    <row r="61" spans="1:13" s="5" customFormat="1" ht="38.25" customHeight="1" x14ac:dyDescent="0.2">
      <c r="A61" s="33" t="s">
        <v>131</v>
      </c>
      <c r="B61" s="85" t="s">
        <v>30</v>
      </c>
      <c r="C61" s="85" t="s">
        <v>31</v>
      </c>
      <c r="D61" s="49">
        <v>1</v>
      </c>
      <c r="E61" s="49">
        <v>30</v>
      </c>
      <c r="F61" s="85">
        <v>45931</v>
      </c>
      <c r="G61" s="86">
        <v>0.375</v>
      </c>
      <c r="H61" s="85">
        <v>45930</v>
      </c>
      <c r="I61" s="86">
        <v>0.9375</v>
      </c>
      <c r="J61" s="87">
        <f t="shared" si="2"/>
        <v>-2</v>
      </c>
      <c r="K61" s="8">
        <v>1</v>
      </c>
      <c r="L61" s="88">
        <v>32</v>
      </c>
      <c r="M61" s="91" t="s">
        <v>132</v>
      </c>
    </row>
    <row r="62" spans="1:13" s="5" customFormat="1" ht="38.25" customHeight="1" x14ac:dyDescent="0.2">
      <c r="A62" s="33" t="s">
        <v>131</v>
      </c>
      <c r="B62" s="85" t="s">
        <v>21</v>
      </c>
      <c r="C62" s="85" t="s">
        <v>22</v>
      </c>
      <c r="D62" s="49">
        <v>1</v>
      </c>
      <c r="E62" s="49">
        <v>30</v>
      </c>
      <c r="F62" s="85">
        <v>45931</v>
      </c>
      <c r="G62" s="86">
        <v>0.375</v>
      </c>
      <c r="H62" s="85">
        <v>45930</v>
      </c>
      <c r="I62" s="86">
        <v>0.9375</v>
      </c>
      <c r="J62" s="87">
        <f t="shared" si="2"/>
        <v>-2</v>
      </c>
      <c r="K62" s="8">
        <v>1</v>
      </c>
      <c r="L62" s="88">
        <v>32</v>
      </c>
      <c r="M62" s="91" t="s">
        <v>132</v>
      </c>
    </row>
    <row r="63" spans="1:13" s="5" customFormat="1" ht="27" customHeight="1" x14ac:dyDescent="0.2">
      <c r="A63" s="33" t="s">
        <v>131</v>
      </c>
      <c r="B63" s="85" t="s">
        <v>136</v>
      </c>
      <c r="C63" s="85" t="s">
        <v>34</v>
      </c>
      <c r="D63" s="49">
        <v>1</v>
      </c>
      <c r="E63" s="49">
        <v>30</v>
      </c>
      <c r="F63" s="85">
        <v>45931</v>
      </c>
      <c r="G63" s="86">
        <v>0.375</v>
      </c>
      <c r="H63" s="85">
        <v>45930</v>
      </c>
      <c r="I63" s="86">
        <v>0.9375</v>
      </c>
      <c r="J63" s="87">
        <f t="shared" si="2"/>
        <v>-2</v>
      </c>
      <c r="K63" s="8">
        <v>1</v>
      </c>
      <c r="L63" s="88">
        <v>32</v>
      </c>
      <c r="M63" s="91" t="s">
        <v>132</v>
      </c>
    </row>
    <row r="64" spans="1:13" s="5" customFormat="1" ht="33" customHeight="1" x14ac:dyDescent="0.2">
      <c r="A64" s="33" t="s">
        <v>131</v>
      </c>
      <c r="B64" s="85" t="s">
        <v>39</v>
      </c>
      <c r="C64" s="85" t="s">
        <v>40</v>
      </c>
      <c r="D64" s="49">
        <v>1</v>
      </c>
      <c r="E64" s="49">
        <v>30</v>
      </c>
      <c r="F64" s="85">
        <v>45931</v>
      </c>
      <c r="G64" s="86">
        <v>0.375</v>
      </c>
      <c r="H64" s="85">
        <v>45930</v>
      </c>
      <c r="I64" s="86">
        <v>0.9375</v>
      </c>
      <c r="J64" s="87">
        <f t="shared" si="2"/>
        <v>-2</v>
      </c>
      <c r="K64" s="8">
        <v>1</v>
      </c>
      <c r="L64" s="88">
        <v>32</v>
      </c>
      <c r="M64" s="91" t="s">
        <v>132</v>
      </c>
    </row>
    <row r="65" spans="1:13" s="5" customFormat="1" ht="33.75" customHeight="1" x14ac:dyDescent="0.2">
      <c r="A65" s="33" t="s">
        <v>133</v>
      </c>
      <c r="B65" s="85" t="s">
        <v>21</v>
      </c>
      <c r="C65" s="85" t="s">
        <v>22</v>
      </c>
      <c r="D65" s="49">
        <v>3</v>
      </c>
      <c r="E65" s="49">
        <v>20</v>
      </c>
      <c r="F65" s="85">
        <v>45931</v>
      </c>
      <c r="G65" s="86">
        <v>0.375</v>
      </c>
      <c r="H65" s="85">
        <v>45931</v>
      </c>
      <c r="I65" s="86">
        <v>0.375</v>
      </c>
      <c r="J65" s="87">
        <f t="shared" si="2"/>
        <v>5</v>
      </c>
      <c r="K65" s="8">
        <v>3</v>
      </c>
      <c r="L65" s="88">
        <v>15</v>
      </c>
      <c r="M65" s="91" t="s">
        <v>134</v>
      </c>
    </row>
    <row r="66" spans="1:13" s="5" customFormat="1" ht="32.25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</row>
    <row r="67" spans="1:13" s="5" customFormat="1" ht="27" customHeight="1" x14ac:dyDescent="0.25">
      <c r="A67" s="70" t="s">
        <v>210</v>
      </c>
      <c r="B67" t="s">
        <v>215</v>
      </c>
      <c r="C67" t="s">
        <v>214</v>
      </c>
      <c r="D67" t="s">
        <v>213</v>
      </c>
      <c r="E67" t="s">
        <v>212</v>
      </c>
      <c r="F67" s="4"/>
      <c r="G67" s="4"/>
      <c r="H67" s="4"/>
      <c r="I67" s="3"/>
      <c r="J67" s="3"/>
      <c r="K67" s="2"/>
      <c r="L67" s="1"/>
      <c r="M67" s="1"/>
    </row>
    <row r="68" spans="1:13" s="5" customFormat="1" ht="24.9" customHeight="1" x14ac:dyDescent="0.25">
      <c r="A68" s="71" t="s">
        <v>36</v>
      </c>
      <c r="B68">
        <v>9</v>
      </c>
      <c r="C68">
        <v>365</v>
      </c>
      <c r="D68">
        <v>9</v>
      </c>
      <c r="E68">
        <v>341</v>
      </c>
      <c r="F68" s="4"/>
      <c r="G68" s="4"/>
      <c r="H68" s="4"/>
      <c r="I68" s="3"/>
      <c r="J68" s="3"/>
      <c r="K68" s="2"/>
      <c r="L68" s="1"/>
      <c r="M68" s="1"/>
    </row>
    <row r="69" spans="1:13" s="5" customFormat="1" ht="28.5" customHeight="1" x14ac:dyDescent="0.25">
      <c r="A69" s="71" t="s">
        <v>39</v>
      </c>
      <c r="B69">
        <v>23</v>
      </c>
      <c r="C69">
        <v>620</v>
      </c>
      <c r="D69">
        <v>27</v>
      </c>
      <c r="E69">
        <v>561</v>
      </c>
      <c r="F69" s="4"/>
      <c r="G69" s="4"/>
      <c r="H69" s="4"/>
      <c r="I69" s="3"/>
      <c r="J69" s="3"/>
      <c r="K69" s="2"/>
      <c r="L69" s="1"/>
      <c r="M69" s="1"/>
    </row>
    <row r="70" spans="1:13" s="5" customFormat="1" ht="35.4" customHeight="1" x14ac:dyDescent="0.25">
      <c r="A70" s="71" t="s">
        <v>21</v>
      </c>
      <c r="B70">
        <v>25</v>
      </c>
      <c r="C70">
        <v>795</v>
      </c>
      <c r="D70">
        <v>30</v>
      </c>
      <c r="E70">
        <v>721</v>
      </c>
      <c r="F70" s="4"/>
      <c r="G70" s="4"/>
      <c r="H70" s="4"/>
      <c r="I70" s="3"/>
      <c r="J70" s="3"/>
      <c r="K70" s="2"/>
      <c r="L70" s="1"/>
      <c r="M70" s="1"/>
    </row>
    <row r="71" spans="1:13" s="5" customFormat="1" ht="36.6" customHeight="1" x14ac:dyDescent="0.25">
      <c r="A71" s="71" t="s">
        <v>136</v>
      </c>
      <c r="B71">
        <v>5</v>
      </c>
      <c r="C71">
        <v>210</v>
      </c>
      <c r="D71">
        <v>4</v>
      </c>
      <c r="E71">
        <v>157</v>
      </c>
      <c r="F71" s="4"/>
      <c r="G71" s="4"/>
      <c r="H71" s="4"/>
      <c r="I71" s="3"/>
      <c r="J71" s="3"/>
      <c r="K71" s="2"/>
      <c r="L71" s="1"/>
      <c r="M71" s="1"/>
    </row>
    <row r="72" spans="1:13" s="5" customFormat="1" ht="36.6" customHeight="1" x14ac:dyDescent="0.25">
      <c r="A72" s="71" t="s">
        <v>42</v>
      </c>
      <c r="B72">
        <v>9</v>
      </c>
      <c r="C72">
        <v>330</v>
      </c>
      <c r="D72">
        <v>9</v>
      </c>
      <c r="E72">
        <v>267</v>
      </c>
      <c r="F72" s="4"/>
      <c r="G72" s="4"/>
      <c r="H72" s="4"/>
      <c r="I72" s="3"/>
      <c r="J72" s="3"/>
      <c r="K72" s="2"/>
      <c r="L72" s="1"/>
      <c r="M72" s="1"/>
    </row>
    <row r="73" spans="1:13" s="5" customFormat="1" ht="35.4" customHeight="1" x14ac:dyDescent="0.25">
      <c r="A73" s="71" t="s">
        <v>30</v>
      </c>
      <c r="B73">
        <v>4</v>
      </c>
      <c r="C73">
        <v>180</v>
      </c>
      <c r="D73">
        <v>5</v>
      </c>
      <c r="E73">
        <v>132</v>
      </c>
      <c r="F73" s="4"/>
      <c r="G73" s="4"/>
      <c r="H73" s="4"/>
      <c r="I73" s="3"/>
      <c r="J73" s="3"/>
      <c r="K73" s="2"/>
      <c r="L73" s="1"/>
      <c r="M73" s="1"/>
    </row>
    <row r="74" spans="1:13" s="5" customFormat="1" ht="35.4" customHeight="1" x14ac:dyDescent="0.25">
      <c r="A74" s="71" t="s">
        <v>211</v>
      </c>
      <c r="B74">
        <v>75</v>
      </c>
      <c r="C74">
        <v>2500</v>
      </c>
      <c r="D74">
        <v>84</v>
      </c>
      <c r="E74">
        <v>2179</v>
      </c>
      <c r="F74" s="4"/>
      <c r="G74" s="4"/>
      <c r="H74" s="4"/>
      <c r="I74" s="3"/>
      <c r="J74" s="3"/>
      <c r="K74" s="2"/>
      <c r="L74" s="1"/>
      <c r="M74" s="1"/>
    </row>
    <row r="75" spans="1:13" s="5" customFormat="1" ht="35.4" customHeight="1" x14ac:dyDescent="0.25">
      <c r="A75"/>
      <c r="B75"/>
      <c r="C75"/>
      <c r="D75"/>
      <c r="E75"/>
      <c r="F75" s="4"/>
      <c r="G75" s="4"/>
      <c r="H75" s="4"/>
      <c r="I75" s="3"/>
      <c r="J75" s="3"/>
      <c r="K75" s="2"/>
      <c r="L75" s="1"/>
      <c r="M75" s="1"/>
    </row>
    <row r="76" spans="1:13" s="5" customFormat="1" ht="35.4" customHeight="1" x14ac:dyDescent="0.25">
      <c r="A76"/>
      <c r="B76"/>
      <c r="C76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" customHeight="1" x14ac:dyDescent="0.25">
      <c r="A77"/>
      <c r="B77"/>
      <c r="C77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" customHeight="1" x14ac:dyDescent="0.25">
      <c r="A78"/>
      <c r="B78"/>
      <c r="C78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" customHeight="1" x14ac:dyDescent="0.25">
      <c r="A79"/>
      <c r="B79"/>
      <c r="C79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" customHeight="1" x14ac:dyDescent="0.25">
      <c r="A80"/>
      <c r="B80"/>
      <c r="C80"/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x14ac:dyDescent="0.25">
      <c r="A81"/>
      <c r="B81"/>
      <c r="C81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x14ac:dyDescent="0.25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s="5" customFormat="1" ht="35.4" customHeight="1" x14ac:dyDescent="0.25">
      <c r="A83"/>
      <c r="B83"/>
      <c r="C83"/>
      <c r="D83" s="4"/>
      <c r="E83" s="4"/>
      <c r="F83" s="4"/>
      <c r="G83" s="4"/>
      <c r="H83" s="4"/>
      <c r="I83" s="3"/>
      <c r="J83" s="3"/>
      <c r="K83" s="2"/>
      <c r="L83" s="1"/>
      <c r="M83" s="1"/>
    </row>
    <row r="84" spans="1:13" s="5" customFormat="1" ht="35.4" customHeight="1" x14ac:dyDescent="0.25">
      <c r="A84"/>
      <c r="B84"/>
      <c r="C84"/>
      <c r="D84" s="4"/>
      <c r="E84" s="4"/>
      <c r="F84" s="4"/>
      <c r="G84" s="4"/>
      <c r="H84" s="4"/>
      <c r="I84" s="3"/>
      <c r="J84" s="3"/>
      <c r="K84" s="2"/>
      <c r="L84" s="1"/>
      <c r="M84" s="1"/>
    </row>
    <row r="85" spans="1:13" s="5" customFormat="1" ht="37.5" customHeight="1" x14ac:dyDescent="0.25">
      <c r="A85" s="4"/>
      <c r="B85" s="4"/>
      <c r="C85" s="4"/>
      <c r="D85" s="4"/>
      <c r="E85" s="4"/>
      <c r="F85" s="4"/>
      <c r="G85" s="4"/>
      <c r="H85" s="4"/>
      <c r="I85" s="3"/>
      <c r="J85" s="3"/>
      <c r="K85" s="2"/>
      <c r="L85" s="1"/>
      <c r="M85" s="1"/>
    </row>
    <row r="114" spans="1:20" s="4" customFormat="1" ht="30" customHeight="1" x14ac:dyDescent="0.25">
      <c r="I114" s="3"/>
      <c r="J114" s="3"/>
      <c r="K114" s="2"/>
      <c r="L114" s="1"/>
      <c r="M114" s="1"/>
      <c r="N114"/>
      <c r="O114"/>
      <c r="P114"/>
      <c r="Q114"/>
      <c r="R114"/>
      <c r="S114"/>
      <c r="T114"/>
    </row>
    <row r="115" spans="1:20" s="4" customFormat="1" ht="23.25" customHeight="1" x14ac:dyDescent="0.25">
      <c r="I115" s="3"/>
      <c r="J115" s="3"/>
      <c r="K115" s="2"/>
      <c r="L115" s="1"/>
      <c r="M115" s="1"/>
      <c r="N115"/>
      <c r="O115"/>
      <c r="P115"/>
      <c r="Q115"/>
      <c r="R115"/>
      <c r="S115"/>
      <c r="T115"/>
    </row>
    <row r="122" spans="1:20" s="5" customFormat="1" ht="12" customHeight="1" x14ac:dyDescent="0.25">
      <c r="A122" s="4"/>
      <c r="B122" s="4"/>
      <c r="C122" s="4"/>
      <c r="D122" s="4"/>
      <c r="E122" s="4"/>
      <c r="F122" s="4"/>
      <c r="G122" s="4"/>
      <c r="H122" s="4"/>
      <c r="I122" s="3"/>
      <c r="J122" s="3"/>
      <c r="K122" s="2"/>
      <c r="L122" s="1"/>
      <c r="M122" s="1"/>
    </row>
    <row r="126" spans="1:20" x14ac:dyDescent="0.25">
      <c r="Q126" s="42" t="e">
        <f>SUM(#REF!)</f>
        <v>#REF!</v>
      </c>
      <c r="R126" s="42" t="e">
        <f>SUM(#REF!)</f>
        <v>#REF!</v>
      </c>
      <c r="S126" s="42" t="e">
        <f>SUM(#REF!)</f>
        <v>#REF!</v>
      </c>
      <c r="T126" s="42" t="e">
        <f>SUM(#REF!)</f>
        <v>#REF!</v>
      </c>
    </row>
    <row r="127" spans="1:20" ht="35.25" customHeight="1" x14ac:dyDescent="0.25"/>
    <row r="128" spans="1:20" ht="36.75" customHeight="1" x14ac:dyDescent="0.25"/>
    <row r="129" spans="9:20" ht="33.75" customHeight="1" x14ac:dyDescent="0.25"/>
    <row r="130" spans="9:20" ht="26.25" customHeight="1" x14ac:dyDescent="0.25"/>
    <row r="131" spans="9:20" ht="27.75" customHeight="1" x14ac:dyDescent="0.25"/>
    <row r="132" spans="9:20" s="4" customFormat="1" ht="40.5" customHeight="1" x14ac:dyDescent="0.25">
      <c r="I132" s="3"/>
      <c r="J132" s="3"/>
      <c r="K132" s="2"/>
      <c r="L132" s="1"/>
      <c r="M132" s="1"/>
      <c r="N132"/>
      <c r="O132"/>
      <c r="P132"/>
      <c r="Q132"/>
      <c r="R132"/>
      <c r="S132"/>
      <c r="T132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7ADA-0A6A-4EC4-BAA2-A1E5FA829188}">
  <dimension ref="A1:T136"/>
  <sheetViews>
    <sheetView topLeftCell="A85" zoomScale="84" zoomScaleNormal="76" workbookViewId="0">
      <selection activeCell="A8" sqref="A8:M87"/>
    </sheetView>
  </sheetViews>
  <sheetFormatPr baseColWidth="10" defaultColWidth="11.44140625" defaultRowHeight="13.2" x14ac:dyDescent="0.25"/>
  <cols>
    <col min="1" max="1" width="18.6640625" style="4" bestFit="1" customWidth="1"/>
    <col min="2" max="2" width="45.44140625" style="4" bestFit="1" customWidth="1"/>
    <col min="3" max="3" width="36.6640625" style="4" bestFit="1" customWidth="1"/>
    <col min="4" max="4" width="21.5546875" style="4" bestFit="1" customWidth="1"/>
    <col min="5" max="5" width="21.33203125" style="4" bestFit="1" customWidth="1"/>
    <col min="6" max="8" width="10.6640625" style="4" customWidth="1"/>
    <col min="9" max="10" width="10.6640625" style="3" customWidth="1"/>
    <col min="11" max="11" width="10.6640625" style="2" customWidth="1"/>
    <col min="12" max="12" width="10.6640625" style="1" customWidth="1"/>
    <col min="13" max="13" width="48.109375" style="1" bestFit="1" customWidth="1"/>
    <col min="14" max="14" width="10.6640625" customWidth="1"/>
  </cols>
  <sheetData>
    <row r="1" spans="1:20" ht="32.25" customHeight="1" x14ac:dyDescent="0.25">
      <c r="A1" s="175"/>
      <c r="B1" s="177" t="s">
        <v>0</v>
      </c>
      <c r="C1" s="177"/>
      <c r="D1" s="177"/>
      <c r="E1" s="177"/>
      <c r="F1" s="177"/>
      <c r="G1" s="177"/>
      <c r="H1" s="177"/>
      <c r="I1" s="177"/>
      <c r="J1" s="177"/>
      <c r="K1" s="177"/>
      <c r="L1" s="179"/>
      <c r="M1" s="180"/>
    </row>
    <row r="2" spans="1:20" ht="20.25" customHeight="1" x14ac:dyDescent="0.25">
      <c r="A2" s="176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81"/>
      <c r="M2" s="182"/>
    </row>
    <row r="3" spans="1:20" ht="12.75" customHeight="1" x14ac:dyDescent="0.25">
      <c r="A3" s="183" t="s">
        <v>1</v>
      </c>
      <c r="B3" s="185" t="s">
        <v>2</v>
      </c>
      <c r="C3" s="185"/>
      <c r="D3" s="185"/>
      <c r="E3" s="185"/>
      <c r="F3" s="185"/>
      <c r="G3" s="185"/>
      <c r="H3" s="185"/>
      <c r="I3" s="185"/>
      <c r="J3" s="185"/>
      <c r="K3" s="185"/>
      <c r="L3" s="187" t="s">
        <v>3</v>
      </c>
      <c r="M3" s="188"/>
    </row>
    <row r="4" spans="1:20" ht="13.8" thickBot="1" x14ac:dyDescent="0.3">
      <c r="A4" s="184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6" t="s">
        <v>4</v>
      </c>
      <c r="M4" s="15"/>
    </row>
    <row r="5" spans="1:20" ht="13.8" thickBot="1" x14ac:dyDescent="0.3"/>
    <row r="6" spans="1:20" ht="14.4" thickBot="1" x14ac:dyDescent="0.3">
      <c r="A6" s="24" t="s">
        <v>5</v>
      </c>
      <c r="B6" s="171" t="s">
        <v>6</v>
      </c>
      <c r="C6" s="171"/>
      <c r="D6" s="171"/>
      <c r="E6" s="171"/>
      <c r="F6" s="171"/>
      <c r="G6" s="171"/>
      <c r="H6" s="172" t="s">
        <v>7</v>
      </c>
      <c r="I6" s="173"/>
      <c r="J6" s="173"/>
      <c r="K6" s="173"/>
      <c r="L6" s="174"/>
      <c r="M6" s="25"/>
    </row>
    <row r="7" spans="1:20" s="14" customFormat="1" ht="49.5" customHeight="1" x14ac:dyDescent="0.25">
      <c r="A7" s="18" cm="1">
        <f t="array" aca="1" ref="A7" ca="1">+A68+A1:L7+A7:L7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466</v>
      </c>
      <c r="B8" s="85" t="s">
        <v>36</v>
      </c>
      <c r="C8" s="85" t="s">
        <v>37</v>
      </c>
      <c r="D8" s="84">
        <v>1</v>
      </c>
      <c r="E8" s="49">
        <v>30</v>
      </c>
      <c r="F8" s="85">
        <v>45938</v>
      </c>
      <c r="G8" s="86">
        <v>0.375</v>
      </c>
      <c r="H8" s="85">
        <v>45936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466</v>
      </c>
      <c r="B9" s="85" t="s">
        <v>30</v>
      </c>
      <c r="C9" s="85" t="s">
        <v>31</v>
      </c>
      <c r="D9" s="84">
        <v>1</v>
      </c>
      <c r="E9" s="49">
        <v>30</v>
      </c>
      <c r="F9" s="85">
        <v>45938</v>
      </c>
      <c r="G9" s="86">
        <v>0.375</v>
      </c>
      <c r="H9" s="85">
        <v>45936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467</v>
      </c>
      <c r="O9" s="5" t="s">
        <v>155</v>
      </c>
    </row>
    <row r="10" spans="1:20" s="5" customFormat="1" ht="39" customHeight="1" x14ac:dyDescent="0.25">
      <c r="A10" s="79" t="s">
        <v>397</v>
      </c>
      <c r="B10" s="53" t="s">
        <v>42</v>
      </c>
      <c r="C10" s="53" t="s">
        <v>43</v>
      </c>
      <c r="D10" s="84">
        <v>1</v>
      </c>
      <c r="E10" s="49">
        <v>30</v>
      </c>
      <c r="F10" s="80">
        <v>45938</v>
      </c>
      <c r="G10" s="81">
        <v>0.375</v>
      </c>
      <c r="H10" s="80">
        <v>45936</v>
      </c>
      <c r="I10" s="81">
        <v>0.54166666666666663</v>
      </c>
      <c r="J10" s="87">
        <f t="shared" ref="J10:J64" si="0">E10-L10</f>
        <v>0</v>
      </c>
      <c r="K10" s="53">
        <v>1</v>
      </c>
      <c r="L10" s="53">
        <v>30</v>
      </c>
      <c r="M10" s="79" t="s">
        <v>398</v>
      </c>
    </row>
    <row r="11" spans="1:20" s="5" customFormat="1" ht="43.5" customHeight="1" x14ac:dyDescent="0.25">
      <c r="A11" s="79" t="s">
        <v>399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45938</v>
      </c>
      <c r="G11" s="81">
        <v>0.375</v>
      </c>
      <c r="H11" s="80">
        <v>45936</v>
      </c>
      <c r="I11" s="81">
        <v>0.5625</v>
      </c>
      <c r="J11" s="87">
        <f t="shared" si="0"/>
        <v>2</v>
      </c>
      <c r="K11" s="53">
        <v>1</v>
      </c>
      <c r="L11" s="53">
        <v>28</v>
      </c>
      <c r="M11" s="79" t="s">
        <v>400</v>
      </c>
    </row>
    <row r="12" spans="1:20" s="5" customFormat="1" ht="43.5" customHeight="1" x14ac:dyDescent="0.25">
      <c r="A12" s="80" t="s">
        <v>401</v>
      </c>
      <c r="B12" s="53" t="s">
        <v>42</v>
      </c>
      <c r="C12" s="53" t="s">
        <v>43</v>
      </c>
      <c r="D12" s="84">
        <v>1</v>
      </c>
      <c r="E12" s="49">
        <v>30</v>
      </c>
      <c r="F12" s="80">
        <v>45938</v>
      </c>
      <c r="G12" s="81">
        <v>0.375</v>
      </c>
      <c r="H12" s="80">
        <v>45936</v>
      </c>
      <c r="I12" s="81">
        <v>0.58333333333333337</v>
      </c>
      <c r="J12" s="87">
        <f t="shared" si="0"/>
        <v>0</v>
      </c>
      <c r="K12" s="53">
        <v>1</v>
      </c>
      <c r="L12" s="53">
        <v>30</v>
      </c>
      <c r="M12" s="79" t="s">
        <v>403</v>
      </c>
    </row>
    <row r="13" spans="1:20" s="5" customFormat="1" ht="47.25" customHeight="1" x14ac:dyDescent="0.25">
      <c r="A13" s="79" t="s">
        <v>402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45938</v>
      </c>
      <c r="G13" s="81">
        <v>0.375</v>
      </c>
      <c r="H13" s="80">
        <v>45936</v>
      </c>
      <c r="I13" s="81">
        <v>0.60416666666666663</v>
      </c>
      <c r="J13" s="87">
        <f t="shared" si="0"/>
        <v>7</v>
      </c>
      <c r="K13" s="53">
        <v>2</v>
      </c>
      <c r="L13" s="53">
        <v>23</v>
      </c>
      <c r="M13" s="79" t="s">
        <v>404</v>
      </c>
    </row>
    <row r="14" spans="1:20" s="5" customFormat="1" ht="43.5" customHeight="1" x14ac:dyDescent="0.25">
      <c r="A14" s="79" t="s">
        <v>405</v>
      </c>
      <c r="B14" s="53" t="s">
        <v>42</v>
      </c>
      <c r="C14" s="53" t="s">
        <v>43</v>
      </c>
      <c r="D14" s="84">
        <v>1</v>
      </c>
      <c r="E14" s="49">
        <v>30</v>
      </c>
      <c r="F14" s="80">
        <v>45938</v>
      </c>
      <c r="G14" s="81">
        <v>0.375</v>
      </c>
      <c r="H14" s="80">
        <v>45937</v>
      </c>
      <c r="I14" s="81">
        <v>0.41666666666666669</v>
      </c>
      <c r="J14" s="87">
        <f t="shared" si="0"/>
        <v>-2</v>
      </c>
      <c r="K14" s="53">
        <v>2</v>
      </c>
      <c r="L14" s="53">
        <v>32</v>
      </c>
      <c r="M14" s="79" t="s">
        <v>407</v>
      </c>
    </row>
    <row r="15" spans="1:20" s="5" customFormat="1" ht="39.75" customHeight="1" x14ac:dyDescent="0.25">
      <c r="A15" s="79" t="s">
        <v>405</v>
      </c>
      <c r="B15" s="53" t="s">
        <v>30</v>
      </c>
      <c r="C15" s="53" t="s">
        <v>31</v>
      </c>
      <c r="D15" s="84">
        <v>1</v>
      </c>
      <c r="E15" s="49">
        <v>30</v>
      </c>
      <c r="F15" s="80">
        <v>45938</v>
      </c>
      <c r="G15" s="81">
        <v>0.375</v>
      </c>
      <c r="H15" s="80">
        <v>45937</v>
      </c>
      <c r="I15" s="81">
        <v>0.41666666666666669</v>
      </c>
      <c r="J15" s="87">
        <f t="shared" si="0"/>
        <v>0</v>
      </c>
      <c r="K15" s="53">
        <v>2</v>
      </c>
      <c r="L15" s="53">
        <v>30</v>
      </c>
      <c r="M15" s="53" t="s">
        <v>408</v>
      </c>
    </row>
    <row r="16" spans="1:20" s="5" customFormat="1" ht="38.4" customHeight="1" x14ac:dyDescent="0.25">
      <c r="A16" s="39" t="s">
        <v>406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45938</v>
      </c>
      <c r="G16" s="81">
        <v>0.375</v>
      </c>
      <c r="H16" s="80">
        <v>45936</v>
      </c>
      <c r="I16" s="81">
        <v>0.5</v>
      </c>
      <c r="J16" s="87">
        <f t="shared" si="0"/>
        <v>6</v>
      </c>
      <c r="K16" s="53">
        <v>2</v>
      </c>
      <c r="L16" s="53">
        <v>24</v>
      </c>
      <c r="M16" s="53" t="s">
        <v>408</v>
      </c>
    </row>
    <row r="17" spans="1:13" s="5" customFormat="1" ht="30.75" customHeight="1" x14ac:dyDescent="0.25">
      <c r="A17" s="39" t="s">
        <v>406</v>
      </c>
      <c r="B17" s="53" t="s">
        <v>39</v>
      </c>
      <c r="C17" s="53" t="s">
        <v>40</v>
      </c>
      <c r="D17" s="84">
        <v>1</v>
      </c>
      <c r="E17" s="49">
        <v>30</v>
      </c>
      <c r="F17" s="80">
        <v>45938</v>
      </c>
      <c r="G17" s="81">
        <v>0.375</v>
      </c>
      <c r="H17" s="80">
        <v>45937</v>
      </c>
      <c r="I17" s="81">
        <v>0.41666666666666669</v>
      </c>
      <c r="J17" s="87">
        <f t="shared" si="0"/>
        <v>5</v>
      </c>
      <c r="K17" s="53">
        <v>2</v>
      </c>
      <c r="L17" s="53">
        <v>25</v>
      </c>
      <c r="M17" s="53" t="s">
        <v>408</v>
      </c>
    </row>
    <row r="18" spans="1:13" s="5" customFormat="1" ht="41.25" customHeight="1" x14ac:dyDescent="0.25">
      <c r="A18" s="39" t="s">
        <v>406</v>
      </c>
      <c r="B18" s="53" t="s">
        <v>36</v>
      </c>
      <c r="C18" s="53" t="s">
        <v>37</v>
      </c>
      <c r="D18" s="84">
        <v>2</v>
      </c>
      <c r="E18" s="49">
        <v>30</v>
      </c>
      <c r="F18" s="80">
        <v>45938</v>
      </c>
      <c r="G18" s="81">
        <v>0.375</v>
      </c>
      <c r="H18" s="80">
        <v>45937</v>
      </c>
      <c r="I18" s="81">
        <v>0.41666666666666669</v>
      </c>
      <c r="J18" s="87">
        <f t="shared" si="0"/>
        <v>5</v>
      </c>
      <c r="K18" s="53">
        <v>2</v>
      </c>
      <c r="L18" s="53">
        <v>25</v>
      </c>
      <c r="M18" s="53" t="s">
        <v>408</v>
      </c>
    </row>
    <row r="19" spans="1:13" s="5" customFormat="1" ht="38.25" customHeight="1" x14ac:dyDescent="0.25">
      <c r="A19" t="s">
        <v>406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45938</v>
      </c>
      <c r="G19" s="81">
        <v>0.375</v>
      </c>
      <c r="H19" s="80">
        <v>45937</v>
      </c>
      <c r="I19" s="81">
        <v>0.41666666666666669</v>
      </c>
      <c r="J19" s="87">
        <f t="shared" si="0"/>
        <v>4</v>
      </c>
      <c r="K19" s="53">
        <v>2</v>
      </c>
      <c r="L19" s="53">
        <v>26</v>
      </c>
      <c r="M19" s="53" t="s">
        <v>408</v>
      </c>
    </row>
    <row r="20" spans="1:13" s="5" customFormat="1" ht="40.5" customHeight="1" x14ac:dyDescent="0.25">
      <c r="A20" s="79" t="s">
        <v>409</v>
      </c>
      <c r="B20" s="53" t="s">
        <v>30</v>
      </c>
      <c r="C20" s="53" t="s">
        <v>31</v>
      </c>
      <c r="D20" s="84">
        <v>2</v>
      </c>
      <c r="E20" s="49">
        <v>30</v>
      </c>
      <c r="F20" s="80">
        <v>45938</v>
      </c>
      <c r="G20" s="81">
        <v>0.375</v>
      </c>
      <c r="H20" s="80">
        <v>45937</v>
      </c>
      <c r="I20" s="81">
        <v>0.4375</v>
      </c>
      <c r="J20" s="87">
        <f t="shared" si="0"/>
        <v>4</v>
      </c>
      <c r="K20" s="53">
        <v>1</v>
      </c>
      <c r="L20" s="53">
        <v>26</v>
      </c>
      <c r="M20" s="79" t="s">
        <v>439</v>
      </c>
    </row>
    <row r="21" spans="1:13" s="5" customFormat="1" ht="41.25" customHeight="1" x14ac:dyDescent="0.25">
      <c r="A21" s="79" t="s">
        <v>410</v>
      </c>
      <c r="B21" s="53" t="s">
        <v>30</v>
      </c>
      <c r="C21" s="53" t="s">
        <v>31</v>
      </c>
      <c r="D21" s="84">
        <v>1</v>
      </c>
      <c r="E21" s="49">
        <v>30</v>
      </c>
      <c r="F21" s="80">
        <v>45938</v>
      </c>
      <c r="G21" s="81">
        <v>0.375</v>
      </c>
      <c r="H21" s="80">
        <v>45937</v>
      </c>
      <c r="I21" s="81">
        <v>0.45833333333333331</v>
      </c>
      <c r="J21" s="87">
        <f t="shared" si="0"/>
        <v>4</v>
      </c>
      <c r="K21" s="53">
        <v>2</v>
      </c>
      <c r="L21" s="53">
        <v>26</v>
      </c>
      <c r="M21" s="79" t="s">
        <v>440</v>
      </c>
    </row>
    <row r="22" spans="1:13" s="5" customFormat="1" ht="42.75" customHeight="1" x14ac:dyDescent="0.25">
      <c r="A22" s="79" t="s">
        <v>411</v>
      </c>
      <c r="B22" s="53" t="s">
        <v>30</v>
      </c>
      <c r="C22" s="53" t="s">
        <v>31</v>
      </c>
      <c r="D22" s="84">
        <v>1</v>
      </c>
      <c r="E22" s="49">
        <v>30</v>
      </c>
      <c r="F22" s="80">
        <v>45938</v>
      </c>
      <c r="G22" s="81">
        <v>0.375</v>
      </c>
      <c r="H22" s="80">
        <v>45937</v>
      </c>
      <c r="I22" s="81">
        <v>0.47916666666666669</v>
      </c>
      <c r="J22" s="87">
        <f t="shared" si="0"/>
        <v>0</v>
      </c>
      <c r="K22" s="53">
        <v>2</v>
      </c>
      <c r="L22" s="53">
        <v>30</v>
      </c>
      <c r="M22" s="79" t="s">
        <v>441</v>
      </c>
    </row>
    <row r="23" spans="1:13" s="5" customFormat="1" ht="40.5" customHeight="1" x14ac:dyDescent="0.25">
      <c r="A23" s="79" t="s">
        <v>412</v>
      </c>
      <c r="B23" s="53" t="s">
        <v>36</v>
      </c>
      <c r="C23" s="53" t="s">
        <v>37</v>
      </c>
      <c r="D23" s="84">
        <v>2</v>
      </c>
      <c r="E23" s="49">
        <v>30</v>
      </c>
      <c r="F23" s="80">
        <v>45938</v>
      </c>
      <c r="G23" s="81">
        <v>0.375</v>
      </c>
      <c r="H23" s="80">
        <v>45937</v>
      </c>
      <c r="I23" s="81">
        <v>0.45833333333333331</v>
      </c>
      <c r="J23" s="87">
        <f t="shared" si="0"/>
        <v>4</v>
      </c>
      <c r="K23" s="53">
        <v>1</v>
      </c>
      <c r="L23" s="53">
        <v>26</v>
      </c>
      <c r="M23" s="79" t="s">
        <v>442</v>
      </c>
    </row>
    <row r="24" spans="1:13" s="5" customFormat="1" ht="41.25" customHeight="1" x14ac:dyDescent="0.25">
      <c r="A24" s="79" t="s">
        <v>413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45938</v>
      </c>
      <c r="G24" s="81">
        <v>0.375</v>
      </c>
      <c r="H24" s="80">
        <v>45937</v>
      </c>
      <c r="I24" s="81">
        <v>0.47916666666666669</v>
      </c>
      <c r="J24" s="87">
        <f t="shared" si="0"/>
        <v>4</v>
      </c>
      <c r="K24" s="53">
        <v>1</v>
      </c>
      <c r="L24" s="53">
        <v>26</v>
      </c>
      <c r="M24" s="79" t="s">
        <v>443</v>
      </c>
    </row>
    <row r="25" spans="1:13" s="5" customFormat="1" ht="41.25" customHeight="1" x14ac:dyDescent="0.25">
      <c r="A25" s="79" t="s">
        <v>414</v>
      </c>
      <c r="B25" s="53" t="s">
        <v>36</v>
      </c>
      <c r="C25" s="53" t="s">
        <v>37</v>
      </c>
      <c r="D25" s="84">
        <v>1</v>
      </c>
      <c r="E25" s="49">
        <v>30</v>
      </c>
      <c r="F25" s="80">
        <v>45938</v>
      </c>
      <c r="G25" s="81">
        <v>0.375</v>
      </c>
      <c r="H25" s="80">
        <v>45937</v>
      </c>
      <c r="I25" s="81">
        <v>0.5</v>
      </c>
      <c r="J25" s="87">
        <f t="shared" si="0"/>
        <v>4</v>
      </c>
      <c r="K25" s="53">
        <v>1</v>
      </c>
      <c r="L25" s="53">
        <v>26</v>
      </c>
      <c r="M25" s="79" t="s">
        <v>444</v>
      </c>
    </row>
    <row r="26" spans="1:13" s="5" customFormat="1" ht="41.25" customHeight="1" x14ac:dyDescent="0.25">
      <c r="A26" s="79" t="s">
        <v>415</v>
      </c>
      <c r="B26" s="53" t="s">
        <v>136</v>
      </c>
      <c r="C26" s="53" t="s">
        <v>34</v>
      </c>
      <c r="D26" s="84">
        <v>1</v>
      </c>
      <c r="E26" s="49">
        <v>30</v>
      </c>
      <c r="F26" s="80">
        <v>45938</v>
      </c>
      <c r="G26" s="81">
        <v>0.375</v>
      </c>
      <c r="H26" s="80">
        <v>45937</v>
      </c>
      <c r="I26" s="81">
        <v>0.33333333333333331</v>
      </c>
      <c r="J26" s="87">
        <f t="shared" si="0"/>
        <v>4</v>
      </c>
      <c r="K26" s="53">
        <v>1</v>
      </c>
      <c r="L26" s="53">
        <v>26</v>
      </c>
      <c r="M26" s="79" t="s">
        <v>445</v>
      </c>
    </row>
    <row r="27" spans="1:13" s="5" customFormat="1" ht="42.75" customHeight="1" x14ac:dyDescent="0.25">
      <c r="A27" s="79" t="s">
        <v>416</v>
      </c>
      <c r="B27" s="53" t="s">
        <v>136</v>
      </c>
      <c r="C27" s="53" t="s">
        <v>34</v>
      </c>
      <c r="D27" s="84">
        <v>1</v>
      </c>
      <c r="E27" s="49">
        <v>30</v>
      </c>
      <c r="F27" s="80">
        <v>45938</v>
      </c>
      <c r="G27" s="81">
        <v>0.375</v>
      </c>
      <c r="H27" s="80">
        <v>45937</v>
      </c>
      <c r="I27" s="81">
        <v>0.35416666666666669</v>
      </c>
      <c r="J27" s="87">
        <f t="shared" si="0"/>
        <v>4</v>
      </c>
      <c r="K27" s="53">
        <v>1</v>
      </c>
      <c r="L27" s="53">
        <v>26</v>
      </c>
      <c r="M27" s="79" t="s">
        <v>446</v>
      </c>
    </row>
    <row r="28" spans="1:13" s="5" customFormat="1" ht="48.75" customHeight="1" x14ac:dyDescent="0.25">
      <c r="A28" s="79" t="s">
        <v>417</v>
      </c>
      <c r="B28" s="53" t="s">
        <v>21</v>
      </c>
      <c r="C28" s="53" t="s">
        <v>22</v>
      </c>
      <c r="D28" s="84">
        <v>1</v>
      </c>
      <c r="E28" s="49">
        <v>30</v>
      </c>
      <c r="F28" s="80">
        <v>45938</v>
      </c>
      <c r="G28" s="81">
        <v>0.375</v>
      </c>
      <c r="H28" s="80">
        <v>45936</v>
      </c>
      <c r="I28" s="81">
        <v>0.52083333333333337</v>
      </c>
      <c r="J28" s="87">
        <f t="shared" si="0"/>
        <v>0</v>
      </c>
      <c r="K28" s="53">
        <v>1</v>
      </c>
      <c r="L28" s="53">
        <v>30</v>
      </c>
      <c r="M28" s="79" t="s">
        <v>447</v>
      </c>
    </row>
    <row r="29" spans="1:13" s="5" customFormat="1" ht="36.75" customHeight="1" x14ac:dyDescent="0.25">
      <c r="A29" s="79" t="s">
        <v>418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45938</v>
      </c>
      <c r="G29" s="81">
        <v>0.375</v>
      </c>
      <c r="H29" s="80">
        <v>45937</v>
      </c>
      <c r="I29" s="81">
        <v>0.45833333333333331</v>
      </c>
      <c r="J29" s="87">
        <f t="shared" si="0"/>
        <v>0</v>
      </c>
      <c r="K29" s="53">
        <v>1</v>
      </c>
      <c r="L29" s="53">
        <v>30</v>
      </c>
      <c r="M29" s="79" t="s">
        <v>448</v>
      </c>
    </row>
    <row r="30" spans="1:13" s="5" customFormat="1" ht="37.5" customHeight="1" x14ac:dyDescent="0.25">
      <c r="A30" s="79" t="s">
        <v>419</v>
      </c>
      <c r="B30" s="53" t="s">
        <v>39</v>
      </c>
      <c r="C30" s="53" t="s">
        <v>40</v>
      </c>
      <c r="D30" s="84">
        <v>1</v>
      </c>
      <c r="E30" s="49">
        <v>30</v>
      </c>
      <c r="F30" s="80">
        <v>45938</v>
      </c>
      <c r="G30" s="81">
        <v>0.375</v>
      </c>
      <c r="H30" s="80">
        <v>45937</v>
      </c>
      <c r="I30" s="81">
        <v>0.47916666666666669</v>
      </c>
      <c r="J30" s="87">
        <f t="shared" si="0"/>
        <v>0</v>
      </c>
      <c r="K30" s="53">
        <v>1</v>
      </c>
      <c r="L30" s="53">
        <v>30</v>
      </c>
      <c r="M30" s="79" t="s">
        <v>449</v>
      </c>
    </row>
    <row r="31" spans="1:13" s="5" customFormat="1" ht="38.25" customHeight="1" x14ac:dyDescent="0.25">
      <c r="A31" s="79" t="s">
        <v>420</v>
      </c>
      <c r="B31" s="53" t="s">
        <v>136</v>
      </c>
      <c r="C31" s="53" t="s">
        <v>34</v>
      </c>
      <c r="D31" s="84">
        <v>1</v>
      </c>
      <c r="E31" s="49">
        <v>30</v>
      </c>
      <c r="F31" s="80">
        <v>45938</v>
      </c>
      <c r="G31" s="81">
        <v>0.375</v>
      </c>
      <c r="H31" s="80">
        <v>45937</v>
      </c>
      <c r="I31" s="81">
        <v>0.375</v>
      </c>
      <c r="J31" s="87">
        <f t="shared" si="0"/>
        <v>0</v>
      </c>
      <c r="K31" s="53">
        <v>1</v>
      </c>
      <c r="L31" s="53">
        <v>30</v>
      </c>
      <c r="M31" s="79" t="s">
        <v>450</v>
      </c>
    </row>
    <row r="32" spans="1:13" s="5" customFormat="1" ht="38.25" customHeight="1" x14ac:dyDescent="0.25">
      <c r="A32" s="79" t="s">
        <v>421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45938</v>
      </c>
      <c r="G32" s="81">
        <v>0.375</v>
      </c>
      <c r="H32" s="80">
        <v>45936</v>
      </c>
      <c r="I32" s="81">
        <v>0.54166666666666663</v>
      </c>
      <c r="J32" s="87">
        <f t="shared" si="0"/>
        <v>0</v>
      </c>
      <c r="K32" s="53">
        <v>1</v>
      </c>
      <c r="L32" s="53">
        <v>30</v>
      </c>
      <c r="M32" s="79" t="s">
        <v>451</v>
      </c>
    </row>
    <row r="33" spans="1:13" s="5" customFormat="1" ht="38.25" customHeight="1" x14ac:dyDescent="0.25">
      <c r="A33" s="79" t="s">
        <v>422</v>
      </c>
      <c r="B33" s="53" t="s">
        <v>42</v>
      </c>
      <c r="C33" s="53" t="s">
        <v>43</v>
      </c>
      <c r="D33" s="84">
        <v>1</v>
      </c>
      <c r="E33" s="49">
        <v>30</v>
      </c>
      <c r="F33" s="80">
        <v>45938</v>
      </c>
      <c r="G33" s="81">
        <v>0.375</v>
      </c>
      <c r="H33" s="80">
        <v>45937</v>
      </c>
      <c r="I33" s="81">
        <v>0.45833333333333331</v>
      </c>
      <c r="J33" s="87">
        <f t="shared" si="0"/>
        <v>0</v>
      </c>
      <c r="K33" s="53">
        <v>1</v>
      </c>
      <c r="L33" s="53">
        <v>30</v>
      </c>
      <c r="M33" s="79" t="s">
        <v>452</v>
      </c>
    </row>
    <row r="34" spans="1:13" s="5" customFormat="1" ht="44.25" customHeight="1" x14ac:dyDescent="0.25">
      <c r="A34" s="79" t="s">
        <v>423</v>
      </c>
      <c r="B34" s="53" t="s">
        <v>465</v>
      </c>
      <c r="C34" s="53" t="s">
        <v>43</v>
      </c>
      <c r="D34" s="84">
        <v>1</v>
      </c>
      <c r="E34" s="49">
        <v>30</v>
      </c>
      <c r="F34" s="80">
        <v>45938</v>
      </c>
      <c r="G34" s="81">
        <v>0.375</v>
      </c>
      <c r="H34" s="80">
        <v>45937</v>
      </c>
      <c r="I34" s="81">
        <v>0.47916666666666669</v>
      </c>
      <c r="J34" s="87">
        <f t="shared" si="0"/>
        <v>0</v>
      </c>
      <c r="K34" s="53">
        <v>1</v>
      </c>
      <c r="L34" s="53">
        <v>30</v>
      </c>
      <c r="M34" s="79" t="s">
        <v>453</v>
      </c>
    </row>
    <row r="35" spans="1:13" s="5" customFormat="1" ht="55.5" customHeight="1" x14ac:dyDescent="0.25">
      <c r="A35" s="79" t="s">
        <v>424</v>
      </c>
      <c r="B35" s="53" t="s">
        <v>42</v>
      </c>
      <c r="C35" s="53" t="s">
        <v>43</v>
      </c>
      <c r="D35" s="84">
        <v>1</v>
      </c>
      <c r="E35" s="49">
        <v>30</v>
      </c>
      <c r="F35" s="80">
        <v>45938</v>
      </c>
      <c r="G35" s="81">
        <v>0.375</v>
      </c>
      <c r="H35" s="80">
        <v>45937</v>
      </c>
      <c r="I35" s="81">
        <v>0.5</v>
      </c>
      <c r="J35" s="87">
        <f t="shared" si="0"/>
        <v>0</v>
      </c>
      <c r="K35" s="53">
        <v>1</v>
      </c>
      <c r="L35" s="53">
        <v>30</v>
      </c>
      <c r="M35" s="79" t="s">
        <v>454</v>
      </c>
    </row>
    <row r="36" spans="1:13" s="5" customFormat="1" ht="39" customHeight="1" x14ac:dyDescent="0.25">
      <c r="A36" s="79" t="s">
        <v>425</v>
      </c>
      <c r="B36" s="53" t="s">
        <v>21</v>
      </c>
      <c r="C36" s="53" t="s">
        <v>22</v>
      </c>
      <c r="D36" s="84">
        <v>1</v>
      </c>
      <c r="E36" s="49">
        <v>30</v>
      </c>
      <c r="F36" s="80">
        <v>45938</v>
      </c>
      <c r="G36" s="81">
        <v>0.375</v>
      </c>
      <c r="H36" s="80">
        <v>45936</v>
      </c>
      <c r="I36" s="81">
        <v>0.5625</v>
      </c>
      <c r="J36" s="87">
        <f t="shared" si="0"/>
        <v>0</v>
      </c>
      <c r="K36" s="53">
        <v>1</v>
      </c>
      <c r="L36" s="53">
        <v>30</v>
      </c>
      <c r="M36" s="79" t="s">
        <v>455</v>
      </c>
    </row>
    <row r="37" spans="1:13" s="5" customFormat="1" ht="42" customHeight="1" x14ac:dyDescent="0.25">
      <c r="A37" s="79" t="s">
        <v>426</v>
      </c>
      <c r="B37" s="53" t="s">
        <v>39</v>
      </c>
      <c r="C37" s="53" t="s">
        <v>40</v>
      </c>
      <c r="D37" s="84">
        <v>1</v>
      </c>
      <c r="E37" s="49">
        <v>30</v>
      </c>
      <c r="F37" s="80">
        <v>45938</v>
      </c>
      <c r="G37" s="81">
        <v>0.375</v>
      </c>
      <c r="H37" s="80">
        <v>45937</v>
      </c>
      <c r="I37" s="81">
        <v>0.5</v>
      </c>
      <c r="J37" s="87">
        <f t="shared" si="0"/>
        <v>0</v>
      </c>
      <c r="K37" s="53">
        <v>1</v>
      </c>
      <c r="L37" s="53">
        <v>30</v>
      </c>
      <c r="M37" s="79" t="s">
        <v>456</v>
      </c>
    </row>
    <row r="38" spans="1:13" s="5" customFormat="1" ht="47.25" customHeight="1" x14ac:dyDescent="0.25">
      <c r="A38" s="79" t="s">
        <v>427</v>
      </c>
      <c r="B38" s="53" t="s">
        <v>21</v>
      </c>
      <c r="C38" s="53" t="s">
        <v>22</v>
      </c>
      <c r="D38" s="84">
        <v>1</v>
      </c>
      <c r="E38" s="49">
        <v>30</v>
      </c>
      <c r="F38" s="80">
        <v>45938</v>
      </c>
      <c r="G38" s="81">
        <v>0.375</v>
      </c>
      <c r="H38" s="80">
        <v>45936</v>
      </c>
      <c r="I38" s="81">
        <v>0.58333333333333337</v>
      </c>
      <c r="J38" s="87">
        <f t="shared" si="0"/>
        <v>0</v>
      </c>
      <c r="K38" s="53">
        <v>1</v>
      </c>
      <c r="L38" s="53">
        <v>30</v>
      </c>
      <c r="M38" s="79" t="s">
        <v>457</v>
      </c>
    </row>
    <row r="39" spans="1:13" s="5" customFormat="1" ht="39.75" customHeight="1" x14ac:dyDescent="0.25">
      <c r="A39" s="79" t="s">
        <v>428</v>
      </c>
      <c r="B39" s="53" t="s">
        <v>36</v>
      </c>
      <c r="C39" s="53" t="s">
        <v>37</v>
      </c>
      <c r="D39" s="84">
        <v>1</v>
      </c>
      <c r="E39" s="49">
        <v>30</v>
      </c>
      <c r="F39" s="80">
        <v>45938</v>
      </c>
      <c r="G39" s="81">
        <v>0.375</v>
      </c>
      <c r="H39" s="80">
        <v>45937</v>
      </c>
      <c r="I39" s="81">
        <v>0.5</v>
      </c>
      <c r="J39" s="87">
        <f t="shared" si="0"/>
        <v>0</v>
      </c>
      <c r="K39" s="53">
        <v>1</v>
      </c>
      <c r="L39" s="53">
        <v>30</v>
      </c>
      <c r="M39" s="79" t="s">
        <v>53</v>
      </c>
    </row>
    <row r="40" spans="1:13" s="5" customFormat="1" ht="47.25" customHeight="1" x14ac:dyDescent="0.25">
      <c r="A40" s="79" t="s">
        <v>429</v>
      </c>
      <c r="B40" s="53" t="s">
        <v>39</v>
      </c>
      <c r="C40" s="53" t="s">
        <v>40</v>
      </c>
      <c r="D40" s="84">
        <v>1</v>
      </c>
      <c r="E40" s="49">
        <v>30</v>
      </c>
      <c r="F40" s="80">
        <v>45938</v>
      </c>
      <c r="G40" s="81">
        <v>0.375</v>
      </c>
      <c r="H40" s="80">
        <v>45937</v>
      </c>
      <c r="I40" s="81">
        <v>0.52083333333333337</v>
      </c>
      <c r="J40" s="87">
        <f t="shared" si="0"/>
        <v>0</v>
      </c>
      <c r="K40" s="53">
        <v>1</v>
      </c>
      <c r="L40" s="53">
        <v>30</v>
      </c>
      <c r="M40" s="79" t="s">
        <v>53</v>
      </c>
    </row>
    <row r="41" spans="1:13" s="5" customFormat="1" ht="39" customHeight="1" x14ac:dyDescent="0.25">
      <c r="A41" s="79" t="s">
        <v>430</v>
      </c>
      <c r="B41" s="53" t="s">
        <v>42</v>
      </c>
      <c r="C41" s="53" t="s">
        <v>43</v>
      </c>
      <c r="D41" s="84">
        <v>1</v>
      </c>
      <c r="E41" s="49">
        <v>30</v>
      </c>
      <c r="F41" s="80">
        <v>45938</v>
      </c>
      <c r="G41" s="81">
        <v>0.375</v>
      </c>
      <c r="H41" s="80">
        <v>45937</v>
      </c>
      <c r="I41" s="81">
        <v>0.52083333333333337</v>
      </c>
      <c r="J41" s="87">
        <f t="shared" si="0"/>
        <v>0</v>
      </c>
      <c r="K41" s="53">
        <v>1</v>
      </c>
      <c r="L41" s="53">
        <v>30</v>
      </c>
      <c r="M41" s="79" t="s">
        <v>460</v>
      </c>
    </row>
    <row r="42" spans="1:13" s="5" customFormat="1" ht="38.25" customHeight="1" x14ac:dyDescent="0.25">
      <c r="A42" s="79" t="s">
        <v>431</v>
      </c>
      <c r="B42" s="53" t="s">
        <v>30</v>
      </c>
      <c r="C42" s="53" t="s">
        <v>31</v>
      </c>
      <c r="D42" s="84">
        <v>1</v>
      </c>
      <c r="E42" s="49">
        <v>30</v>
      </c>
      <c r="F42" s="80">
        <v>45938</v>
      </c>
      <c r="G42" s="81">
        <v>0.375</v>
      </c>
      <c r="H42" s="80">
        <v>45937</v>
      </c>
      <c r="I42" s="81">
        <v>0.5</v>
      </c>
      <c r="J42" s="87">
        <f t="shared" si="0"/>
        <v>0</v>
      </c>
      <c r="K42" s="53">
        <v>1</v>
      </c>
      <c r="L42" s="53">
        <v>30</v>
      </c>
      <c r="M42" s="79" t="s">
        <v>458</v>
      </c>
    </row>
    <row r="43" spans="1:13" s="5" customFormat="1" ht="38.25" customHeight="1" x14ac:dyDescent="0.25">
      <c r="A43" s="79" t="s">
        <v>432</v>
      </c>
      <c r="B43" s="53" t="s">
        <v>136</v>
      </c>
      <c r="C43" s="53" t="s">
        <v>34</v>
      </c>
      <c r="D43" s="84">
        <v>1</v>
      </c>
      <c r="E43" s="49">
        <v>30</v>
      </c>
      <c r="F43" s="80">
        <v>45938</v>
      </c>
      <c r="G43" s="81">
        <v>0.375</v>
      </c>
      <c r="H43" s="80">
        <v>45937</v>
      </c>
      <c r="I43" s="81">
        <v>0.39583333333333331</v>
      </c>
      <c r="J43" s="87">
        <f t="shared" si="0"/>
        <v>0</v>
      </c>
      <c r="K43" s="53">
        <v>1</v>
      </c>
      <c r="L43" s="53">
        <v>30</v>
      </c>
      <c r="M43" s="79" t="s">
        <v>459</v>
      </c>
    </row>
    <row r="44" spans="1:13" s="5" customFormat="1" ht="42" customHeight="1" x14ac:dyDescent="0.25">
      <c r="A44" s="79" t="s">
        <v>433</v>
      </c>
      <c r="B44" s="53" t="s">
        <v>21</v>
      </c>
      <c r="C44" s="53" t="s">
        <v>22</v>
      </c>
      <c r="D44" s="84">
        <v>1</v>
      </c>
      <c r="E44" s="49">
        <v>30</v>
      </c>
      <c r="F44" s="80">
        <v>45938</v>
      </c>
      <c r="G44" s="81">
        <v>0.375</v>
      </c>
      <c r="H44" s="80">
        <v>45936</v>
      </c>
      <c r="I44" s="81">
        <v>0.60416666666666663</v>
      </c>
      <c r="J44" s="87">
        <f t="shared" si="0"/>
        <v>0</v>
      </c>
      <c r="K44" s="53">
        <v>1</v>
      </c>
      <c r="L44" s="53">
        <v>30</v>
      </c>
      <c r="M44" s="79" t="s">
        <v>464</v>
      </c>
    </row>
    <row r="45" spans="1:13" s="5" customFormat="1" ht="32.4" customHeight="1" x14ac:dyDescent="0.25">
      <c r="A45" s="79" t="s">
        <v>433</v>
      </c>
      <c r="B45" s="53" t="s">
        <v>30</v>
      </c>
      <c r="C45" s="53" t="s">
        <v>31</v>
      </c>
      <c r="D45" s="84">
        <v>1</v>
      </c>
      <c r="E45" s="49">
        <v>30</v>
      </c>
      <c r="F45" s="80">
        <v>45938</v>
      </c>
      <c r="G45" s="81">
        <v>0.375</v>
      </c>
      <c r="H45" s="80">
        <v>45937</v>
      </c>
      <c r="I45" s="81">
        <v>0.52083333333333337</v>
      </c>
      <c r="J45" s="87">
        <f t="shared" si="0"/>
        <v>0</v>
      </c>
      <c r="K45" s="53">
        <v>1</v>
      </c>
      <c r="L45" s="53">
        <v>30</v>
      </c>
      <c r="M45" s="79" t="s">
        <v>464</v>
      </c>
    </row>
    <row r="46" spans="1:13" ht="35.25" customHeight="1" x14ac:dyDescent="0.25">
      <c r="A46" s="79" t="s">
        <v>433</v>
      </c>
      <c r="B46" s="53" t="s">
        <v>136</v>
      </c>
      <c r="C46" s="53" t="s">
        <v>34</v>
      </c>
      <c r="D46" s="84">
        <v>1</v>
      </c>
      <c r="E46" s="49">
        <v>30</v>
      </c>
      <c r="F46" s="80">
        <v>45938</v>
      </c>
      <c r="G46" s="81">
        <v>0.375</v>
      </c>
      <c r="H46" s="80">
        <v>45937</v>
      </c>
      <c r="I46" s="81">
        <v>0.41666666666666669</v>
      </c>
      <c r="J46" s="87">
        <f t="shared" si="0"/>
        <v>0</v>
      </c>
      <c r="K46" s="53">
        <v>1</v>
      </c>
      <c r="L46" s="53">
        <v>30</v>
      </c>
      <c r="M46" s="79" t="s">
        <v>464</v>
      </c>
    </row>
    <row r="47" spans="1:13" s="5" customFormat="1" ht="47.1" customHeight="1" x14ac:dyDescent="0.25">
      <c r="A47" s="79" t="s">
        <v>433</v>
      </c>
      <c r="B47" s="53" t="s">
        <v>42</v>
      </c>
      <c r="C47" s="53" t="s">
        <v>43</v>
      </c>
      <c r="D47" s="84">
        <v>1</v>
      </c>
      <c r="E47" s="49">
        <v>30</v>
      </c>
      <c r="F47" s="80">
        <v>45938</v>
      </c>
      <c r="G47" s="81">
        <v>0.375</v>
      </c>
      <c r="H47" s="80">
        <v>45937</v>
      </c>
      <c r="I47" s="81">
        <v>0.54166666666666663</v>
      </c>
      <c r="J47" s="87">
        <f t="shared" si="0"/>
        <v>0</v>
      </c>
      <c r="K47" s="53">
        <v>1</v>
      </c>
      <c r="L47" s="53">
        <v>30</v>
      </c>
      <c r="M47" s="79" t="s">
        <v>464</v>
      </c>
    </row>
    <row r="48" spans="1:13" s="5" customFormat="1" ht="43.5" customHeight="1" x14ac:dyDescent="0.25">
      <c r="A48" s="79" t="s">
        <v>433</v>
      </c>
      <c r="B48" s="53" t="s">
        <v>39</v>
      </c>
      <c r="C48" s="53" t="s">
        <v>40</v>
      </c>
      <c r="D48" s="84">
        <v>1</v>
      </c>
      <c r="E48" s="49">
        <v>30</v>
      </c>
      <c r="F48" s="80">
        <v>45938</v>
      </c>
      <c r="G48" s="81">
        <v>0.375</v>
      </c>
      <c r="H48" s="80">
        <v>45937</v>
      </c>
      <c r="I48" s="81">
        <v>0.54166666666666663</v>
      </c>
      <c r="J48" s="87">
        <f t="shared" si="0"/>
        <v>0</v>
      </c>
      <c r="K48" s="53">
        <v>1</v>
      </c>
      <c r="L48" s="53">
        <v>30</v>
      </c>
      <c r="M48" s="79" t="s">
        <v>464</v>
      </c>
    </row>
    <row r="49" spans="1:13" s="5" customFormat="1" ht="43.5" customHeight="1" x14ac:dyDescent="0.25">
      <c r="A49" s="79" t="s">
        <v>433</v>
      </c>
      <c r="B49" s="53" t="s">
        <v>36</v>
      </c>
      <c r="C49" s="53" t="s">
        <v>37</v>
      </c>
      <c r="D49" s="84">
        <v>1</v>
      </c>
      <c r="E49" s="49">
        <v>30</v>
      </c>
      <c r="F49" s="80">
        <v>45938</v>
      </c>
      <c r="G49" s="81">
        <v>0.375</v>
      </c>
      <c r="H49" s="80">
        <v>45937</v>
      </c>
      <c r="I49" s="81">
        <v>0.52083333333333337</v>
      </c>
      <c r="J49" s="87">
        <f t="shared" si="0"/>
        <v>0</v>
      </c>
      <c r="K49" s="53">
        <v>1</v>
      </c>
      <c r="L49" s="53">
        <v>30</v>
      </c>
      <c r="M49" s="79" t="s">
        <v>464</v>
      </c>
    </row>
    <row r="50" spans="1:13" s="5" customFormat="1" ht="61.5" customHeight="1" x14ac:dyDescent="0.25">
      <c r="A50" s="79" t="s">
        <v>434</v>
      </c>
      <c r="B50" s="53" t="s">
        <v>21</v>
      </c>
      <c r="C50" s="53" t="s">
        <v>22</v>
      </c>
      <c r="D50" s="84">
        <v>1</v>
      </c>
      <c r="E50" s="49">
        <v>30</v>
      </c>
      <c r="F50" s="80">
        <v>45938</v>
      </c>
      <c r="G50" s="81">
        <v>0.375</v>
      </c>
      <c r="H50" s="80">
        <v>45937</v>
      </c>
      <c r="I50" s="81">
        <v>0.625</v>
      </c>
      <c r="J50" s="87">
        <f t="shared" si="0"/>
        <v>0</v>
      </c>
      <c r="K50" s="53">
        <v>1</v>
      </c>
      <c r="L50" s="53">
        <v>30</v>
      </c>
      <c r="M50" s="79" t="s">
        <v>461</v>
      </c>
    </row>
    <row r="51" spans="1:13" s="5" customFormat="1" ht="56.25" customHeight="1" x14ac:dyDescent="0.25">
      <c r="A51" s="79" t="s">
        <v>434</v>
      </c>
      <c r="B51" s="53" t="s">
        <v>30</v>
      </c>
      <c r="C51" s="53" t="s">
        <v>31</v>
      </c>
      <c r="D51" s="84">
        <v>1</v>
      </c>
      <c r="E51" s="49">
        <v>30</v>
      </c>
      <c r="F51" s="80">
        <v>45938</v>
      </c>
      <c r="G51" s="81">
        <v>0.375</v>
      </c>
      <c r="H51" s="80">
        <v>45937</v>
      </c>
      <c r="I51" s="81">
        <v>0.54166666666666663</v>
      </c>
      <c r="J51" s="87">
        <f t="shared" si="0"/>
        <v>0</v>
      </c>
      <c r="K51" s="53">
        <v>1</v>
      </c>
      <c r="L51" s="53">
        <v>30</v>
      </c>
      <c r="M51" s="79" t="s">
        <v>461</v>
      </c>
    </row>
    <row r="52" spans="1:13" s="5" customFormat="1" ht="43.5" customHeight="1" x14ac:dyDescent="0.25">
      <c r="A52" s="79" t="s">
        <v>434</v>
      </c>
      <c r="B52" s="53" t="s">
        <v>42</v>
      </c>
      <c r="C52" s="53" t="s">
        <v>43</v>
      </c>
      <c r="D52" s="84">
        <v>1</v>
      </c>
      <c r="E52" s="49">
        <v>30</v>
      </c>
      <c r="F52" s="80">
        <v>45938</v>
      </c>
      <c r="G52" s="81">
        <v>0.375</v>
      </c>
      <c r="H52" s="80">
        <v>45937</v>
      </c>
      <c r="I52" s="81">
        <v>0.5625</v>
      </c>
      <c r="J52" s="87">
        <f t="shared" si="0"/>
        <v>0</v>
      </c>
      <c r="K52" s="53">
        <v>1</v>
      </c>
      <c r="L52" s="53">
        <v>30</v>
      </c>
      <c r="M52" s="79" t="s">
        <v>461</v>
      </c>
    </row>
    <row r="53" spans="1:13" s="5" customFormat="1" ht="42.75" customHeight="1" x14ac:dyDescent="0.25">
      <c r="A53" s="79" t="s">
        <v>434</v>
      </c>
      <c r="B53" s="53" t="s">
        <v>136</v>
      </c>
      <c r="C53" s="53" t="s">
        <v>34</v>
      </c>
      <c r="D53" s="84">
        <v>1</v>
      </c>
      <c r="E53" s="49">
        <v>30</v>
      </c>
      <c r="F53" s="80">
        <v>45938</v>
      </c>
      <c r="G53" s="81">
        <v>0.375</v>
      </c>
      <c r="H53" s="80">
        <v>45937</v>
      </c>
      <c r="I53" s="81">
        <v>0.4375</v>
      </c>
      <c r="J53" s="87">
        <f t="shared" si="0"/>
        <v>0</v>
      </c>
      <c r="K53" s="53">
        <v>1</v>
      </c>
      <c r="L53" s="53">
        <v>30</v>
      </c>
      <c r="M53" s="79" t="s">
        <v>461</v>
      </c>
    </row>
    <row r="54" spans="1:13" s="5" customFormat="1" ht="52.5" customHeight="1" x14ac:dyDescent="0.25">
      <c r="A54" s="79" t="s">
        <v>434</v>
      </c>
      <c r="B54" s="53" t="s">
        <v>36</v>
      </c>
      <c r="C54" s="53" t="s">
        <v>37</v>
      </c>
      <c r="D54" s="84">
        <v>1</v>
      </c>
      <c r="E54" s="49">
        <v>30</v>
      </c>
      <c r="F54" s="80">
        <v>45938</v>
      </c>
      <c r="G54" s="81">
        <v>0.375</v>
      </c>
      <c r="H54" s="80">
        <v>45937</v>
      </c>
      <c r="I54" s="81">
        <v>0.54166666666666663</v>
      </c>
      <c r="J54" s="87">
        <f t="shared" si="0"/>
        <v>0</v>
      </c>
      <c r="K54" s="53">
        <v>1</v>
      </c>
      <c r="L54" s="53">
        <v>30</v>
      </c>
      <c r="M54" s="79" t="s">
        <v>461</v>
      </c>
    </row>
    <row r="55" spans="1:13" s="5" customFormat="1" ht="60" customHeight="1" x14ac:dyDescent="0.25">
      <c r="A55" s="79" t="s">
        <v>434</v>
      </c>
      <c r="B55" s="53" t="s">
        <v>39</v>
      </c>
      <c r="C55" s="53" t="s">
        <v>40</v>
      </c>
      <c r="D55" s="84">
        <v>1</v>
      </c>
      <c r="E55" s="49">
        <v>30</v>
      </c>
      <c r="F55" s="80">
        <v>45938</v>
      </c>
      <c r="G55" s="81">
        <v>0.375</v>
      </c>
      <c r="H55" s="80">
        <v>45937</v>
      </c>
      <c r="I55" s="81">
        <v>0.5625</v>
      </c>
      <c r="J55" s="87">
        <f t="shared" si="0"/>
        <v>0</v>
      </c>
      <c r="K55" s="53">
        <v>1</v>
      </c>
      <c r="L55" s="53">
        <v>30</v>
      </c>
      <c r="M55" s="79" t="s">
        <v>461</v>
      </c>
    </row>
    <row r="56" spans="1:13" s="5" customFormat="1" ht="56.25" customHeight="1" x14ac:dyDescent="0.25">
      <c r="A56" s="79" t="s">
        <v>435</v>
      </c>
      <c r="B56" s="53" t="s">
        <v>21</v>
      </c>
      <c r="C56" s="53" t="s">
        <v>22</v>
      </c>
      <c r="D56" s="84">
        <v>1</v>
      </c>
      <c r="E56" s="49">
        <v>30</v>
      </c>
      <c r="F56" s="80">
        <v>45938</v>
      </c>
      <c r="G56" s="81">
        <v>0.375</v>
      </c>
      <c r="H56" s="80">
        <v>45937</v>
      </c>
      <c r="I56" s="81">
        <v>0.64583333333333337</v>
      </c>
      <c r="J56" s="87">
        <f t="shared" si="0"/>
        <v>0</v>
      </c>
      <c r="K56" s="53">
        <v>1</v>
      </c>
      <c r="L56" s="53">
        <v>30</v>
      </c>
      <c r="M56" s="79" t="s">
        <v>462</v>
      </c>
    </row>
    <row r="57" spans="1:13" s="5" customFormat="1" ht="55.5" customHeight="1" x14ac:dyDescent="0.25">
      <c r="A57" s="79" t="s">
        <v>435</v>
      </c>
      <c r="B57" s="53" t="s">
        <v>30</v>
      </c>
      <c r="C57" s="53" t="s">
        <v>31</v>
      </c>
      <c r="D57" s="84">
        <v>1</v>
      </c>
      <c r="E57" s="49">
        <v>30</v>
      </c>
      <c r="F57" s="80">
        <v>45938</v>
      </c>
      <c r="G57" s="81">
        <v>0.375</v>
      </c>
      <c r="H57" s="80">
        <v>45937</v>
      </c>
      <c r="I57" s="81">
        <v>0.5625</v>
      </c>
      <c r="J57" s="87">
        <f t="shared" si="0"/>
        <v>0</v>
      </c>
      <c r="K57" s="53">
        <v>1</v>
      </c>
      <c r="L57" s="53">
        <v>30</v>
      </c>
      <c r="M57" s="79" t="s">
        <v>462</v>
      </c>
    </row>
    <row r="58" spans="1:13" s="5" customFormat="1" ht="59.25" customHeight="1" x14ac:dyDescent="0.25">
      <c r="A58" s="79" t="s">
        <v>435</v>
      </c>
      <c r="B58" s="53" t="s">
        <v>39</v>
      </c>
      <c r="C58" s="53" t="s">
        <v>40</v>
      </c>
      <c r="D58" s="84">
        <v>1</v>
      </c>
      <c r="E58" s="49">
        <v>30</v>
      </c>
      <c r="F58" s="80">
        <v>45938</v>
      </c>
      <c r="G58" s="81">
        <v>0.375</v>
      </c>
      <c r="H58" s="80">
        <v>45937</v>
      </c>
      <c r="I58" s="81">
        <v>0.58333333333333337</v>
      </c>
      <c r="J58" s="87">
        <f t="shared" si="0"/>
        <v>0</v>
      </c>
      <c r="K58" s="53">
        <v>1</v>
      </c>
      <c r="L58" s="53">
        <v>30</v>
      </c>
      <c r="M58" s="79" t="s">
        <v>462</v>
      </c>
    </row>
    <row r="59" spans="1:13" s="5" customFormat="1" ht="53.25" customHeight="1" x14ac:dyDescent="0.25">
      <c r="A59" s="79" t="s">
        <v>435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45938</v>
      </c>
      <c r="G59" s="81">
        <v>0.375</v>
      </c>
      <c r="H59" s="80">
        <v>45937</v>
      </c>
      <c r="I59" s="81">
        <v>0.58333333333333337</v>
      </c>
      <c r="J59" s="87">
        <f t="shared" si="0"/>
        <v>0</v>
      </c>
      <c r="K59" s="53">
        <v>1</v>
      </c>
      <c r="L59" s="53">
        <v>30</v>
      </c>
      <c r="M59" s="79" t="s">
        <v>462</v>
      </c>
    </row>
    <row r="60" spans="1:13" s="5" customFormat="1" ht="58.5" customHeight="1" x14ac:dyDescent="0.25">
      <c r="A60" s="79" t="s">
        <v>435</v>
      </c>
      <c r="B60" s="53" t="s">
        <v>36</v>
      </c>
      <c r="C60" s="53" t="s">
        <v>37</v>
      </c>
      <c r="D60" s="84">
        <v>1</v>
      </c>
      <c r="E60" s="49">
        <v>30</v>
      </c>
      <c r="F60" s="80">
        <v>45938</v>
      </c>
      <c r="G60" s="81">
        <v>0.375</v>
      </c>
      <c r="H60" s="80">
        <v>45937</v>
      </c>
      <c r="I60" s="81">
        <v>0.5625</v>
      </c>
      <c r="J60" s="87">
        <f t="shared" si="0"/>
        <v>2</v>
      </c>
      <c r="K60" s="53">
        <v>1</v>
      </c>
      <c r="L60" s="53">
        <v>28</v>
      </c>
      <c r="M60" s="79" t="s">
        <v>462</v>
      </c>
    </row>
    <row r="61" spans="1:13" s="5" customFormat="1" ht="57.75" customHeight="1" x14ac:dyDescent="0.25">
      <c r="A61" s="79" t="s">
        <v>435</v>
      </c>
      <c r="B61" s="53" t="s">
        <v>136</v>
      </c>
      <c r="C61" s="53" t="s">
        <v>34</v>
      </c>
      <c r="D61" s="84">
        <v>1</v>
      </c>
      <c r="E61" s="49">
        <v>30</v>
      </c>
      <c r="F61" s="80">
        <v>45938</v>
      </c>
      <c r="G61" s="81">
        <v>0.375</v>
      </c>
      <c r="H61" s="80">
        <v>45937</v>
      </c>
      <c r="I61" s="81">
        <v>0.45833333333333331</v>
      </c>
      <c r="J61" s="87">
        <f t="shared" si="0"/>
        <v>10</v>
      </c>
      <c r="K61" s="53">
        <v>1</v>
      </c>
      <c r="L61" s="53">
        <v>20</v>
      </c>
      <c r="M61" s="79" t="s">
        <v>462</v>
      </c>
    </row>
    <row r="62" spans="1:13" s="5" customFormat="1" ht="40.5" customHeight="1" x14ac:dyDescent="0.25">
      <c r="A62" s="79" t="s">
        <v>436</v>
      </c>
      <c r="B62" s="53" t="s">
        <v>21</v>
      </c>
      <c r="C62" s="53" t="s">
        <v>22</v>
      </c>
      <c r="D62" s="84">
        <v>1</v>
      </c>
      <c r="E62" s="49">
        <v>30</v>
      </c>
      <c r="F62" s="80">
        <v>45938</v>
      </c>
      <c r="G62" s="81">
        <v>0.375</v>
      </c>
      <c r="H62" s="80">
        <v>45937</v>
      </c>
      <c r="I62" s="81">
        <v>0.6875</v>
      </c>
      <c r="J62" s="87">
        <f t="shared" si="0"/>
        <v>0</v>
      </c>
      <c r="K62" s="53">
        <v>1</v>
      </c>
      <c r="L62" s="53">
        <v>30</v>
      </c>
      <c r="M62" s="79" t="s">
        <v>463</v>
      </c>
    </row>
    <row r="63" spans="1:13" s="5" customFormat="1" ht="40.5" customHeight="1" x14ac:dyDescent="0.25">
      <c r="A63" s="79" t="s">
        <v>468</v>
      </c>
      <c r="B63" s="53" t="s">
        <v>39</v>
      </c>
      <c r="C63" s="53" t="s">
        <v>40</v>
      </c>
      <c r="D63" s="84">
        <v>1</v>
      </c>
      <c r="E63" s="49">
        <v>30</v>
      </c>
      <c r="F63" s="80">
        <v>45938</v>
      </c>
      <c r="G63" s="81">
        <v>0.375</v>
      </c>
      <c r="H63" s="80">
        <v>45937</v>
      </c>
      <c r="I63" s="81">
        <v>0.60416666666666663</v>
      </c>
      <c r="J63" s="87">
        <f t="shared" si="0"/>
        <v>0</v>
      </c>
      <c r="K63" s="53">
        <v>3</v>
      </c>
      <c r="L63" s="53">
        <v>30</v>
      </c>
      <c r="M63" s="79" t="s">
        <v>469</v>
      </c>
    </row>
    <row r="64" spans="1:13" s="5" customFormat="1" ht="40.5" customHeight="1" x14ac:dyDescent="0.25">
      <c r="A64" s="79" t="s">
        <v>437</v>
      </c>
      <c r="B64" s="53" t="s">
        <v>36</v>
      </c>
      <c r="C64" s="53" t="s">
        <v>37</v>
      </c>
      <c r="D64" s="84">
        <v>1</v>
      </c>
      <c r="E64" s="49">
        <v>30</v>
      </c>
      <c r="F64" s="80">
        <v>45938</v>
      </c>
      <c r="G64" s="81">
        <v>0.375</v>
      </c>
      <c r="H64" s="80">
        <v>45937</v>
      </c>
      <c r="I64" s="81">
        <v>0.6875</v>
      </c>
      <c r="J64" s="87">
        <f t="shared" si="0"/>
        <v>0</v>
      </c>
      <c r="K64" s="53">
        <v>1</v>
      </c>
      <c r="L64" s="53">
        <v>30</v>
      </c>
      <c r="M64" s="79" t="s">
        <v>438</v>
      </c>
    </row>
    <row r="65" spans="1:13" s="5" customFormat="1" ht="38.25" customHeight="1" x14ac:dyDescent="0.25">
      <c r="A65" s="98" t="s">
        <v>123</v>
      </c>
      <c r="B65" s="85" t="s">
        <v>36</v>
      </c>
      <c r="C65" s="85" t="s">
        <v>37</v>
      </c>
      <c r="D65" s="49">
        <v>1</v>
      </c>
      <c r="E65" s="49">
        <v>20</v>
      </c>
      <c r="F65" s="85">
        <v>45938</v>
      </c>
      <c r="G65" s="86">
        <v>0.375</v>
      </c>
      <c r="H65" s="85">
        <v>45937</v>
      </c>
      <c r="I65" s="86">
        <v>0.80555555555555558</v>
      </c>
      <c r="J65" s="87">
        <f>E65-L65</f>
        <v>0</v>
      </c>
      <c r="K65" s="53">
        <v>1</v>
      </c>
      <c r="L65" s="88">
        <v>20</v>
      </c>
      <c r="M65" s="93" t="s">
        <v>124</v>
      </c>
    </row>
    <row r="66" spans="1:13" s="5" customFormat="1" ht="38.25" customHeight="1" x14ac:dyDescent="0.2">
      <c r="A66" s="38" t="s">
        <v>123</v>
      </c>
      <c r="B66" s="85" t="s">
        <v>143</v>
      </c>
      <c r="C66" s="85" t="s">
        <v>43</v>
      </c>
      <c r="D66" s="49">
        <v>1</v>
      </c>
      <c r="E66" s="49">
        <v>20</v>
      </c>
      <c r="F66" s="85">
        <v>45938</v>
      </c>
      <c r="G66" s="86">
        <v>0.375</v>
      </c>
      <c r="H66" s="85">
        <v>45937</v>
      </c>
      <c r="I66" s="86">
        <v>0.80555555555555558</v>
      </c>
      <c r="J66" s="87">
        <f t="shared" ref="J66:J87" si="1">E66-L66</f>
        <v>0</v>
      </c>
      <c r="K66" s="8">
        <v>1</v>
      </c>
      <c r="L66" s="88">
        <v>20</v>
      </c>
      <c r="M66" s="93" t="s">
        <v>124</v>
      </c>
    </row>
    <row r="67" spans="1:13" s="5" customFormat="1" ht="27" customHeight="1" x14ac:dyDescent="0.25">
      <c r="A67" s="13" t="s">
        <v>175</v>
      </c>
      <c r="B67" s="13" t="s">
        <v>36</v>
      </c>
      <c r="C67" s="13" t="s">
        <v>37</v>
      </c>
      <c r="D67" s="53">
        <v>1</v>
      </c>
      <c r="E67" s="53">
        <v>30</v>
      </c>
      <c r="F67" s="13">
        <v>45938</v>
      </c>
      <c r="G67" s="86">
        <v>0.375</v>
      </c>
      <c r="H67" s="13">
        <v>45937</v>
      </c>
      <c r="I67" s="12">
        <v>0.83333333333333337</v>
      </c>
      <c r="J67" s="53">
        <f t="shared" si="1"/>
        <v>6</v>
      </c>
      <c r="K67" s="50">
        <v>1</v>
      </c>
      <c r="L67" s="68">
        <v>24</v>
      </c>
      <c r="M67" s="52" t="s">
        <v>176</v>
      </c>
    </row>
    <row r="68" spans="1:13" s="5" customFormat="1" ht="33" customHeight="1" x14ac:dyDescent="0.25">
      <c r="A68" s="13" t="s">
        <v>177</v>
      </c>
      <c r="B68" s="13" t="s">
        <v>39</v>
      </c>
      <c r="C68" s="13" t="s">
        <v>40</v>
      </c>
      <c r="D68" s="53">
        <v>1</v>
      </c>
      <c r="E68" s="53">
        <v>30</v>
      </c>
      <c r="F68" s="13">
        <v>45938</v>
      </c>
      <c r="G68" s="86">
        <v>0.375</v>
      </c>
      <c r="H68" s="13">
        <v>45937</v>
      </c>
      <c r="I68" s="12">
        <v>0.83333333333333337</v>
      </c>
      <c r="J68" s="53">
        <f t="shared" si="1"/>
        <v>0</v>
      </c>
      <c r="K68" s="50">
        <v>1</v>
      </c>
      <c r="L68" s="68">
        <v>30</v>
      </c>
      <c r="M68" s="52" t="s">
        <v>178</v>
      </c>
    </row>
    <row r="69" spans="1:13" s="5" customFormat="1" ht="33.75" customHeight="1" x14ac:dyDescent="0.25">
      <c r="A69" s="61" t="s">
        <v>179</v>
      </c>
      <c r="B69" s="13" t="s">
        <v>39</v>
      </c>
      <c r="C69" s="13" t="s">
        <v>40</v>
      </c>
      <c r="D69" s="53">
        <v>5</v>
      </c>
      <c r="E69" s="53">
        <v>50</v>
      </c>
      <c r="F69" s="13">
        <v>45938</v>
      </c>
      <c r="G69" s="86">
        <v>0.375</v>
      </c>
      <c r="H69" s="13">
        <v>45937</v>
      </c>
      <c r="I69" s="12">
        <v>0.86805555555555558</v>
      </c>
      <c r="J69" s="53">
        <f t="shared" si="1"/>
        <v>5</v>
      </c>
      <c r="K69" s="50">
        <v>5</v>
      </c>
      <c r="L69" s="68">
        <v>45</v>
      </c>
      <c r="M69" s="52" t="s">
        <v>180</v>
      </c>
    </row>
    <row r="70" spans="1:13" s="5" customFormat="1" ht="32.25" customHeight="1" x14ac:dyDescent="0.2">
      <c r="A70" s="23" t="s">
        <v>146</v>
      </c>
      <c r="B70" s="85" t="s">
        <v>30</v>
      </c>
      <c r="C70" s="90" t="s">
        <v>207</v>
      </c>
      <c r="D70" s="84">
        <v>1</v>
      </c>
      <c r="E70" s="49">
        <v>60</v>
      </c>
      <c r="F70" s="85">
        <v>45938</v>
      </c>
      <c r="G70" s="86">
        <v>0.375</v>
      </c>
      <c r="H70" s="85">
        <v>45937</v>
      </c>
      <c r="I70" s="86">
        <v>0.91666666666666663</v>
      </c>
      <c r="J70" s="87">
        <f t="shared" si="1"/>
        <v>50</v>
      </c>
      <c r="K70" s="8">
        <v>1</v>
      </c>
      <c r="L70" s="88">
        <v>10</v>
      </c>
      <c r="M70" s="91" t="s">
        <v>149</v>
      </c>
    </row>
    <row r="71" spans="1:13" s="5" customFormat="1" ht="27" customHeight="1" x14ac:dyDescent="0.2">
      <c r="A71" s="23" t="s">
        <v>146</v>
      </c>
      <c r="B71" s="85" t="s">
        <v>42</v>
      </c>
      <c r="C71" s="85" t="s">
        <v>77</v>
      </c>
      <c r="D71" s="84">
        <v>1</v>
      </c>
      <c r="E71" s="49">
        <v>60</v>
      </c>
      <c r="F71" s="85">
        <v>45938</v>
      </c>
      <c r="G71" s="86">
        <v>0.375</v>
      </c>
      <c r="H71" s="85">
        <v>45937</v>
      </c>
      <c r="I71" s="86">
        <v>0.91666666666666663</v>
      </c>
      <c r="J71" s="87">
        <f t="shared" si="1"/>
        <v>50</v>
      </c>
      <c r="K71" s="8">
        <v>1</v>
      </c>
      <c r="L71" s="88">
        <v>10</v>
      </c>
      <c r="M71" s="91" t="s">
        <v>149</v>
      </c>
    </row>
    <row r="72" spans="1:13" s="5" customFormat="1" ht="24.9" customHeight="1" x14ac:dyDescent="0.2">
      <c r="A72" s="23" t="s">
        <v>146</v>
      </c>
      <c r="B72" s="85" t="s">
        <v>21</v>
      </c>
      <c r="C72" s="85" t="s">
        <v>86</v>
      </c>
      <c r="D72" s="84">
        <v>1</v>
      </c>
      <c r="E72" s="49">
        <v>60</v>
      </c>
      <c r="F72" s="85">
        <v>45938</v>
      </c>
      <c r="G72" s="86">
        <v>0.375</v>
      </c>
      <c r="H72" s="85">
        <v>45937</v>
      </c>
      <c r="I72" s="86">
        <v>0.91666666666666663</v>
      </c>
      <c r="J72" s="87">
        <f t="shared" si="1"/>
        <v>50</v>
      </c>
      <c r="K72" s="8">
        <v>1</v>
      </c>
      <c r="L72" s="88">
        <v>10</v>
      </c>
      <c r="M72" s="91" t="s">
        <v>149</v>
      </c>
    </row>
    <row r="73" spans="1:13" s="5" customFormat="1" ht="28.5" customHeight="1" x14ac:dyDescent="0.2">
      <c r="A73" s="23" t="s">
        <v>146</v>
      </c>
      <c r="B73" s="85" t="s">
        <v>136</v>
      </c>
      <c r="C73" s="85" t="s">
        <v>151</v>
      </c>
      <c r="D73" s="84">
        <v>1</v>
      </c>
      <c r="E73" s="49">
        <v>60</v>
      </c>
      <c r="F73" s="85">
        <v>45938</v>
      </c>
      <c r="G73" s="86">
        <v>0.375</v>
      </c>
      <c r="H73" s="85">
        <v>45937</v>
      </c>
      <c r="I73" s="86">
        <v>0.91666666666666663</v>
      </c>
      <c r="J73" s="87">
        <f t="shared" si="1"/>
        <v>50</v>
      </c>
      <c r="K73" s="8">
        <v>1</v>
      </c>
      <c r="L73" s="88">
        <v>10</v>
      </c>
      <c r="M73" s="91" t="s">
        <v>149</v>
      </c>
    </row>
    <row r="74" spans="1:13" s="5" customFormat="1" ht="35.4" customHeight="1" x14ac:dyDescent="0.2">
      <c r="A74" s="23" t="s">
        <v>146</v>
      </c>
      <c r="B74" s="85" t="s">
        <v>36</v>
      </c>
      <c r="C74" s="85" t="s">
        <v>80</v>
      </c>
      <c r="D74" s="84">
        <v>1</v>
      </c>
      <c r="E74" s="49">
        <v>60</v>
      </c>
      <c r="F74" s="85">
        <v>45938</v>
      </c>
      <c r="G74" s="86">
        <v>0.375</v>
      </c>
      <c r="H74" s="85">
        <v>45937</v>
      </c>
      <c r="I74" s="86">
        <v>0.91666666666666663</v>
      </c>
      <c r="J74" s="87">
        <f t="shared" si="1"/>
        <v>50</v>
      </c>
      <c r="K74" s="8">
        <v>1</v>
      </c>
      <c r="L74" s="88">
        <v>10</v>
      </c>
      <c r="M74" s="91" t="s">
        <v>149</v>
      </c>
    </row>
    <row r="75" spans="1:13" s="5" customFormat="1" ht="36.6" customHeight="1" x14ac:dyDescent="0.2">
      <c r="A75" s="23" t="s">
        <v>146</v>
      </c>
      <c r="B75" s="85" t="s">
        <v>39</v>
      </c>
      <c r="C75" s="85" t="s">
        <v>150</v>
      </c>
      <c r="D75" s="84">
        <v>1</v>
      </c>
      <c r="E75" s="49">
        <v>60</v>
      </c>
      <c r="F75" s="85">
        <v>45938</v>
      </c>
      <c r="G75" s="86">
        <v>0.375</v>
      </c>
      <c r="H75" s="85">
        <v>45937</v>
      </c>
      <c r="I75" s="86">
        <v>0.91666666666666663</v>
      </c>
      <c r="J75" s="87">
        <f t="shared" si="1"/>
        <v>50</v>
      </c>
      <c r="K75" s="8">
        <v>1</v>
      </c>
      <c r="L75" s="88">
        <v>10</v>
      </c>
      <c r="M75" s="91" t="s">
        <v>149</v>
      </c>
    </row>
    <row r="76" spans="1:13" s="5" customFormat="1" ht="36.6" customHeight="1" x14ac:dyDescent="0.2">
      <c r="A76" s="23" t="s">
        <v>52</v>
      </c>
      <c r="B76" s="89" t="s">
        <v>21</v>
      </c>
      <c r="C76" s="90" t="s">
        <v>22</v>
      </c>
      <c r="D76" s="84">
        <v>1</v>
      </c>
      <c r="E76" s="49">
        <v>30</v>
      </c>
      <c r="F76" s="85">
        <v>45938</v>
      </c>
      <c r="G76" s="86">
        <v>0.375</v>
      </c>
      <c r="H76" s="85">
        <v>45937</v>
      </c>
      <c r="I76" s="86">
        <v>0.91666666666666663</v>
      </c>
      <c r="J76" s="87">
        <f t="shared" si="1"/>
        <v>0</v>
      </c>
      <c r="K76" s="8">
        <v>1</v>
      </c>
      <c r="L76" s="88">
        <v>30</v>
      </c>
      <c r="M76" s="91" t="s">
        <v>53</v>
      </c>
    </row>
    <row r="77" spans="1:13" s="5" customFormat="1" ht="35.4" customHeight="1" x14ac:dyDescent="0.2">
      <c r="A77" s="23" t="s">
        <v>153</v>
      </c>
      <c r="B77" s="89" t="s">
        <v>36</v>
      </c>
      <c r="C77" s="90" t="s">
        <v>37</v>
      </c>
      <c r="D77" s="84">
        <v>1</v>
      </c>
      <c r="E77" s="5">
        <v>30</v>
      </c>
      <c r="F77" s="85">
        <v>45938</v>
      </c>
      <c r="G77" s="86">
        <v>0.375</v>
      </c>
      <c r="H77" s="85">
        <v>45937</v>
      </c>
      <c r="I77" s="86">
        <v>0.91666666666666663</v>
      </c>
      <c r="J77" s="87">
        <f t="shared" si="1"/>
        <v>0</v>
      </c>
      <c r="K77" s="8">
        <v>1</v>
      </c>
      <c r="L77" s="88">
        <v>30</v>
      </c>
      <c r="M77" s="91" t="s">
        <v>53</v>
      </c>
    </row>
    <row r="78" spans="1:13" s="5" customFormat="1" ht="35.4" customHeight="1" x14ac:dyDescent="0.2">
      <c r="A78" s="23" t="s">
        <v>79</v>
      </c>
      <c r="B78" s="85" t="s">
        <v>36</v>
      </c>
      <c r="C78" s="90" t="s">
        <v>37</v>
      </c>
      <c r="D78" s="84">
        <v>1</v>
      </c>
      <c r="E78" s="49">
        <v>45</v>
      </c>
      <c r="F78" s="85">
        <v>45938</v>
      </c>
      <c r="G78" s="86">
        <v>0.375</v>
      </c>
      <c r="H78" s="85">
        <v>45937</v>
      </c>
      <c r="I78" s="86">
        <v>0.9375</v>
      </c>
      <c r="J78" s="87">
        <f t="shared" si="1"/>
        <v>-35</v>
      </c>
      <c r="K78" s="8">
        <v>1</v>
      </c>
      <c r="L78" s="88">
        <v>80</v>
      </c>
      <c r="M78" s="91" t="s">
        <v>81</v>
      </c>
    </row>
    <row r="79" spans="1:13" s="5" customFormat="1" ht="35.4" customHeight="1" x14ac:dyDescent="0.2">
      <c r="A79" s="23" t="s">
        <v>85</v>
      </c>
      <c r="B79" s="85" t="s">
        <v>21</v>
      </c>
      <c r="C79" s="90" t="s">
        <v>22</v>
      </c>
      <c r="D79" s="84">
        <v>1</v>
      </c>
      <c r="E79" s="49">
        <v>60</v>
      </c>
      <c r="F79" s="85">
        <v>45938</v>
      </c>
      <c r="G79" s="86">
        <v>0.375</v>
      </c>
      <c r="H79" s="85">
        <v>45937</v>
      </c>
      <c r="I79" s="86">
        <v>0.9375</v>
      </c>
      <c r="J79" s="87">
        <f t="shared" si="1"/>
        <v>10</v>
      </c>
      <c r="K79" s="8">
        <v>1</v>
      </c>
      <c r="L79" s="88">
        <v>50</v>
      </c>
      <c r="M79" s="91" t="s">
        <v>87</v>
      </c>
    </row>
    <row r="80" spans="1:13" s="5" customFormat="1" ht="35.4" customHeight="1" x14ac:dyDescent="0.2">
      <c r="A80" s="23" t="s">
        <v>88</v>
      </c>
      <c r="B80" s="85" t="s">
        <v>21</v>
      </c>
      <c r="C80" s="85" t="s">
        <v>22</v>
      </c>
      <c r="D80" s="84">
        <v>1</v>
      </c>
      <c r="E80" s="49">
        <v>55</v>
      </c>
      <c r="F80" s="85">
        <v>45938</v>
      </c>
      <c r="G80" s="86">
        <v>0.375</v>
      </c>
      <c r="H80" s="85">
        <v>45937</v>
      </c>
      <c r="I80" s="86">
        <v>0.9375</v>
      </c>
      <c r="J80" s="87">
        <f t="shared" si="1"/>
        <v>0</v>
      </c>
      <c r="K80" s="8">
        <v>1</v>
      </c>
      <c r="L80" s="88">
        <v>55</v>
      </c>
      <c r="M80" s="91" t="s">
        <v>89</v>
      </c>
    </row>
    <row r="81" spans="1:13" s="5" customFormat="1" ht="35.4" customHeight="1" x14ac:dyDescent="0.2">
      <c r="A81" s="33" t="s">
        <v>131</v>
      </c>
      <c r="B81" s="85" t="s">
        <v>36</v>
      </c>
      <c r="C81" s="85" t="s">
        <v>37</v>
      </c>
      <c r="D81" s="49">
        <v>1</v>
      </c>
      <c r="E81" s="49">
        <v>30</v>
      </c>
      <c r="F81" s="85">
        <v>45938</v>
      </c>
      <c r="G81" s="86">
        <v>0.375</v>
      </c>
      <c r="H81" s="85">
        <v>45937</v>
      </c>
      <c r="I81" s="86">
        <v>0.9375</v>
      </c>
      <c r="J81" s="87">
        <f t="shared" si="1"/>
        <v>-2</v>
      </c>
      <c r="K81" s="8">
        <v>1</v>
      </c>
      <c r="L81" s="88">
        <v>32</v>
      </c>
      <c r="M81" s="91" t="s">
        <v>132</v>
      </c>
    </row>
    <row r="82" spans="1:13" s="5" customFormat="1" ht="35.4" customHeight="1" x14ac:dyDescent="0.2">
      <c r="A82" s="33" t="s">
        <v>131</v>
      </c>
      <c r="B82" s="85" t="s">
        <v>42</v>
      </c>
      <c r="C82" s="85" t="s">
        <v>43</v>
      </c>
      <c r="D82" s="49">
        <v>1</v>
      </c>
      <c r="E82" s="49">
        <v>30</v>
      </c>
      <c r="F82" s="85">
        <v>45938</v>
      </c>
      <c r="G82" s="86">
        <v>0.375</v>
      </c>
      <c r="H82" s="85">
        <v>45937</v>
      </c>
      <c r="I82" s="86">
        <v>0.9375</v>
      </c>
      <c r="J82" s="87">
        <f t="shared" si="1"/>
        <v>-2</v>
      </c>
      <c r="K82" s="8">
        <v>1</v>
      </c>
      <c r="L82" s="88">
        <v>32</v>
      </c>
      <c r="M82" s="91" t="s">
        <v>132</v>
      </c>
    </row>
    <row r="83" spans="1:13" s="5" customFormat="1" ht="35.4" customHeight="1" x14ac:dyDescent="0.2">
      <c r="A83" s="33" t="s">
        <v>131</v>
      </c>
      <c r="B83" s="85" t="s">
        <v>30</v>
      </c>
      <c r="C83" s="85" t="s">
        <v>31</v>
      </c>
      <c r="D83" s="49">
        <v>1</v>
      </c>
      <c r="E83" s="49">
        <v>30</v>
      </c>
      <c r="F83" s="85">
        <v>45938</v>
      </c>
      <c r="G83" s="86">
        <v>0.375</v>
      </c>
      <c r="H83" s="85">
        <v>45937</v>
      </c>
      <c r="I83" s="86">
        <v>0.9375</v>
      </c>
      <c r="J83" s="87">
        <f t="shared" si="1"/>
        <v>-2</v>
      </c>
      <c r="K83" s="8">
        <v>1</v>
      </c>
      <c r="L83" s="88">
        <v>32</v>
      </c>
      <c r="M83" s="91" t="s">
        <v>132</v>
      </c>
    </row>
    <row r="84" spans="1:13" s="5" customFormat="1" ht="35.4" customHeight="1" x14ac:dyDescent="0.2">
      <c r="A84" s="33" t="s">
        <v>131</v>
      </c>
      <c r="B84" s="85" t="s">
        <v>21</v>
      </c>
      <c r="C84" s="85" t="s">
        <v>22</v>
      </c>
      <c r="D84" s="49">
        <v>1</v>
      </c>
      <c r="E84" s="49">
        <v>30</v>
      </c>
      <c r="F84" s="85">
        <v>45938</v>
      </c>
      <c r="G84" s="86">
        <v>0.375</v>
      </c>
      <c r="H84" s="85">
        <v>45937</v>
      </c>
      <c r="I84" s="86">
        <v>0.9375</v>
      </c>
      <c r="J84" s="87">
        <f t="shared" si="1"/>
        <v>-2</v>
      </c>
      <c r="K84" s="8">
        <v>1</v>
      </c>
      <c r="L84" s="88">
        <v>32</v>
      </c>
      <c r="M84" s="91" t="s">
        <v>132</v>
      </c>
    </row>
    <row r="85" spans="1:13" s="5" customFormat="1" ht="35.4" customHeight="1" x14ac:dyDescent="0.2">
      <c r="A85" s="33" t="s">
        <v>131</v>
      </c>
      <c r="B85" s="85" t="s">
        <v>136</v>
      </c>
      <c r="C85" s="85" t="s">
        <v>34</v>
      </c>
      <c r="D85" s="49">
        <v>1</v>
      </c>
      <c r="E85" s="49">
        <v>30</v>
      </c>
      <c r="F85" s="85">
        <v>45938</v>
      </c>
      <c r="G85" s="86">
        <v>0.375</v>
      </c>
      <c r="H85" s="85">
        <v>45937</v>
      </c>
      <c r="I85" s="86">
        <v>0.9375</v>
      </c>
      <c r="J85" s="87">
        <f t="shared" si="1"/>
        <v>-2</v>
      </c>
      <c r="K85" s="8">
        <v>1</v>
      </c>
      <c r="L85" s="88">
        <v>32</v>
      </c>
      <c r="M85" s="91" t="s">
        <v>132</v>
      </c>
    </row>
    <row r="86" spans="1:13" s="5" customFormat="1" ht="35.4" customHeight="1" x14ac:dyDescent="0.2">
      <c r="A86" s="33" t="s">
        <v>131</v>
      </c>
      <c r="B86" s="85" t="s">
        <v>39</v>
      </c>
      <c r="C86" s="85" t="s">
        <v>40</v>
      </c>
      <c r="D86" s="49">
        <v>1</v>
      </c>
      <c r="E86" s="49">
        <v>30</v>
      </c>
      <c r="F86" s="85">
        <v>45938</v>
      </c>
      <c r="G86" s="86">
        <v>0.375</v>
      </c>
      <c r="H86" s="85">
        <v>45937</v>
      </c>
      <c r="I86" s="86">
        <v>0.9375</v>
      </c>
      <c r="J86" s="87">
        <f t="shared" si="1"/>
        <v>-2</v>
      </c>
      <c r="K86" s="8">
        <v>1</v>
      </c>
      <c r="L86" s="88">
        <v>32</v>
      </c>
      <c r="M86" s="91" t="s">
        <v>132</v>
      </c>
    </row>
    <row r="87" spans="1:13" s="5" customFormat="1" ht="35.4" customHeight="1" x14ac:dyDescent="0.2">
      <c r="A87" s="33" t="s">
        <v>133</v>
      </c>
      <c r="B87" s="85" t="s">
        <v>21</v>
      </c>
      <c r="C87" s="85" t="s">
        <v>22</v>
      </c>
      <c r="D87" s="49">
        <v>3</v>
      </c>
      <c r="E87" s="49">
        <v>20</v>
      </c>
      <c r="F87" s="85">
        <v>45938</v>
      </c>
      <c r="G87" s="86">
        <v>0.375</v>
      </c>
      <c r="H87" s="85">
        <v>45938</v>
      </c>
      <c r="I87" s="86">
        <v>0.375</v>
      </c>
      <c r="J87" s="87">
        <f t="shared" si="1"/>
        <v>5</v>
      </c>
      <c r="K87" s="8">
        <v>3</v>
      </c>
      <c r="L87" s="88">
        <v>15</v>
      </c>
      <c r="M87" s="91" t="s">
        <v>134</v>
      </c>
    </row>
    <row r="88" spans="1:13" s="5" customFormat="1" ht="35.4" customHeight="1" x14ac:dyDescent="0.25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s="5" customFormat="1" ht="37.5" customHeight="1" x14ac:dyDescent="0.25">
      <c r="A89" s="4"/>
      <c r="B89" s="4"/>
      <c r="C89" s="4"/>
      <c r="D89" s="4"/>
      <c r="E89" s="4"/>
      <c r="F89" s="4"/>
      <c r="G89" s="4"/>
      <c r="H89" s="4"/>
      <c r="I89" s="3"/>
      <c r="J89" s="3"/>
      <c r="K89" s="2"/>
      <c r="L89" s="1"/>
      <c r="M89" s="1"/>
    </row>
    <row r="90" spans="1:13" x14ac:dyDescent="0.25">
      <c r="A90" s="70" t="s">
        <v>210</v>
      </c>
      <c r="B90" t="s">
        <v>215</v>
      </c>
      <c r="C90" t="s">
        <v>214</v>
      </c>
      <c r="D90" t="s">
        <v>213</v>
      </c>
      <c r="E90" t="s">
        <v>212</v>
      </c>
    </row>
    <row r="91" spans="1:13" x14ac:dyDescent="0.25">
      <c r="A91" s="71" t="s">
        <v>36</v>
      </c>
      <c r="B91">
        <v>18</v>
      </c>
      <c r="C91">
        <v>515</v>
      </c>
      <c r="D91">
        <v>17</v>
      </c>
      <c r="E91">
        <v>477</v>
      </c>
    </row>
    <row r="92" spans="1:13" x14ac:dyDescent="0.25">
      <c r="A92" s="71" t="s">
        <v>39</v>
      </c>
      <c r="B92">
        <v>16</v>
      </c>
      <c r="C92">
        <v>410</v>
      </c>
      <c r="D92">
        <v>17</v>
      </c>
      <c r="E92">
        <v>352</v>
      </c>
    </row>
    <row r="93" spans="1:13" x14ac:dyDescent="0.25">
      <c r="A93" s="71" t="s">
        <v>21</v>
      </c>
      <c r="B93">
        <v>17</v>
      </c>
      <c r="C93">
        <v>525</v>
      </c>
      <c r="D93">
        <v>18</v>
      </c>
      <c r="E93">
        <v>456</v>
      </c>
    </row>
    <row r="94" spans="1:13" x14ac:dyDescent="0.25">
      <c r="A94" s="71" t="s">
        <v>136</v>
      </c>
      <c r="B94">
        <v>10</v>
      </c>
      <c r="C94">
        <v>330</v>
      </c>
      <c r="D94">
        <v>11</v>
      </c>
      <c r="E94">
        <v>260</v>
      </c>
    </row>
    <row r="95" spans="1:13" x14ac:dyDescent="0.25">
      <c r="A95" s="71" t="s">
        <v>42</v>
      </c>
      <c r="B95">
        <v>14</v>
      </c>
      <c r="C95">
        <v>450</v>
      </c>
      <c r="D95">
        <v>16</v>
      </c>
      <c r="E95">
        <v>395</v>
      </c>
    </row>
    <row r="96" spans="1:13" x14ac:dyDescent="0.25">
      <c r="A96" s="71" t="s">
        <v>30</v>
      </c>
      <c r="B96">
        <v>12</v>
      </c>
      <c r="C96">
        <v>360</v>
      </c>
      <c r="D96">
        <v>14</v>
      </c>
      <c r="E96">
        <v>304</v>
      </c>
    </row>
    <row r="97" spans="1:13" x14ac:dyDescent="0.25">
      <c r="A97" s="71" t="s">
        <v>211</v>
      </c>
      <c r="B97">
        <v>87</v>
      </c>
      <c r="C97">
        <v>2590</v>
      </c>
      <c r="D97">
        <v>93</v>
      </c>
      <c r="E97">
        <v>2244</v>
      </c>
    </row>
    <row r="98" spans="1:13" x14ac:dyDescent="0.25">
      <c r="A98"/>
      <c r="B98"/>
      <c r="C98"/>
      <c r="D98"/>
      <c r="E98"/>
    </row>
    <row r="99" spans="1:13" x14ac:dyDescent="0.25">
      <c r="A99"/>
      <c r="B99"/>
      <c r="C99"/>
    </row>
    <row r="100" spans="1:13" x14ac:dyDescent="0.25">
      <c r="A100"/>
      <c r="B100"/>
      <c r="C100"/>
    </row>
    <row r="101" spans="1:13" x14ac:dyDescent="0.25">
      <c r="A101"/>
      <c r="B101"/>
      <c r="C101"/>
    </row>
    <row r="102" spans="1:13" x14ac:dyDescent="0.25">
      <c r="A102"/>
      <c r="B102"/>
      <c r="C102"/>
    </row>
    <row r="103" spans="1:13" x14ac:dyDescent="0.25">
      <c r="A103"/>
      <c r="B103"/>
      <c r="C103"/>
    </row>
    <row r="104" spans="1:13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x14ac:dyDescent="0.25">
      <c r="A106"/>
      <c r="B106"/>
      <c r="C106"/>
    </row>
    <row r="107" spans="1:13" x14ac:dyDescent="0.25">
      <c r="A107"/>
      <c r="B107"/>
      <c r="C107"/>
    </row>
    <row r="118" spans="1:20" s="4" customFormat="1" ht="30" customHeight="1" x14ac:dyDescent="0.25">
      <c r="I118" s="3"/>
      <c r="J118" s="3"/>
      <c r="K118" s="2"/>
      <c r="L118" s="1"/>
      <c r="M118" s="1"/>
      <c r="N118"/>
      <c r="O118"/>
      <c r="P118"/>
      <c r="Q118"/>
      <c r="R118"/>
      <c r="S118"/>
      <c r="T118"/>
    </row>
    <row r="119" spans="1:20" s="4" customFormat="1" ht="23.25" customHeight="1" x14ac:dyDescent="0.25">
      <c r="I119" s="3"/>
      <c r="J119" s="3"/>
      <c r="K119" s="2"/>
      <c r="L119" s="1"/>
      <c r="M119" s="1"/>
      <c r="N119"/>
      <c r="O119"/>
      <c r="P119"/>
      <c r="Q119"/>
      <c r="R119"/>
      <c r="S119"/>
      <c r="T119"/>
    </row>
    <row r="126" spans="1:20" s="5" customFormat="1" ht="12" customHeight="1" x14ac:dyDescent="0.25">
      <c r="A126" s="4"/>
      <c r="B126" s="4"/>
      <c r="C126" s="4"/>
      <c r="D126" s="4"/>
      <c r="E126" s="4"/>
      <c r="F126" s="4"/>
      <c r="G126" s="4"/>
      <c r="H126" s="4"/>
      <c r="I126" s="3"/>
      <c r="J126" s="3"/>
      <c r="K126" s="2"/>
      <c r="L126" s="1"/>
      <c r="M126" s="1"/>
    </row>
    <row r="130" spans="9:20" x14ac:dyDescent="0.25">
      <c r="Q130" s="42" t="e">
        <f>SUM(#REF!)</f>
        <v>#REF!</v>
      </c>
      <c r="R130" s="42" t="e">
        <f>SUM(#REF!)</f>
        <v>#REF!</v>
      </c>
      <c r="S130" s="42" t="e">
        <f>SUM(#REF!)</f>
        <v>#REF!</v>
      </c>
      <c r="T130" s="42" t="e">
        <f>SUM(#REF!)</f>
        <v>#REF!</v>
      </c>
    </row>
    <row r="131" spans="9:20" ht="35.25" customHeight="1" x14ac:dyDescent="0.25"/>
    <row r="132" spans="9:20" ht="36.75" customHeight="1" x14ac:dyDescent="0.25"/>
    <row r="133" spans="9:20" ht="33.75" customHeight="1" x14ac:dyDescent="0.25"/>
    <row r="134" spans="9:20" ht="26.25" customHeight="1" x14ac:dyDescent="0.25"/>
    <row r="135" spans="9:20" ht="27.75" customHeight="1" x14ac:dyDescent="0.25"/>
    <row r="136" spans="9:20" s="4" customFormat="1" ht="40.5" customHeight="1" x14ac:dyDescent="0.25">
      <c r="I136" s="3"/>
      <c r="J136" s="3"/>
      <c r="K136" s="2"/>
      <c r="L136" s="1"/>
      <c r="M136" s="1"/>
      <c r="N136"/>
      <c r="O136"/>
      <c r="P136"/>
      <c r="Q136"/>
      <c r="R136"/>
      <c r="S136"/>
      <c r="T136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7C4D4-19EB-4BDF-B2CD-F968D2E846C2}">
  <dimension ref="A1:T139"/>
  <sheetViews>
    <sheetView topLeftCell="A88" zoomScale="84" zoomScaleNormal="76" workbookViewId="0">
      <selection activeCell="A8" sqref="A8:M90"/>
    </sheetView>
  </sheetViews>
  <sheetFormatPr baseColWidth="10" defaultColWidth="11.44140625" defaultRowHeight="13.2" x14ac:dyDescent="0.25"/>
  <cols>
    <col min="1" max="1" width="18.6640625" style="4" bestFit="1" customWidth="1"/>
    <col min="2" max="2" width="45.44140625" style="4" bestFit="1" customWidth="1"/>
    <col min="3" max="3" width="36.6640625" style="4" bestFit="1" customWidth="1"/>
    <col min="4" max="4" width="21.33203125" style="4" bestFit="1" customWidth="1"/>
    <col min="5" max="5" width="21.5546875" style="4" bestFit="1" customWidth="1"/>
    <col min="6" max="8" width="10.6640625" style="4" customWidth="1"/>
    <col min="9" max="10" width="10.6640625" style="3" customWidth="1"/>
    <col min="11" max="11" width="10.6640625" style="2" customWidth="1"/>
    <col min="12" max="12" width="10.6640625" style="1" customWidth="1"/>
    <col min="13" max="13" width="48.109375" style="1" bestFit="1" customWidth="1"/>
    <col min="14" max="14" width="10.6640625" customWidth="1"/>
  </cols>
  <sheetData>
    <row r="1" spans="1:20" ht="32.25" customHeight="1" x14ac:dyDescent="0.25">
      <c r="A1" s="175"/>
      <c r="B1" s="177" t="s">
        <v>0</v>
      </c>
      <c r="C1" s="177"/>
      <c r="D1" s="177"/>
      <c r="E1" s="177"/>
      <c r="F1" s="177"/>
      <c r="G1" s="177"/>
      <c r="H1" s="177"/>
      <c r="I1" s="177"/>
      <c r="J1" s="177"/>
      <c r="K1" s="177"/>
      <c r="L1" s="179"/>
      <c r="M1" s="180"/>
    </row>
    <row r="2" spans="1:20" ht="20.25" customHeight="1" x14ac:dyDescent="0.25">
      <c r="A2" s="176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81"/>
      <c r="M2" s="182"/>
    </row>
    <row r="3" spans="1:20" ht="12.75" customHeight="1" x14ac:dyDescent="0.25">
      <c r="A3" s="183" t="s">
        <v>1</v>
      </c>
      <c r="B3" s="185" t="s">
        <v>2</v>
      </c>
      <c r="C3" s="185"/>
      <c r="D3" s="185"/>
      <c r="E3" s="185"/>
      <c r="F3" s="185"/>
      <c r="G3" s="185"/>
      <c r="H3" s="185"/>
      <c r="I3" s="185"/>
      <c r="J3" s="185"/>
      <c r="K3" s="185"/>
      <c r="L3" s="187" t="s">
        <v>3</v>
      </c>
      <c r="M3" s="188"/>
    </row>
    <row r="4" spans="1:20" ht="13.8" thickBot="1" x14ac:dyDescent="0.3">
      <c r="A4" s="184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6" t="s">
        <v>4</v>
      </c>
      <c r="M4" s="15"/>
    </row>
    <row r="5" spans="1:20" ht="13.8" thickBot="1" x14ac:dyDescent="0.3"/>
    <row r="6" spans="1:20" ht="14.4" thickBot="1" x14ac:dyDescent="0.3">
      <c r="A6" s="24" t="s">
        <v>5</v>
      </c>
      <c r="B6" s="171" t="s">
        <v>6</v>
      </c>
      <c r="C6" s="171"/>
      <c r="D6" s="171"/>
      <c r="E6" s="171"/>
      <c r="F6" s="171"/>
      <c r="G6" s="171"/>
      <c r="H6" s="172" t="s">
        <v>7</v>
      </c>
      <c r="I6" s="173"/>
      <c r="J6" s="173"/>
      <c r="K6" s="173"/>
      <c r="L6" s="174"/>
      <c r="M6" s="25"/>
    </row>
    <row r="7" spans="1:20" s="14" customFormat="1" ht="49.5" customHeight="1" x14ac:dyDescent="0.25">
      <c r="A7" s="18" cm="1">
        <f t="array" aca="1" ref="A7" ca="1">+A71+A1:L7+A7:L7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5">
      <c r="A8" s="23" t="s">
        <v>474</v>
      </c>
      <c r="B8" s="85" t="s">
        <v>36</v>
      </c>
      <c r="C8" s="85" t="s">
        <v>37</v>
      </c>
      <c r="D8" s="84">
        <v>1</v>
      </c>
      <c r="E8" s="49">
        <v>30</v>
      </c>
      <c r="F8" s="80">
        <v>45945</v>
      </c>
      <c r="G8" s="81">
        <v>0.375</v>
      </c>
      <c r="H8" s="85">
        <v>45943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5">
      <c r="A9" s="23" t="s">
        <v>474</v>
      </c>
      <c r="B9" s="85" t="s">
        <v>30</v>
      </c>
      <c r="C9" s="85" t="s">
        <v>31</v>
      </c>
      <c r="D9" s="84">
        <v>1</v>
      </c>
      <c r="E9" s="49">
        <v>30</v>
      </c>
      <c r="F9" s="80">
        <v>45945</v>
      </c>
      <c r="G9" s="81">
        <v>0.375</v>
      </c>
      <c r="H9" s="85">
        <v>45943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475</v>
      </c>
      <c r="O9" s="5" t="s">
        <v>155</v>
      </c>
    </row>
    <row r="10" spans="1:20" s="5" customFormat="1" ht="78.75" customHeight="1" x14ac:dyDescent="0.25">
      <c r="A10" s="79" t="s">
        <v>473</v>
      </c>
      <c r="B10" s="53" t="s">
        <v>36</v>
      </c>
      <c r="C10" s="53" t="s">
        <v>37</v>
      </c>
      <c r="D10" s="84">
        <v>1</v>
      </c>
      <c r="E10" s="49">
        <v>30</v>
      </c>
      <c r="F10" s="80">
        <v>45945</v>
      </c>
      <c r="G10" s="81">
        <v>0.375</v>
      </c>
      <c r="H10" s="80">
        <v>45943</v>
      </c>
      <c r="I10" s="81">
        <v>0.41666666666666669</v>
      </c>
      <c r="J10" s="87">
        <f t="shared" ref="J10:J66" si="0">E10-L10</f>
        <v>2</v>
      </c>
      <c r="K10" s="53">
        <v>1</v>
      </c>
      <c r="L10" s="53">
        <v>28</v>
      </c>
      <c r="M10" s="79" t="s">
        <v>476</v>
      </c>
    </row>
    <row r="11" spans="1:20" s="5" customFormat="1" ht="75" customHeight="1" x14ac:dyDescent="0.25">
      <c r="A11" s="79" t="s">
        <v>473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45945</v>
      </c>
      <c r="G11" s="81">
        <v>0.375</v>
      </c>
      <c r="H11" s="80">
        <v>45943</v>
      </c>
      <c r="I11" s="81">
        <v>0.41666666666666669</v>
      </c>
      <c r="J11" s="87">
        <f t="shared" si="0"/>
        <v>2</v>
      </c>
      <c r="K11" s="53">
        <v>1</v>
      </c>
      <c r="L11" s="53">
        <v>28</v>
      </c>
      <c r="M11" s="79" t="s">
        <v>476</v>
      </c>
    </row>
    <row r="12" spans="1:20" s="5" customFormat="1" ht="84.75" customHeight="1" x14ac:dyDescent="0.25">
      <c r="A12" s="100" t="s">
        <v>477</v>
      </c>
      <c r="B12" s="53" t="s">
        <v>36</v>
      </c>
      <c r="C12" s="53" t="s">
        <v>37</v>
      </c>
      <c r="D12" s="84">
        <v>1</v>
      </c>
      <c r="E12" s="49">
        <v>30</v>
      </c>
      <c r="F12" s="80">
        <v>45945</v>
      </c>
      <c r="G12" s="81">
        <v>0.375</v>
      </c>
      <c r="H12" s="80">
        <v>45943</v>
      </c>
      <c r="I12" s="81">
        <v>0.4375</v>
      </c>
      <c r="J12" s="87">
        <f t="shared" si="0"/>
        <v>1</v>
      </c>
      <c r="K12" s="53">
        <v>1</v>
      </c>
      <c r="L12" s="53">
        <v>29</v>
      </c>
      <c r="M12" s="79" t="s">
        <v>478</v>
      </c>
    </row>
    <row r="13" spans="1:20" s="5" customFormat="1" ht="81.75" customHeight="1" x14ac:dyDescent="0.25">
      <c r="A13" s="79" t="s">
        <v>477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45945</v>
      </c>
      <c r="G13" s="81">
        <v>0.375</v>
      </c>
      <c r="H13" s="80">
        <v>45943</v>
      </c>
      <c r="I13" s="81">
        <v>0.4375</v>
      </c>
      <c r="J13" s="87">
        <f t="shared" si="0"/>
        <v>1</v>
      </c>
      <c r="K13" s="53">
        <v>1</v>
      </c>
      <c r="L13" s="53">
        <v>29</v>
      </c>
      <c r="M13" s="79" t="s">
        <v>478</v>
      </c>
    </row>
    <row r="14" spans="1:20" s="5" customFormat="1" ht="61.5" customHeight="1" x14ac:dyDescent="0.25">
      <c r="A14" s="79" t="s">
        <v>479</v>
      </c>
      <c r="B14" s="53" t="s">
        <v>30</v>
      </c>
      <c r="C14" s="53" t="s">
        <v>31</v>
      </c>
      <c r="D14" s="84">
        <v>1</v>
      </c>
      <c r="E14" s="49">
        <v>30</v>
      </c>
      <c r="F14" s="80">
        <v>45945</v>
      </c>
      <c r="G14" s="81">
        <v>0.375</v>
      </c>
      <c r="H14" s="80">
        <v>45943</v>
      </c>
      <c r="I14" s="81">
        <v>0.41666666666666669</v>
      </c>
      <c r="J14" s="87">
        <f t="shared" si="0"/>
        <v>3</v>
      </c>
      <c r="K14" s="53">
        <v>2</v>
      </c>
      <c r="L14" s="53">
        <v>27</v>
      </c>
      <c r="M14" s="79" t="s">
        <v>480</v>
      </c>
    </row>
    <row r="15" spans="1:20" s="5" customFormat="1" ht="61.5" customHeight="1" x14ac:dyDescent="0.25">
      <c r="A15" s="79" t="s">
        <v>479</v>
      </c>
      <c r="B15" s="53" t="s">
        <v>39</v>
      </c>
      <c r="C15" s="53" t="s">
        <v>40</v>
      </c>
      <c r="D15" s="84">
        <v>1</v>
      </c>
      <c r="E15" s="49">
        <v>30</v>
      </c>
      <c r="F15" s="80">
        <v>45945</v>
      </c>
      <c r="G15" s="81">
        <v>0.375</v>
      </c>
      <c r="H15" s="80">
        <v>45943</v>
      </c>
      <c r="I15" s="81">
        <v>0.41666666666666669</v>
      </c>
      <c r="J15" s="87">
        <f t="shared" si="0"/>
        <v>3</v>
      </c>
      <c r="K15" s="53">
        <v>2</v>
      </c>
      <c r="L15" s="53">
        <v>27</v>
      </c>
      <c r="M15" s="79" t="s">
        <v>480</v>
      </c>
    </row>
    <row r="16" spans="1:20" s="5" customFormat="1" ht="63" customHeight="1" x14ac:dyDescent="0.25">
      <c r="A16" s="99" t="s">
        <v>481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45945</v>
      </c>
      <c r="G16" s="81">
        <v>0.375</v>
      </c>
      <c r="H16" s="80">
        <v>45943</v>
      </c>
      <c r="I16" s="81">
        <v>0.41666666666666669</v>
      </c>
      <c r="J16" s="87">
        <f t="shared" si="0"/>
        <v>0</v>
      </c>
      <c r="K16" s="53">
        <v>2</v>
      </c>
      <c r="L16" s="53">
        <v>30</v>
      </c>
      <c r="M16" s="79" t="s">
        <v>482</v>
      </c>
    </row>
    <row r="17" spans="1:13" s="5" customFormat="1" ht="63" customHeight="1" x14ac:dyDescent="0.25">
      <c r="A17" s="99" t="s">
        <v>481</v>
      </c>
      <c r="B17" s="53" t="s">
        <v>136</v>
      </c>
      <c r="C17" s="53" t="s">
        <v>34</v>
      </c>
      <c r="D17" s="84">
        <v>1</v>
      </c>
      <c r="E17" s="49">
        <v>30</v>
      </c>
      <c r="F17" s="80">
        <v>45945</v>
      </c>
      <c r="G17" s="81">
        <v>0.375</v>
      </c>
      <c r="H17" s="80">
        <v>45943</v>
      </c>
      <c r="I17" s="81">
        <v>0.41666666666666669</v>
      </c>
      <c r="J17" s="87">
        <f t="shared" si="0"/>
        <v>0</v>
      </c>
      <c r="K17" s="53">
        <v>2</v>
      </c>
      <c r="L17" s="53">
        <v>30</v>
      </c>
      <c r="M17" s="79" t="s">
        <v>482</v>
      </c>
    </row>
    <row r="18" spans="1:13" s="5" customFormat="1" ht="75" customHeight="1" x14ac:dyDescent="0.25">
      <c r="A18" s="99" t="s">
        <v>483</v>
      </c>
      <c r="B18" s="53" t="s">
        <v>21</v>
      </c>
      <c r="C18" s="53" t="s">
        <v>22</v>
      </c>
      <c r="D18" s="84">
        <v>1</v>
      </c>
      <c r="E18" s="49">
        <v>30</v>
      </c>
      <c r="F18" s="80">
        <v>45945</v>
      </c>
      <c r="G18" s="81">
        <v>0.375</v>
      </c>
      <c r="H18" s="80">
        <v>45943</v>
      </c>
      <c r="I18" s="81">
        <v>0.4375</v>
      </c>
      <c r="J18" s="87">
        <f t="shared" si="0"/>
        <v>4</v>
      </c>
      <c r="K18" s="53">
        <v>1</v>
      </c>
      <c r="L18" s="53">
        <v>26</v>
      </c>
      <c r="M18" s="79" t="s">
        <v>484</v>
      </c>
    </row>
    <row r="19" spans="1:13" s="5" customFormat="1" ht="72.75" customHeight="1" x14ac:dyDescent="0.25">
      <c r="A19" s="101" t="s">
        <v>483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45945</v>
      </c>
      <c r="G19" s="81">
        <v>0.375</v>
      </c>
      <c r="H19" s="80">
        <v>45943</v>
      </c>
      <c r="I19" s="81">
        <v>0.4375</v>
      </c>
      <c r="J19" s="87">
        <f t="shared" si="0"/>
        <v>4</v>
      </c>
      <c r="K19" s="53">
        <v>1</v>
      </c>
      <c r="L19" s="53">
        <v>26</v>
      </c>
      <c r="M19" s="79" t="s">
        <v>484</v>
      </c>
    </row>
    <row r="20" spans="1:13" s="5" customFormat="1" ht="77.25" customHeight="1" x14ac:dyDescent="0.25">
      <c r="A20" s="79" t="s">
        <v>485</v>
      </c>
      <c r="B20" s="53" t="s">
        <v>21</v>
      </c>
      <c r="C20" s="53" t="s">
        <v>22</v>
      </c>
      <c r="D20" s="84">
        <v>1</v>
      </c>
      <c r="E20" s="49">
        <v>30</v>
      </c>
      <c r="F20" s="80">
        <v>45945</v>
      </c>
      <c r="G20" s="81">
        <v>0.375</v>
      </c>
      <c r="H20" s="80">
        <v>45943</v>
      </c>
      <c r="I20" s="81">
        <v>0.45833333333333331</v>
      </c>
      <c r="J20" s="87">
        <f t="shared" si="0"/>
        <v>0</v>
      </c>
      <c r="K20" s="53">
        <v>1</v>
      </c>
      <c r="L20" s="53">
        <v>30</v>
      </c>
      <c r="M20" s="79" t="s">
        <v>486</v>
      </c>
    </row>
    <row r="21" spans="1:13" s="5" customFormat="1" ht="70.5" customHeight="1" x14ac:dyDescent="0.25">
      <c r="A21" s="79" t="s">
        <v>485</v>
      </c>
      <c r="B21" s="53" t="s">
        <v>136</v>
      </c>
      <c r="C21" s="53" t="s">
        <v>34</v>
      </c>
      <c r="D21" s="84">
        <v>1</v>
      </c>
      <c r="E21" s="49">
        <v>30</v>
      </c>
      <c r="F21" s="80">
        <v>45945</v>
      </c>
      <c r="G21" s="81">
        <v>0.375</v>
      </c>
      <c r="H21" s="80">
        <v>45943</v>
      </c>
      <c r="I21" s="81">
        <v>0.45833333333333331</v>
      </c>
      <c r="J21" s="87">
        <f t="shared" si="0"/>
        <v>0</v>
      </c>
      <c r="K21" s="53">
        <v>1</v>
      </c>
      <c r="L21" s="53">
        <v>30</v>
      </c>
      <c r="M21" s="79" t="s">
        <v>486</v>
      </c>
    </row>
    <row r="22" spans="1:13" s="5" customFormat="1" ht="66" customHeight="1" x14ac:dyDescent="0.25">
      <c r="A22" s="79" t="s">
        <v>487</v>
      </c>
      <c r="B22" s="53" t="s">
        <v>36</v>
      </c>
      <c r="C22" s="53" t="s">
        <v>37</v>
      </c>
      <c r="D22" s="84">
        <v>1</v>
      </c>
      <c r="E22" s="49">
        <v>30</v>
      </c>
      <c r="F22" s="80">
        <v>45945</v>
      </c>
      <c r="G22" s="81">
        <v>0.375</v>
      </c>
      <c r="H22" s="80">
        <v>45943</v>
      </c>
      <c r="I22" s="81">
        <v>0.45833333333333331</v>
      </c>
      <c r="J22" s="87">
        <f t="shared" si="0"/>
        <v>2</v>
      </c>
      <c r="K22" s="53">
        <v>1</v>
      </c>
      <c r="L22" s="53">
        <v>28</v>
      </c>
      <c r="M22" s="79" t="s">
        <v>488</v>
      </c>
    </row>
    <row r="23" spans="1:13" s="5" customFormat="1" ht="69" customHeight="1" x14ac:dyDescent="0.25">
      <c r="A23" s="79" t="s">
        <v>487</v>
      </c>
      <c r="B23" s="53" t="s">
        <v>42</v>
      </c>
      <c r="C23" s="53" t="s">
        <v>43</v>
      </c>
      <c r="D23" s="84">
        <v>1</v>
      </c>
      <c r="E23" s="49">
        <v>30</v>
      </c>
      <c r="F23" s="80">
        <v>45945</v>
      </c>
      <c r="G23" s="81">
        <v>0.375</v>
      </c>
      <c r="H23" s="80">
        <v>45943</v>
      </c>
      <c r="I23" s="81">
        <v>0.45833333333333331</v>
      </c>
      <c r="J23" s="87">
        <f t="shared" si="0"/>
        <v>2</v>
      </c>
      <c r="K23" s="53">
        <v>1</v>
      </c>
      <c r="L23" s="53">
        <v>28</v>
      </c>
      <c r="M23" s="79" t="s">
        <v>488</v>
      </c>
    </row>
    <row r="24" spans="1:13" s="5" customFormat="1" ht="60" customHeight="1" x14ac:dyDescent="0.25">
      <c r="A24" s="79" t="s">
        <v>489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45945</v>
      </c>
      <c r="G24" s="81">
        <v>0.375</v>
      </c>
      <c r="H24" s="80">
        <v>45943</v>
      </c>
      <c r="I24" s="81">
        <v>0.47916666666666669</v>
      </c>
      <c r="J24" s="87">
        <f t="shared" si="0"/>
        <v>2</v>
      </c>
      <c r="K24" s="53">
        <v>1</v>
      </c>
      <c r="L24" s="53">
        <v>28</v>
      </c>
      <c r="M24" s="79" t="s">
        <v>490</v>
      </c>
    </row>
    <row r="25" spans="1:13" s="5" customFormat="1" ht="59.25" customHeight="1" x14ac:dyDescent="0.25">
      <c r="A25" s="79" t="s">
        <v>489</v>
      </c>
      <c r="B25" s="53" t="s">
        <v>42</v>
      </c>
      <c r="C25" s="53" t="s">
        <v>43</v>
      </c>
      <c r="D25" s="84">
        <v>1</v>
      </c>
      <c r="E25" s="49">
        <v>30</v>
      </c>
      <c r="F25" s="80">
        <v>45945</v>
      </c>
      <c r="G25" s="81">
        <v>0.375</v>
      </c>
      <c r="H25" s="80">
        <v>45943</v>
      </c>
      <c r="I25" s="81">
        <v>0.47916666666666669</v>
      </c>
      <c r="J25" s="87">
        <f t="shared" si="0"/>
        <v>2</v>
      </c>
      <c r="K25" s="53">
        <v>1</v>
      </c>
      <c r="L25" s="53">
        <v>28</v>
      </c>
      <c r="M25" s="79" t="s">
        <v>490</v>
      </c>
    </row>
    <row r="26" spans="1:13" s="5" customFormat="1" ht="89.25" customHeight="1" x14ac:dyDescent="0.25">
      <c r="A26" s="79" t="s">
        <v>491</v>
      </c>
      <c r="B26" s="53" t="s">
        <v>21</v>
      </c>
      <c r="C26" s="53" t="s">
        <v>22</v>
      </c>
      <c r="D26" s="84">
        <v>1</v>
      </c>
      <c r="E26" s="49">
        <v>30</v>
      </c>
      <c r="F26" s="80">
        <v>45945</v>
      </c>
      <c r="G26" s="81">
        <v>0.375</v>
      </c>
      <c r="H26" s="80">
        <v>45943</v>
      </c>
      <c r="I26" s="81">
        <v>0.75</v>
      </c>
      <c r="J26" s="87">
        <f t="shared" si="0"/>
        <v>0</v>
      </c>
      <c r="K26" s="53">
        <v>1</v>
      </c>
      <c r="L26" s="53">
        <v>30</v>
      </c>
      <c r="M26" s="79" t="s">
        <v>492</v>
      </c>
    </row>
    <row r="27" spans="1:13" s="5" customFormat="1" ht="87" customHeight="1" x14ac:dyDescent="0.25">
      <c r="A27" s="79" t="s">
        <v>491</v>
      </c>
      <c r="B27" s="53" t="s">
        <v>30</v>
      </c>
      <c r="C27" s="53" t="s">
        <v>31</v>
      </c>
      <c r="D27" s="84">
        <v>1</v>
      </c>
      <c r="E27" s="49">
        <v>30</v>
      </c>
      <c r="F27" s="80">
        <v>45945</v>
      </c>
      <c r="G27" s="81">
        <v>0.375</v>
      </c>
      <c r="H27" s="80">
        <v>45943</v>
      </c>
      <c r="I27" s="81">
        <v>0.75</v>
      </c>
      <c r="J27" s="87">
        <f t="shared" si="0"/>
        <v>0</v>
      </c>
      <c r="K27" s="53">
        <v>1</v>
      </c>
      <c r="L27" s="53">
        <v>30</v>
      </c>
      <c r="M27" s="79" t="s">
        <v>492</v>
      </c>
    </row>
    <row r="28" spans="1:13" s="5" customFormat="1" ht="48.75" customHeight="1" x14ac:dyDescent="0.25">
      <c r="A28" s="79" t="s">
        <v>491</v>
      </c>
      <c r="B28" s="53" t="s">
        <v>136</v>
      </c>
      <c r="C28" s="53" t="s">
        <v>34</v>
      </c>
      <c r="D28" s="84">
        <v>1</v>
      </c>
      <c r="E28" s="49">
        <v>30</v>
      </c>
      <c r="F28" s="80">
        <v>45945</v>
      </c>
      <c r="G28" s="81">
        <v>0.375</v>
      </c>
      <c r="H28" s="80">
        <v>45943</v>
      </c>
      <c r="I28" s="81">
        <v>0.75</v>
      </c>
      <c r="J28" s="87">
        <f t="shared" si="0"/>
        <v>0</v>
      </c>
      <c r="K28" s="53">
        <v>1</v>
      </c>
      <c r="L28" s="53">
        <v>30</v>
      </c>
      <c r="M28" s="79" t="s">
        <v>492</v>
      </c>
    </row>
    <row r="29" spans="1:13" s="5" customFormat="1" ht="36.75" customHeight="1" x14ac:dyDescent="0.25">
      <c r="A29" s="79" t="s">
        <v>491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45945</v>
      </c>
      <c r="G29" s="81">
        <v>0.375</v>
      </c>
      <c r="H29" s="80">
        <v>45943</v>
      </c>
      <c r="I29" s="81">
        <v>0.75</v>
      </c>
      <c r="J29" s="87">
        <f t="shared" si="0"/>
        <v>0</v>
      </c>
      <c r="K29" s="53">
        <v>1</v>
      </c>
      <c r="L29" s="53">
        <v>30</v>
      </c>
      <c r="M29" s="79" t="s">
        <v>492</v>
      </c>
    </row>
    <row r="30" spans="1:13" s="5" customFormat="1" ht="37.5" customHeight="1" x14ac:dyDescent="0.25">
      <c r="A30" s="79" t="s">
        <v>491</v>
      </c>
      <c r="B30" s="53" t="s">
        <v>36</v>
      </c>
      <c r="C30" s="53" t="s">
        <v>37</v>
      </c>
      <c r="D30" s="84">
        <v>1</v>
      </c>
      <c r="E30" s="49">
        <v>30</v>
      </c>
      <c r="F30" s="80">
        <v>45945</v>
      </c>
      <c r="G30" s="81">
        <v>0.375</v>
      </c>
      <c r="H30" s="80">
        <v>45943</v>
      </c>
      <c r="I30" s="81">
        <v>0.75</v>
      </c>
      <c r="J30" s="87">
        <f t="shared" si="0"/>
        <v>0</v>
      </c>
      <c r="K30" s="53">
        <v>1</v>
      </c>
      <c r="L30" s="53">
        <v>30</v>
      </c>
      <c r="M30" s="79" t="s">
        <v>492</v>
      </c>
    </row>
    <row r="31" spans="1:13" s="5" customFormat="1" ht="38.25" customHeight="1" x14ac:dyDescent="0.25">
      <c r="A31" s="79" t="s">
        <v>491</v>
      </c>
      <c r="B31" s="53" t="s">
        <v>42</v>
      </c>
      <c r="C31" s="53" t="s">
        <v>43</v>
      </c>
      <c r="D31" s="84">
        <v>1</v>
      </c>
      <c r="E31" s="49">
        <v>30</v>
      </c>
      <c r="F31" s="80">
        <v>45945</v>
      </c>
      <c r="G31" s="81">
        <v>0.375</v>
      </c>
      <c r="H31" s="80">
        <v>45943</v>
      </c>
      <c r="I31" s="81">
        <v>0.75</v>
      </c>
      <c r="J31" s="87">
        <f t="shared" si="0"/>
        <v>0</v>
      </c>
      <c r="K31" s="53">
        <v>1</v>
      </c>
      <c r="L31" s="53">
        <v>30</v>
      </c>
      <c r="M31" s="79" t="s">
        <v>492</v>
      </c>
    </row>
    <row r="32" spans="1:13" s="5" customFormat="1" ht="38.25" customHeight="1" x14ac:dyDescent="0.25">
      <c r="A32" s="79" t="s">
        <v>493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45945</v>
      </c>
      <c r="G32" s="81">
        <v>0.375</v>
      </c>
      <c r="H32" s="80">
        <v>45943</v>
      </c>
      <c r="I32" s="81">
        <v>0.77083333333333337</v>
      </c>
      <c r="J32" s="87">
        <f t="shared" si="0"/>
        <v>2</v>
      </c>
      <c r="K32" s="53">
        <v>2</v>
      </c>
      <c r="L32" s="53">
        <v>28</v>
      </c>
      <c r="M32" s="79" t="s">
        <v>495</v>
      </c>
    </row>
    <row r="33" spans="1:13" s="5" customFormat="1" ht="38.25" customHeight="1" x14ac:dyDescent="0.25">
      <c r="A33" s="79" t="s">
        <v>493</v>
      </c>
      <c r="B33" s="53" t="s">
        <v>30</v>
      </c>
      <c r="C33" s="53" t="s">
        <v>31</v>
      </c>
      <c r="D33" s="84">
        <v>1</v>
      </c>
      <c r="E33" s="49">
        <v>30</v>
      </c>
      <c r="F33" s="80">
        <v>45945</v>
      </c>
      <c r="G33" s="81">
        <v>0.375</v>
      </c>
      <c r="H33" s="80">
        <v>45943</v>
      </c>
      <c r="I33" s="81">
        <v>0.77083333333333337</v>
      </c>
      <c r="J33" s="87">
        <f t="shared" si="0"/>
        <v>2</v>
      </c>
      <c r="K33" s="53">
        <v>2</v>
      </c>
      <c r="L33" s="53">
        <v>28</v>
      </c>
      <c r="M33" s="79" t="s">
        <v>495</v>
      </c>
    </row>
    <row r="34" spans="1:13" s="5" customFormat="1" ht="44.25" customHeight="1" x14ac:dyDescent="0.25">
      <c r="A34" s="79" t="s">
        <v>493</v>
      </c>
      <c r="B34" s="53" t="s">
        <v>136</v>
      </c>
      <c r="C34" s="53" t="s">
        <v>34</v>
      </c>
      <c r="D34" s="84">
        <v>1</v>
      </c>
      <c r="E34" s="49">
        <v>30</v>
      </c>
      <c r="F34" s="80">
        <v>45945</v>
      </c>
      <c r="G34" s="81">
        <v>0.375</v>
      </c>
      <c r="H34" s="80">
        <v>45943</v>
      </c>
      <c r="I34" s="81">
        <v>0.77083333333333337</v>
      </c>
      <c r="J34" s="87">
        <f t="shared" si="0"/>
        <v>2</v>
      </c>
      <c r="K34" s="53">
        <v>2</v>
      </c>
      <c r="L34" s="53">
        <v>28</v>
      </c>
      <c r="M34" s="79" t="s">
        <v>495</v>
      </c>
    </row>
    <row r="35" spans="1:13" s="5" customFormat="1" ht="55.5" customHeight="1" x14ac:dyDescent="0.25">
      <c r="A35" s="79" t="s">
        <v>493</v>
      </c>
      <c r="B35" s="53" t="s">
        <v>39</v>
      </c>
      <c r="C35" s="53" t="s">
        <v>40</v>
      </c>
      <c r="D35" s="84">
        <v>1</v>
      </c>
      <c r="E35" s="49">
        <v>30</v>
      </c>
      <c r="F35" s="80">
        <v>45945</v>
      </c>
      <c r="G35" s="81">
        <v>0.375</v>
      </c>
      <c r="H35" s="80">
        <v>45943</v>
      </c>
      <c r="I35" s="81">
        <v>0.77083333333333337</v>
      </c>
      <c r="J35" s="87">
        <f t="shared" si="0"/>
        <v>2</v>
      </c>
      <c r="K35" s="53">
        <v>2</v>
      </c>
      <c r="L35" s="53">
        <v>28</v>
      </c>
      <c r="M35" s="79" t="s">
        <v>495</v>
      </c>
    </row>
    <row r="36" spans="1:13" s="5" customFormat="1" ht="39" customHeight="1" x14ac:dyDescent="0.25">
      <c r="A36" s="79" t="s">
        <v>493</v>
      </c>
      <c r="B36" s="53" t="s">
        <v>36</v>
      </c>
      <c r="C36" s="53" t="s">
        <v>37</v>
      </c>
      <c r="D36" s="84">
        <v>1</v>
      </c>
      <c r="E36" s="49">
        <v>30</v>
      </c>
      <c r="F36" s="80">
        <v>45945</v>
      </c>
      <c r="G36" s="81">
        <v>0.375</v>
      </c>
      <c r="H36" s="80">
        <v>45943</v>
      </c>
      <c r="I36" s="81">
        <v>0.77083333333333337</v>
      </c>
      <c r="J36" s="87">
        <f t="shared" si="0"/>
        <v>2</v>
      </c>
      <c r="K36" s="53">
        <v>2</v>
      </c>
      <c r="L36" s="53">
        <v>28</v>
      </c>
      <c r="M36" s="79" t="s">
        <v>495</v>
      </c>
    </row>
    <row r="37" spans="1:13" s="5" customFormat="1" ht="42" customHeight="1" x14ac:dyDescent="0.25">
      <c r="A37" s="79" t="s">
        <v>493</v>
      </c>
      <c r="B37" s="53" t="s">
        <v>42</v>
      </c>
      <c r="C37" s="53" t="s">
        <v>43</v>
      </c>
      <c r="D37" s="84">
        <v>1</v>
      </c>
      <c r="E37" s="49">
        <v>30</v>
      </c>
      <c r="F37" s="80">
        <v>45945</v>
      </c>
      <c r="G37" s="81">
        <v>0.375</v>
      </c>
      <c r="H37" s="80">
        <v>45943</v>
      </c>
      <c r="I37" s="81">
        <v>0.77083333333333337</v>
      </c>
      <c r="J37" s="87">
        <f t="shared" si="0"/>
        <v>2</v>
      </c>
      <c r="K37" s="53">
        <v>2</v>
      </c>
      <c r="L37" s="53">
        <v>28</v>
      </c>
      <c r="M37" s="79" t="s">
        <v>495</v>
      </c>
    </row>
    <row r="38" spans="1:13" s="5" customFormat="1" ht="71.25" customHeight="1" x14ac:dyDescent="0.25">
      <c r="A38" s="79" t="s">
        <v>496</v>
      </c>
      <c r="B38" s="53" t="s">
        <v>36</v>
      </c>
      <c r="C38" s="53" t="s">
        <v>37</v>
      </c>
      <c r="D38" s="84">
        <v>1</v>
      </c>
      <c r="E38" s="49">
        <v>30</v>
      </c>
      <c r="F38" s="80">
        <v>45945</v>
      </c>
      <c r="G38" s="81">
        <v>0.375</v>
      </c>
      <c r="H38" s="80">
        <v>45943</v>
      </c>
      <c r="I38" s="81">
        <v>0.5</v>
      </c>
      <c r="J38" s="87">
        <f t="shared" si="0"/>
        <v>5</v>
      </c>
      <c r="K38" s="53">
        <v>1</v>
      </c>
      <c r="L38" s="53">
        <v>25</v>
      </c>
      <c r="M38" s="79" t="s">
        <v>497</v>
      </c>
    </row>
    <row r="39" spans="1:13" s="5" customFormat="1" ht="66" customHeight="1" x14ac:dyDescent="0.25">
      <c r="A39" s="79" t="s">
        <v>496</v>
      </c>
      <c r="B39" s="53" t="s">
        <v>42</v>
      </c>
      <c r="C39" s="53" t="s">
        <v>43</v>
      </c>
      <c r="D39" s="84">
        <v>1</v>
      </c>
      <c r="E39" s="49">
        <v>30</v>
      </c>
      <c r="F39" s="80">
        <v>45945</v>
      </c>
      <c r="G39" s="81">
        <v>0.375</v>
      </c>
      <c r="H39" s="80">
        <v>45943</v>
      </c>
      <c r="I39" s="81">
        <v>0.5</v>
      </c>
      <c r="J39" s="87">
        <f t="shared" si="0"/>
        <v>5</v>
      </c>
      <c r="K39" s="53">
        <v>1</v>
      </c>
      <c r="L39" s="53">
        <v>25</v>
      </c>
      <c r="M39" s="79" t="s">
        <v>497</v>
      </c>
    </row>
    <row r="40" spans="1:13" s="5" customFormat="1" ht="56.25" customHeight="1" x14ac:dyDescent="0.25">
      <c r="A40" s="79" t="s">
        <v>498</v>
      </c>
      <c r="B40" s="53" t="s">
        <v>21</v>
      </c>
      <c r="C40" s="53" t="s">
        <v>43</v>
      </c>
      <c r="D40" s="84">
        <v>1</v>
      </c>
      <c r="E40" s="49">
        <v>30</v>
      </c>
      <c r="F40" s="80">
        <v>45945</v>
      </c>
      <c r="G40" s="81">
        <v>0.375</v>
      </c>
      <c r="H40" s="80">
        <v>45943</v>
      </c>
      <c r="I40" s="81">
        <v>0.79166666666666663</v>
      </c>
      <c r="J40" s="87">
        <f t="shared" si="0"/>
        <v>4</v>
      </c>
      <c r="K40" s="53">
        <v>1</v>
      </c>
      <c r="L40" s="53">
        <v>26</v>
      </c>
      <c r="M40" s="79" t="s">
        <v>499</v>
      </c>
    </row>
    <row r="41" spans="1:13" s="5" customFormat="1" ht="63" customHeight="1" x14ac:dyDescent="0.25">
      <c r="A41" s="79" t="s">
        <v>498</v>
      </c>
      <c r="B41" s="53" t="s">
        <v>30</v>
      </c>
      <c r="C41" s="53" t="s">
        <v>31</v>
      </c>
      <c r="D41" s="84">
        <v>1</v>
      </c>
      <c r="E41" s="49">
        <v>30</v>
      </c>
      <c r="F41" s="80">
        <v>45945</v>
      </c>
      <c r="G41" s="81">
        <v>0.375</v>
      </c>
      <c r="H41" s="80">
        <v>45943</v>
      </c>
      <c r="I41" s="81">
        <v>0.79166666666666663</v>
      </c>
      <c r="J41" s="87">
        <f t="shared" si="0"/>
        <v>4</v>
      </c>
      <c r="K41" s="53">
        <v>1</v>
      </c>
      <c r="L41" s="53">
        <v>26</v>
      </c>
      <c r="M41" s="79" t="s">
        <v>499</v>
      </c>
    </row>
    <row r="42" spans="1:13" s="5" customFormat="1" ht="66" customHeight="1" x14ac:dyDescent="0.25">
      <c r="A42" s="79" t="s">
        <v>498</v>
      </c>
      <c r="B42" s="53" t="s">
        <v>136</v>
      </c>
      <c r="C42" s="53" t="s">
        <v>34</v>
      </c>
      <c r="D42" s="84">
        <v>1</v>
      </c>
      <c r="E42" s="49">
        <v>30</v>
      </c>
      <c r="F42" s="80">
        <v>45945</v>
      </c>
      <c r="G42" s="81">
        <v>0.375</v>
      </c>
      <c r="H42" s="80">
        <v>45943</v>
      </c>
      <c r="I42" s="81">
        <v>0.79166666666666663</v>
      </c>
      <c r="J42" s="87">
        <f t="shared" si="0"/>
        <v>4</v>
      </c>
      <c r="K42" s="53">
        <v>1</v>
      </c>
      <c r="L42" s="53">
        <v>26</v>
      </c>
      <c r="M42" s="79" t="s">
        <v>499</v>
      </c>
    </row>
    <row r="43" spans="1:13" s="5" customFormat="1" ht="58.5" customHeight="1" x14ac:dyDescent="0.25">
      <c r="A43" s="79" t="s">
        <v>498</v>
      </c>
      <c r="B43" s="53" t="s">
        <v>39</v>
      </c>
      <c r="C43" s="53" t="s">
        <v>40</v>
      </c>
      <c r="D43" s="84">
        <v>1</v>
      </c>
      <c r="E43" s="49">
        <v>30</v>
      </c>
      <c r="F43" s="80">
        <v>45945</v>
      </c>
      <c r="G43" s="81">
        <v>0.375</v>
      </c>
      <c r="H43" s="80">
        <v>45943</v>
      </c>
      <c r="I43" s="81">
        <v>0.79166666666666663</v>
      </c>
      <c r="J43" s="87">
        <f t="shared" si="0"/>
        <v>4</v>
      </c>
      <c r="K43" s="53">
        <v>1</v>
      </c>
      <c r="L43" s="53">
        <v>26</v>
      </c>
      <c r="M43" s="79" t="s">
        <v>499</v>
      </c>
    </row>
    <row r="44" spans="1:13" s="5" customFormat="1" ht="57" customHeight="1" x14ac:dyDescent="0.25">
      <c r="A44" s="79" t="s">
        <v>498</v>
      </c>
      <c r="B44" s="53" t="s">
        <v>36</v>
      </c>
      <c r="C44" s="53" t="s">
        <v>37</v>
      </c>
      <c r="D44" s="84">
        <v>1</v>
      </c>
      <c r="E44" s="49">
        <v>30</v>
      </c>
      <c r="F44" s="80">
        <v>45945</v>
      </c>
      <c r="G44" s="81">
        <v>0.375</v>
      </c>
      <c r="H44" s="80">
        <v>45943</v>
      </c>
      <c r="I44" s="81">
        <v>0.79166666666666663</v>
      </c>
      <c r="J44" s="87">
        <f t="shared" si="0"/>
        <v>4</v>
      </c>
      <c r="K44" s="53">
        <v>1</v>
      </c>
      <c r="L44" s="53">
        <v>26</v>
      </c>
      <c r="M44" s="79" t="s">
        <v>499</v>
      </c>
    </row>
    <row r="45" spans="1:13" s="5" customFormat="1" ht="55.5" customHeight="1" x14ac:dyDescent="0.25">
      <c r="A45" s="79" t="s">
        <v>498</v>
      </c>
      <c r="B45" s="53" t="s">
        <v>42</v>
      </c>
      <c r="C45" s="53" t="s">
        <v>43</v>
      </c>
      <c r="D45" s="84">
        <v>1</v>
      </c>
      <c r="E45" s="49">
        <v>30</v>
      </c>
      <c r="F45" s="80">
        <v>45945</v>
      </c>
      <c r="G45" s="81">
        <v>0.375</v>
      </c>
      <c r="H45" s="80">
        <v>45943</v>
      </c>
      <c r="I45" s="81">
        <v>0.79166666666666663</v>
      </c>
      <c r="J45" s="87">
        <f t="shared" si="0"/>
        <v>4</v>
      </c>
      <c r="K45" s="53">
        <v>1</v>
      </c>
      <c r="L45" s="53">
        <v>26</v>
      </c>
      <c r="M45" s="79" t="s">
        <v>499</v>
      </c>
    </row>
    <row r="46" spans="1:13" ht="87" customHeight="1" x14ac:dyDescent="0.25">
      <c r="A46" s="79" t="s">
        <v>500</v>
      </c>
      <c r="B46" s="53" t="s">
        <v>21</v>
      </c>
      <c r="C46" s="53" t="s">
        <v>22</v>
      </c>
      <c r="D46" s="84">
        <v>1</v>
      </c>
      <c r="E46" s="49">
        <v>30</v>
      </c>
      <c r="F46" s="80">
        <v>45945</v>
      </c>
      <c r="G46" s="81">
        <v>0.375</v>
      </c>
      <c r="H46" s="80">
        <v>45943</v>
      </c>
      <c r="I46" s="81">
        <v>0.79166666666666663</v>
      </c>
      <c r="J46" s="87">
        <f t="shared" si="0"/>
        <v>0</v>
      </c>
      <c r="K46" s="53">
        <v>1</v>
      </c>
      <c r="L46" s="53">
        <v>30</v>
      </c>
      <c r="M46" s="79" t="s">
        <v>501</v>
      </c>
    </row>
    <row r="47" spans="1:13" s="5" customFormat="1" ht="56.25" customHeight="1" x14ac:dyDescent="0.25">
      <c r="A47" s="79" t="s">
        <v>500</v>
      </c>
      <c r="B47" s="53" t="s">
        <v>30</v>
      </c>
      <c r="C47" s="53" t="s">
        <v>31</v>
      </c>
      <c r="D47" s="84">
        <v>1</v>
      </c>
      <c r="E47" s="49">
        <v>30</v>
      </c>
      <c r="F47" s="80">
        <v>45945</v>
      </c>
      <c r="G47" s="81">
        <v>0.375</v>
      </c>
      <c r="H47" s="80">
        <v>45943</v>
      </c>
      <c r="I47" s="81">
        <v>0.79166666666666663</v>
      </c>
      <c r="J47" s="87">
        <f t="shared" si="0"/>
        <v>0</v>
      </c>
      <c r="K47" s="53">
        <v>1</v>
      </c>
      <c r="L47" s="53">
        <v>30</v>
      </c>
      <c r="M47" s="79" t="s">
        <v>501</v>
      </c>
    </row>
    <row r="48" spans="1:13" s="5" customFormat="1" ht="67.5" customHeight="1" x14ac:dyDescent="0.25">
      <c r="A48" s="79" t="s">
        <v>500</v>
      </c>
      <c r="B48" s="53" t="s">
        <v>136</v>
      </c>
      <c r="C48" s="53" t="s">
        <v>34</v>
      </c>
      <c r="D48" s="84">
        <v>1</v>
      </c>
      <c r="E48" s="49">
        <v>30</v>
      </c>
      <c r="F48" s="80">
        <v>45945</v>
      </c>
      <c r="G48" s="81">
        <v>0.375</v>
      </c>
      <c r="H48" s="80">
        <v>45943</v>
      </c>
      <c r="I48" s="81">
        <v>0.79166666666666663</v>
      </c>
      <c r="J48" s="87">
        <f t="shared" si="0"/>
        <v>0</v>
      </c>
      <c r="K48" s="53">
        <v>1</v>
      </c>
      <c r="L48" s="53">
        <v>30</v>
      </c>
      <c r="M48" s="79" t="s">
        <v>501</v>
      </c>
    </row>
    <row r="49" spans="1:13" s="5" customFormat="1" ht="69.75" customHeight="1" x14ac:dyDescent="0.25">
      <c r="A49" s="79" t="s">
        <v>500</v>
      </c>
      <c r="B49" s="53" t="s">
        <v>39</v>
      </c>
      <c r="C49" s="53" t="s">
        <v>40</v>
      </c>
      <c r="D49" s="84">
        <v>1</v>
      </c>
      <c r="E49" s="49">
        <v>30</v>
      </c>
      <c r="F49" s="80">
        <v>45945</v>
      </c>
      <c r="G49" s="81">
        <v>0.375</v>
      </c>
      <c r="H49" s="80">
        <v>45943</v>
      </c>
      <c r="I49" s="81">
        <v>0.79166666666666663</v>
      </c>
      <c r="J49" s="87">
        <f t="shared" si="0"/>
        <v>0</v>
      </c>
      <c r="K49" s="53">
        <v>1</v>
      </c>
      <c r="L49" s="53">
        <v>30</v>
      </c>
      <c r="M49" s="79" t="s">
        <v>501</v>
      </c>
    </row>
    <row r="50" spans="1:13" s="5" customFormat="1" ht="61.5" customHeight="1" x14ac:dyDescent="0.25">
      <c r="A50" s="79" t="s">
        <v>500</v>
      </c>
      <c r="B50" s="53" t="s">
        <v>36</v>
      </c>
      <c r="C50" s="53" t="s">
        <v>37</v>
      </c>
      <c r="D50" s="84">
        <v>1</v>
      </c>
      <c r="E50" s="49">
        <v>30</v>
      </c>
      <c r="F50" s="80">
        <v>45945</v>
      </c>
      <c r="G50" s="81">
        <v>0.375</v>
      </c>
      <c r="H50" s="80">
        <v>45943</v>
      </c>
      <c r="I50" s="81">
        <v>0.79166666666666663</v>
      </c>
      <c r="J50" s="87">
        <f t="shared" si="0"/>
        <v>0</v>
      </c>
      <c r="K50" s="53">
        <v>1</v>
      </c>
      <c r="L50" s="53">
        <v>30</v>
      </c>
      <c r="M50" s="79" t="s">
        <v>501</v>
      </c>
    </row>
    <row r="51" spans="1:13" s="5" customFormat="1" ht="56.25" customHeight="1" x14ac:dyDescent="0.25">
      <c r="A51" s="79" t="s">
        <v>500</v>
      </c>
      <c r="B51" s="53" t="s">
        <v>42</v>
      </c>
      <c r="C51" s="53" t="s">
        <v>43</v>
      </c>
      <c r="D51" s="84">
        <v>1</v>
      </c>
      <c r="E51" s="49">
        <v>30</v>
      </c>
      <c r="F51" s="80">
        <v>45945</v>
      </c>
      <c r="G51" s="81">
        <v>0.375</v>
      </c>
      <c r="H51" s="80">
        <v>45943</v>
      </c>
      <c r="I51" s="81">
        <v>0.79166666666666663</v>
      </c>
      <c r="J51" s="87">
        <f t="shared" si="0"/>
        <v>0</v>
      </c>
      <c r="K51" s="53">
        <v>1</v>
      </c>
      <c r="L51" s="53">
        <v>30</v>
      </c>
      <c r="M51" s="79" t="s">
        <v>501</v>
      </c>
    </row>
    <row r="52" spans="1:13" s="5" customFormat="1" ht="97.5" customHeight="1" x14ac:dyDescent="0.25">
      <c r="A52" s="79" t="s">
        <v>502</v>
      </c>
      <c r="B52" s="53" t="s">
        <v>30</v>
      </c>
      <c r="C52" s="53" t="s">
        <v>31</v>
      </c>
      <c r="D52" s="84">
        <v>1</v>
      </c>
      <c r="E52" s="49">
        <v>30</v>
      </c>
      <c r="F52" s="80">
        <v>45945</v>
      </c>
      <c r="G52" s="81">
        <v>0.375</v>
      </c>
      <c r="H52" s="80">
        <v>45943</v>
      </c>
      <c r="I52" s="81">
        <v>0.4375</v>
      </c>
      <c r="J52" s="87">
        <f t="shared" si="0"/>
        <v>6</v>
      </c>
      <c r="K52" s="53">
        <v>1</v>
      </c>
      <c r="L52" s="53">
        <v>24</v>
      </c>
      <c r="M52" s="79" t="s">
        <v>503</v>
      </c>
    </row>
    <row r="53" spans="1:13" s="5" customFormat="1" ht="75" customHeight="1" x14ac:dyDescent="0.25">
      <c r="A53" s="79" t="s">
        <v>502</v>
      </c>
      <c r="B53" s="53" t="s">
        <v>39</v>
      </c>
      <c r="C53" s="53" t="s">
        <v>40</v>
      </c>
      <c r="D53" s="84">
        <v>1</v>
      </c>
      <c r="E53" s="49">
        <v>30</v>
      </c>
      <c r="F53" s="80">
        <v>45945</v>
      </c>
      <c r="G53" s="81">
        <v>0.375</v>
      </c>
      <c r="H53" s="80">
        <v>45943</v>
      </c>
      <c r="I53" s="81">
        <v>0.4375</v>
      </c>
      <c r="J53" s="87">
        <f t="shared" si="0"/>
        <v>6</v>
      </c>
      <c r="K53" s="53">
        <v>1</v>
      </c>
      <c r="L53" s="53">
        <v>24</v>
      </c>
      <c r="M53" s="79" t="s">
        <v>503</v>
      </c>
    </row>
    <row r="54" spans="1:13" s="5" customFormat="1" ht="70.5" customHeight="1" x14ac:dyDescent="0.25">
      <c r="A54" s="79" t="s">
        <v>504</v>
      </c>
      <c r="B54" s="53" t="s">
        <v>21</v>
      </c>
      <c r="C54" s="53" t="s">
        <v>22</v>
      </c>
      <c r="D54" s="84">
        <v>1</v>
      </c>
      <c r="E54" s="49">
        <v>30</v>
      </c>
      <c r="F54" s="80">
        <v>45945</v>
      </c>
      <c r="G54" s="81">
        <v>0.375</v>
      </c>
      <c r="H54" s="80">
        <v>45943</v>
      </c>
      <c r="I54" s="81">
        <v>0.8125</v>
      </c>
      <c r="J54" s="87">
        <f t="shared" si="0"/>
        <v>2</v>
      </c>
      <c r="K54" s="53">
        <v>1</v>
      </c>
      <c r="L54" s="53">
        <v>28</v>
      </c>
      <c r="M54" s="79" t="s">
        <v>505</v>
      </c>
    </row>
    <row r="55" spans="1:13" s="5" customFormat="1" ht="73.5" customHeight="1" x14ac:dyDescent="0.25">
      <c r="A55" s="79" t="s">
        <v>504</v>
      </c>
      <c r="B55" s="53" t="s">
        <v>30</v>
      </c>
      <c r="C55" s="53" t="s">
        <v>31</v>
      </c>
      <c r="D55" s="84">
        <v>1</v>
      </c>
      <c r="E55" s="49">
        <v>30</v>
      </c>
      <c r="F55" s="80">
        <v>45945</v>
      </c>
      <c r="G55" s="81">
        <v>0.375</v>
      </c>
      <c r="H55" s="80">
        <v>45943</v>
      </c>
      <c r="I55" s="81">
        <v>0.8125</v>
      </c>
      <c r="J55" s="87">
        <f t="shared" si="0"/>
        <v>2</v>
      </c>
      <c r="K55" s="53">
        <v>1</v>
      </c>
      <c r="L55" s="53">
        <v>28</v>
      </c>
      <c r="M55" s="79" t="s">
        <v>505</v>
      </c>
    </row>
    <row r="56" spans="1:13" s="5" customFormat="1" ht="66.75" customHeight="1" x14ac:dyDescent="0.25">
      <c r="A56" s="79" t="s">
        <v>504</v>
      </c>
      <c r="B56" s="53" t="s">
        <v>136</v>
      </c>
      <c r="C56" s="53" t="s">
        <v>34</v>
      </c>
      <c r="D56" s="84">
        <v>1</v>
      </c>
      <c r="E56" s="49">
        <v>30</v>
      </c>
      <c r="F56" s="80">
        <v>45945</v>
      </c>
      <c r="G56" s="81">
        <v>0.375</v>
      </c>
      <c r="H56" s="80">
        <v>45943</v>
      </c>
      <c r="I56" s="81">
        <v>0.8125</v>
      </c>
      <c r="J56" s="87">
        <f t="shared" si="0"/>
        <v>2</v>
      </c>
      <c r="K56" s="53">
        <v>1</v>
      </c>
      <c r="L56" s="53">
        <v>28</v>
      </c>
      <c r="M56" s="79" t="s">
        <v>505</v>
      </c>
    </row>
    <row r="57" spans="1:13" s="5" customFormat="1" ht="55.5" customHeight="1" x14ac:dyDescent="0.25">
      <c r="A57" s="79" t="s">
        <v>504</v>
      </c>
      <c r="B57" s="53" t="s">
        <v>39</v>
      </c>
      <c r="C57" s="53" t="s">
        <v>40</v>
      </c>
      <c r="D57" s="84">
        <v>1</v>
      </c>
      <c r="E57" s="49">
        <v>30</v>
      </c>
      <c r="F57" s="80">
        <v>45945</v>
      </c>
      <c r="G57" s="81">
        <v>0.375</v>
      </c>
      <c r="H57" s="80">
        <v>45943</v>
      </c>
      <c r="I57" s="81">
        <v>0.8125</v>
      </c>
      <c r="J57" s="87">
        <f t="shared" si="0"/>
        <v>2</v>
      </c>
      <c r="K57" s="53">
        <v>1</v>
      </c>
      <c r="L57" s="53">
        <v>28</v>
      </c>
      <c r="M57" s="79" t="s">
        <v>505</v>
      </c>
    </row>
    <row r="58" spans="1:13" s="5" customFormat="1" ht="59.25" customHeight="1" x14ac:dyDescent="0.25">
      <c r="A58" s="79" t="s">
        <v>504</v>
      </c>
      <c r="B58" s="53" t="s">
        <v>36</v>
      </c>
      <c r="C58" s="53" t="s">
        <v>37</v>
      </c>
      <c r="D58" s="84">
        <v>1</v>
      </c>
      <c r="E58" s="49">
        <v>30</v>
      </c>
      <c r="F58" s="80">
        <v>45945</v>
      </c>
      <c r="G58" s="81">
        <v>0.375</v>
      </c>
      <c r="H58" s="80">
        <v>45943</v>
      </c>
      <c r="I58" s="81">
        <v>0.8125</v>
      </c>
      <c r="J58" s="87">
        <f t="shared" si="0"/>
        <v>2</v>
      </c>
      <c r="K58" s="53">
        <v>1</v>
      </c>
      <c r="L58" s="53">
        <v>28</v>
      </c>
      <c r="M58" s="79" t="s">
        <v>505</v>
      </c>
    </row>
    <row r="59" spans="1:13" s="5" customFormat="1" ht="53.25" customHeight="1" x14ac:dyDescent="0.25">
      <c r="A59" s="79" t="s">
        <v>504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45945</v>
      </c>
      <c r="G59" s="81">
        <v>0.375</v>
      </c>
      <c r="H59" s="80">
        <v>45943</v>
      </c>
      <c r="I59" s="81">
        <v>0.8125</v>
      </c>
      <c r="J59" s="87">
        <f t="shared" si="0"/>
        <v>2</v>
      </c>
      <c r="K59" s="53">
        <v>1</v>
      </c>
      <c r="L59" s="53">
        <v>28</v>
      </c>
      <c r="M59" s="79" t="s">
        <v>505</v>
      </c>
    </row>
    <row r="60" spans="1:13" s="5" customFormat="1" ht="63.75" customHeight="1" x14ac:dyDescent="0.25">
      <c r="A60" s="79" t="s">
        <v>507</v>
      </c>
      <c r="B60" s="53" t="s">
        <v>21</v>
      </c>
      <c r="C60" s="53" t="s">
        <v>22</v>
      </c>
      <c r="D60" s="84">
        <v>1</v>
      </c>
      <c r="E60" s="49">
        <v>30</v>
      </c>
      <c r="F60" s="80">
        <v>45945</v>
      </c>
      <c r="G60" s="81">
        <v>0.375</v>
      </c>
      <c r="H60" s="80">
        <v>45943</v>
      </c>
      <c r="I60" s="81">
        <v>0.8125</v>
      </c>
      <c r="J60" s="87">
        <f t="shared" si="0"/>
        <v>0</v>
      </c>
      <c r="K60" s="53">
        <v>2</v>
      </c>
      <c r="L60" s="53">
        <v>30</v>
      </c>
      <c r="M60" s="79" t="s">
        <v>508</v>
      </c>
    </row>
    <row r="61" spans="1:13" s="5" customFormat="1" ht="57.75" customHeight="1" x14ac:dyDescent="0.25">
      <c r="A61" s="79" t="s">
        <v>507</v>
      </c>
      <c r="B61" s="53" t="s">
        <v>30</v>
      </c>
      <c r="C61" s="53" t="s">
        <v>31</v>
      </c>
      <c r="D61" s="84">
        <v>1</v>
      </c>
      <c r="E61" s="49">
        <v>30</v>
      </c>
      <c r="F61" s="80">
        <v>45945</v>
      </c>
      <c r="G61" s="81">
        <v>0.375</v>
      </c>
      <c r="H61" s="80">
        <v>45943</v>
      </c>
      <c r="I61" s="81">
        <v>0.8125</v>
      </c>
      <c r="J61" s="87">
        <f t="shared" si="0"/>
        <v>0</v>
      </c>
      <c r="K61" s="53">
        <v>2</v>
      </c>
      <c r="L61" s="53">
        <v>30</v>
      </c>
      <c r="M61" s="79" t="s">
        <v>508</v>
      </c>
    </row>
    <row r="62" spans="1:13" s="5" customFormat="1" ht="63" customHeight="1" x14ac:dyDescent="0.25">
      <c r="A62" s="79" t="s">
        <v>507</v>
      </c>
      <c r="B62" s="53" t="s">
        <v>136</v>
      </c>
      <c r="C62" s="53" t="s">
        <v>34</v>
      </c>
      <c r="D62" s="84">
        <v>1</v>
      </c>
      <c r="E62" s="49">
        <v>30</v>
      </c>
      <c r="F62" s="80">
        <v>45945</v>
      </c>
      <c r="G62" s="81">
        <v>0.375</v>
      </c>
      <c r="H62" s="80">
        <v>45943</v>
      </c>
      <c r="I62" s="81">
        <v>0.8125</v>
      </c>
      <c r="J62" s="87">
        <f t="shared" si="0"/>
        <v>0</v>
      </c>
      <c r="K62" s="53">
        <v>2</v>
      </c>
      <c r="L62" s="53">
        <v>30</v>
      </c>
      <c r="M62" s="79" t="s">
        <v>508</v>
      </c>
    </row>
    <row r="63" spans="1:13" s="5" customFormat="1" ht="71.25" customHeight="1" x14ac:dyDescent="0.25">
      <c r="A63" s="79" t="s">
        <v>507</v>
      </c>
      <c r="B63" s="53" t="s">
        <v>39</v>
      </c>
      <c r="C63" s="53" t="s">
        <v>40</v>
      </c>
      <c r="D63" s="84">
        <v>1</v>
      </c>
      <c r="E63" s="49">
        <v>30</v>
      </c>
      <c r="F63" s="80">
        <v>45945</v>
      </c>
      <c r="G63" s="81">
        <v>0.375</v>
      </c>
      <c r="H63" s="80">
        <v>45943</v>
      </c>
      <c r="I63" s="81">
        <v>0.8125</v>
      </c>
      <c r="J63" s="87">
        <f t="shared" si="0"/>
        <v>0</v>
      </c>
      <c r="K63" s="53">
        <v>2</v>
      </c>
      <c r="L63" s="53">
        <v>30</v>
      </c>
      <c r="M63" s="79" t="s">
        <v>508</v>
      </c>
    </row>
    <row r="64" spans="1:13" s="5" customFormat="1" ht="78.75" customHeight="1" x14ac:dyDescent="0.25">
      <c r="A64" s="79" t="s">
        <v>507</v>
      </c>
      <c r="B64" s="53" t="s">
        <v>36</v>
      </c>
      <c r="C64" s="53" t="s">
        <v>37</v>
      </c>
      <c r="D64" s="84">
        <v>1</v>
      </c>
      <c r="E64" s="49">
        <v>30</v>
      </c>
      <c r="F64" s="80">
        <v>45945</v>
      </c>
      <c r="G64" s="81">
        <v>0.375</v>
      </c>
      <c r="H64" s="80">
        <v>45943</v>
      </c>
      <c r="I64" s="81">
        <v>0.8125</v>
      </c>
      <c r="J64" s="87">
        <f t="shared" si="0"/>
        <v>0</v>
      </c>
      <c r="K64" s="53">
        <v>2</v>
      </c>
      <c r="L64" s="53">
        <v>30</v>
      </c>
      <c r="M64" s="79" t="s">
        <v>508</v>
      </c>
    </row>
    <row r="65" spans="1:13" s="5" customFormat="1" ht="66.75" customHeight="1" x14ac:dyDescent="0.25">
      <c r="A65" s="79" t="s">
        <v>507</v>
      </c>
      <c r="B65" s="53" t="s">
        <v>42</v>
      </c>
      <c r="C65" s="53" t="s">
        <v>43</v>
      </c>
      <c r="D65" s="84">
        <v>1</v>
      </c>
      <c r="E65" s="49">
        <v>30</v>
      </c>
      <c r="F65" s="80">
        <v>45945</v>
      </c>
      <c r="G65" s="81">
        <v>0.375</v>
      </c>
      <c r="H65" s="80">
        <v>45943</v>
      </c>
      <c r="I65" s="81">
        <v>0.8125</v>
      </c>
      <c r="J65" s="87">
        <f t="shared" si="0"/>
        <v>0</v>
      </c>
      <c r="K65" s="53">
        <v>2</v>
      </c>
      <c r="L65" s="53">
        <v>30</v>
      </c>
      <c r="M65" s="79" t="s">
        <v>508</v>
      </c>
    </row>
    <row r="66" spans="1:13" s="5" customFormat="1" ht="72.75" customHeight="1" x14ac:dyDescent="0.25">
      <c r="A66" s="79" t="s">
        <v>509</v>
      </c>
      <c r="B66" s="53" t="s">
        <v>21</v>
      </c>
      <c r="C66" s="53" t="s">
        <v>22</v>
      </c>
      <c r="D66" s="84">
        <v>1</v>
      </c>
      <c r="E66" s="49">
        <v>30</v>
      </c>
      <c r="F66" s="80">
        <v>45945</v>
      </c>
      <c r="G66" s="81">
        <v>0.375</v>
      </c>
      <c r="H66" s="80">
        <v>45943</v>
      </c>
      <c r="I66" s="81">
        <v>0.8125</v>
      </c>
      <c r="J66" s="87">
        <f t="shared" si="0"/>
        <v>0</v>
      </c>
      <c r="K66" s="53">
        <v>7</v>
      </c>
      <c r="L66" s="53">
        <v>30</v>
      </c>
      <c r="M66" s="79" t="s">
        <v>510</v>
      </c>
    </row>
    <row r="67" spans="1:13" s="5" customFormat="1" ht="40.5" customHeight="1" x14ac:dyDescent="0.25">
      <c r="A67" s="79" t="s">
        <v>506</v>
      </c>
      <c r="B67" s="53" t="s">
        <v>36</v>
      </c>
      <c r="C67" s="53" t="s">
        <v>37</v>
      </c>
      <c r="D67" s="84">
        <v>1</v>
      </c>
      <c r="E67" s="49">
        <v>30</v>
      </c>
      <c r="F67" s="80">
        <v>45938</v>
      </c>
      <c r="G67" s="81">
        <v>0.375</v>
      </c>
      <c r="H67" s="80">
        <v>45943</v>
      </c>
      <c r="I67" s="81">
        <v>0.6875</v>
      </c>
      <c r="J67" s="87">
        <f t="shared" ref="J67" si="1">E67-L67</f>
        <v>0</v>
      </c>
      <c r="K67" s="53">
        <v>1</v>
      </c>
      <c r="L67" s="53">
        <v>30</v>
      </c>
      <c r="M67" s="79" t="s">
        <v>438</v>
      </c>
    </row>
    <row r="68" spans="1:13" s="5" customFormat="1" ht="38.25" customHeight="1" x14ac:dyDescent="0.25">
      <c r="A68" s="98" t="s">
        <v>123</v>
      </c>
      <c r="B68" s="85" t="s">
        <v>36</v>
      </c>
      <c r="C68" s="85" t="s">
        <v>37</v>
      </c>
      <c r="D68" s="49">
        <v>1</v>
      </c>
      <c r="E68" s="49">
        <v>20</v>
      </c>
      <c r="F68" s="85">
        <v>45945</v>
      </c>
      <c r="G68" s="86">
        <v>0.375</v>
      </c>
      <c r="H68" s="85">
        <v>45943</v>
      </c>
      <c r="I68" s="86">
        <v>0.80555555555555558</v>
      </c>
      <c r="J68" s="87">
        <f>E68-L68</f>
        <v>0</v>
      </c>
      <c r="K68" s="53">
        <v>1</v>
      </c>
      <c r="L68" s="88">
        <v>20</v>
      </c>
      <c r="M68" s="93" t="s">
        <v>124</v>
      </c>
    </row>
    <row r="69" spans="1:13" s="5" customFormat="1" ht="38.25" customHeight="1" x14ac:dyDescent="0.2">
      <c r="A69" s="38" t="s">
        <v>123</v>
      </c>
      <c r="B69" s="85" t="s">
        <v>143</v>
      </c>
      <c r="C69" s="85" t="s">
        <v>43</v>
      </c>
      <c r="D69" s="49">
        <v>1</v>
      </c>
      <c r="E69" s="49">
        <v>20</v>
      </c>
      <c r="F69" s="85">
        <v>45945</v>
      </c>
      <c r="G69" s="86">
        <v>0.375</v>
      </c>
      <c r="H69" s="85">
        <v>45943</v>
      </c>
      <c r="I69" s="86">
        <v>0.80555555555555558</v>
      </c>
      <c r="J69" s="87">
        <f t="shared" ref="J69:J90" si="2">E69-L69</f>
        <v>0</v>
      </c>
      <c r="K69" s="8">
        <v>1</v>
      </c>
      <c r="L69" s="88">
        <v>20</v>
      </c>
      <c r="M69" s="93" t="s">
        <v>124</v>
      </c>
    </row>
    <row r="70" spans="1:13" s="5" customFormat="1" ht="27" customHeight="1" x14ac:dyDescent="0.25">
      <c r="A70" s="13" t="s">
        <v>175</v>
      </c>
      <c r="B70" s="13" t="s">
        <v>36</v>
      </c>
      <c r="C70" s="13" t="s">
        <v>37</v>
      </c>
      <c r="D70" s="53">
        <v>1</v>
      </c>
      <c r="E70" s="53">
        <v>30</v>
      </c>
      <c r="F70" s="13">
        <v>45945</v>
      </c>
      <c r="G70" s="86">
        <v>0.375</v>
      </c>
      <c r="H70" s="13">
        <v>45943</v>
      </c>
      <c r="I70" s="12">
        <v>0.83333333333333337</v>
      </c>
      <c r="J70" s="53">
        <f t="shared" si="2"/>
        <v>6</v>
      </c>
      <c r="K70" s="50">
        <v>1</v>
      </c>
      <c r="L70" s="68">
        <v>24</v>
      </c>
      <c r="M70" s="52" t="s">
        <v>176</v>
      </c>
    </row>
    <row r="71" spans="1:13" s="5" customFormat="1" ht="33" customHeight="1" x14ac:dyDescent="0.25">
      <c r="A71" s="13" t="s">
        <v>177</v>
      </c>
      <c r="B71" s="13" t="s">
        <v>39</v>
      </c>
      <c r="C71" s="13" t="s">
        <v>40</v>
      </c>
      <c r="D71" s="53">
        <v>1</v>
      </c>
      <c r="E71" s="53">
        <v>30</v>
      </c>
      <c r="F71" s="13">
        <v>45945</v>
      </c>
      <c r="G71" s="86">
        <v>0.375</v>
      </c>
      <c r="H71" s="13">
        <v>45943</v>
      </c>
      <c r="I71" s="12">
        <v>0.83333333333333337</v>
      </c>
      <c r="J71" s="53">
        <f t="shared" si="2"/>
        <v>0</v>
      </c>
      <c r="K71" s="50">
        <v>1</v>
      </c>
      <c r="L71" s="68">
        <v>30</v>
      </c>
      <c r="M71" s="52" t="s">
        <v>178</v>
      </c>
    </row>
    <row r="72" spans="1:13" s="5" customFormat="1" ht="33.75" customHeight="1" x14ac:dyDescent="0.25">
      <c r="A72" s="61" t="s">
        <v>179</v>
      </c>
      <c r="B72" s="13" t="s">
        <v>39</v>
      </c>
      <c r="C72" s="13" t="s">
        <v>40</v>
      </c>
      <c r="D72" s="53">
        <v>5</v>
      </c>
      <c r="E72" s="53">
        <v>50</v>
      </c>
      <c r="F72" s="13">
        <v>45945</v>
      </c>
      <c r="G72" s="86">
        <v>0.375</v>
      </c>
      <c r="H72" s="13">
        <v>45943</v>
      </c>
      <c r="I72" s="12">
        <v>0.86805555555555558</v>
      </c>
      <c r="J72" s="53">
        <f t="shared" si="2"/>
        <v>5</v>
      </c>
      <c r="K72" s="50">
        <v>5</v>
      </c>
      <c r="L72" s="68">
        <v>45</v>
      </c>
      <c r="M72" s="52" t="s">
        <v>180</v>
      </c>
    </row>
    <row r="73" spans="1:13" s="5" customFormat="1" ht="32.25" customHeight="1" x14ac:dyDescent="0.2">
      <c r="A73" s="23" t="s">
        <v>146</v>
      </c>
      <c r="B73" s="85" t="s">
        <v>30</v>
      </c>
      <c r="C73" s="90" t="s">
        <v>31</v>
      </c>
      <c r="D73" s="84">
        <v>1</v>
      </c>
      <c r="E73" s="49">
        <v>60</v>
      </c>
      <c r="F73" s="85">
        <v>45945</v>
      </c>
      <c r="G73" s="86">
        <v>0.375</v>
      </c>
      <c r="H73" s="85">
        <v>45943</v>
      </c>
      <c r="I73" s="86">
        <v>0.91666666666666663</v>
      </c>
      <c r="J73" s="87">
        <f t="shared" si="2"/>
        <v>50</v>
      </c>
      <c r="K73" s="8">
        <v>1</v>
      </c>
      <c r="L73" s="88">
        <v>10</v>
      </c>
      <c r="M73" s="91" t="s">
        <v>149</v>
      </c>
    </row>
    <row r="74" spans="1:13" s="5" customFormat="1" ht="27" customHeight="1" x14ac:dyDescent="0.2">
      <c r="A74" s="23" t="s">
        <v>146</v>
      </c>
      <c r="B74" s="85" t="s">
        <v>42</v>
      </c>
      <c r="C74" s="90" t="s">
        <v>43</v>
      </c>
      <c r="D74" s="84">
        <v>1</v>
      </c>
      <c r="E74" s="49">
        <v>60</v>
      </c>
      <c r="F74" s="85">
        <v>45945</v>
      </c>
      <c r="G74" s="86">
        <v>0.375</v>
      </c>
      <c r="H74" s="85">
        <v>45943</v>
      </c>
      <c r="I74" s="86">
        <v>0.91666666666666663</v>
      </c>
      <c r="J74" s="87">
        <f t="shared" si="2"/>
        <v>50</v>
      </c>
      <c r="K74" s="8">
        <v>1</v>
      </c>
      <c r="L74" s="88">
        <v>10</v>
      </c>
      <c r="M74" s="91" t="s">
        <v>149</v>
      </c>
    </row>
    <row r="75" spans="1:13" s="5" customFormat="1" ht="24.9" customHeight="1" x14ac:dyDescent="0.2">
      <c r="A75" s="23" t="s">
        <v>146</v>
      </c>
      <c r="B75" s="85" t="s">
        <v>21</v>
      </c>
      <c r="C75" s="90" t="s">
        <v>22</v>
      </c>
      <c r="D75" s="84">
        <v>1</v>
      </c>
      <c r="E75" s="49">
        <v>60</v>
      </c>
      <c r="F75" s="85">
        <v>45945</v>
      </c>
      <c r="G75" s="86">
        <v>0.375</v>
      </c>
      <c r="H75" s="85">
        <v>45943</v>
      </c>
      <c r="I75" s="86">
        <v>0.91666666666666663</v>
      </c>
      <c r="J75" s="87">
        <f t="shared" si="2"/>
        <v>50</v>
      </c>
      <c r="K75" s="8">
        <v>1</v>
      </c>
      <c r="L75" s="88">
        <v>10</v>
      </c>
      <c r="M75" s="91" t="s">
        <v>149</v>
      </c>
    </row>
    <row r="76" spans="1:13" s="5" customFormat="1" ht="28.5" customHeight="1" x14ac:dyDescent="0.2">
      <c r="A76" s="23" t="s">
        <v>146</v>
      </c>
      <c r="B76" s="85" t="s">
        <v>136</v>
      </c>
      <c r="C76" s="90" t="s">
        <v>34</v>
      </c>
      <c r="D76" s="84">
        <v>1</v>
      </c>
      <c r="E76" s="49">
        <v>60</v>
      </c>
      <c r="F76" s="85">
        <v>45945</v>
      </c>
      <c r="G76" s="86">
        <v>0.375</v>
      </c>
      <c r="H76" s="85">
        <v>45943</v>
      </c>
      <c r="I76" s="86">
        <v>0.91666666666666663</v>
      </c>
      <c r="J76" s="87">
        <f t="shared" si="2"/>
        <v>50</v>
      </c>
      <c r="K76" s="8">
        <v>1</v>
      </c>
      <c r="L76" s="88">
        <v>10</v>
      </c>
      <c r="M76" s="91" t="s">
        <v>149</v>
      </c>
    </row>
    <row r="77" spans="1:13" s="5" customFormat="1" ht="35.4" customHeight="1" x14ac:dyDescent="0.2">
      <c r="A77" s="23" t="s">
        <v>146</v>
      </c>
      <c r="B77" s="85" t="s">
        <v>36</v>
      </c>
      <c r="C77" s="90" t="s">
        <v>37</v>
      </c>
      <c r="D77" s="84">
        <v>1</v>
      </c>
      <c r="E77" s="49">
        <v>60</v>
      </c>
      <c r="F77" s="85">
        <v>45945</v>
      </c>
      <c r="G77" s="86">
        <v>0.375</v>
      </c>
      <c r="H77" s="85">
        <v>45943</v>
      </c>
      <c r="I77" s="86">
        <v>0.91666666666666663</v>
      </c>
      <c r="J77" s="87">
        <f t="shared" si="2"/>
        <v>50</v>
      </c>
      <c r="K77" s="8">
        <v>1</v>
      </c>
      <c r="L77" s="88">
        <v>10</v>
      </c>
      <c r="M77" s="91" t="s">
        <v>149</v>
      </c>
    </row>
    <row r="78" spans="1:13" s="5" customFormat="1" ht="36.6" customHeight="1" x14ac:dyDescent="0.2">
      <c r="A78" s="23" t="s">
        <v>146</v>
      </c>
      <c r="B78" s="85" t="s">
        <v>39</v>
      </c>
      <c r="C78" s="90" t="s">
        <v>40</v>
      </c>
      <c r="D78" s="84">
        <v>1</v>
      </c>
      <c r="E78" s="49">
        <v>60</v>
      </c>
      <c r="F78" s="85">
        <v>45945</v>
      </c>
      <c r="G78" s="86">
        <v>0.375</v>
      </c>
      <c r="H78" s="85">
        <v>45943</v>
      </c>
      <c r="I78" s="86">
        <v>0.91666666666666663</v>
      </c>
      <c r="J78" s="87">
        <f t="shared" si="2"/>
        <v>50</v>
      </c>
      <c r="K78" s="8">
        <v>1</v>
      </c>
      <c r="L78" s="88">
        <v>10</v>
      </c>
      <c r="M78" s="91" t="s">
        <v>149</v>
      </c>
    </row>
    <row r="79" spans="1:13" s="5" customFormat="1" ht="36.6" customHeight="1" x14ac:dyDescent="0.2">
      <c r="A79" s="23" t="s">
        <v>52</v>
      </c>
      <c r="B79" s="90" t="s">
        <v>21</v>
      </c>
      <c r="C79" s="90" t="s">
        <v>22</v>
      </c>
      <c r="D79" s="84">
        <v>1</v>
      </c>
      <c r="E79" s="49">
        <v>30</v>
      </c>
      <c r="F79" s="85">
        <v>45945</v>
      </c>
      <c r="G79" s="86">
        <v>0.375</v>
      </c>
      <c r="H79" s="85">
        <v>45943</v>
      </c>
      <c r="I79" s="86">
        <v>0.91666666666666663</v>
      </c>
      <c r="J79" s="87">
        <f t="shared" si="2"/>
        <v>0</v>
      </c>
      <c r="K79" s="8">
        <v>1</v>
      </c>
      <c r="L79" s="88">
        <v>30</v>
      </c>
      <c r="M79" s="91" t="s">
        <v>53</v>
      </c>
    </row>
    <row r="80" spans="1:13" s="5" customFormat="1" ht="35.4" customHeight="1" x14ac:dyDescent="0.2">
      <c r="A80" s="23" t="s">
        <v>153</v>
      </c>
      <c r="B80" s="90" t="s">
        <v>36</v>
      </c>
      <c r="C80" s="90" t="s">
        <v>37</v>
      </c>
      <c r="D80" s="84">
        <v>1</v>
      </c>
      <c r="E80" s="5">
        <v>30</v>
      </c>
      <c r="F80" s="85">
        <v>45945</v>
      </c>
      <c r="G80" s="86">
        <v>0.375</v>
      </c>
      <c r="H80" s="85">
        <v>45943</v>
      </c>
      <c r="I80" s="86">
        <v>0.91666666666666663</v>
      </c>
      <c r="J80" s="87">
        <f t="shared" si="2"/>
        <v>0</v>
      </c>
      <c r="K80" s="8">
        <v>1</v>
      </c>
      <c r="L80" s="88">
        <v>30</v>
      </c>
      <c r="M80" s="91" t="s">
        <v>53</v>
      </c>
    </row>
    <row r="81" spans="1:13" s="5" customFormat="1" ht="35.4" customHeight="1" x14ac:dyDescent="0.2">
      <c r="A81" s="23" t="s">
        <v>79</v>
      </c>
      <c r="B81" s="85" t="s">
        <v>36</v>
      </c>
      <c r="C81" s="90" t="s">
        <v>37</v>
      </c>
      <c r="D81" s="84">
        <v>1</v>
      </c>
      <c r="E81" s="49">
        <v>45</v>
      </c>
      <c r="F81" s="85">
        <v>45945</v>
      </c>
      <c r="G81" s="86">
        <v>0.375</v>
      </c>
      <c r="H81" s="85">
        <v>45943</v>
      </c>
      <c r="I81" s="86">
        <v>0.9375</v>
      </c>
      <c r="J81" s="87">
        <f t="shared" si="2"/>
        <v>-35</v>
      </c>
      <c r="K81" s="8">
        <v>1</v>
      </c>
      <c r="L81" s="88">
        <v>80</v>
      </c>
      <c r="M81" s="91" t="s">
        <v>81</v>
      </c>
    </row>
    <row r="82" spans="1:13" s="5" customFormat="1" ht="35.4" customHeight="1" x14ac:dyDescent="0.2">
      <c r="A82" s="23" t="s">
        <v>85</v>
      </c>
      <c r="B82" s="85" t="s">
        <v>21</v>
      </c>
      <c r="C82" s="90" t="s">
        <v>22</v>
      </c>
      <c r="D82" s="84">
        <v>1</v>
      </c>
      <c r="E82" s="49">
        <v>60</v>
      </c>
      <c r="F82" s="85">
        <v>45945</v>
      </c>
      <c r="G82" s="86">
        <v>0.375</v>
      </c>
      <c r="H82" s="85">
        <v>45943</v>
      </c>
      <c r="I82" s="86">
        <v>0.9375</v>
      </c>
      <c r="J82" s="87">
        <f t="shared" si="2"/>
        <v>10</v>
      </c>
      <c r="K82" s="8">
        <v>1</v>
      </c>
      <c r="L82" s="88">
        <v>50</v>
      </c>
      <c r="M82" s="91" t="s">
        <v>87</v>
      </c>
    </row>
    <row r="83" spans="1:13" s="5" customFormat="1" ht="35.4" customHeight="1" x14ac:dyDescent="0.2">
      <c r="A83" s="23" t="s">
        <v>88</v>
      </c>
      <c r="B83" s="85" t="s">
        <v>21</v>
      </c>
      <c r="C83" s="85" t="s">
        <v>22</v>
      </c>
      <c r="D83" s="84">
        <v>1</v>
      </c>
      <c r="E83" s="49">
        <v>55</v>
      </c>
      <c r="F83" s="85">
        <v>45945</v>
      </c>
      <c r="G83" s="86">
        <v>0.375</v>
      </c>
      <c r="H83" s="85">
        <v>45943</v>
      </c>
      <c r="I83" s="86">
        <v>0.9375</v>
      </c>
      <c r="J83" s="87">
        <f t="shared" si="2"/>
        <v>0</v>
      </c>
      <c r="K83" s="8">
        <v>1</v>
      </c>
      <c r="L83" s="88">
        <v>55</v>
      </c>
      <c r="M83" s="91" t="s">
        <v>89</v>
      </c>
    </row>
    <row r="84" spans="1:13" s="5" customFormat="1" ht="35.4" customHeight="1" x14ac:dyDescent="0.2">
      <c r="A84" s="33" t="s">
        <v>131</v>
      </c>
      <c r="B84" s="85" t="s">
        <v>36</v>
      </c>
      <c r="C84" s="85" t="s">
        <v>37</v>
      </c>
      <c r="D84" s="49">
        <v>1</v>
      </c>
      <c r="E84" s="49">
        <v>30</v>
      </c>
      <c r="F84" s="85">
        <v>45945</v>
      </c>
      <c r="G84" s="86">
        <v>0.375</v>
      </c>
      <c r="H84" s="85">
        <v>45943</v>
      </c>
      <c r="I84" s="86">
        <v>0.9375</v>
      </c>
      <c r="J84" s="87">
        <f t="shared" si="2"/>
        <v>-2</v>
      </c>
      <c r="K84" s="8">
        <v>1</v>
      </c>
      <c r="L84" s="88">
        <v>32</v>
      </c>
      <c r="M84" s="91" t="s">
        <v>132</v>
      </c>
    </row>
    <row r="85" spans="1:13" s="5" customFormat="1" ht="35.4" customHeight="1" x14ac:dyDescent="0.2">
      <c r="A85" s="33" t="s">
        <v>131</v>
      </c>
      <c r="B85" s="85" t="s">
        <v>42</v>
      </c>
      <c r="C85" s="85" t="s">
        <v>43</v>
      </c>
      <c r="D85" s="49">
        <v>1</v>
      </c>
      <c r="E85" s="49">
        <v>30</v>
      </c>
      <c r="F85" s="85">
        <v>45945</v>
      </c>
      <c r="G85" s="86">
        <v>0.375</v>
      </c>
      <c r="H85" s="85">
        <v>45943</v>
      </c>
      <c r="I85" s="86">
        <v>0.9375</v>
      </c>
      <c r="J85" s="87">
        <f t="shared" si="2"/>
        <v>-2</v>
      </c>
      <c r="K85" s="8">
        <v>1</v>
      </c>
      <c r="L85" s="88">
        <v>32</v>
      </c>
      <c r="M85" s="91" t="s">
        <v>132</v>
      </c>
    </row>
    <row r="86" spans="1:13" s="5" customFormat="1" ht="35.4" customHeight="1" x14ac:dyDescent="0.2">
      <c r="A86" s="33" t="s">
        <v>131</v>
      </c>
      <c r="B86" s="85" t="s">
        <v>30</v>
      </c>
      <c r="C86" s="85" t="s">
        <v>31</v>
      </c>
      <c r="D86" s="49">
        <v>1</v>
      </c>
      <c r="E86" s="49">
        <v>30</v>
      </c>
      <c r="F86" s="85">
        <v>45945</v>
      </c>
      <c r="G86" s="86">
        <v>0.375</v>
      </c>
      <c r="H86" s="85">
        <v>45943</v>
      </c>
      <c r="I86" s="86">
        <v>0.9375</v>
      </c>
      <c r="J86" s="87">
        <f t="shared" si="2"/>
        <v>-2</v>
      </c>
      <c r="K86" s="8">
        <v>1</v>
      </c>
      <c r="L86" s="88">
        <v>32</v>
      </c>
      <c r="M86" s="91" t="s">
        <v>132</v>
      </c>
    </row>
    <row r="87" spans="1:13" s="5" customFormat="1" ht="35.4" customHeight="1" x14ac:dyDescent="0.2">
      <c r="A87" s="33" t="s">
        <v>131</v>
      </c>
      <c r="B87" s="85" t="s">
        <v>21</v>
      </c>
      <c r="C87" s="85" t="s">
        <v>22</v>
      </c>
      <c r="D87" s="49">
        <v>1</v>
      </c>
      <c r="E87" s="49">
        <v>30</v>
      </c>
      <c r="F87" s="85">
        <v>45945</v>
      </c>
      <c r="G87" s="86">
        <v>0.375</v>
      </c>
      <c r="H87" s="85">
        <v>45943</v>
      </c>
      <c r="I87" s="86">
        <v>0.9375</v>
      </c>
      <c r="J87" s="87">
        <f t="shared" si="2"/>
        <v>-2</v>
      </c>
      <c r="K87" s="8">
        <v>1</v>
      </c>
      <c r="L87" s="88">
        <v>32</v>
      </c>
      <c r="M87" s="91" t="s">
        <v>132</v>
      </c>
    </row>
    <row r="88" spans="1:13" s="5" customFormat="1" ht="35.4" customHeight="1" x14ac:dyDescent="0.2">
      <c r="A88" s="33" t="s">
        <v>131</v>
      </c>
      <c r="B88" s="85" t="s">
        <v>136</v>
      </c>
      <c r="C88" s="85" t="s">
        <v>34</v>
      </c>
      <c r="D88" s="49">
        <v>1</v>
      </c>
      <c r="E88" s="49">
        <v>30</v>
      </c>
      <c r="F88" s="85">
        <v>45945</v>
      </c>
      <c r="G88" s="86">
        <v>0.375</v>
      </c>
      <c r="H88" s="85">
        <v>45943</v>
      </c>
      <c r="I88" s="86">
        <v>0.9375</v>
      </c>
      <c r="J88" s="87">
        <f t="shared" si="2"/>
        <v>-2</v>
      </c>
      <c r="K88" s="8">
        <v>1</v>
      </c>
      <c r="L88" s="88">
        <v>32</v>
      </c>
      <c r="M88" s="91" t="s">
        <v>132</v>
      </c>
    </row>
    <row r="89" spans="1:13" s="5" customFormat="1" ht="35.4" customHeight="1" x14ac:dyDescent="0.2">
      <c r="A89" s="33" t="s">
        <v>131</v>
      </c>
      <c r="B89" s="85" t="s">
        <v>39</v>
      </c>
      <c r="C89" s="85" t="s">
        <v>40</v>
      </c>
      <c r="D89" s="49">
        <v>1</v>
      </c>
      <c r="E89" s="49">
        <v>30</v>
      </c>
      <c r="F89" s="85">
        <v>45945</v>
      </c>
      <c r="G89" s="86">
        <v>0.375</v>
      </c>
      <c r="H89" s="85">
        <v>45943</v>
      </c>
      <c r="I89" s="86">
        <v>0.9375</v>
      </c>
      <c r="J89" s="87">
        <f t="shared" si="2"/>
        <v>-2</v>
      </c>
      <c r="K89" s="8">
        <v>1</v>
      </c>
      <c r="L89" s="88">
        <v>32</v>
      </c>
      <c r="M89" s="91" t="s">
        <v>132</v>
      </c>
    </row>
    <row r="90" spans="1:13" s="5" customFormat="1" ht="35.4" customHeight="1" x14ac:dyDescent="0.2">
      <c r="A90" s="33" t="s">
        <v>133</v>
      </c>
      <c r="B90" s="85" t="s">
        <v>21</v>
      </c>
      <c r="C90" s="85" t="s">
        <v>22</v>
      </c>
      <c r="D90" s="49">
        <v>3</v>
      </c>
      <c r="E90" s="49">
        <v>20</v>
      </c>
      <c r="F90" s="85">
        <v>45945</v>
      </c>
      <c r="G90" s="86">
        <v>0.375</v>
      </c>
      <c r="H90" s="85">
        <v>45945</v>
      </c>
      <c r="I90" s="86">
        <v>0.375</v>
      </c>
      <c r="J90" s="87">
        <f t="shared" si="2"/>
        <v>5</v>
      </c>
      <c r="K90" s="8">
        <v>3</v>
      </c>
      <c r="L90" s="88">
        <v>15</v>
      </c>
      <c r="M90" s="91" t="s">
        <v>134</v>
      </c>
    </row>
    <row r="91" spans="1:13" s="5" customFormat="1" ht="35.4" customHeight="1" x14ac:dyDescent="0.25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s="5" customFormat="1" ht="37.5" customHeight="1" x14ac:dyDescent="0.25">
      <c r="A92" s="4"/>
      <c r="B92" s="4"/>
      <c r="C92" s="4"/>
      <c r="D92" s="4"/>
      <c r="E92" s="4"/>
      <c r="F92" s="4"/>
      <c r="G92" s="4"/>
      <c r="H92" s="4"/>
      <c r="I92" s="3"/>
      <c r="J92" s="3"/>
      <c r="K92" s="2"/>
      <c r="L92" s="1"/>
      <c r="M92" s="1"/>
    </row>
    <row r="93" spans="1:13" x14ac:dyDescent="0.25">
      <c r="A93" s="70" t="s">
        <v>210</v>
      </c>
      <c r="B93" t="s">
        <v>215</v>
      </c>
      <c r="C93" t="s">
        <v>214</v>
      </c>
      <c r="D93" t="s">
        <v>212</v>
      </c>
      <c r="E93" t="s">
        <v>213</v>
      </c>
    </row>
    <row r="94" spans="1:13" x14ac:dyDescent="0.25">
      <c r="A94" s="71" t="s">
        <v>36</v>
      </c>
      <c r="B94">
        <v>19</v>
      </c>
      <c r="C94">
        <v>605</v>
      </c>
      <c r="D94">
        <v>566</v>
      </c>
      <c r="E94">
        <v>21</v>
      </c>
    </row>
    <row r="95" spans="1:13" x14ac:dyDescent="0.25">
      <c r="A95" s="71" t="s">
        <v>39</v>
      </c>
      <c r="B95">
        <v>16</v>
      </c>
      <c r="C95">
        <v>410</v>
      </c>
      <c r="D95">
        <v>340</v>
      </c>
      <c r="E95">
        <v>19</v>
      </c>
    </row>
    <row r="96" spans="1:13" x14ac:dyDescent="0.25">
      <c r="A96" s="71" t="s">
        <v>21</v>
      </c>
      <c r="B96">
        <v>18</v>
      </c>
      <c r="C96">
        <v>555</v>
      </c>
      <c r="D96">
        <v>480</v>
      </c>
      <c r="E96">
        <v>27</v>
      </c>
    </row>
    <row r="97" spans="1:13" x14ac:dyDescent="0.25">
      <c r="A97" s="71" t="s">
        <v>136</v>
      </c>
      <c r="B97">
        <v>11</v>
      </c>
      <c r="C97">
        <v>360</v>
      </c>
      <c r="D97">
        <v>300</v>
      </c>
      <c r="E97">
        <v>14</v>
      </c>
    </row>
    <row r="98" spans="1:13" x14ac:dyDescent="0.25">
      <c r="A98" s="71" t="s">
        <v>42</v>
      </c>
      <c r="B98">
        <v>13</v>
      </c>
      <c r="C98">
        <v>420</v>
      </c>
      <c r="D98">
        <v>352</v>
      </c>
      <c r="E98">
        <v>15</v>
      </c>
    </row>
    <row r="99" spans="1:13" x14ac:dyDescent="0.25">
      <c r="A99" s="71" t="s">
        <v>30</v>
      </c>
      <c r="B99">
        <v>11</v>
      </c>
      <c r="C99">
        <v>360</v>
      </c>
      <c r="D99">
        <v>295</v>
      </c>
      <c r="E99">
        <v>14</v>
      </c>
    </row>
    <row r="100" spans="1:13" x14ac:dyDescent="0.25">
      <c r="A100" s="71" t="s">
        <v>211</v>
      </c>
      <c r="B100">
        <v>88</v>
      </c>
      <c r="C100">
        <v>2710</v>
      </c>
      <c r="D100">
        <v>2333</v>
      </c>
      <c r="E100">
        <v>110</v>
      </c>
    </row>
    <row r="101" spans="1:13" x14ac:dyDescent="0.25">
      <c r="A101"/>
      <c r="B101"/>
      <c r="C101"/>
      <c r="D101"/>
      <c r="E101"/>
    </row>
    <row r="102" spans="1:13" x14ac:dyDescent="0.25">
      <c r="A102"/>
      <c r="B102"/>
      <c r="C102"/>
    </row>
    <row r="103" spans="1:13" x14ac:dyDescent="0.25">
      <c r="A103"/>
      <c r="B103"/>
      <c r="C103"/>
    </row>
    <row r="104" spans="1:13" x14ac:dyDescent="0.25">
      <c r="A104"/>
      <c r="B104"/>
      <c r="C104"/>
    </row>
    <row r="105" spans="1:13" x14ac:dyDescent="0.25">
      <c r="A105"/>
      <c r="B105"/>
      <c r="C105"/>
    </row>
    <row r="106" spans="1:13" x14ac:dyDescent="0.25">
      <c r="A106"/>
      <c r="B106"/>
      <c r="C106"/>
    </row>
    <row r="107" spans="1:13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x14ac:dyDescent="0.25">
      <c r="A109"/>
      <c r="B109"/>
      <c r="C109"/>
    </row>
    <row r="110" spans="1:13" x14ac:dyDescent="0.25">
      <c r="A110"/>
      <c r="B110"/>
      <c r="C110"/>
    </row>
    <row r="121" spans="9:20" s="4" customFormat="1" ht="30" customHeight="1" x14ac:dyDescent="0.25">
      <c r="I121" s="3"/>
      <c r="J121" s="3"/>
      <c r="K121" s="2"/>
      <c r="L121" s="1"/>
      <c r="M121" s="1"/>
      <c r="N121"/>
      <c r="O121"/>
      <c r="P121"/>
      <c r="Q121"/>
      <c r="R121"/>
      <c r="S121"/>
      <c r="T121"/>
    </row>
    <row r="122" spans="9:20" s="4" customFormat="1" ht="23.25" customHeight="1" x14ac:dyDescent="0.25">
      <c r="I122" s="3"/>
      <c r="J122" s="3"/>
      <c r="K122" s="2"/>
      <c r="L122" s="1"/>
      <c r="M122" s="1"/>
      <c r="N122"/>
      <c r="O122"/>
      <c r="P122"/>
      <c r="Q122"/>
      <c r="R122"/>
      <c r="S122"/>
      <c r="T122"/>
    </row>
    <row r="129" spans="1:20" s="5" customFormat="1" ht="12" customHeight="1" x14ac:dyDescent="0.25">
      <c r="A129" s="4"/>
      <c r="B129" s="4"/>
      <c r="C129" s="4"/>
      <c r="D129" s="4"/>
      <c r="E129" s="4"/>
      <c r="F129" s="4"/>
      <c r="G129" s="4"/>
      <c r="H129" s="4"/>
      <c r="I129" s="3"/>
      <c r="J129" s="3"/>
      <c r="K129" s="2"/>
      <c r="L129" s="1"/>
      <c r="M129" s="1"/>
    </row>
    <row r="133" spans="1:20" x14ac:dyDescent="0.25">
      <c r="Q133" s="42" t="e">
        <f>SUM(#REF!)</f>
        <v>#REF!</v>
      </c>
      <c r="R133" s="42" t="e">
        <f>SUM(#REF!)</f>
        <v>#REF!</v>
      </c>
      <c r="S133" s="42" t="e">
        <f>SUM(#REF!)</f>
        <v>#REF!</v>
      </c>
      <c r="T133" s="42" t="e">
        <f>SUM(#REF!)</f>
        <v>#REF!</v>
      </c>
    </row>
    <row r="134" spans="1:20" ht="35.25" customHeight="1" x14ac:dyDescent="0.25"/>
    <row r="135" spans="1:20" ht="36.75" customHeight="1" x14ac:dyDescent="0.25"/>
    <row r="136" spans="1:20" ht="33.75" customHeight="1" x14ac:dyDescent="0.25"/>
    <row r="137" spans="1:20" ht="26.25" customHeight="1" x14ac:dyDescent="0.25"/>
    <row r="138" spans="1:20" ht="27.75" customHeight="1" x14ac:dyDescent="0.25"/>
    <row r="139" spans="1:20" s="4" customFormat="1" ht="40.5" customHeight="1" x14ac:dyDescent="0.25">
      <c r="I139" s="3"/>
      <c r="J139" s="3"/>
      <c r="K139" s="2"/>
      <c r="L139" s="1"/>
      <c r="M139" s="1"/>
      <c r="N139"/>
      <c r="O139"/>
      <c r="P139"/>
      <c r="Q139"/>
      <c r="R139"/>
      <c r="S139"/>
      <c r="T13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9ACD-301E-46B8-A551-8D826E9223F2}">
  <dimension ref="A1:J114"/>
  <sheetViews>
    <sheetView zoomScale="86" zoomScaleNormal="86" workbookViewId="0">
      <selection activeCell="D113" sqref="D1:D113"/>
    </sheetView>
  </sheetViews>
  <sheetFormatPr baseColWidth="10" defaultRowHeight="13.2" x14ac:dyDescent="0.25"/>
  <cols>
    <col min="2" max="2" width="37.44140625" customWidth="1"/>
    <col min="3" max="3" width="42.33203125" customWidth="1"/>
    <col min="4" max="4" width="31.33203125" customWidth="1"/>
    <col min="6" max="6" width="28.88671875" customWidth="1"/>
    <col min="7" max="7" width="21.33203125" style="2" customWidth="1"/>
    <col min="8" max="8" width="27.6640625" customWidth="1"/>
    <col min="9" max="9" width="25.88671875" style="2" customWidth="1"/>
    <col min="10" max="10" width="24.6640625" style="167" customWidth="1"/>
    <col min="11" max="11" width="11.44140625" customWidth="1"/>
  </cols>
  <sheetData>
    <row r="1" spans="1:10" ht="15" thickBot="1" x14ac:dyDescent="0.35">
      <c r="A1" s="106" t="s">
        <v>573</v>
      </c>
      <c r="B1" s="107" t="s">
        <v>574</v>
      </c>
      <c r="C1" s="107" t="s">
        <v>575</v>
      </c>
      <c r="D1" s="107" t="s">
        <v>576</v>
      </c>
      <c r="E1" s="107" t="s">
        <v>577</v>
      </c>
      <c r="F1" s="108" t="s">
        <v>578</v>
      </c>
      <c r="G1" s="168" t="s">
        <v>579</v>
      </c>
      <c r="H1" s="108" t="s">
        <v>580</v>
      </c>
      <c r="I1" s="168" t="s">
        <v>581</v>
      </c>
      <c r="J1" s="166" t="s">
        <v>587</v>
      </c>
    </row>
    <row r="2" spans="1:10" ht="14.4" x14ac:dyDescent="0.3">
      <c r="A2" s="109">
        <v>1</v>
      </c>
      <c r="B2" s="110" t="s">
        <v>511</v>
      </c>
      <c r="C2" s="109" t="s">
        <v>514</v>
      </c>
      <c r="D2" s="110" t="s">
        <v>558</v>
      </c>
      <c r="E2" s="109" t="s">
        <v>582</v>
      </c>
      <c r="F2" s="110">
        <f>PRODUCT(3*6)</f>
        <v>18</v>
      </c>
      <c r="G2" s="169">
        <v>360</v>
      </c>
      <c r="H2" s="110">
        <f>PRODUCT(3*6)</f>
        <v>18</v>
      </c>
      <c r="I2" s="169">
        <f>PRODUCT(60*6)</f>
        <v>360</v>
      </c>
      <c r="J2" s="167">
        <f>(Table_1[[#This Row],[Tiempo (min) EST]]/Table_1[[#This Row],[Tiempo (min) REAL]])</f>
        <v>1</v>
      </c>
    </row>
    <row r="3" spans="1:10" ht="13.8" customHeight="1" x14ac:dyDescent="0.3">
      <c r="A3" s="109">
        <v>1</v>
      </c>
      <c r="B3" s="110" t="s">
        <v>511</v>
      </c>
      <c r="C3" s="109" t="s">
        <v>596</v>
      </c>
      <c r="D3" s="110" t="s">
        <v>558</v>
      </c>
      <c r="E3" s="109" t="s">
        <v>583</v>
      </c>
      <c r="F3" s="110">
        <v>1</v>
      </c>
      <c r="G3" s="169">
        <v>55</v>
      </c>
      <c r="H3" s="110">
        <v>2</v>
      </c>
      <c r="I3" s="169">
        <v>60</v>
      </c>
      <c r="J3" s="167">
        <f>(Table_1[[#This Row],[Tiempo (min) EST]]/Table_1[[#This Row],[Tiempo (min) REAL]])</f>
        <v>1.0909090909090908</v>
      </c>
    </row>
    <row r="4" spans="1:10" ht="14.4" x14ac:dyDescent="0.3">
      <c r="A4" s="109">
        <v>1</v>
      </c>
      <c r="B4" s="110" t="s">
        <v>511</v>
      </c>
      <c r="C4" s="109" t="s">
        <v>515</v>
      </c>
      <c r="D4" s="110" t="s">
        <v>22</v>
      </c>
      <c r="E4" s="109" t="s">
        <v>582</v>
      </c>
      <c r="F4" s="110">
        <v>3</v>
      </c>
      <c r="G4" s="169">
        <v>59</v>
      </c>
      <c r="H4" s="110">
        <v>3</v>
      </c>
      <c r="I4" s="169">
        <v>60</v>
      </c>
      <c r="J4" s="167">
        <f>(Table_1[[#This Row],[Tiempo (min) EST]]/Table_1[[#This Row],[Tiempo (min) REAL]])</f>
        <v>1.0169491525423728</v>
      </c>
    </row>
    <row r="5" spans="1:10" ht="14.4" x14ac:dyDescent="0.3">
      <c r="A5" s="109">
        <v>1</v>
      </c>
      <c r="B5" s="110" t="s">
        <v>511</v>
      </c>
      <c r="C5" s="109" t="s">
        <v>516</v>
      </c>
      <c r="D5" s="110" t="s">
        <v>558</v>
      </c>
      <c r="E5" s="110" t="s">
        <v>582</v>
      </c>
      <c r="F5" s="110">
        <f>PRODUCT(2*6)</f>
        <v>12</v>
      </c>
      <c r="G5" s="169">
        <f>PRODUCT(60*6)</f>
        <v>360</v>
      </c>
      <c r="H5" s="110">
        <f>PRODUCT(3*6)</f>
        <v>18</v>
      </c>
      <c r="I5" s="169">
        <f>PRODUCT(60*6)</f>
        <v>360</v>
      </c>
      <c r="J5" s="167">
        <f>(Table_1[[#This Row],[Tiempo (min) EST]]/Table_1[[#This Row],[Tiempo (min) REAL]])</f>
        <v>1</v>
      </c>
    </row>
    <row r="6" spans="1:10" ht="14.4" x14ac:dyDescent="0.3">
      <c r="A6" s="109">
        <v>1</v>
      </c>
      <c r="B6" s="110" t="s">
        <v>511</v>
      </c>
      <c r="C6" s="109" t="s">
        <v>517</v>
      </c>
      <c r="D6" s="110" t="s">
        <v>558</v>
      </c>
      <c r="E6" s="109" t="s">
        <v>582</v>
      </c>
      <c r="F6" s="110">
        <f>PRODUCT(1*6)</f>
        <v>6</v>
      </c>
      <c r="G6" s="169">
        <f>PRODUCT(65*6)</f>
        <v>390</v>
      </c>
      <c r="H6" s="110">
        <f>PRODUCT(2*6)</f>
        <v>12</v>
      </c>
      <c r="I6" s="169">
        <f>PRODUCT(60*6)</f>
        <v>360</v>
      </c>
      <c r="J6" s="167">
        <f>(Table_1[[#This Row],[Tiempo (min) EST]]/Table_1[[#This Row],[Tiempo (min) REAL]])</f>
        <v>0.92307692307692313</v>
      </c>
    </row>
    <row r="7" spans="1:10" ht="14.4" x14ac:dyDescent="0.3">
      <c r="A7" s="109">
        <v>1</v>
      </c>
      <c r="B7" s="110" t="s">
        <v>511</v>
      </c>
      <c r="C7" s="109" t="s">
        <v>585</v>
      </c>
      <c r="D7" s="110" t="s">
        <v>558</v>
      </c>
      <c r="E7" s="109" t="s">
        <v>582</v>
      </c>
      <c r="F7" s="110">
        <v>6</v>
      </c>
      <c r="G7" s="169">
        <v>180</v>
      </c>
      <c r="H7" s="110">
        <v>6</v>
      </c>
      <c r="I7" s="169">
        <v>180</v>
      </c>
      <c r="J7" s="167">
        <f>(Table_1[[#This Row],[Tiempo (min) EST]]/Table_1[[#This Row],[Tiempo (min) REAL]])</f>
        <v>1</v>
      </c>
    </row>
    <row r="8" spans="1:10" ht="14.4" x14ac:dyDescent="0.3">
      <c r="A8" s="109">
        <v>1</v>
      </c>
      <c r="B8" s="110" t="s">
        <v>511</v>
      </c>
      <c r="C8" s="109" t="s">
        <v>518</v>
      </c>
      <c r="D8" s="110" t="s">
        <v>22</v>
      </c>
      <c r="E8" s="109" t="s">
        <v>582</v>
      </c>
      <c r="F8" s="110">
        <v>1</v>
      </c>
      <c r="G8" s="169">
        <v>30</v>
      </c>
      <c r="H8" s="110">
        <v>1</v>
      </c>
      <c r="I8" s="169">
        <v>30</v>
      </c>
      <c r="J8" s="167">
        <f>(Table_1[[#This Row],[Tiempo (min) EST]]/Table_1[[#This Row],[Tiempo (min) REAL]])</f>
        <v>1</v>
      </c>
    </row>
    <row r="9" spans="1:10" ht="14.4" x14ac:dyDescent="0.3">
      <c r="A9" s="109">
        <v>1</v>
      </c>
      <c r="B9" s="110" t="s">
        <v>511</v>
      </c>
      <c r="C9" s="109" t="s">
        <v>519</v>
      </c>
      <c r="D9" s="110" t="s">
        <v>22</v>
      </c>
      <c r="E9" s="110" t="s">
        <v>583</v>
      </c>
      <c r="F9" s="110">
        <v>1</v>
      </c>
      <c r="G9" s="169">
        <v>27</v>
      </c>
      <c r="H9" s="110">
        <v>1</v>
      </c>
      <c r="I9" s="169">
        <v>30</v>
      </c>
      <c r="J9" s="167">
        <f>(Table_1[[#This Row],[Tiempo (min) EST]]/Table_1[[#This Row],[Tiempo (min) REAL]])</f>
        <v>1.1111111111111112</v>
      </c>
    </row>
    <row r="10" spans="1:10" ht="14.4" x14ac:dyDescent="0.3">
      <c r="A10" s="109">
        <v>1</v>
      </c>
      <c r="B10" s="110" t="s">
        <v>511</v>
      </c>
      <c r="C10" s="109" t="s">
        <v>520</v>
      </c>
      <c r="D10" s="110" t="s">
        <v>31</v>
      </c>
      <c r="E10" s="110" t="s">
        <v>583</v>
      </c>
      <c r="F10" s="110">
        <v>1</v>
      </c>
      <c r="G10" s="169">
        <v>30</v>
      </c>
      <c r="H10" s="110">
        <v>1</v>
      </c>
      <c r="I10" s="169">
        <v>30</v>
      </c>
      <c r="J10" s="167">
        <f>(Table_1[[#This Row],[Tiempo (min) EST]]/Table_1[[#This Row],[Tiempo (min) REAL]])</f>
        <v>1</v>
      </c>
    </row>
    <row r="11" spans="1:10" ht="14.4" x14ac:dyDescent="0.3">
      <c r="A11" s="109">
        <v>1</v>
      </c>
      <c r="B11" s="110" t="s">
        <v>511</v>
      </c>
      <c r="C11" s="109" t="s">
        <v>521</v>
      </c>
      <c r="D11" s="110" t="s">
        <v>559</v>
      </c>
      <c r="E11" s="110" t="s">
        <v>583</v>
      </c>
      <c r="F11" s="110">
        <f>PRODUCT(2*2)</f>
        <v>4</v>
      </c>
      <c r="G11" s="169">
        <v>87</v>
      </c>
      <c r="H11" s="110">
        <f>PRODUCT(2*2)</f>
        <v>4</v>
      </c>
      <c r="I11" s="169">
        <f>PRODUCT(90*2)</f>
        <v>180</v>
      </c>
      <c r="J11" s="167">
        <f>(Table_1[[#This Row],[Tiempo (min) EST]]/Table_1[[#This Row],[Tiempo (min) REAL]])</f>
        <v>2.0689655172413794</v>
      </c>
    </row>
    <row r="12" spans="1:10" ht="14.4" x14ac:dyDescent="0.3">
      <c r="A12" s="109">
        <v>1</v>
      </c>
      <c r="B12" s="110" t="s">
        <v>511</v>
      </c>
      <c r="C12" s="109" t="s">
        <v>79</v>
      </c>
      <c r="D12" s="110" t="s">
        <v>37</v>
      </c>
      <c r="E12" s="110" t="s">
        <v>583</v>
      </c>
      <c r="F12" s="110">
        <v>2</v>
      </c>
      <c r="G12" s="169">
        <v>30</v>
      </c>
      <c r="H12" s="110">
        <v>2</v>
      </c>
      <c r="I12" s="169">
        <v>30</v>
      </c>
      <c r="J12" s="167">
        <f>(Table_1[[#This Row],[Tiempo (min) EST]]/Table_1[[#This Row],[Tiempo (min) REAL]])</f>
        <v>1</v>
      </c>
    </row>
    <row r="13" spans="1:10" ht="14.4" x14ac:dyDescent="0.3">
      <c r="A13" s="109">
        <v>1</v>
      </c>
      <c r="B13" s="110" t="s">
        <v>511</v>
      </c>
      <c r="C13" s="109" t="s">
        <v>572</v>
      </c>
      <c r="D13" s="110" t="s">
        <v>31</v>
      </c>
      <c r="E13" s="110" t="s">
        <v>583</v>
      </c>
      <c r="F13" s="110">
        <v>1</v>
      </c>
      <c r="G13" s="169">
        <v>30</v>
      </c>
      <c r="H13" s="110">
        <v>2</v>
      </c>
      <c r="I13" s="169">
        <v>40</v>
      </c>
      <c r="J13" s="167">
        <f>(Table_1[[#This Row],[Tiempo (min) EST]]/Table_1[[#This Row],[Tiempo (min) REAL]])</f>
        <v>1.3333333333333333</v>
      </c>
    </row>
    <row r="14" spans="1:10" ht="14.4" x14ac:dyDescent="0.3">
      <c r="A14" s="109">
        <v>1</v>
      </c>
      <c r="B14" s="110" t="s">
        <v>511</v>
      </c>
      <c r="C14" s="109" t="s">
        <v>522</v>
      </c>
      <c r="D14" s="110" t="s">
        <v>37</v>
      </c>
      <c r="E14" s="110" t="s">
        <v>583</v>
      </c>
      <c r="F14" s="110">
        <v>2</v>
      </c>
      <c r="G14" s="169">
        <v>27</v>
      </c>
      <c r="H14" s="110">
        <v>2</v>
      </c>
      <c r="I14" s="169">
        <v>30</v>
      </c>
      <c r="J14" s="167">
        <f>(Table_1[[#This Row],[Tiempo (min) EST]]/Table_1[[#This Row],[Tiempo (min) REAL]])</f>
        <v>1.1111111111111112</v>
      </c>
    </row>
    <row r="15" spans="1:10" ht="14.4" x14ac:dyDescent="0.3">
      <c r="A15" s="109">
        <v>1</v>
      </c>
      <c r="B15" s="110" t="s">
        <v>511</v>
      </c>
      <c r="C15" s="110" t="s">
        <v>523</v>
      </c>
      <c r="D15" s="110" t="s">
        <v>22</v>
      </c>
      <c r="E15" s="110" t="s">
        <v>583</v>
      </c>
      <c r="F15" s="110">
        <v>2</v>
      </c>
      <c r="G15" s="169">
        <v>30</v>
      </c>
      <c r="H15" s="110">
        <v>2</v>
      </c>
      <c r="I15" s="169">
        <v>30</v>
      </c>
      <c r="J15" s="167">
        <f>(Table_1[[#This Row],[Tiempo (min) EST]]/Table_1[[#This Row],[Tiempo (min) REAL]])</f>
        <v>1</v>
      </c>
    </row>
    <row r="16" spans="1:10" ht="14.4" x14ac:dyDescent="0.3">
      <c r="A16" s="109">
        <v>1</v>
      </c>
      <c r="B16" s="110" t="s">
        <v>511</v>
      </c>
      <c r="C16" s="109" t="s">
        <v>88</v>
      </c>
      <c r="D16" s="110" t="s">
        <v>558</v>
      </c>
      <c r="E16" s="110" t="s">
        <v>583</v>
      </c>
      <c r="F16" s="110">
        <f>PRODUCT(2*6)</f>
        <v>12</v>
      </c>
      <c r="G16" s="169">
        <f>PRODUCT(30*6)</f>
        <v>180</v>
      </c>
      <c r="H16" s="110">
        <f>PRODUCT(2*6)</f>
        <v>12</v>
      </c>
      <c r="I16" s="169">
        <f>PRODUCT(30*6)</f>
        <v>180</v>
      </c>
      <c r="J16" s="167">
        <f>(Table_1[[#This Row],[Tiempo (min) EST]]/Table_1[[#This Row],[Tiempo (min) REAL]])</f>
        <v>1</v>
      </c>
    </row>
    <row r="17" spans="1:10" ht="14.4" x14ac:dyDescent="0.3">
      <c r="A17" s="109">
        <v>1</v>
      </c>
      <c r="B17" s="110" t="s">
        <v>511</v>
      </c>
      <c r="C17" s="109" t="s">
        <v>524</v>
      </c>
      <c r="D17" s="110" t="s">
        <v>558</v>
      </c>
      <c r="E17" s="110" t="s">
        <v>583</v>
      </c>
      <c r="F17" s="110">
        <f>PRODUCT(1*6)</f>
        <v>6</v>
      </c>
      <c r="G17" s="169">
        <f>PRODUCT(20*6)</f>
        <v>120</v>
      </c>
      <c r="H17" s="110">
        <f>PRODUCT(2*6)</f>
        <v>12</v>
      </c>
      <c r="I17" s="169">
        <f>PRODUCT(20*6)</f>
        <v>120</v>
      </c>
      <c r="J17" s="167">
        <f>(Table_1[[#This Row],[Tiempo (min) EST]]/Table_1[[#This Row],[Tiempo (min) REAL]])</f>
        <v>1</v>
      </c>
    </row>
    <row r="18" spans="1:10" ht="14.4" x14ac:dyDescent="0.3">
      <c r="A18" s="109">
        <v>2</v>
      </c>
      <c r="B18" s="109" t="s">
        <v>512</v>
      </c>
      <c r="C18" s="109" t="s">
        <v>525</v>
      </c>
      <c r="D18" s="110" t="s">
        <v>22</v>
      </c>
      <c r="E18" s="110" t="s">
        <v>582</v>
      </c>
      <c r="F18" s="110">
        <v>1</v>
      </c>
      <c r="G18" s="169">
        <v>30</v>
      </c>
      <c r="H18" s="110">
        <v>1</v>
      </c>
      <c r="I18" s="169">
        <v>30</v>
      </c>
      <c r="J18" s="167">
        <f>(Table_1[[#This Row],[Tiempo (min) EST]]/Table_1[[#This Row],[Tiempo (min) REAL]])</f>
        <v>1</v>
      </c>
    </row>
    <row r="19" spans="1:10" ht="13.8" customHeight="1" x14ac:dyDescent="0.3">
      <c r="A19" s="109">
        <v>2</v>
      </c>
      <c r="B19" s="109" t="s">
        <v>512</v>
      </c>
      <c r="C19" s="109" t="s">
        <v>596</v>
      </c>
      <c r="D19" s="110" t="s">
        <v>558</v>
      </c>
      <c r="E19" s="109" t="s">
        <v>583</v>
      </c>
      <c r="F19" s="110">
        <v>1</v>
      </c>
      <c r="G19" s="169">
        <v>55</v>
      </c>
      <c r="H19" s="110">
        <v>2</v>
      </c>
      <c r="I19" s="169">
        <v>60</v>
      </c>
      <c r="J19" s="167">
        <f>(Table_1[[#This Row],[Tiempo (min) EST]]/Table_1[[#This Row],[Tiempo (min) REAL]])</f>
        <v>1.0909090909090908</v>
      </c>
    </row>
    <row r="20" spans="1:10" ht="14.4" x14ac:dyDescent="0.3">
      <c r="A20" s="109">
        <v>2</v>
      </c>
      <c r="B20" s="109" t="s">
        <v>512</v>
      </c>
      <c r="C20" s="109" t="s">
        <v>526</v>
      </c>
      <c r="D20" s="110" t="s">
        <v>560</v>
      </c>
      <c r="E20" s="110" t="s">
        <v>582</v>
      </c>
      <c r="F20" s="110">
        <f>PRODUCT(1*2)</f>
        <v>2</v>
      </c>
      <c r="G20" s="169">
        <f>PRODUCT(26*2)</f>
        <v>52</v>
      </c>
      <c r="H20" s="110">
        <f>PRODUCT(1*2)</f>
        <v>2</v>
      </c>
      <c r="I20" s="169">
        <f>PRODUCT(30*2)</f>
        <v>60</v>
      </c>
      <c r="J20" s="167">
        <f>(Table_1[[#This Row],[Tiempo (min) EST]]/Table_1[[#This Row],[Tiempo (min) REAL]])</f>
        <v>1.1538461538461537</v>
      </c>
    </row>
    <row r="21" spans="1:10" ht="14.4" x14ac:dyDescent="0.3">
      <c r="A21" s="109">
        <v>2</v>
      </c>
      <c r="B21" s="109" t="s">
        <v>512</v>
      </c>
      <c r="C21" s="109" t="s">
        <v>527</v>
      </c>
      <c r="D21" s="110" t="s">
        <v>561</v>
      </c>
      <c r="E21" s="110" t="s">
        <v>582</v>
      </c>
      <c r="F21" s="110">
        <f t="shared" ref="F21:F27" si="0">PRODUCT(1*2)</f>
        <v>2</v>
      </c>
      <c r="G21" s="169">
        <v>30</v>
      </c>
      <c r="H21" s="110">
        <f t="shared" ref="H21:H27" si="1">PRODUCT(1*2)</f>
        <v>2</v>
      </c>
      <c r="I21" s="169">
        <f t="shared" ref="I21:I23" si="2">PRODUCT(30*2)</f>
        <v>60</v>
      </c>
      <c r="J21" s="167">
        <f>(Table_1[[#This Row],[Tiempo (min) EST]]/Table_1[[#This Row],[Tiempo (min) REAL]])</f>
        <v>2</v>
      </c>
    </row>
    <row r="22" spans="1:10" ht="14.4" x14ac:dyDescent="0.3">
      <c r="A22" s="109">
        <v>2</v>
      </c>
      <c r="B22" s="109" t="s">
        <v>512</v>
      </c>
      <c r="C22" s="109" t="s">
        <v>528</v>
      </c>
      <c r="D22" s="110" t="s">
        <v>562</v>
      </c>
      <c r="E22" s="110" t="s">
        <v>582</v>
      </c>
      <c r="F22" s="110">
        <f t="shared" si="0"/>
        <v>2</v>
      </c>
      <c r="G22" s="169">
        <v>120</v>
      </c>
      <c r="H22" s="110">
        <f t="shared" si="1"/>
        <v>2</v>
      </c>
      <c r="I22" s="169">
        <f t="shared" si="2"/>
        <v>60</v>
      </c>
      <c r="J22" s="167">
        <f>(Table_1[[#This Row],[Tiempo (min) EST]]/Table_1[[#This Row],[Tiempo (min) REAL]])</f>
        <v>0.5</v>
      </c>
    </row>
    <row r="23" spans="1:10" ht="14.4" x14ac:dyDescent="0.3">
      <c r="A23" s="109">
        <v>2</v>
      </c>
      <c r="B23" s="109" t="s">
        <v>512</v>
      </c>
      <c r="C23" s="109" t="s">
        <v>529</v>
      </c>
      <c r="D23" s="110" t="s">
        <v>562</v>
      </c>
      <c r="E23" s="110" t="s">
        <v>582</v>
      </c>
      <c r="F23" s="110">
        <v>4</v>
      </c>
      <c r="G23" s="169">
        <f>PRODUCT(27*2)</f>
        <v>54</v>
      </c>
      <c r="H23" s="110">
        <f t="shared" si="1"/>
        <v>2</v>
      </c>
      <c r="I23" s="169">
        <f t="shared" si="2"/>
        <v>60</v>
      </c>
      <c r="J23" s="167">
        <f>(Table_1[[#This Row],[Tiempo (min) EST]]/Table_1[[#This Row],[Tiempo (min) REAL]])</f>
        <v>1.1111111111111112</v>
      </c>
    </row>
    <row r="24" spans="1:10" ht="14.4" x14ac:dyDescent="0.3">
      <c r="A24" s="109">
        <v>2</v>
      </c>
      <c r="B24" s="109" t="s">
        <v>512</v>
      </c>
      <c r="C24" s="109" t="s">
        <v>585</v>
      </c>
      <c r="D24" s="110" t="s">
        <v>558</v>
      </c>
      <c r="E24" s="109" t="s">
        <v>582</v>
      </c>
      <c r="F24" s="110">
        <v>6</v>
      </c>
      <c r="G24" s="169">
        <v>180</v>
      </c>
      <c r="H24" s="110">
        <v>6</v>
      </c>
      <c r="I24" s="169">
        <v>180</v>
      </c>
      <c r="J24" s="167">
        <f>(Table_1[[#This Row],[Tiempo (min) EST]]/Table_1[[#This Row],[Tiempo (min) REAL]])</f>
        <v>1</v>
      </c>
    </row>
    <row r="25" spans="1:10" ht="14.4" x14ac:dyDescent="0.3">
      <c r="A25" s="109">
        <v>2</v>
      </c>
      <c r="B25" s="109" t="s">
        <v>512</v>
      </c>
      <c r="C25" s="109" t="s">
        <v>519</v>
      </c>
      <c r="D25" s="110" t="s">
        <v>22</v>
      </c>
      <c r="E25" s="110" t="s">
        <v>583</v>
      </c>
      <c r="F25" s="110">
        <f t="shared" si="0"/>
        <v>2</v>
      </c>
      <c r="G25" s="169">
        <v>30</v>
      </c>
      <c r="H25" s="110">
        <f t="shared" si="1"/>
        <v>2</v>
      </c>
      <c r="I25" s="169">
        <v>30</v>
      </c>
      <c r="J25" s="167">
        <f>(Table_1[[#This Row],[Tiempo (min) EST]]/Table_1[[#This Row],[Tiempo (min) REAL]])</f>
        <v>1</v>
      </c>
    </row>
    <row r="26" spans="1:10" ht="14.4" x14ac:dyDescent="0.3">
      <c r="A26" s="109">
        <v>2</v>
      </c>
      <c r="B26" s="109" t="s">
        <v>512</v>
      </c>
      <c r="C26" s="109" t="s">
        <v>572</v>
      </c>
      <c r="D26" s="110" t="s">
        <v>31</v>
      </c>
      <c r="E26" s="110" t="s">
        <v>583</v>
      </c>
      <c r="F26" s="110">
        <v>1</v>
      </c>
      <c r="G26" s="169">
        <v>30</v>
      </c>
      <c r="H26" s="110">
        <v>2</v>
      </c>
      <c r="I26" s="169">
        <v>40</v>
      </c>
      <c r="J26" s="167">
        <f>(Table_1[[#This Row],[Tiempo (min) EST]]/Table_1[[#This Row],[Tiempo (min) REAL]])</f>
        <v>1.3333333333333333</v>
      </c>
    </row>
    <row r="27" spans="1:10" ht="14.4" x14ac:dyDescent="0.3">
      <c r="A27" s="109">
        <v>2</v>
      </c>
      <c r="B27" s="109" t="s">
        <v>512</v>
      </c>
      <c r="C27" s="109" t="s">
        <v>520</v>
      </c>
      <c r="D27" s="110" t="s">
        <v>31</v>
      </c>
      <c r="E27" s="110" t="s">
        <v>583</v>
      </c>
      <c r="F27" s="110">
        <f t="shared" si="0"/>
        <v>2</v>
      </c>
      <c r="G27" s="169">
        <v>28</v>
      </c>
      <c r="H27" s="110">
        <f t="shared" si="1"/>
        <v>2</v>
      </c>
      <c r="I27" s="169">
        <v>30</v>
      </c>
      <c r="J27" s="167">
        <f>(Table_1[[#This Row],[Tiempo (min) EST]]/Table_1[[#This Row],[Tiempo (min) REAL]])</f>
        <v>1.0714285714285714</v>
      </c>
    </row>
    <row r="28" spans="1:10" ht="14.4" x14ac:dyDescent="0.3">
      <c r="A28" s="109">
        <v>2</v>
      </c>
      <c r="B28" s="109" t="s">
        <v>512</v>
      </c>
      <c r="C28" s="109" t="s">
        <v>88</v>
      </c>
      <c r="D28" s="110" t="s">
        <v>558</v>
      </c>
      <c r="E28" s="110" t="s">
        <v>583</v>
      </c>
      <c r="F28" s="110">
        <f>PRODUCT(2*6)</f>
        <v>12</v>
      </c>
      <c r="G28" s="169">
        <f>PRODUCT(30*6)</f>
        <v>180</v>
      </c>
      <c r="H28" s="110">
        <f>PRODUCT(2*6)</f>
        <v>12</v>
      </c>
      <c r="I28" s="169">
        <f>PRODUCT(30*6)</f>
        <v>180</v>
      </c>
      <c r="J28" s="167">
        <f>(Table_1[[#This Row],[Tiempo (min) EST]]/Table_1[[#This Row],[Tiempo (min) REAL]])</f>
        <v>1</v>
      </c>
    </row>
    <row r="29" spans="1:10" ht="14.4" x14ac:dyDescent="0.3">
      <c r="A29" s="109">
        <v>2</v>
      </c>
      <c r="B29" s="109" t="s">
        <v>512</v>
      </c>
      <c r="C29" s="110" t="s">
        <v>523</v>
      </c>
      <c r="D29" s="110" t="s">
        <v>22</v>
      </c>
      <c r="E29" s="110" t="s">
        <v>583</v>
      </c>
      <c r="F29" s="110">
        <v>1</v>
      </c>
      <c r="G29" s="169">
        <v>30</v>
      </c>
      <c r="H29" s="110">
        <v>1</v>
      </c>
      <c r="I29" s="169">
        <v>30</v>
      </c>
      <c r="J29" s="167">
        <f>(Table_1[[#This Row],[Tiempo (min) EST]]/Table_1[[#This Row],[Tiempo (min) REAL]])</f>
        <v>1</v>
      </c>
    </row>
    <row r="30" spans="1:10" ht="14.4" x14ac:dyDescent="0.3">
      <c r="A30" s="109">
        <v>2</v>
      </c>
      <c r="B30" s="109" t="s">
        <v>512</v>
      </c>
      <c r="C30" s="109" t="s">
        <v>79</v>
      </c>
      <c r="D30" s="110" t="s">
        <v>37</v>
      </c>
      <c r="E30" s="110" t="s">
        <v>583</v>
      </c>
      <c r="F30" s="110">
        <v>1</v>
      </c>
      <c r="G30" s="169">
        <v>31</v>
      </c>
      <c r="H30" s="110">
        <v>1</v>
      </c>
      <c r="I30" s="169">
        <v>30</v>
      </c>
      <c r="J30" s="167">
        <f>(Table_1[[#This Row],[Tiempo (min) EST]]/Table_1[[#This Row],[Tiempo (min) REAL]])</f>
        <v>0.967741935483871</v>
      </c>
    </row>
    <row r="31" spans="1:10" ht="14.4" x14ac:dyDescent="0.3">
      <c r="A31" s="109">
        <v>2</v>
      </c>
      <c r="B31" s="109" t="s">
        <v>512</v>
      </c>
      <c r="C31" s="109" t="s">
        <v>524</v>
      </c>
      <c r="D31" s="110" t="s">
        <v>558</v>
      </c>
      <c r="E31" s="110" t="s">
        <v>583</v>
      </c>
      <c r="F31" s="110">
        <f>PRODUCT(1*6)</f>
        <v>6</v>
      </c>
      <c r="G31" s="169">
        <f>PRODUCT(30*6)</f>
        <v>180</v>
      </c>
      <c r="H31" s="110">
        <f>PRODUCT(1*6)</f>
        <v>6</v>
      </c>
      <c r="I31" s="169">
        <f>PRODUCT(30*6)</f>
        <v>180</v>
      </c>
      <c r="J31" s="167">
        <f>(Table_1[[#This Row],[Tiempo (min) EST]]/Table_1[[#This Row],[Tiempo (min) REAL]])</f>
        <v>1</v>
      </c>
    </row>
    <row r="32" spans="1:10" ht="14.4" x14ac:dyDescent="0.3">
      <c r="A32" s="109">
        <v>3</v>
      </c>
      <c r="B32" s="109" t="s">
        <v>513</v>
      </c>
      <c r="C32" s="109" t="s">
        <v>530</v>
      </c>
      <c r="D32" s="110" t="s">
        <v>37</v>
      </c>
      <c r="E32" s="110" t="s">
        <v>582</v>
      </c>
      <c r="F32" s="110">
        <v>1</v>
      </c>
      <c r="G32" s="169">
        <v>34</v>
      </c>
      <c r="H32" s="110">
        <v>1</v>
      </c>
      <c r="I32" s="169">
        <v>30</v>
      </c>
      <c r="J32" s="167">
        <f>(Table_1[[#This Row],[Tiempo (min) EST]]/Table_1[[#This Row],[Tiempo (min) REAL]])</f>
        <v>0.88235294117647056</v>
      </c>
    </row>
    <row r="33" spans="1:10" ht="13.8" customHeight="1" x14ac:dyDescent="0.3">
      <c r="A33" s="109">
        <v>3</v>
      </c>
      <c r="B33" s="109" t="s">
        <v>513</v>
      </c>
      <c r="C33" s="109" t="s">
        <v>596</v>
      </c>
      <c r="D33" s="110" t="s">
        <v>558</v>
      </c>
      <c r="E33" s="109" t="s">
        <v>583</v>
      </c>
      <c r="F33" s="110">
        <v>1</v>
      </c>
      <c r="G33" s="169">
        <v>55</v>
      </c>
      <c r="H33" s="110">
        <v>2</v>
      </c>
      <c r="I33" s="169">
        <v>60</v>
      </c>
      <c r="J33" s="167">
        <f>(Table_1[[#This Row],[Tiempo (min) EST]]/Table_1[[#This Row],[Tiempo (min) REAL]])</f>
        <v>1.0909090909090908</v>
      </c>
    </row>
    <row r="34" spans="1:10" ht="14.4" x14ac:dyDescent="0.3">
      <c r="A34" s="109">
        <v>3</v>
      </c>
      <c r="B34" s="109" t="s">
        <v>513</v>
      </c>
      <c r="C34" s="109" t="s">
        <v>531</v>
      </c>
      <c r="D34" s="110" t="s">
        <v>563</v>
      </c>
      <c r="E34" s="110" t="s">
        <v>582</v>
      </c>
      <c r="F34" s="110">
        <v>4</v>
      </c>
      <c r="G34" s="169">
        <v>120</v>
      </c>
      <c r="H34" s="110">
        <v>4</v>
      </c>
      <c r="I34" s="169">
        <v>60</v>
      </c>
      <c r="J34" s="167">
        <f>(Table_1[[#This Row],[Tiempo (min) EST]]/Table_1[[#This Row],[Tiempo (min) REAL]])</f>
        <v>0.5</v>
      </c>
    </row>
    <row r="35" spans="1:10" ht="14.4" x14ac:dyDescent="0.3">
      <c r="A35" s="109">
        <v>3</v>
      </c>
      <c r="B35" s="109" t="s">
        <v>513</v>
      </c>
      <c r="C35" s="109" t="s">
        <v>532</v>
      </c>
      <c r="D35" s="110" t="s">
        <v>558</v>
      </c>
      <c r="E35" s="110" t="s">
        <v>582</v>
      </c>
      <c r="F35" s="110">
        <f>PRODUCT(1*6)</f>
        <v>6</v>
      </c>
      <c r="G35" s="169">
        <f>PRODUCT(39*6)</f>
        <v>234</v>
      </c>
      <c r="H35" s="110">
        <f>PRODUCT(3*6)</f>
        <v>18</v>
      </c>
      <c r="I35" s="169">
        <f>PRODUCT(30*6)</f>
        <v>180</v>
      </c>
      <c r="J35" s="167">
        <f>(Table_1[[#This Row],[Tiempo (min) EST]]/Table_1[[#This Row],[Tiempo (min) REAL]])</f>
        <v>0.76923076923076927</v>
      </c>
    </row>
    <row r="36" spans="1:10" ht="14.4" x14ac:dyDescent="0.3">
      <c r="A36" s="109">
        <v>3</v>
      </c>
      <c r="B36" s="109" t="s">
        <v>513</v>
      </c>
      <c r="C36" s="109" t="s">
        <v>533</v>
      </c>
      <c r="D36" s="110" t="s">
        <v>40</v>
      </c>
      <c r="E36" s="110" t="s">
        <v>582</v>
      </c>
      <c r="F36" s="110">
        <v>4</v>
      </c>
      <c r="G36" s="169">
        <v>30</v>
      </c>
      <c r="H36" s="110">
        <v>4</v>
      </c>
      <c r="I36" s="169">
        <v>30</v>
      </c>
      <c r="J36" s="167">
        <f>(Table_1[[#This Row],[Tiempo (min) EST]]/Table_1[[#This Row],[Tiempo (min) REAL]])</f>
        <v>1</v>
      </c>
    </row>
    <row r="37" spans="1:10" ht="14.4" x14ac:dyDescent="0.3">
      <c r="A37" s="109">
        <v>3</v>
      </c>
      <c r="B37" s="109" t="s">
        <v>513</v>
      </c>
      <c r="C37" s="109" t="s">
        <v>585</v>
      </c>
      <c r="D37" s="110" t="s">
        <v>558</v>
      </c>
      <c r="E37" s="109" t="s">
        <v>582</v>
      </c>
      <c r="F37" s="110">
        <v>6</v>
      </c>
      <c r="G37" s="169">
        <v>180</v>
      </c>
      <c r="H37" s="110">
        <v>6</v>
      </c>
      <c r="I37" s="169">
        <v>180</v>
      </c>
      <c r="J37" s="167">
        <f>(Table_1[[#This Row],[Tiempo (min) EST]]/Table_1[[#This Row],[Tiempo (min) REAL]])</f>
        <v>1</v>
      </c>
    </row>
    <row r="38" spans="1:10" ht="14.4" x14ac:dyDescent="0.3">
      <c r="A38" s="109">
        <v>3</v>
      </c>
      <c r="B38" s="109" t="s">
        <v>513</v>
      </c>
      <c r="C38" s="109" t="s">
        <v>534</v>
      </c>
      <c r="D38" s="110" t="s">
        <v>564</v>
      </c>
      <c r="E38" s="110" t="s">
        <v>582</v>
      </c>
      <c r="F38" s="110">
        <v>12</v>
      </c>
      <c r="G38" s="169">
        <v>66</v>
      </c>
      <c r="H38" s="110">
        <v>12</v>
      </c>
      <c r="I38" s="169">
        <f>PRODUCT(30*6)</f>
        <v>180</v>
      </c>
      <c r="J38" s="167">
        <f>(Table_1[[#This Row],[Tiempo (min) EST]]/Table_1[[#This Row],[Tiempo (min) REAL]])</f>
        <v>2.7272727272727271</v>
      </c>
    </row>
    <row r="39" spans="1:10" ht="14.4" x14ac:dyDescent="0.3">
      <c r="A39" s="109">
        <v>3</v>
      </c>
      <c r="B39" s="109" t="s">
        <v>513</v>
      </c>
      <c r="C39" s="109" t="s">
        <v>535</v>
      </c>
      <c r="D39" s="110" t="s">
        <v>558</v>
      </c>
      <c r="E39" s="110" t="s">
        <v>582</v>
      </c>
      <c r="F39" s="110">
        <f>PRODUCT(2*6)</f>
        <v>12</v>
      </c>
      <c r="G39" s="169">
        <f>PRODUCT(30*6)</f>
        <v>180</v>
      </c>
      <c r="H39" s="110">
        <f>PRODUCT(2*6)</f>
        <v>12</v>
      </c>
      <c r="I39" s="169">
        <f>PRODUCT(30*6)</f>
        <v>180</v>
      </c>
      <c r="J39" s="167">
        <f>(Table_1[[#This Row],[Tiempo (min) EST]]/Table_1[[#This Row],[Tiempo (min) REAL]])</f>
        <v>1</v>
      </c>
    </row>
    <row r="40" spans="1:10" ht="14.4" x14ac:dyDescent="0.3">
      <c r="A40" s="109">
        <v>3</v>
      </c>
      <c r="B40" s="109" t="s">
        <v>513</v>
      </c>
      <c r="C40" s="109" t="s">
        <v>572</v>
      </c>
      <c r="D40" s="110" t="s">
        <v>31</v>
      </c>
      <c r="E40" s="110" t="s">
        <v>583</v>
      </c>
      <c r="F40" s="110">
        <v>1</v>
      </c>
      <c r="G40" s="169">
        <v>30</v>
      </c>
      <c r="H40" s="110">
        <v>2</v>
      </c>
      <c r="I40" s="169">
        <v>40</v>
      </c>
      <c r="J40" s="167">
        <f>(Table_1[[#This Row],[Tiempo (min) EST]]/Table_1[[#This Row],[Tiempo (min) REAL]])</f>
        <v>1.3333333333333333</v>
      </c>
    </row>
    <row r="41" spans="1:10" ht="14.4" x14ac:dyDescent="0.3">
      <c r="A41" s="109">
        <v>3</v>
      </c>
      <c r="B41" s="109" t="s">
        <v>513</v>
      </c>
      <c r="C41" s="109" t="s">
        <v>519</v>
      </c>
      <c r="D41" s="110" t="s">
        <v>22</v>
      </c>
      <c r="E41" s="110" t="s">
        <v>583</v>
      </c>
      <c r="F41" s="110">
        <v>1</v>
      </c>
      <c r="G41" s="169">
        <v>30</v>
      </c>
      <c r="H41" s="110">
        <v>1</v>
      </c>
      <c r="I41" s="169">
        <v>30</v>
      </c>
      <c r="J41" s="167">
        <f>(Table_1[[#This Row],[Tiempo (min) EST]]/Table_1[[#This Row],[Tiempo (min) REAL]])</f>
        <v>1</v>
      </c>
    </row>
    <row r="42" spans="1:10" ht="14.4" x14ac:dyDescent="0.3">
      <c r="A42" s="109">
        <v>3</v>
      </c>
      <c r="B42" s="109" t="s">
        <v>513</v>
      </c>
      <c r="C42" s="109" t="s">
        <v>520</v>
      </c>
      <c r="D42" s="110" t="s">
        <v>31</v>
      </c>
      <c r="E42" s="110" t="s">
        <v>583</v>
      </c>
      <c r="F42" s="110">
        <v>1</v>
      </c>
      <c r="G42" s="169">
        <v>30</v>
      </c>
      <c r="H42" s="110">
        <v>1</v>
      </c>
      <c r="I42" s="169">
        <v>30</v>
      </c>
      <c r="J42" s="167">
        <f>(Table_1[[#This Row],[Tiempo (min) EST]]/Table_1[[#This Row],[Tiempo (min) REAL]])</f>
        <v>1</v>
      </c>
    </row>
    <row r="43" spans="1:10" ht="14.4" x14ac:dyDescent="0.3">
      <c r="A43" s="109">
        <v>3</v>
      </c>
      <c r="B43" s="109" t="s">
        <v>513</v>
      </c>
      <c r="C43" s="110" t="s">
        <v>523</v>
      </c>
      <c r="D43" s="110" t="s">
        <v>22</v>
      </c>
      <c r="E43" s="110" t="s">
        <v>583</v>
      </c>
      <c r="F43" s="110">
        <v>1</v>
      </c>
      <c r="G43" s="169">
        <v>30</v>
      </c>
      <c r="H43" s="110">
        <v>1</v>
      </c>
      <c r="I43" s="169">
        <v>30</v>
      </c>
      <c r="J43" s="167">
        <f>(Table_1[[#This Row],[Tiempo (min) EST]]/Table_1[[#This Row],[Tiempo (min) REAL]])</f>
        <v>1</v>
      </c>
    </row>
    <row r="44" spans="1:10" ht="14.4" x14ac:dyDescent="0.3">
      <c r="A44" s="109">
        <v>3</v>
      </c>
      <c r="B44" s="109" t="s">
        <v>513</v>
      </c>
      <c r="C44" s="110" t="s">
        <v>79</v>
      </c>
      <c r="D44" s="110" t="s">
        <v>37</v>
      </c>
      <c r="E44" s="110" t="s">
        <v>583</v>
      </c>
      <c r="F44" s="110">
        <v>1</v>
      </c>
      <c r="G44" s="169">
        <v>25</v>
      </c>
      <c r="H44" s="110">
        <v>1</v>
      </c>
      <c r="I44" s="169">
        <v>30</v>
      </c>
      <c r="J44" s="167">
        <f>(Table_1[[#This Row],[Tiempo (min) EST]]/Table_1[[#This Row],[Tiempo (min) REAL]])</f>
        <v>1.2</v>
      </c>
    </row>
    <row r="45" spans="1:10" ht="14.4" x14ac:dyDescent="0.3">
      <c r="A45" s="109">
        <v>3</v>
      </c>
      <c r="B45" s="109" t="s">
        <v>513</v>
      </c>
      <c r="C45" s="110" t="s">
        <v>88</v>
      </c>
      <c r="D45" s="110" t="s">
        <v>558</v>
      </c>
      <c r="E45" s="110" t="s">
        <v>583</v>
      </c>
      <c r="F45" s="110">
        <f>PRODUCT(1*6)</f>
        <v>6</v>
      </c>
      <c r="G45" s="169">
        <f>PRODUCT(30*6)</f>
        <v>180</v>
      </c>
      <c r="H45" s="110">
        <f>PRODUCT(1*6)</f>
        <v>6</v>
      </c>
      <c r="I45" s="169">
        <f>PRODUCT(30*6)</f>
        <v>180</v>
      </c>
      <c r="J45" s="167">
        <f>(Table_1[[#This Row],[Tiempo (min) EST]]/Table_1[[#This Row],[Tiempo (min) REAL]])</f>
        <v>1</v>
      </c>
    </row>
    <row r="46" spans="1:10" ht="14.4" x14ac:dyDescent="0.3">
      <c r="A46" s="109">
        <v>3</v>
      </c>
      <c r="B46" s="109" t="s">
        <v>513</v>
      </c>
      <c r="C46" s="110" t="s">
        <v>524</v>
      </c>
      <c r="D46" s="110" t="s">
        <v>558</v>
      </c>
      <c r="E46" s="110" t="s">
        <v>583</v>
      </c>
      <c r="F46" s="110">
        <f>PRODUCT(2*6)</f>
        <v>12</v>
      </c>
      <c r="G46" s="169">
        <f>PRODUCT(20*6)</f>
        <v>120</v>
      </c>
      <c r="H46" s="110">
        <f>PRODUCT(2*6)</f>
        <v>12</v>
      </c>
      <c r="I46" s="169">
        <f>PRODUCT(20*6)</f>
        <v>120</v>
      </c>
      <c r="J46" s="167">
        <f>(Table_1[[#This Row],[Tiempo (min) EST]]/Table_1[[#This Row],[Tiempo (min) REAL]])</f>
        <v>1</v>
      </c>
    </row>
    <row r="47" spans="1:10" ht="14.4" x14ac:dyDescent="0.3">
      <c r="A47" s="109">
        <v>4</v>
      </c>
      <c r="B47" s="109" t="s">
        <v>6</v>
      </c>
      <c r="C47" s="110" t="s">
        <v>536</v>
      </c>
      <c r="D47" s="110" t="s">
        <v>565</v>
      </c>
      <c r="E47" s="110" t="s">
        <v>582</v>
      </c>
      <c r="F47" s="110">
        <v>4</v>
      </c>
      <c r="G47" s="169">
        <v>20</v>
      </c>
      <c r="H47" s="110">
        <v>4</v>
      </c>
      <c r="I47" s="169">
        <v>40</v>
      </c>
      <c r="J47" s="167">
        <f>(Table_1[[#This Row],[Tiempo (min) EST]]/Table_1[[#This Row],[Tiempo (min) REAL]])</f>
        <v>2</v>
      </c>
    </row>
    <row r="48" spans="1:10" ht="13.8" customHeight="1" x14ac:dyDescent="0.3">
      <c r="A48" s="109">
        <v>4</v>
      </c>
      <c r="B48" s="109" t="s">
        <v>6</v>
      </c>
      <c r="C48" s="109" t="s">
        <v>596</v>
      </c>
      <c r="D48" s="110" t="s">
        <v>558</v>
      </c>
      <c r="E48" s="109" t="s">
        <v>583</v>
      </c>
      <c r="F48" s="110">
        <v>1</v>
      </c>
      <c r="G48" s="169">
        <v>55</v>
      </c>
      <c r="H48" s="110">
        <v>2</v>
      </c>
      <c r="I48" s="169">
        <v>60</v>
      </c>
      <c r="J48" s="167">
        <f>(Table_1[[#This Row],[Tiempo (min) EST]]/Table_1[[#This Row],[Tiempo (min) REAL]])</f>
        <v>1.0909090909090908</v>
      </c>
    </row>
    <row r="49" spans="1:10" ht="14.4" x14ac:dyDescent="0.3">
      <c r="A49" s="109">
        <v>4</v>
      </c>
      <c r="B49" s="109" t="s">
        <v>6</v>
      </c>
      <c r="C49" s="110" t="s">
        <v>537</v>
      </c>
      <c r="D49" s="110" t="s">
        <v>566</v>
      </c>
      <c r="E49" s="110" t="s">
        <v>582</v>
      </c>
      <c r="F49" s="110">
        <v>2</v>
      </c>
      <c r="G49" s="169">
        <v>50</v>
      </c>
      <c r="H49" s="110">
        <v>2</v>
      </c>
      <c r="I49" s="169">
        <v>50</v>
      </c>
      <c r="J49" s="167">
        <f>(Table_1[[#This Row],[Tiempo (min) EST]]/Table_1[[#This Row],[Tiempo (min) REAL]])</f>
        <v>1</v>
      </c>
    </row>
    <row r="50" spans="1:10" ht="14.4" x14ac:dyDescent="0.3">
      <c r="A50" s="109">
        <v>4</v>
      </c>
      <c r="B50" s="109" t="s">
        <v>6</v>
      </c>
      <c r="C50" s="110" t="s">
        <v>538</v>
      </c>
      <c r="D50" s="110" t="s">
        <v>37</v>
      </c>
      <c r="E50" s="110" t="s">
        <v>582</v>
      </c>
      <c r="F50" s="110">
        <v>2</v>
      </c>
      <c r="G50" s="169">
        <v>25</v>
      </c>
      <c r="H50" s="110">
        <v>2</v>
      </c>
      <c r="I50" s="169">
        <v>25</v>
      </c>
      <c r="J50" s="167">
        <f>(Table_1[[#This Row],[Tiempo (min) EST]]/Table_1[[#This Row],[Tiempo (min) REAL]])</f>
        <v>1</v>
      </c>
    </row>
    <row r="51" spans="1:10" ht="14.4" x14ac:dyDescent="0.3">
      <c r="A51" s="109">
        <v>4</v>
      </c>
      <c r="B51" s="109" t="s">
        <v>6</v>
      </c>
      <c r="C51" s="109" t="s">
        <v>572</v>
      </c>
      <c r="D51" s="110" t="s">
        <v>31</v>
      </c>
      <c r="E51" s="110" t="s">
        <v>583</v>
      </c>
      <c r="F51" s="110">
        <v>1</v>
      </c>
      <c r="G51" s="169">
        <v>30</v>
      </c>
      <c r="H51" s="110">
        <v>2</v>
      </c>
      <c r="I51" s="169">
        <v>40</v>
      </c>
      <c r="J51" s="167">
        <f>(Table_1[[#This Row],[Tiempo (min) EST]]/Table_1[[#This Row],[Tiempo (min) REAL]])</f>
        <v>1.3333333333333333</v>
      </c>
    </row>
    <row r="52" spans="1:10" ht="14.4" x14ac:dyDescent="0.3">
      <c r="A52" s="109">
        <v>4</v>
      </c>
      <c r="B52" s="109" t="s">
        <v>6</v>
      </c>
      <c r="C52" s="110" t="s">
        <v>539</v>
      </c>
      <c r="D52" s="110" t="s">
        <v>567</v>
      </c>
      <c r="E52" s="110" t="s">
        <v>582</v>
      </c>
      <c r="F52" s="110">
        <v>2</v>
      </c>
      <c r="G52" s="169">
        <f>PRODUCT(20*2)</f>
        <v>40</v>
      </c>
      <c r="H52" s="110">
        <v>2</v>
      </c>
      <c r="I52" s="169">
        <v>40</v>
      </c>
      <c r="J52" s="167">
        <f>(Table_1[[#This Row],[Tiempo (min) EST]]/Table_1[[#This Row],[Tiempo (min) REAL]])</f>
        <v>1</v>
      </c>
    </row>
    <row r="53" spans="1:10" ht="14.4" x14ac:dyDescent="0.3">
      <c r="A53" s="109">
        <v>4</v>
      </c>
      <c r="B53" s="109" t="s">
        <v>6</v>
      </c>
      <c r="C53" s="109" t="s">
        <v>585</v>
      </c>
      <c r="D53" s="110" t="s">
        <v>558</v>
      </c>
      <c r="E53" s="109" t="s">
        <v>582</v>
      </c>
      <c r="F53" s="110">
        <v>6</v>
      </c>
      <c r="G53" s="169">
        <v>180</v>
      </c>
      <c r="H53" s="110">
        <v>6</v>
      </c>
      <c r="I53" s="169">
        <v>180</v>
      </c>
      <c r="J53" s="167">
        <f>(Table_1[[#This Row],[Tiempo (min) EST]]/Table_1[[#This Row],[Tiempo (min) REAL]])</f>
        <v>1</v>
      </c>
    </row>
    <row r="54" spans="1:10" ht="14.4" x14ac:dyDescent="0.3">
      <c r="A54" s="109">
        <v>4</v>
      </c>
      <c r="B54" s="109" t="s">
        <v>6</v>
      </c>
      <c r="C54" s="110" t="s">
        <v>540</v>
      </c>
      <c r="D54" s="110" t="s">
        <v>22</v>
      </c>
      <c r="E54" s="110" t="s">
        <v>582</v>
      </c>
      <c r="F54" s="110">
        <v>1</v>
      </c>
      <c r="G54" s="169">
        <v>30</v>
      </c>
      <c r="H54" s="110">
        <v>1</v>
      </c>
      <c r="I54" s="169">
        <v>30</v>
      </c>
      <c r="J54" s="167">
        <f>(Table_1[[#This Row],[Tiempo (min) EST]]/Table_1[[#This Row],[Tiempo (min) REAL]])</f>
        <v>1</v>
      </c>
    </row>
    <row r="55" spans="1:10" ht="14.4" x14ac:dyDescent="0.3">
      <c r="A55" s="109">
        <v>4</v>
      </c>
      <c r="B55" s="109" t="s">
        <v>6</v>
      </c>
      <c r="C55" s="110" t="s">
        <v>541</v>
      </c>
      <c r="D55" s="110" t="s">
        <v>31</v>
      </c>
      <c r="E55" s="110" t="s">
        <v>582</v>
      </c>
      <c r="F55" s="110">
        <v>1</v>
      </c>
      <c r="G55" s="169">
        <v>30</v>
      </c>
      <c r="H55" s="110">
        <v>1</v>
      </c>
      <c r="I55" s="169">
        <v>30</v>
      </c>
      <c r="J55" s="167">
        <f>(Table_1[[#This Row],[Tiempo (min) EST]]/Table_1[[#This Row],[Tiempo (min) REAL]])</f>
        <v>1</v>
      </c>
    </row>
    <row r="56" spans="1:10" ht="14.4" x14ac:dyDescent="0.3">
      <c r="A56" s="109">
        <v>4</v>
      </c>
      <c r="B56" s="109" t="s">
        <v>6</v>
      </c>
      <c r="C56" s="110" t="s">
        <v>519</v>
      </c>
      <c r="D56" s="110" t="s">
        <v>22</v>
      </c>
      <c r="E56" s="110" t="s">
        <v>583</v>
      </c>
      <c r="F56" s="110">
        <v>1</v>
      </c>
      <c r="G56" s="169">
        <v>30</v>
      </c>
      <c r="H56" s="110">
        <v>1</v>
      </c>
      <c r="I56" s="169">
        <v>30</v>
      </c>
      <c r="J56" s="167">
        <f>(Table_1[[#This Row],[Tiempo (min) EST]]/Table_1[[#This Row],[Tiempo (min) REAL]])</f>
        <v>1</v>
      </c>
    </row>
    <row r="57" spans="1:10" ht="14.4" x14ac:dyDescent="0.3">
      <c r="A57" s="109">
        <v>4</v>
      </c>
      <c r="B57" s="109" t="s">
        <v>6</v>
      </c>
      <c r="C57" s="110" t="s">
        <v>520</v>
      </c>
      <c r="D57" s="110" t="s">
        <v>31</v>
      </c>
      <c r="E57" s="110" t="s">
        <v>583</v>
      </c>
      <c r="F57" s="110">
        <v>1</v>
      </c>
      <c r="G57" s="169">
        <v>20</v>
      </c>
      <c r="H57" s="110">
        <v>1</v>
      </c>
      <c r="I57" s="169">
        <v>30</v>
      </c>
      <c r="J57" s="167">
        <f>(Table_1[[#This Row],[Tiempo (min) EST]]/Table_1[[#This Row],[Tiempo (min) REAL]])</f>
        <v>1.5</v>
      </c>
    </row>
    <row r="58" spans="1:10" ht="14.4" x14ac:dyDescent="0.3">
      <c r="A58" s="109">
        <v>4</v>
      </c>
      <c r="B58" s="109" t="s">
        <v>6</v>
      </c>
      <c r="C58" s="109" t="s">
        <v>79</v>
      </c>
      <c r="D58" s="110" t="s">
        <v>37</v>
      </c>
      <c r="E58" s="110" t="s">
        <v>583</v>
      </c>
      <c r="F58" s="110">
        <v>1</v>
      </c>
      <c r="G58" s="169">
        <v>30</v>
      </c>
      <c r="H58" s="110">
        <v>1</v>
      </c>
      <c r="I58" s="169">
        <v>30</v>
      </c>
      <c r="J58" s="167">
        <f>(Table_1[[#This Row],[Tiempo (min) EST]]/Table_1[[#This Row],[Tiempo (min) REAL]])</f>
        <v>1</v>
      </c>
    </row>
    <row r="59" spans="1:10" ht="14.4" x14ac:dyDescent="0.3">
      <c r="A59" s="109">
        <v>4</v>
      </c>
      <c r="B59" s="109" t="s">
        <v>6</v>
      </c>
      <c r="C59" s="110" t="s">
        <v>523</v>
      </c>
      <c r="D59" s="110" t="s">
        <v>22</v>
      </c>
      <c r="E59" s="110" t="s">
        <v>583</v>
      </c>
      <c r="F59" s="110">
        <v>1</v>
      </c>
      <c r="G59" s="169">
        <v>30</v>
      </c>
      <c r="H59" s="110">
        <v>1</v>
      </c>
      <c r="I59" s="169">
        <v>30</v>
      </c>
      <c r="J59" s="167">
        <f>(Table_1[[#This Row],[Tiempo (min) EST]]/Table_1[[#This Row],[Tiempo (min) REAL]])</f>
        <v>1</v>
      </c>
    </row>
    <row r="60" spans="1:10" ht="14.4" x14ac:dyDescent="0.3">
      <c r="A60" s="109">
        <v>4</v>
      </c>
      <c r="B60" s="109" t="s">
        <v>6</v>
      </c>
      <c r="C60" s="109" t="s">
        <v>88</v>
      </c>
      <c r="D60" s="110" t="s">
        <v>558</v>
      </c>
      <c r="E60" s="110" t="s">
        <v>583</v>
      </c>
      <c r="F60" s="110">
        <f>PRODUCT(3*6)</f>
        <v>18</v>
      </c>
      <c r="G60" s="169">
        <f>PRODUCT(30*6)</f>
        <v>180</v>
      </c>
      <c r="H60" s="110">
        <f>PRODUCT(3*6)</f>
        <v>18</v>
      </c>
      <c r="I60" s="169">
        <f>PRODUCT(30*6)</f>
        <v>180</v>
      </c>
      <c r="J60" s="167">
        <f>(Table_1[[#This Row],[Tiempo (min) EST]]/Table_1[[#This Row],[Tiempo (min) REAL]])</f>
        <v>1</v>
      </c>
    </row>
    <row r="61" spans="1:10" ht="14.4" x14ac:dyDescent="0.3">
      <c r="A61" s="109">
        <v>4</v>
      </c>
      <c r="B61" s="109" t="s">
        <v>6</v>
      </c>
      <c r="C61" s="109" t="s">
        <v>524</v>
      </c>
      <c r="D61" s="110" t="s">
        <v>558</v>
      </c>
      <c r="E61" s="110" t="s">
        <v>583</v>
      </c>
      <c r="F61" s="110">
        <f>PRODUCT(3*6)</f>
        <v>18</v>
      </c>
      <c r="G61" s="169">
        <f>PRODUCT(30*6)</f>
        <v>180</v>
      </c>
      <c r="H61" s="110">
        <f>PRODUCT(3*6)</f>
        <v>18</v>
      </c>
      <c r="I61" s="169">
        <f>PRODUCT(30*6)</f>
        <v>180</v>
      </c>
      <c r="J61" s="167">
        <f>(Table_1[[#This Row],[Tiempo (min) EST]]/Table_1[[#This Row],[Tiempo (min) REAL]])</f>
        <v>1</v>
      </c>
    </row>
    <row r="62" spans="1:10" ht="13.8" x14ac:dyDescent="0.25">
      <c r="A62" s="110">
        <v>5</v>
      </c>
      <c r="B62" s="110" t="s">
        <v>542</v>
      </c>
      <c r="C62" s="110" t="s">
        <v>543</v>
      </c>
      <c r="D62" s="110" t="s">
        <v>31</v>
      </c>
      <c r="E62" s="110" t="s">
        <v>582</v>
      </c>
      <c r="F62" s="110">
        <v>2</v>
      </c>
      <c r="G62" s="169">
        <v>28</v>
      </c>
      <c r="H62" s="110">
        <v>1</v>
      </c>
      <c r="I62" s="169">
        <v>30</v>
      </c>
      <c r="J62" s="167">
        <f>(Table_1[[#This Row],[Tiempo (min) EST]]/Table_1[[#This Row],[Tiempo (min) REAL]])</f>
        <v>1.0714285714285714</v>
      </c>
    </row>
    <row r="63" spans="1:10" ht="13.8" customHeight="1" x14ac:dyDescent="0.3">
      <c r="A63" s="109">
        <v>5</v>
      </c>
      <c r="B63" s="110" t="s">
        <v>542</v>
      </c>
      <c r="C63" s="109" t="s">
        <v>596</v>
      </c>
      <c r="D63" s="110" t="s">
        <v>558</v>
      </c>
      <c r="E63" s="109" t="s">
        <v>583</v>
      </c>
      <c r="F63" s="110">
        <v>1</v>
      </c>
      <c r="G63" s="169">
        <v>55</v>
      </c>
      <c r="H63" s="110">
        <v>2</v>
      </c>
      <c r="I63" s="169">
        <v>60</v>
      </c>
      <c r="J63" s="167">
        <f>(Table_1[[#This Row],[Tiempo (min) EST]]/Table_1[[#This Row],[Tiempo (min) REAL]])</f>
        <v>1.0909090909090908</v>
      </c>
    </row>
    <row r="64" spans="1:10" ht="14.4" x14ac:dyDescent="0.3">
      <c r="A64" s="110">
        <v>5</v>
      </c>
      <c r="B64" s="110" t="s">
        <v>542</v>
      </c>
      <c r="C64" s="109" t="s">
        <v>572</v>
      </c>
      <c r="D64" s="110" t="s">
        <v>31</v>
      </c>
      <c r="E64" s="110" t="s">
        <v>583</v>
      </c>
      <c r="F64" s="110">
        <v>1</v>
      </c>
      <c r="G64" s="169">
        <v>30</v>
      </c>
      <c r="H64" s="110">
        <v>2</v>
      </c>
      <c r="I64" s="169">
        <v>40</v>
      </c>
      <c r="J64" s="167">
        <f>(Table_1[[#This Row],[Tiempo (min) EST]]/Table_1[[#This Row],[Tiempo (min) REAL]])</f>
        <v>1.3333333333333333</v>
      </c>
    </row>
    <row r="65" spans="1:10" ht="13.8" x14ac:dyDescent="0.25">
      <c r="A65" s="110">
        <v>5</v>
      </c>
      <c r="B65" s="110" t="s">
        <v>542</v>
      </c>
      <c r="C65" s="110" t="s">
        <v>544</v>
      </c>
      <c r="D65" s="110" t="s">
        <v>34</v>
      </c>
      <c r="E65" s="110" t="s">
        <v>582</v>
      </c>
      <c r="F65" s="110">
        <v>2</v>
      </c>
      <c r="G65" s="169">
        <v>28</v>
      </c>
      <c r="H65" s="110">
        <v>1</v>
      </c>
      <c r="I65" s="169">
        <v>30</v>
      </c>
      <c r="J65" s="167">
        <f>(Table_1[[#This Row],[Tiempo (min) EST]]/Table_1[[#This Row],[Tiempo (min) REAL]])</f>
        <v>1.0714285714285714</v>
      </c>
    </row>
    <row r="66" spans="1:10" ht="13.8" x14ac:dyDescent="0.25">
      <c r="A66" s="110">
        <v>5</v>
      </c>
      <c r="B66" s="110" t="s">
        <v>542</v>
      </c>
      <c r="C66" s="110" t="s">
        <v>545</v>
      </c>
      <c r="D66" s="110" t="s">
        <v>568</v>
      </c>
      <c r="E66" s="110" t="s">
        <v>582</v>
      </c>
      <c r="F66" s="110">
        <v>2</v>
      </c>
      <c r="G66" s="169">
        <f>PRODUCT(30*3)</f>
        <v>90</v>
      </c>
      <c r="H66" s="110">
        <v>1</v>
      </c>
      <c r="I66" s="169">
        <v>60</v>
      </c>
      <c r="J66" s="167">
        <f>(Table_1[[#This Row],[Tiempo (min) EST]]/Table_1[[#This Row],[Tiempo (min) REAL]])</f>
        <v>0.66666666666666663</v>
      </c>
    </row>
    <row r="67" spans="1:10" ht="13.8" x14ac:dyDescent="0.25">
      <c r="A67" s="110">
        <v>5</v>
      </c>
      <c r="B67" s="110" t="s">
        <v>542</v>
      </c>
      <c r="C67" s="110" t="s">
        <v>519</v>
      </c>
      <c r="D67" s="110" t="s">
        <v>22</v>
      </c>
      <c r="E67" s="110" t="s">
        <v>583</v>
      </c>
      <c r="F67" s="110">
        <v>2</v>
      </c>
      <c r="G67" s="169">
        <v>60</v>
      </c>
      <c r="H67" s="110">
        <v>1</v>
      </c>
      <c r="I67" s="169">
        <v>30</v>
      </c>
      <c r="J67" s="167">
        <f>(Table_1[[#This Row],[Tiempo (min) EST]]/Table_1[[#This Row],[Tiempo (min) REAL]])</f>
        <v>0.5</v>
      </c>
    </row>
    <row r="68" spans="1:10" ht="13.8" x14ac:dyDescent="0.25">
      <c r="A68" s="110">
        <v>5</v>
      </c>
      <c r="B68" s="110" t="s">
        <v>542</v>
      </c>
      <c r="C68" s="110" t="s">
        <v>520</v>
      </c>
      <c r="D68" s="110" t="s">
        <v>31</v>
      </c>
      <c r="E68" s="110" t="s">
        <v>583</v>
      </c>
      <c r="F68" s="110">
        <v>2</v>
      </c>
      <c r="G68" s="169">
        <v>60</v>
      </c>
      <c r="H68" s="110">
        <v>1</v>
      </c>
      <c r="I68" s="169">
        <v>30</v>
      </c>
      <c r="J68" s="167">
        <f>(Table_1[[#This Row],[Tiempo (min) EST]]/Table_1[[#This Row],[Tiempo (min) REAL]])</f>
        <v>0.5</v>
      </c>
    </row>
    <row r="69" spans="1:10" ht="14.4" x14ac:dyDescent="0.3">
      <c r="A69" s="110">
        <v>5</v>
      </c>
      <c r="B69" s="110" t="s">
        <v>542</v>
      </c>
      <c r="C69" s="109" t="s">
        <v>79</v>
      </c>
      <c r="D69" s="110" t="s">
        <v>37</v>
      </c>
      <c r="E69" s="110" t="s">
        <v>583</v>
      </c>
      <c r="F69" s="110">
        <v>1</v>
      </c>
      <c r="G69" s="169">
        <v>60</v>
      </c>
      <c r="H69" s="110">
        <v>1</v>
      </c>
      <c r="I69" s="169">
        <v>30</v>
      </c>
      <c r="J69" s="167">
        <f>(Table_1[[#This Row],[Tiempo (min) EST]]/Table_1[[#This Row],[Tiempo (min) REAL]])</f>
        <v>0.5</v>
      </c>
    </row>
    <row r="70" spans="1:10" ht="14.4" x14ac:dyDescent="0.3">
      <c r="A70" s="110">
        <v>5</v>
      </c>
      <c r="B70" s="110" t="s">
        <v>542</v>
      </c>
      <c r="C70" s="109" t="s">
        <v>585</v>
      </c>
      <c r="D70" s="110" t="s">
        <v>558</v>
      </c>
      <c r="E70" s="109" t="s">
        <v>582</v>
      </c>
      <c r="F70" s="110">
        <v>6</v>
      </c>
      <c r="G70" s="169">
        <v>180</v>
      </c>
      <c r="H70" s="110">
        <v>6</v>
      </c>
      <c r="I70" s="169">
        <v>180</v>
      </c>
      <c r="J70" s="167">
        <f>(Table_1[[#This Row],[Tiempo (min) EST]]/Table_1[[#This Row],[Tiempo (min) REAL]])</f>
        <v>1</v>
      </c>
    </row>
    <row r="71" spans="1:10" ht="13.8" x14ac:dyDescent="0.25">
      <c r="A71" s="110">
        <v>5</v>
      </c>
      <c r="B71" s="110" t="s">
        <v>542</v>
      </c>
      <c r="C71" s="110" t="s">
        <v>523</v>
      </c>
      <c r="D71" s="110" t="s">
        <v>22</v>
      </c>
      <c r="E71" s="110" t="s">
        <v>583</v>
      </c>
      <c r="F71" s="110">
        <v>1</v>
      </c>
      <c r="G71" s="169">
        <v>60</v>
      </c>
      <c r="H71" s="110">
        <v>1</v>
      </c>
      <c r="I71" s="169">
        <v>30</v>
      </c>
      <c r="J71" s="167">
        <f>(Table_1[[#This Row],[Tiempo (min) EST]]/Table_1[[#This Row],[Tiempo (min) REAL]])</f>
        <v>0.5</v>
      </c>
    </row>
    <row r="72" spans="1:10" ht="14.4" x14ac:dyDescent="0.3">
      <c r="A72" s="110">
        <v>5</v>
      </c>
      <c r="B72" s="110" t="s">
        <v>542</v>
      </c>
      <c r="C72" s="109" t="s">
        <v>88</v>
      </c>
      <c r="D72" s="110" t="s">
        <v>558</v>
      </c>
      <c r="E72" s="110" t="s">
        <v>583</v>
      </c>
      <c r="F72">
        <v>18</v>
      </c>
      <c r="G72" s="169">
        <f t="shared" ref="G72:G113" si="3">PRODUCT(30*6)</f>
        <v>180</v>
      </c>
      <c r="H72" s="110">
        <v>18</v>
      </c>
      <c r="I72" s="169">
        <f>PRODUCT(30*6)</f>
        <v>180</v>
      </c>
      <c r="J72" s="167">
        <f>(Table_1[[#This Row],[Tiempo (min) EST]]/Table_1[[#This Row],[Tiempo (min) REAL]])</f>
        <v>1</v>
      </c>
    </row>
    <row r="73" spans="1:10" ht="14.4" x14ac:dyDescent="0.3">
      <c r="A73" s="110">
        <v>5</v>
      </c>
      <c r="B73" s="110" t="s">
        <v>542</v>
      </c>
      <c r="C73" s="109" t="s">
        <v>524</v>
      </c>
      <c r="D73" s="110" t="s">
        <v>558</v>
      </c>
      <c r="E73" s="110" t="s">
        <v>583</v>
      </c>
      <c r="F73" s="110">
        <v>18</v>
      </c>
      <c r="G73" s="169">
        <f t="shared" si="3"/>
        <v>180</v>
      </c>
      <c r="H73" s="110">
        <v>18</v>
      </c>
      <c r="I73" s="169">
        <f>PRODUCT(30*6)</f>
        <v>180</v>
      </c>
      <c r="J73" s="167">
        <f>(Table_1[[#This Row],[Tiempo (min) EST]]/Table_1[[#This Row],[Tiempo (min) REAL]])</f>
        <v>1</v>
      </c>
    </row>
    <row r="74" spans="1:10" ht="13.8" x14ac:dyDescent="0.25">
      <c r="A74" s="110">
        <v>6</v>
      </c>
      <c r="B74" s="110" t="s">
        <v>546</v>
      </c>
      <c r="C74" s="110" t="s">
        <v>547</v>
      </c>
      <c r="D74" s="110" t="s">
        <v>563</v>
      </c>
      <c r="E74" s="110" t="s">
        <v>582</v>
      </c>
      <c r="F74" s="110">
        <v>4</v>
      </c>
      <c r="G74" s="169">
        <f t="shared" si="3"/>
        <v>180</v>
      </c>
      <c r="H74" s="110">
        <v>1</v>
      </c>
      <c r="I74" s="169">
        <v>60</v>
      </c>
      <c r="J74" s="167">
        <f>(Table_1[[#This Row],[Tiempo (min) EST]]/Table_1[[#This Row],[Tiempo (min) REAL]])</f>
        <v>0.33333333333333331</v>
      </c>
    </row>
    <row r="75" spans="1:10" ht="13.8" customHeight="1" x14ac:dyDescent="0.3">
      <c r="A75" s="110">
        <v>6</v>
      </c>
      <c r="B75" s="110" t="s">
        <v>546</v>
      </c>
      <c r="C75" s="109" t="s">
        <v>596</v>
      </c>
      <c r="D75" s="110" t="s">
        <v>558</v>
      </c>
      <c r="E75" s="109" t="s">
        <v>583</v>
      </c>
      <c r="F75" s="110">
        <v>1</v>
      </c>
      <c r="G75" s="169">
        <v>55</v>
      </c>
      <c r="H75" s="110">
        <v>2</v>
      </c>
      <c r="I75" s="169">
        <v>60</v>
      </c>
      <c r="J75" s="167">
        <f>(Table_1[[#This Row],[Tiempo (min) EST]]/Table_1[[#This Row],[Tiempo (min) REAL]])</f>
        <v>1.0909090909090908</v>
      </c>
    </row>
    <row r="76" spans="1:10" ht="13.8" x14ac:dyDescent="0.25">
      <c r="A76" s="110">
        <v>6</v>
      </c>
      <c r="B76" s="110" t="s">
        <v>546</v>
      </c>
      <c r="C76" s="103" t="s">
        <v>586</v>
      </c>
      <c r="D76" s="110" t="s">
        <v>568</v>
      </c>
      <c r="E76" s="110" t="s">
        <v>582</v>
      </c>
      <c r="F76" s="110">
        <v>7</v>
      </c>
      <c r="G76" s="169">
        <v>180</v>
      </c>
      <c r="H76" s="110">
        <v>2</v>
      </c>
      <c r="I76" s="169">
        <v>180</v>
      </c>
      <c r="J76" s="167">
        <f>(Table_1[[#This Row],[Tiempo (min) EST]]/Table_1[[#This Row],[Tiempo (min) REAL]])</f>
        <v>1</v>
      </c>
    </row>
    <row r="77" spans="1:10" ht="13.8" x14ac:dyDescent="0.25">
      <c r="A77" s="110">
        <v>6</v>
      </c>
      <c r="B77" s="110" t="s">
        <v>546</v>
      </c>
      <c r="C77" s="110" t="s">
        <v>548</v>
      </c>
      <c r="D77" s="110" t="s">
        <v>40</v>
      </c>
      <c r="E77" s="110" t="s">
        <v>582</v>
      </c>
      <c r="F77" s="110">
        <v>1</v>
      </c>
      <c r="G77" s="169">
        <f t="shared" si="3"/>
        <v>180</v>
      </c>
      <c r="H77" s="110">
        <v>1</v>
      </c>
      <c r="I77" s="169">
        <v>90</v>
      </c>
      <c r="J77" s="167">
        <f>(Table_1[[#This Row],[Tiempo (min) EST]]/Table_1[[#This Row],[Tiempo (min) REAL]])</f>
        <v>0.5</v>
      </c>
    </row>
    <row r="78" spans="1:10" ht="14.4" x14ac:dyDescent="0.3">
      <c r="A78" s="110">
        <v>6</v>
      </c>
      <c r="B78" s="110" t="s">
        <v>546</v>
      </c>
      <c r="C78" s="109" t="s">
        <v>572</v>
      </c>
      <c r="D78" s="110" t="s">
        <v>31</v>
      </c>
      <c r="E78" s="110" t="s">
        <v>583</v>
      </c>
      <c r="F78" s="110">
        <v>1</v>
      </c>
      <c r="G78" s="169">
        <v>30</v>
      </c>
      <c r="H78" s="110">
        <v>2</v>
      </c>
      <c r="I78" s="169">
        <v>40</v>
      </c>
      <c r="J78" s="167">
        <f>(Table_1[[#This Row],[Tiempo (min) EST]]/Table_1[[#This Row],[Tiempo (min) REAL]])</f>
        <v>1.3333333333333333</v>
      </c>
    </row>
    <row r="79" spans="1:10" ht="13.8" x14ac:dyDescent="0.25">
      <c r="A79" s="110">
        <v>6</v>
      </c>
      <c r="B79" s="110" t="s">
        <v>546</v>
      </c>
      <c r="C79" s="110" t="s">
        <v>549</v>
      </c>
      <c r="D79" s="110" t="s">
        <v>569</v>
      </c>
      <c r="E79" s="110" t="s">
        <v>582</v>
      </c>
      <c r="F79" s="110">
        <v>4</v>
      </c>
      <c r="G79" s="169">
        <v>60</v>
      </c>
      <c r="H79" s="110">
        <f>PRODUCT(2*2)</f>
        <v>4</v>
      </c>
      <c r="I79" s="169">
        <f>PRODUCT(60*2)</f>
        <v>120</v>
      </c>
      <c r="J79" s="167">
        <f>(Table_1[[#This Row],[Tiempo (min) EST]]/Table_1[[#This Row],[Tiempo (min) REAL]])</f>
        <v>2</v>
      </c>
    </row>
    <row r="80" spans="1:10" ht="14.4" x14ac:dyDescent="0.3">
      <c r="A80" s="110">
        <v>6</v>
      </c>
      <c r="B80" s="110" t="s">
        <v>546</v>
      </c>
      <c r="C80" s="109" t="s">
        <v>585</v>
      </c>
      <c r="D80" s="110" t="s">
        <v>558</v>
      </c>
      <c r="E80" s="109" t="s">
        <v>582</v>
      </c>
      <c r="F80" s="110">
        <v>6</v>
      </c>
      <c r="G80" s="169">
        <v>180</v>
      </c>
      <c r="H80" s="110">
        <v>6</v>
      </c>
      <c r="I80" s="169">
        <v>180</v>
      </c>
      <c r="J80" s="167">
        <f>(Table_1[[#This Row],[Tiempo (min) EST]]/Table_1[[#This Row],[Tiempo (min) REAL]])</f>
        <v>1</v>
      </c>
    </row>
    <row r="81" spans="1:10" ht="13.8" x14ac:dyDescent="0.25">
      <c r="A81" s="110">
        <v>6</v>
      </c>
      <c r="B81" s="110" t="s">
        <v>546</v>
      </c>
      <c r="C81" s="110" t="s">
        <v>550</v>
      </c>
      <c r="D81" s="110" t="s">
        <v>570</v>
      </c>
      <c r="E81" s="110" t="s">
        <v>582</v>
      </c>
      <c r="F81" s="110">
        <v>2</v>
      </c>
      <c r="G81" s="169">
        <f t="shared" si="3"/>
        <v>180</v>
      </c>
      <c r="H81" s="110">
        <v>2</v>
      </c>
      <c r="I81" s="169">
        <v>25</v>
      </c>
      <c r="J81" s="167">
        <f>(Table_1[[#This Row],[Tiempo (min) EST]]/Table_1[[#This Row],[Tiempo (min) REAL]])</f>
        <v>0.1388888888888889</v>
      </c>
    </row>
    <row r="82" spans="1:10" ht="13.8" x14ac:dyDescent="0.25">
      <c r="A82" s="110">
        <v>6</v>
      </c>
      <c r="B82" s="110" t="s">
        <v>546</v>
      </c>
      <c r="C82" s="110" t="s">
        <v>551</v>
      </c>
      <c r="D82" s="110" t="s">
        <v>37</v>
      </c>
      <c r="E82" s="110" t="s">
        <v>582</v>
      </c>
      <c r="F82" s="110">
        <v>2</v>
      </c>
      <c r="G82" s="169">
        <v>28</v>
      </c>
      <c r="H82" s="110">
        <v>2</v>
      </c>
      <c r="I82" s="169">
        <v>30</v>
      </c>
      <c r="J82" s="167">
        <f>(Table_1[[#This Row],[Tiempo (min) EST]]/Table_1[[#This Row],[Tiempo (min) REAL]])</f>
        <v>1.0714285714285714</v>
      </c>
    </row>
    <row r="83" spans="1:10" ht="13.8" x14ac:dyDescent="0.25">
      <c r="A83" s="110">
        <v>6</v>
      </c>
      <c r="B83" s="110" t="s">
        <v>546</v>
      </c>
      <c r="C83" s="102" t="s">
        <v>519</v>
      </c>
      <c r="D83" s="110" t="s">
        <v>22</v>
      </c>
      <c r="E83" s="110" t="s">
        <v>583</v>
      </c>
      <c r="F83" s="110">
        <v>2</v>
      </c>
      <c r="G83" s="169">
        <v>28</v>
      </c>
      <c r="H83" s="110">
        <v>2</v>
      </c>
      <c r="I83" s="169">
        <v>30</v>
      </c>
      <c r="J83" s="167">
        <f>(Table_1[[#This Row],[Tiempo (min) EST]]/Table_1[[#This Row],[Tiempo (min) REAL]])</f>
        <v>1.0714285714285714</v>
      </c>
    </row>
    <row r="84" spans="1:10" ht="13.8" x14ac:dyDescent="0.25">
      <c r="A84" s="110">
        <v>6</v>
      </c>
      <c r="B84" s="110" t="s">
        <v>546</v>
      </c>
      <c r="C84" s="103" t="s">
        <v>520</v>
      </c>
      <c r="D84" s="110" t="s">
        <v>31</v>
      </c>
      <c r="E84" s="110" t="s">
        <v>583</v>
      </c>
      <c r="F84" s="110">
        <v>2</v>
      </c>
      <c r="G84" s="169">
        <v>28</v>
      </c>
      <c r="H84" s="110">
        <v>2</v>
      </c>
      <c r="I84" s="169">
        <v>30</v>
      </c>
      <c r="J84" s="167">
        <f>(Table_1[[#This Row],[Tiempo (min) EST]]/Table_1[[#This Row],[Tiempo (min) REAL]])</f>
        <v>1.0714285714285714</v>
      </c>
    </row>
    <row r="85" spans="1:10" ht="14.4" x14ac:dyDescent="0.3">
      <c r="A85" s="110">
        <v>6</v>
      </c>
      <c r="B85" s="110" t="s">
        <v>546</v>
      </c>
      <c r="C85" s="104" t="s">
        <v>79</v>
      </c>
      <c r="D85" s="110" t="s">
        <v>37</v>
      </c>
      <c r="E85" s="110" t="s">
        <v>583</v>
      </c>
      <c r="F85" s="110">
        <v>1</v>
      </c>
      <c r="G85" s="169">
        <v>28</v>
      </c>
      <c r="H85" s="110">
        <v>2</v>
      </c>
      <c r="I85" s="169">
        <v>30</v>
      </c>
      <c r="J85" s="167">
        <f>(Table_1[[#This Row],[Tiempo (min) EST]]/Table_1[[#This Row],[Tiempo (min) REAL]])</f>
        <v>1.0714285714285714</v>
      </c>
    </row>
    <row r="86" spans="1:10" ht="13.8" x14ac:dyDescent="0.25">
      <c r="A86" s="110">
        <v>6</v>
      </c>
      <c r="B86" s="110" t="s">
        <v>546</v>
      </c>
      <c r="C86" s="103" t="s">
        <v>523</v>
      </c>
      <c r="D86" s="110" t="s">
        <v>22</v>
      </c>
      <c r="E86" s="110" t="s">
        <v>583</v>
      </c>
      <c r="F86" s="110">
        <v>1</v>
      </c>
      <c r="G86" s="169">
        <v>28</v>
      </c>
      <c r="H86" s="110">
        <v>2</v>
      </c>
      <c r="I86" s="169">
        <v>30</v>
      </c>
      <c r="J86" s="167">
        <f>(Table_1[[#This Row],[Tiempo (min) EST]]/Table_1[[#This Row],[Tiempo (min) REAL]])</f>
        <v>1.0714285714285714</v>
      </c>
    </row>
    <row r="87" spans="1:10" ht="14.4" x14ac:dyDescent="0.3">
      <c r="A87" s="110">
        <v>6</v>
      </c>
      <c r="B87" s="110" t="s">
        <v>546</v>
      </c>
      <c r="C87" s="104" t="s">
        <v>88</v>
      </c>
      <c r="D87" s="110" t="s">
        <v>558</v>
      </c>
      <c r="E87" s="110" t="s">
        <v>583</v>
      </c>
      <c r="F87" s="110">
        <v>18</v>
      </c>
      <c r="G87" s="169">
        <f t="shared" si="3"/>
        <v>180</v>
      </c>
      <c r="H87" s="110">
        <f>PRODUCT(3*6)</f>
        <v>18</v>
      </c>
      <c r="I87" s="169">
        <f>PRODUCT(30*6)</f>
        <v>180</v>
      </c>
      <c r="J87" s="167">
        <f>(Table_1[[#This Row],[Tiempo (min) EST]]/Table_1[[#This Row],[Tiempo (min) REAL]])</f>
        <v>1</v>
      </c>
    </row>
    <row r="88" spans="1:10" ht="14.4" x14ac:dyDescent="0.3">
      <c r="A88" s="110">
        <v>6</v>
      </c>
      <c r="B88" s="110" t="s">
        <v>546</v>
      </c>
      <c r="C88" s="105" t="s">
        <v>524</v>
      </c>
      <c r="D88" s="110" t="s">
        <v>558</v>
      </c>
      <c r="E88" s="110" t="s">
        <v>583</v>
      </c>
      <c r="F88" s="110">
        <v>12</v>
      </c>
      <c r="G88" s="169">
        <f t="shared" si="3"/>
        <v>180</v>
      </c>
      <c r="H88" s="110">
        <f>PRODUCT(2*6)</f>
        <v>12</v>
      </c>
      <c r="I88" s="169">
        <f>PRODUCT(30*6)</f>
        <v>180</v>
      </c>
      <c r="J88" s="167">
        <f>(Table_1[[#This Row],[Tiempo (min) EST]]/Table_1[[#This Row],[Tiempo (min) REAL]])</f>
        <v>1</v>
      </c>
    </row>
    <row r="89" spans="1:10" ht="13.8" x14ac:dyDescent="0.25">
      <c r="A89" s="110">
        <v>7</v>
      </c>
      <c r="B89" s="110" t="s">
        <v>552</v>
      </c>
      <c r="C89" s="103" t="s">
        <v>406</v>
      </c>
      <c r="D89" s="110" t="s">
        <v>37</v>
      </c>
      <c r="E89" s="110" t="s">
        <v>582</v>
      </c>
      <c r="F89" s="110">
        <v>2</v>
      </c>
      <c r="G89" s="169">
        <v>30</v>
      </c>
      <c r="H89" s="110">
        <v>2</v>
      </c>
      <c r="I89" s="169">
        <v>30</v>
      </c>
      <c r="J89" s="167">
        <f>(Table_1[[#This Row],[Tiempo (min) EST]]/Table_1[[#This Row],[Tiempo (min) REAL]])</f>
        <v>1</v>
      </c>
    </row>
    <row r="90" spans="1:10" ht="13.8" customHeight="1" x14ac:dyDescent="0.3">
      <c r="A90" s="110">
        <v>7</v>
      </c>
      <c r="B90" s="110" t="s">
        <v>552</v>
      </c>
      <c r="C90" s="109" t="s">
        <v>596</v>
      </c>
      <c r="D90" s="110" t="s">
        <v>558</v>
      </c>
      <c r="E90" s="109" t="s">
        <v>583</v>
      </c>
      <c r="F90" s="110">
        <v>1</v>
      </c>
      <c r="G90" s="169">
        <v>55</v>
      </c>
      <c r="H90" s="110">
        <v>2</v>
      </c>
      <c r="I90" s="169">
        <v>60</v>
      </c>
      <c r="J90" s="167">
        <f>(Table_1[[#This Row],[Tiempo (min) EST]]/Table_1[[#This Row],[Tiempo (min) REAL]])</f>
        <v>1.0909090909090908</v>
      </c>
    </row>
    <row r="91" spans="1:10" ht="13.8" x14ac:dyDescent="0.25">
      <c r="A91" s="110">
        <v>7</v>
      </c>
      <c r="B91" s="110" t="s">
        <v>552</v>
      </c>
      <c r="C91" s="103" t="s">
        <v>586</v>
      </c>
      <c r="D91" s="110" t="s">
        <v>568</v>
      </c>
      <c r="E91" s="110" t="s">
        <v>582</v>
      </c>
      <c r="F91" s="110">
        <v>7</v>
      </c>
      <c r="G91" s="169">
        <v>180</v>
      </c>
      <c r="H91" s="110">
        <v>2</v>
      </c>
      <c r="I91" s="169">
        <v>180</v>
      </c>
      <c r="J91" s="167">
        <f>(Table_1[[#This Row],[Tiempo (min) EST]]/Table_1[[#This Row],[Tiempo (min) REAL]])</f>
        <v>1</v>
      </c>
    </row>
    <row r="92" spans="1:10" ht="13.8" x14ac:dyDescent="0.25">
      <c r="A92" s="110">
        <v>7</v>
      </c>
      <c r="B92" s="110" t="s">
        <v>552</v>
      </c>
      <c r="C92" s="103" t="s">
        <v>553</v>
      </c>
      <c r="D92" s="110" t="s">
        <v>564</v>
      </c>
      <c r="E92" s="110" t="s">
        <v>582</v>
      </c>
      <c r="F92" s="110">
        <v>4</v>
      </c>
      <c r="G92" s="169">
        <f>PRODUCT(30*2)</f>
        <v>60</v>
      </c>
      <c r="H92" s="110">
        <v>2</v>
      </c>
      <c r="I92" s="169">
        <v>60</v>
      </c>
      <c r="J92" s="167">
        <f>(Table_1[[#This Row],[Tiempo (min) EST]]/Table_1[[#This Row],[Tiempo (min) REAL]])</f>
        <v>1</v>
      </c>
    </row>
    <row r="93" spans="1:10" ht="14.4" x14ac:dyDescent="0.3">
      <c r="A93" s="110">
        <v>7</v>
      </c>
      <c r="B93" s="110" t="s">
        <v>552</v>
      </c>
      <c r="C93" s="109" t="s">
        <v>572</v>
      </c>
      <c r="D93" s="110" t="s">
        <v>31</v>
      </c>
      <c r="E93" s="110" t="s">
        <v>583</v>
      </c>
      <c r="F93" s="110">
        <v>2</v>
      </c>
      <c r="G93" s="169">
        <v>30</v>
      </c>
      <c r="H93" s="110">
        <v>2</v>
      </c>
      <c r="I93" s="169">
        <v>40</v>
      </c>
      <c r="J93" s="167">
        <f>(Table_1[[#This Row],[Tiempo (min) EST]]/Table_1[[#This Row],[Tiempo (min) REAL]])</f>
        <v>1.3333333333333333</v>
      </c>
    </row>
    <row r="94" spans="1:10" ht="14.4" x14ac:dyDescent="0.3">
      <c r="A94" s="110">
        <v>7</v>
      </c>
      <c r="B94" s="110" t="s">
        <v>552</v>
      </c>
      <c r="C94" s="109" t="s">
        <v>585</v>
      </c>
      <c r="D94" s="110" t="s">
        <v>558</v>
      </c>
      <c r="E94" s="109" t="s">
        <v>582</v>
      </c>
      <c r="F94" s="110">
        <v>6</v>
      </c>
      <c r="G94" s="169">
        <v>180</v>
      </c>
      <c r="H94" s="110">
        <v>6</v>
      </c>
      <c r="I94" s="169">
        <v>180</v>
      </c>
      <c r="J94" s="167">
        <f>(Table_1[[#This Row],[Tiempo (min) EST]]/Table_1[[#This Row],[Tiempo (min) REAL]])</f>
        <v>1</v>
      </c>
    </row>
    <row r="95" spans="1:10" ht="13.8" x14ac:dyDescent="0.25">
      <c r="A95" s="110">
        <v>7</v>
      </c>
      <c r="B95" s="110" t="s">
        <v>552</v>
      </c>
      <c r="C95" s="103" t="s">
        <v>554</v>
      </c>
      <c r="D95" s="110" t="s">
        <v>558</v>
      </c>
      <c r="E95" s="110" t="s">
        <v>582</v>
      </c>
      <c r="F95" s="110">
        <v>18</v>
      </c>
      <c r="G95" s="169">
        <f t="shared" si="3"/>
        <v>180</v>
      </c>
      <c r="H95" s="110">
        <f>PRODUCT(3*6)</f>
        <v>18</v>
      </c>
      <c r="I95" s="169">
        <f>PRODUCT(30*6)</f>
        <v>180</v>
      </c>
      <c r="J95" s="167">
        <f>(Table_1[[#This Row],[Tiempo (min) EST]]/Table_1[[#This Row],[Tiempo (min) REAL]])</f>
        <v>1</v>
      </c>
    </row>
    <row r="96" spans="1:10" ht="13.8" x14ac:dyDescent="0.25">
      <c r="A96" s="110">
        <v>7</v>
      </c>
      <c r="B96" s="110" t="s">
        <v>552</v>
      </c>
      <c r="C96" s="102" t="s">
        <v>519</v>
      </c>
      <c r="D96" s="110" t="s">
        <v>22</v>
      </c>
      <c r="E96" s="110" t="s">
        <v>583</v>
      </c>
      <c r="F96" s="110">
        <v>4</v>
      </c>
      <c r="G96" s="169">
        <f>PRODUCT(30*1)</f>
        <v>30</v>
      </c>
      <c r="H96" s="110">
        <v>4</v>
      </c>
      <c r="I96" s="169">
        <v>30</v>
      </c>
      <c r="J96" s="167">
        <f>(Table_1[[#This Row],[Tiempo (min) EST]]/Table_1[[#This Row],[Tiempo (min) REAL]])</f>
        <v>1</v>
      </c>
    </row>
    <row r="97" spans="1:10" ht="13.8" x14ac:dyDescent="0.25">
      <c r="A97" s="110">
        <v>7</v>
      </c>
      <c r="B97" s="110" t="s">
        <v>552</v>
      </c>
      <c r="C97" s="103" t="s">
        <v>520</v>
      </c>
      <c r="D97" s="110" t="s">
        <v>31</v>
      </c>
      <c r="E97" s="110" t="s">
        <v>583</v>
      </c>
      <c r="F97" s="110">
        <v>4</v>
      </c>
      <c r="G97" s="169">
        <f t="shared" ref="G97:G99" si="4">PRODUCT(30*1)</f>
        <v>30</v>
      </c>
      <c r="H97" s="110">
        <v>4</v>
      </c>
      <c r="I97" s="169">
        <v>30</v>
      </c>
      <c r="J97" s="167">
        <f>(Table_1[[#This Row],[Tiempo (min) EST]]/Table_1[[#This Row],[Tiempo (min) REAL]])</f>
        <v>1</v>
      </c>
    </row>
    <row r="98" spans="1:10" ht="14.4" x14ac:dyDescent="0.3">
      <c r="A98" s="110">
        <v>7</v>
      </c>
      <c r="B98" s="110" t="s">
        <v>552</v>
      </c>
      <c r="C98" s="104" t="s">
        <v>79</v>
      </c>
      <c r="D98" s="110" t="s">
        <v>37</v>
      </c>
      <c r="E98" s="110" t="s">
        <v>583</v>
      </c>
      <c r="F98" s="110">
        <v>4</v>
      </c>
      <c r="G98" s="169">
        <f t="shared" si="4"/>
        <v>30</v>
      </c>
      <c r="H98" s="110">
        <v>4</v>
      </c>
      <c r="I98" s="169">
        <v>30</v>
      </c>
      <c r="J98" s="167">
        <f>(Table_1[[#This Row],[Tiempo (min) EST]]/Table_1[[#This Row],[Tiempo (min) REAL]])</f>
        <v>1</v>
      </c>
    </row>
    <row r="99" spans="1:10" ht="13.8" x14ac:dyDescent="0.25">
      <c r="A99" s="110">
        <v>7</v>
      </c>
      <c r="B99" s="110" t="s">
        <v>552</v>
      </c>
      <c r="C99" s="103" t="s">
        <v>523</v>
      </c>
      <c r="D99" s="110" t="s">
        <v>22</v>
      </c>
      <c r="E99" s="110" t="s">
        <v>583</v>
      </c>
      <c r="F99" s="110">
        <v>4</v>
      </c>
      <c r="G99" s="169">
        <f t="shared" si="4"/>
        <v>30</v>
      </c>
      <c r="H99" s="110">
        <v>4</v>
      </c>
      <c r="I99" s="169">
        <v>30</v>
      </c>
      <c r="J99" s="167">
        <f>(Table_1[[#This Row],[Tiempo (min) EST]]/Table_1[[#This Row],[Tiempo (min) REAL]])</f>
        <v>1</v>
      </c>
    </row>
    <row r="100" spans="1:10" ht="14.4" x14ac:dyDescent="0.3">
      <c r="A100" s="110">
        <v>7</v>
      </c>
      <c r="B100" s="110" t="s">
        <v>552</v>
      </c>
      <c r="C100" s="104" t="s">
        <v>88</v>
      </c>
      <c r="D100" s="110" t="s">
        <v>558</v>
      </c>
      <c r="E100" s="110" t="s">
        <v>583</v>
      </c>
      <c r="F100" s="110">
        <v>18</v>
      </c>
      <c r="G100" s="169">
        <f t="shared" si="3"/>
        <v>180</v>
      </c>
      <c r="H100" s="110">
        <f>PRODUCT(3*6)</f>
        <v>18</v>
      </c>
      <c r="I100" s="169">
        <f>PRODUCT(30*6)</f>
        <v>180</v>
      </c>
      <c r="J100" s="167">
        <f>(Table_1[[#This Row],[Tiempo (min) EST]]/Table_1[[#This Row],[Tiempo (min) REAL]])</f>
        <v>1</v>
      </c>
    </row>
    <row r="101" spans="1:10" ht="14.4" x14ac:dyDescent="0.3">
      <c r="A101" s="110">
        <v>7</v>
      </c>
      <c r="B101" s="110" t="s">
        <v>552</v>
      </c>
      <c r="C101" s="105" t="s">
        <v>524</v>
      </c>
      <c r="D101" s="110" t="s">
        <v>558</v>
      </c>
      <c r="E101" s="110" t="s">
        <v>583</v>
      </c>
      <c r="F101" s="110">
        <v>18</v>
      </c>
      <c r="G101" s="169">
        <f>PRODUCT(30*6)</f>
        <v>180</v>
      </c>
      <c r="H101" s="110">
        <f>PRODUCT(1*6)</f>
        <v>6</v>
      </c>
      <c r="I101" s="169">
        <f>PRODUCT(30*6)</f>
        <v>180</v>
      </c>
      <c r="J101" s="167">
        <f>(Table_1[[#This Row],[Tiempo (min) EST]]/Table_1[[#This Row],[Tiempo (min) REAL]])</f>
        <v>1</v>
      </c>
    </row>
    <row r="102" spans="1:10" ht="13.8" x14ac:dyDescent="0.25">
      <c r="A102" s="110">
        <v>8</v>
      </c>
      <c r="B102" s="110" t="s">
        <v>494</v>
      </c>
      <c r="C102" s="103" t="s">
        <v>555</v>
      </c>
      <c r="D102" s="110" t="s">
        <v>571</v>
      </c>
      <c r="E102" s="110" t="s">
        <v>582</v>
      </c>
      <c r="F102" s="110">
        <v>9</v>
      </c>
      <c r="G102" s="169">
        <v>90</v>
      </c>
      <c r="H102" s="110">
        <f>PRODUCT(3*3)</f>
        <v>9</v>
      </c>
      <c r="I102" s="169">
        <f>PRODUCT(30*3)</f>
        <v>90</v>
      </c>
      <c r="J102" s="167">
        <f>(Table_1[[#This Row],[Tiempo (min) EST]]/Table_1[[#This Row],[Tiempo (min) REAL]])</f>
        <v>1</v>
      </c>
    </row>
    <row r="103" spans="1:10" ht="13.8" customHeight="1" x14ac:dyDescent="0.3">
      <c r="A103" s="110">
        <v>8</v>
      </c>
      <c r="B103" s="110" t="s">
        <v>494</v>
      </c>
      <c r="C103" s="109" t="s">
        <v>596</v>
      </c>
      <c r="D103" s="110" t="s">
        <v>558</v>
      </c>
      <c r="E103" s="109" t="s">
        <v>583</v>
      </c>
      <c r="F103" s="110">
        <v>1</v>
      </c>
      <c r="G103" s="169">
        <v>55</v>
      </c>
      <c r="H103" s="110">
        <v>2</v>
      </c>
      <c r="I103" s="169">
        <v>60</v>
      </c>
      <c r="J103" s="167">
        <f>(Table_1[[#This Row],[Tiempo (min) EST]]/Table_1[[#This Row],[Tiempo (min) REAL]])</f>
        <v>1.0909090909090908</v>
      </c>
    </row>
    <row r="104" spans="1:10" ht="13.8" x14ac:dyDescent="0.25">
      <c r="A104" s="110">
        <v>8</v>
      </c>
      <c r="B104" s="110" t="s">
        <v>494</v>
      </c>
      <c r="C104" s="103" t="s">
        <v>556</v>
      </c>
      <c r="D104" s="110" t="s">
        <v>558</v>
      </c>
      <c r="E104" s="110" t="s">
        <v>582</v>
      </c>
      <c r="F104" s="110">
        <v>18</v>
      </c>
      <c r="G104" s="169">
        <f t="shared" si="3"/>
        <v>180</v>
      </c>
      <c r="H104" s="110">
        <f>PRODUCT(3*6)</f>
        <v>18</v>
      </c>
      <c r="I104" s="169">
        <f>PRODUCT(30*6)</f>
        <v>180</v>
      </c>
      <c r="J104" s="167">
        <f>(Table_1[[#This Row],[Tiempo (min) EST]]/Table_1[[#This Row],[Tiempo (min) REAL]])</f>
        <v>1</v>
      </c>
    </row>
    <row r="105" spans="1:10" ht="14.4" x14ac:dyDescent="0.3">
      <c r="A105" s="110">
        <v>8</v>
      </c>
      <c r="B105" s="110" t="s">
        <v>494</v>
      </c>
      <c r="C105" s="109" t="s">
        <v>572</v>
      </c>
      <c r="D105" s="110" t="s">
        <v>31</v>
      </c>
      <c r="E105" s="110" t="s">
        <v>583</v>
      </c>
      <c r="F105" s="110">
        <v>1</v>
      </c>
      <c r="G105" s="169">
        <v>30</v>
      </c>
      <c r="H105" s="110">
        <v>2</v>
      </c>
      <c r="I105" s="169">
        <v>40</v>
      </c>
      <c r="J105" s="167">
        <f>(Table_1[[#This Row],[Tiempo (min) EST]]/Table_1[[#This Row],[Tiempo (min) REAL]])</f>
        <v>1.3333333333333333</v>
      </c>
    </row>
    <row r="106" spans="1:10" ht="13.8" x14ac:dyDescent="0.25">
      <c r="A106" s="110">
        <v>8</v>
      </c>
      <c r="B106" s="110" t="s">
        <v>494</v>
      </c>
      <c r="C106" s="103" t="s">
        <v>557</v>
      </c>
      <c r="D106" s="110" t="s">
        <v>558</v>
      </c>
      <c r="E106" s="110" t="s">
        <v>582</v>
      </c>
      <c r="F106" s="110">
        <v>6</v>
      </c>
      <c r="G106" s="169">
        <f t="shared" si="3"/>
        <v>180</v>
      </c>
      <c r="H106" s="110">
        <f>PRODUCT(3*6)</f>
        <v>18</v>
      </c>
      <c r="I106" s="169">
        <f t="shared" ref="I106:I107" si="5">PRODUCT(30*6)</f>
        <v>180</v>
      </c>
      <c r="J106" s="167">
        <f>(Table_1[[#This Row],[Tiempo (min) EST]]/Table_1[[#This Row],[Tiempo (min) REAL]])</f>
        <v>1</v>
      </c>
    </row>
    <row r="107" spans="1:10" ht="13.8" x14ac:dyDescent="0.25">
      <c r="A107" s="110">
        <v>8</v>
      </c>
      <c r="B107" s="110" t="s">
        <v>494</v>
      </c>
      <c r="C107" s="103" t="s">
        <v>585</v>
      </c>
      <c r="D107" s="110" t="s">
        <v>558</v>
      </c>
      <c r="E107" s="110" t="s">
        <v>582</v>
      </c>
      <c r="F107" s="110">
        <v>6</v>
      </c>
      <c r="G107" s="169">
        <v>30</v>
      </c>
      <c r="H107" s="110">
        <f>PRODUCT(2*6)</f>
        <v>12</v>
      </c>
      <c r="I107" s="169">
        <f t="shared" si="5"/>
        <v>180</v>
      </c>
      <c r="J107" s="167">
        <f>(Table_1[[#This Row],[Tiempo (min) EST]]/Table_1[[#This Row],[Tiempo (min) REAL]])</f>
        <v>6</v>
      </c>
    </row>
    <row r="108" spans="1:10" ht="13.8" x14ac:dyDescent="0.25">
      <c r="A108" s="110">
        <v>8</v>
      </c>
      <c r="B108" s="110" t="s">
        <v>494</v>
      </c>
      <c r="C108" s="102" t="s">
        <v>519</v>
      </c>
      <c r="D108" s="110" t="s">
        <v>22</v>
      </c>
      <c r="E108" s="110" t="s">
        <v>583</v>
      </c>
      <c r="F108" s="110">
        <v>2</v>
      </c>
      <c r="G108" s="169">
        <v>30</v>
      </c>
      <c r="H108" s="110">
        <v>1</v>
      </c>
      <c r="I108" s="169">
        <v>30</v>
      </c>
      <c r="J108" s="167">
        <f>(Table_1[[#This Row],[Tiempo (min) EST]]/Table_1[[#This Row],[Tiempo (min) REAL]])</f>
        <v>1</v>
      </c>
    </row>
    <row r="109" spans="1:10" ht="13.8" x14ac:dyDescent="0.25">
      <c r="A109" s="110">
        <v>8</v>
      </c>
      <c r="B109" s="110" t="s">
        <v>494</v>
      </c>
      <c r="C109" s="103" t="s">
        <v>520</v>
      </c>
      <c r="D109" s="110" t="s">
        <v>31</v>
      </c>
      <c r="E109" s="110" t="s">
        <v>583</v>
      </c>
      <c r="F109" s="110">
        <v>2</v>
      </c>
      <c r="G109" s="169">
        <v>30</v>
      </c>
      <c r="H109" s="110">
        <v>1</v>
      </c>
      <c r="I109" s="169">
        <v>30</v>
      </c>
      <c r="J109" s="167">
        <f>(Table_1[[#This Row],[Tiempo (min) EST]]/Table_1[[#This Row],[Tiempo (min) REAL]])</f>
        <v>1</v>
      </c>
    </row>
    <row r="110" spans="1:10" ht="14.4" x14ac:dyDescent="0.3">
      <c r="A110" s="110">
        <v>8</v>
      </c>
      <c r="B110" s="110" t="s">
        <v>494</v>
      </c>
      <c r="C110" s="104" t="s">
        <v>79</v>
      </c>
      <c r="D110" s="110" t="s">
        <v>37</v>
      </c>
      <c r="E110" s="110" t="s">
        <v>583</v>
      </c>
      <c r="F110" s="110">
        <v>2</v>
      </c>
      <c r="G110" s="169">
        <v>30</v>
      </c>
      <c r="H110" s="110">
        <v>1</v>
      </c>
      <c r="I110" s="169">
        <v>30</v>
      </c>
      <c r="J110" s="167">
        <f>(Table_1[[#This Row],[Tiempo (min) EST]]/Table_1[[#This Row],[Tiempo (min) REAL]])</f>
        <v>1</v>
      </c>
    </row>
    <row r="111" spans="1:10" ht="13.8" x14ac:dyDescent="0.25">
      <c r="A111" s="110">
        <v>8</v>
      </c>
      <c r="B111" s="110" t="s">
        <v>494</v>
      </c>
      <c r="C111" s="103" t="s">
        <v>523</v>
      </c>
      <c r="D111" s="110" t="s">
        <v>22</v>
      </c>
      <c r="E111" s="110" t="s">
        <v>583</v>
      </c>
      <c r="F111" s="110">
        <v>2</v>
      </c>
      <c r="G111" s="169">
        <v>30</v>
      </c>
      <c r="H111" s="110">
        <v>1</v>
      </c>
      <c r="I111" s="169">
        <v>30</v>
      </c>
      <c r="J111" s="167">
        <f>(Table_1[[#This Row],[Tiempo (min) EST]]/Table_1[[#This Row],[Tiempo (min) REAL]])</f>
        <v>1</v>
      </c>
    </row>
    <row r="112" spans="1:10" ht="14.4" x14ac:dyDescent="0.3">
      <c r="A112" s="110">
        <v>8</v>
      </c>
      <c r="B112" s="110" t="s">
        <v>494</v>
      </c>
      <c r="C112" s="104" t="s">
        <v>88</v>
      </c>
      <c r="D112" s="110" t="s">
        <v>558</v>
      </c>
      <c r="E112" s="110" t="s">
        <v>583</v>
      </c>
      <c r="F112" s="110">
        <v>12</v>
      </c>
      <c r="G112" s="169">
        <f t="shared" si="3"/>
        <v>180</v>
      </c>
      <c r="H112" s="110">
        <v>12</v>
      </c>
      <c r="I112" s="169">
        <f>PRODUCT(30*6)</f>
        <v>180</v>
      </c>
      <c r="J112" s="167">
        <f>(Table_1[[#This Row],[Tiempo (min) EST]]/Table_1[[#This Row],[Tiempo (min) REAL]])</f>
        <v>1</v>
      </c>
    </row>
    <row r="113" spans="1:10" ht="14.4" x14ac:dyDescent="0.3">
      <c r="A113" s="110">
        <v>8</v>
      </c>
      <c r="B113" s="110" t="s">
        <v>494</v>
      </c>
      <c r="C113" s="105" t="s">
        <v>524</v>
      </c>
      <c r="D113" s="110" t="s">
        <v>558</v>
      </c>
      <c r="E113" s="110" t="s">
        <v>583</v>
      </c>
      <c r="F113" s="110">
        <v>6</v>
      </c>
      <c r="G113" s="169">
        <f t="shared" si="3"/>
        <v>180</v>
      </c>
      <c r="H113" s="110">
        <f>PRODUCT(3*6)</f>
        <v>18</v>
      </c>
      <c r="I113" s="169">
        <f>PRODUCT(30*6)</f>
        <v>180</v>
      </c>
      <c r="J113" s="167">
        <f>(Table_1[[#This Row],[Tiempo (min) EST]]/Table_1[[#This Row],[Tiempo (min) REAL]])</f>
        <v>1</v>
      </c>
    </row>
    <row r="114" spans="1:10" ht="14.4" x14ac:dyDescent="0.3">
      <c r="A114" s="110" t="s">
        <v>584</v>
      </c>
      <c r="B114" s="110"/>
      <c r="C114" s="111">
        <f>COUNTA(C4:C113)</f>
        <v>110</v>
      </c>
      <c r="D114" s="110"/>
      <c r="E114" s="110"/>
      <c r="F114" s="112">
        <f>SUM(F4:F113)</f>
        <v>510</v>
      </c>
      <c r="G114" s="170">
        <f>SUM(G2:G113)</f>
        <v>10095</v>
      </c>
      <c r="H114" s="112">
        <f>SUM(H4:H113)</f>
        <v>548</v>
      </c>
      <c r="I114" s="170">
        <f>SUM(I2:I113)</f>
        <v>10010</v>
      </c>
      <c r="J114" s="167">
        <f>(Table_1[[#This Row],[Tiempo (min) EST]]/Table_1[[#This Row],[Tiempo (min) REAL]])</f>
        <v>0.99157999009410602</v>
      </c>
    </row>
  </sheetData>
  <dataValidations count="1">
    <dataValidation type="list" allowBlank="1" showErrorMessage="1" sqref="E2:E113" xr:uid="{6658AB6A-0F81-4212-8BB2-710CC5572375}">
      <formula1>"Unico,Común"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4229-B21F-4497-8DB2-8D78B153E6AB}">
  <dimension ref="A1:T729"/>
  <sheetViews>
    <sheetView topLeftCell="A527" zoomScale="68" zoomScaleNormal="68" workbookViewId="0">
      <selection activeCell="B274" sqref="B274"/>
    </sheetView>
  </sheetViews>
  <sheetFormatPr baseColWidth="10" defaultColWidth="11.44140625" defaultRowHeight="13.2" x14ac:dyDescent="0.25"/>
  <cols>
    <col min="1" max="1" width="22.5546875" style="113" bestFit="1" customWidth="1"/>
    <col min="2" max="2" width="52.33203125" style="121" bestFit="1" customWidth="1"/>
    <col min="3" max="3" width="42" style="121" bestFit="1" customWidth="1"/>
    <col min="4" max="4" width="24.5546875" style="113" bestFit="1" customWidth="1"/>
    <col min="5" max="5" width="25" style="113" bestFit="1" customWidth="1"/>
    <col min="6" max="8" width="10.6640625" style="113" customWidth="1"/>
    <col min="9" max="10" width="10.6640625" style="139" customWidth="1"/>
    <col min="11" max="11" width="10.6640625" style="140" customWidth="1"/>
    <col min="12" max="12" width="10.6640625" style="141" customWidth="1"/>
    <col min="13" max="13" width="48.109375" style="142" bestFit="1" customWidth="1"/>
    <col min="14" max="14" width="12.109375" style="117" customWidth="1"/>
  </cols>
  <sheetData>
    <row r="1" spans="1:20" ht="32.25" customHeight="1" x14ac:dyDescent="0.25">
      <c r="A1" s="175"/>
      <c r="B1" s="177" t="s">
        <v>0</v>
      </c>
      <c r="C1" s="177"/>
      <c r="D1" s="177"/>
      <c r="E1" s="177"/>
      <c r="F1" s="177"/>
      <c r="G1" s="177"/>
      <c r="H1" s="177"/>
      <c r="I1" s="177"/>
      <c r="J1" s="177"/>
      <c r="K1" s="177"/>
      <c r="L1" s="179"/>
      <c r="M1" s="180"/>
    </row>
    <row r="2" spans="1:20" ht="20.25" customHeight="1" x14ac:dyDescent="0.25">
      <c r="A2" s="176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81"/>
      <c r="M2" s="182"/>
    </row>
    <row r="3" spans="1:20" ht="12.75" customHeight="1" x14ac:dyDescent="0.25">
      <c r="A3" s="193" t="s">
        <v>1</v>
      </c>
      <c r="B3" s="185" t="s">
        <v>2</v>
      </c>
      <c r="C3" s="185"/>
      <c r="D3" s="185"/>
      <c r="E3" s="185"/>
      <c r="F3" s="185"/>
      <c r="G3" s="185"/>
      <c r="H3" s="185"/>
      <c r="I3" s="185"/>
      <c r="J3" s="185"/>
      <c r="K3" s="185"/>
      <c r="L3" s="195" t="s">
        <v>3</v>
      </c>
      <c r="M3" s="196"/>
    </row>
    <row r="4" spans="1:20" ht="13.8" thickBot="1" x14ac:dyDescent="0.3">
      <c r="A4" s="194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37" t="s">
        <v>4</v>
      </c>
      <c r="M4" s="138"/>
    </row>
    <row r="5" spans="1:20" ht="13.8" thickBot="1" x14ac:dyDescent="0.3"/>
    <row r="6" spans="1:20" ht="13.8" thickBot="1" x14ac:dyDescent="0.3">
      <c r="A6" s="123" t="s">
        <v>5</v>
      </c>
      <c r="B6" s="189" t="s">
        <v>6</v>
      </c>
      <c r="C6" s="189"/>
      <c r="D6" s="189"/>
      <c r="E6" s="189"/>
      <c r="F6" s="189"/>
      <c r="G6" s="189"/>
      <c r="H6" s="190" t="s">
        <v>7</v>
      </c>
      <c r="I6" s="191"/>
      <c r="J6" s="191"/>
      <c r="K6" s="191"/>
      <c r="L6" s="192"/>
      <c r="M6" s="143"/>
    </row>
    <row r="7" spans="1:20" s="14" customFormat="1" ht="49.5" customHeight="1" x14ac:dyDescent="0.25">
      <c r="A7" s="18" cm="1">
        <f t="array" aca="1" ref="A7" ca="1">+#REF!+A1:L7+A7:L50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N7" s="144"/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5">
      <c r="A8" s="124" t="s">
        <v>20</v>
      </c>
      <c r="B8" s="114" t="s">
        <v>21</v>
      </c>
      <c r="C8" s="114" t="s">
        <v>22</v>
      </c>
      <c r="D8" s="145">
        <v>1</v>
      </c>
      <c r="E8" s="145">
        <v>45</v>
      </c>
      <c r="F8" s="116">
        <v>45882</v>
      </c>
      <c r="G8" s="146">
        <v>0.375</v>
      </c>
      <c r="H8" s="116">
        <v>45877</v>
      </c>
      <c r="I8" s="146">
        <v>0.4375</v>
      </c>
      <c r="J8" s="147">
        <f t="shared" ref="J8:J50" si="0">E8-L8</f>
        <v>-15</v>
      </c>
      <c r="K8" s="148">
        <v>1</v>
      </c>
      <c r="L8" s="149">
        <v>60</v>
      </c>
      <c r="M8" s="149" t="s">
        <v>23</v>
      </c>
      <c r="N8" s="117"/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5">
      <c r="A9" s="124" t="s">
        <v>24</v>
      </c>
      <c r="B9" s="114" t="s">
        <v>21</v>
      </c>
      <c r="C9" s="114" t="s">
        <v>22</v>
      </c>
      <c r="D9" s="145">
        <v>1</v>
      </c>
      <c r="E9" s="145">
        <v>60</v>
      </c>
      <c r="F9" s="116">
        <v>45882</v>
      </c>
      <c r="G9" s="146">
        <v>0.375</v>
      </c>
      <c r="H9" s="116">
        <v>45877</v>
      </c>
      <c r="I9" s="146">
        <v>0.4375</v>
      </c>
      <c r="J9" s="147">
        <f>E9-L9</f>
        <v>0</v>
      </c>
      <c r="K9" s="148">
        <v>1</v>
      </c>
      <c r="L9" s="149">
        <v>60</v>
      </c>
      <c r="M9" s="149" t="s">
        <v>25</v>
      </c>
      <c r="N9" s="117"/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5">
      <c r="A10" s="124" t="s">
        <v>24</v>
      </c>
      <c r="B10" s="114" t="s">
        <v>30</v>
      </c>
      <c r="C10" s="114" t="s">
        <v>31</v>
      </c>
      <c r="D10" s="145">
        <v>1</v>
      </c>
      <c r="E10" s="145">
        <v>60</v>
      </c>
      <c r="F10" s="116">
        <v>45882</v>
      </c>
      <c r="G10" s="146">
        <v>0.375</v>
      </c>
      <c r="H10" s="116">
        <v>45877</v>
      </c>
      <c r="I10" s="146">
        <v>0.4375</v>
      </c>
      <c r="J10" s="147">
        <f>E10-L10</f>
        <v>0</v>
      </c>
      <c r="K10" s="148">
        <v>1</v>
      </c>
      <c r="L10" s="149">
        <v>60</v>
      </c>
      <c r="M10" s="149" t="s">
        <v>25</v>
      </c>
      <c r="N10" s="117"/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5">
      <c r="A11" s="124" t="s">
        <v>24</v>
      </c>
      <c r="B11" s="114" t="s">
        <v>136</v>
      </c>
      <c r="C11" s="114" t="s">
        <v>34</v>
      </c>
      <c r="D11" s="150">
        <v>1</v>
      </c>
      <c r="E11" s="150">
        <v>60</v>
      </c>
      <c r="F11" s="116">
        <v>45882</v>
      </c>
      <c r="G11" s="146">
        <v>0.375</v>
      </c>
      <c r="H11" s="116">
        <v>45877</v>
      </c>
      <c r="I11" s="146">
        <v>0.4375</v>
      </c>
      <c r="J11" s="147">
        <f>E11-L11</f>
        <v>0</v>
      </c>
      <c r="K11" s="148">
        <v>1</v>
      </c>
      <c r="L11" s="149">
        <v>60</v>
      </c>
      <c r="M11" s="149" t="s">
        <v>25</v>
      </c>
      <c r="N11" s="117"/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5">
      <c r="A12" s="124" t="s">
        <v>24</v>
      </c>
      <c r="B12" s="114" t="s">
        <v>36</v>
      </c>
      <c r="C12" s="114" t="s">
        <v>37</v>
      </c>
      <c r="D12" s="150">
        <v>1</v>
      </c>
      <c r="E12" s="150">
        <v>60</v>
      </c>
      <c r="F12" s="116">
        <v>45882</v>
      </c>
      <c r="G12" s="146">
        <v>0.375</v>
      </c>
      <c r="H12" s="116">
        <v>45877</v>
      </c>
      <c r="I12" s="146">
        <v>0.4375</v>
      </c>
      <c r="J12" s="147">
        <f>E12-L12</f>
        <v>0</v>
      </c>
      <c r="K12" s="148">
        <v>1</v>
      </c>
      <c r="L12" s="149">
        <v>60</v>
      </c>
      <c r="M12" s="149" t="s">
        <v>25</v>
      </c>
      <c r="N12" s="117"/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5">
      <c r="A13" s="124" t="s">
        <v>24</v>
      </c>
      <c r="B13" s="114" t="s">
        <v>42</v>
      </c>
      <c r="C13" s="114" t="s">
        <v>43</v>
      </c>
      <c r="D13" s="150">
        <v>1</v>
      </c>
      <c r="E13" s="150">
        <v>60</v>
      </c>
      <c r="F13" s="116">
        <v>45882</v>
      </c>
      <c r="G13" s="146">
        <v>0.375</v>
      </c>
      <c r="H13" s="116">
        <v>45877</v>
      </c>
      <c r="I13" s="146">
        <v>0.4375</v>
      </c>
      <c r="J13" s="147">
        <f>E13-L13</f>
        <v>0</v>
      </c>
      <c r="K13" s="148">
        <v>1</v>
      </c>
      <c r="L13" s="149">
        <v>60</v>
      </c>
      <c r="M13" s="149" t="s">
        <v>25</v>
      </c>
      <c r="N13" s="117"/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" customHeight="1" x14ac:dyDescent="0.25">
      <c r="A14" s="124" t="s">
        <v>24</v>
      </c>
      <c r="B14" s="114" t="s">
        <v>39</v>
      </c>
      <c r="C14" s="114" t="s">
        <v>40</v>
      </c>
      <c r="D14" s="150">
        <v>1</v>
      </c>
      <c r="E14" s="150">
        <v>60</v>
      </c>
      <c r="F14" s="116">
        <v>45882</v>
      </c>
      <c r="G14" s="146">
        <v>0.375</v>
      </c>
      <c r="H14" s="116">
        <v>45877</v>
      </c>
      <c r="I14" s="146">
        <v>0.4375</v>
      </c>
      <c r="J14" s="147">
        <f t="shared" si="0"/>
        <v>0</v>
      </c>
      <c r="K14" s="148">
        <v>1</v>
      </c>
      <c r="L14" s="149">
        <v>60</v>
      </c>
      <c r="M14" s="149" t="s">
        <v>25</v>
      </c>
      <c r="N14" s="117"/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" customHeight="1" x14ac:dyDescent="0.25">
      <c r="A15" s="124" t="s">
        <v>26</v>
      </c>
      <c r="B15" s="118" t="s">
        <v>21</v>
      </c>
      <c r="C15" s="122" t="s">
        <v>595</v>
      </c>
      <c r="D15" s="145">
        <v>1</v>
      </c>
      <c r="E15" s="145">
        <v>50</v>
      </c>
      <c r="F15" s="116">
        <v>45882</v>
      </c>
      <c r="G15" s="146">
        <v>0.375</v>
      </c>
      <c r="H15" s="116">
        <v>45877</v>
      </c>
      <c r="I15" s="146">
        <v>0.45833333333333331</v>
      </c>
      <c r="J15" s="147">
        <f t="shared" si="0"/>
        <v>-10</v>
      </c>
      <c r="K15" s="148">
        <v>1</v>
      </c>
      <c r="L15" s="149">
        <v>60</v>
      </c>
      <c r="M15" s="149" t="s">
        <v>29</v>
      </c>
      <c r="N15" s="117"/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" customHeight="1" x14ac:dyDescent="0.25">
      <c r="A16" s="124" t="s">
        <v>26</v>
      </c>
      <c r="B16" s="114" t="s">
        <v>30</v>
      </c>
      <c r="C16" s="114" t="s">
        <v>31</v>
      </c>
      <c r="D16" s="145">
        <v>1</v>
      </c>
      <c r="E16" s="145">
        <v>50</v>
      </c>
      <c r="F16" s="116">
        <v>45882</v>
      </c>
      <c r="G16" s="146">
        <v>0.375</v>
      </c>
      <c r="H16" s="116">
        <v>45877</v>
      </c>
      <c r="I16" s="146">
        <v>0.45833333333333331</v>
      </c>
      <c r="J16" s="147">
        <f t="shared" si="0"/>
        <v>-10</v>
      </c>
      <c r="K16" s="148">
        <v>1</v>
      </c>
      <c r="L16" s="149">
        <v>60</v>
      </c>
      <c r="M16" s="149" t="s">
        <v>32</v>
      </c>
      <c r="N16" s="117"/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5">
      <c r="A17" s="124" t="s">
        <v>26</v>
      </c>
      <c r="B17" s="114" t="s">
        <v>136</v>
      </c>
      <c r="C17" s="114" t="s">
        <v>34</v>
      </c>
      <c r="D17" s="150">
        <v>1</v>
      </c>
      <c r="E17" s="151">
        <v>50</v>
      </c>
      <c r="F17" s="116">
        <v>45882</v>
      </c>
      <c r="G17" s="146">
        <v>0.375</v>
      </c>
      <c r="H17" s="116">
        <v>45877</v>
      </c>
      <c r="I17" s="146">
        <v>0.45833333333333331</v>
      </c>
      <c r="J17" s="147">
        <f t="shared" si="0"/>
        <v>-10</v>
      </c>
      <c r="K17" s="148">
        <v>1</v>
      </c>
      <c r="L17" s="149">
        <v>60</v>
      </c>
      <c r="M17" s="149" t="s">
        <v>35</v>
      </c>
      <c r="N17" s="117"/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5">
      <c r="A18" s="124" t="s">
        <v>26</v>
      </c>
      <c r="B18" s="114" t="s">
        <v>36</v>
      </c>
      <c r="C18" s="114" t="s">
        <v>37</v>
      </c>
      <c r="D18" s="150">
        <v>1</v>
      </c>
      <c r="E18" s="151">
        <v>50</v>
      </c>
      <c r="F18" s="116">
        <v>45882</v>
      </c>
      <c r="G18" s="146">
        <v>0.375</v>
      </c>
      <c r="H18" s="116">
        <v>45877</v>
      </c>
      <c r="I18" s="146">
        <v>0.45833333333333331</v>
      </c>
      <c r="J18" s="147">
        <f t="shared" si="0"/>
        <v>-10</v>
      </c>
      <c r="K18" s="148">
        <v>1</v>
      </c>
      <c r="L18" s="149">
        <v>60</v>
      </c>
      <c r="M18" s="149" t="s">
        <v>38</v>
      </c>
      <c r="N18" s="117"/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5">
      <c r="A19" s="124" t="s">
        <v>26</v>
      </c>
      <c r="B19" s="114" t="s">
        <v>39</v>
      </c>
      <c r="C19" s="114" t="s">
        <v>40</v>
      </c>
      <c r="D19" s="150">
        <v>1</v>
      </c>
      <c r="E19" s="151">
        <v>50</v>
      </c>
      <c r="F19" s="116">
        <v>45882</v>
      </c>
      <c r="G19" s="146">
        <v>0.375</v>
      </c>
      <c r="H19" s="116">
        <v>45877</v>
      </c>
      <c r="I19" s="146">
        <v>0.45833333333333331</v>
      </c>
      <c r="J19" s="147">
        <f t="shared" si="0"/>
        <v>-10</v>
      </c>
      <c r="K19" s="148">
        <v>1</v>
      </c>
      <c r="L19" s="149">
        <v>60</v>
      </c>
      <c r="M19" s="149" t="s">
        <v>41</v>
      </c>
      <c r="N19" s="117"/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" customHeight="1" x14ac:dyDescent="0.25">
      <c r="A20" s="124" t="s">
        <v>26</v>
      </c>
      <c r="B20" s="114" t="s">
        <v>42</v>
      </c>
      <c r="C20" s="114" t="s">
        <v>43</v>
      </c>
      <c r="D20" s="150">
        <v>1</v>
      </c>
      <c r="E20" s="151">
        <v>50</v>
      </c>
      <c r="F20" s="116">
        <v>45882</v>
      </c>
      <c r="G20" s="146">
        <v>0.375</v>
      </c>
      <c r="H20" s="116">
        <v>45877</v>
      </c>
      <c r="I20" s="146">
        <v>0.45833333333333331</v>
      </c>
      <c r="J20" s="147">
        <f t="shared" si="0"/>
        <v>-10</v>
      </c>
      <c r="K20" s="148">
        <v>1</v>
      </c>
      <c r="L20" s="149">
        <v>60</v>
      </c>
      <c r="M20" s="149" t="s">
        <v>44</v>
      </c>
      <c r="N20" s="117"/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" customHeight="1" x14ac:dyDescent="0.25">
      <c r="A21" s="124" t="s">
        <v>45</v>
      </c>
      <c r="B21" s="114" t="s">
        <v>21</v>
      </c>
      <c r="C21" s="114" t="s">
        <v>22</v>
      </c>
      <c r="D21" s="145">
        <v>1</v>
      </c>
      <c r="E21" s="145">
        <v>70</v>
      </c>
      <c r="F21" s="116">
        <v>45882</v>
      </c>
      <c r="G21" s="146">
        <v>0.375</v>
      </c>
      <c r="H21" s="116">
        <v>45877</v>
      </c>
      <c r="I21" s="146">
        <v>0.5</v>
      </c>
      <c r="J21" s="147">
        <f t="shared" si="0"/>
        <v>10</v>
      </c>
      <c r="K21" s="148">
        <v>1</v>
      </c>
      <c r="L21" s="149">
        <v>60</v>
      </c>
      <c r="M21" s="149" t="s">
        <v>46</v>
      </c>
      <c r="N21" s="117"/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" customHeight="1" x14ac:dyDescent="0.25">
      <c r="A22" s="124" t="s">
        <v>45</v>
      </c>
      <c r="B22" s="114" t="s">
        <v>30</v>
      </c>
      <c r="C22" s="114" t="s">
        <v>31</v>
      </c>
      <c r="D22" s="145">
        <v>1</v>
      </c>
      <c r="E22" s="145">
        <v>70</v>
      </c>
      <c r="F22" s="116">
        <v>45882</v>
      </c>
      <c r="G22" s="146">
        <v>0.375</v>
      </c>
      <c r="H22" s="116">
        <v>45877</v>
      </c>
      <c r="I22" s="146">
        <v>0.5</v>
      </c>
      <c r="J22" s="147">
        <f t="shared" si="0"/>
        <v>10</v>
      </c>
      <c r="K22" s="148">
        <v>1</v>
      </c>
      <c r="L22" s="149">
        <v>60</v>
      </c>
      <c r="M22" s="149" t="s">
        <v>47</v>
      </c>
      <c r="N22" s="117"/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5">
      <c r="A23" s="117" t="s">
        <v>45</v>
      </c>
      <c r="B23" s="114" t="s">
        <v>136</v>
      </c>
      <c r="C23" s="114" t="s">
        <v>34</v>
      </c>
      <c r="D23" s="150">
        <v>1</v>
      </c>
      <c r="E23" s="151">
        <v>70</v>
      </c>
      <c r="F23" s="116">
        <v>45882</v>
      </c>
      <c r="G23" s="146">
        <v>0.375</v>
      </c>
      <c r="H23" s="116">
        <v>45877</v>
      </c>
      <c r="I23" s="146">
        <v>0.5</v>
      </c>
      <c r="J23" s="147">
        <f t="shared" si="0"/>
        <v>10</v>
      </c>
      <c r="K23" s="148">
        <v>1</v>
      </c>
      <c r="L23" s="149">
        <v>60</v>
      </c>
      <c r="M23" s="149" t="s">
        <v>48</v>
      </c>
      <c r="N23" s="117"/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" customHeight="1" x14ac:dyDescent="0.25">
      <c r="A24" s="124" t="s">
        <v>45</v>
      </c>
      <c r="B24" s="114" t="s">
        <v>36</v>
      </c>
      <c r="C24" s="114" t="s">
        <v>37</v>
      </c>
      <c r="D24" s="150">
        <v>1</v>
      </c>
      <c r="E24" s="151">
        <v>70</v>
      </c>
      <c r="F24" s="116">
        <v>45882</v>
      </c>
      <c r="G24" s="146">
        <v>0.375</v>
      </c>
      <c r="H24" s="116">
        <v>45877</v>
      </c>
      <c r="I24" s="146">
        <v>0.5</v>
      </c>
      <c r="J24" s="147">
        <f t="shared" si="0"/>
        <v>10</v>
      </c>
      <c r="K24" s="148">
        <v>1</v>
      </c>
      <c r="L24" s="149">
        <v>60</v>
      </c>
      <c r="M24" s="149" t="s">
        <v>49</v>
      </c>
      <c r="N24" s="117"/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5">
      <c r="A25" s="124" t="s">
        <v>45</v>
      </c>
      <c r="B25" s="114" t="s">
        <v>39</v>
      </c>
      <c r="C25" s="114" t="s">
        <v>40</v>
      </c>
      <c r="D25" s="150">
        <v>1</v>
      </c>
      <c r="E25" s="151">
        <v>70</v>
      </c>
      <c r="F25" s="116">
        <v>45882</v>
      </c>
      <c r="G25" s="146">
        <v>0.375</v>
      </c>
      <c r="H25" s="116">
        <v>45877</v>
      </c>
      <c r="I25" s="146">
        <v>0.5</v>
      </c>
      <c r="J25" s="147">
        <f t="shared" si="0"/>
        <v>10</v>
      </c>
      <c r="K25" s="148">
        <v>1</v>
      </c>
      <c r="L25" s="149">
        <v>60</v>
      </c>
      <c r="M25" s="149" t="s">
        <v>50</v>
      </c>
      <c r="N25" s="117"/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5">
      <c r="A26" s="124" t="s">
        <v>45</v>
      </c>
      <c r="B26" s="114" t="s">
        <v>42</v>
      </c>
      <c r="C26" s="114" t="s">
        <v>43</v>
      </c>
      <c r="D26" s="150">
        <v>1</v>
      </c>
      <c r="E26" s="151">
        <v>70</v>
      </c>
      <c r="F26" s="116">
        <v>45882</v>
      </c>
      <c r="G26" s="146">
        <v>0.375</v>
      </c>
      <c r="H26" s="116">
        <v>45877</v>
      </c>
      <c r="I26" s="146">
        <v>0.5</v>
      </c>
      <c r="J26" s="147">
        <f t="shared" si="0"/>
        <v>10</v>
      </c>
      <c r="K26" s="148">
        <v>1</v>
      </c>
      <c r="L26" s="149">
        <v>60</v>
      </c>
      <c r="M26" s="149" t="s">
        <v>51</v>
      </c>
      <c r="N26" s="117"/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" customHeight="1" x14ac:dyDescent="0.25">
      <c r="A27" s="124" t="s">
        <v>52</v>
      </c>
      <c r="B27" s="114" t="s">
        <v>21</v>
      </c>
      <c r="C27" s="114" t="s">
        <v>22</v>
      </c>
      <c r="D27" s="145">
        <v>1</v>
      </c>
      <c r="E27" s="147">
        <v>30</v>
      </c>
      <c r="F27" s="116">
        <v>45882</v>
      </c>
      <c r="G27" s="146">
        <v>0.375</v>
      </c>
      <c r="H27" s="116">
        <v>45877</v>
      </c>
      <c r="I27" s="146">
        <v>4.1666666666666664E-2</v>
      </c>
      <c r="J27" s="147">
        <f t="shared" si="0"/>
        <v>0</v>
      </c>
      <c r="K27" s="148">
        <v>1</v>
      </c>
      <c r="L27" s="149">
        <v>30</v>
      </c>
      <c r="M27" s="149" t="s">
        <v>53</v>
      </c>
      <c r="N27" s="117"/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" customHeight="1" x14ac:dyDescent="0.25">
      <c r="A28" s="124" t="s">
        <v>52</v>
      </c>
      <c r="B28" s="114" t="s">
        <v>36</v>
      </c>
      <c r="C28" s="114" t="s">
        <v>37</v>
      </c>
      <c r="D28" s="150">
        <v>1</v>
      </c>
      <c r="E28" s="117">
        <v>30</v>
      </c>
      <c r="F28" s="116">
        <v>45882</v>
      </c>
      <c r="G28" s="146">
        <v>0.375</v>
      </c>
      <c r="H28" s="116">
        <v>45877</v>
      </c>
      <c r="I28" s="146">
        <v>4.1666666666666664E-2</v>
      </c>
      <c r="J28" s="147">
        <f>E28-L28</f>
        <v>0</v>
      </c>
      <c r="K28" s="148">
        <v>1</v>
      </c>
      <c r="L28" s="149">
        <v>30</v>
      </c>
      <c r="M28" s="149" t="s">
        <v>53</v>
      </c>
      <c r="N28" s="117"/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5">
      <c r="A29" s="125" t="s">
        <v>471</v>
      </c>
      <c r="B29" s="122" t="s">
        <v>36</v>
      </c>
      <c r="C29" s="122" t="s">
        <v>37</v>
      </c>
      <c r="D29" s="115">
        <v>1</v>
      </c>
      <c r="E29" s="115">
        <v>30</v>
      </c>
      <c r="F29" s="135">
        <v>45882</v>
      </c>
      <c r="G29" s="152">
        <v>0.375</v>
      </c>
      <c r="H29" s="135">
        <v>45877</v>
      </c>
      <c r="I29" s="152">
        <v>0.79166666666666663</v>
      </c>
      <c r="J29" s="153">
        <f t="shared" ref="J29" si="1">E29-L29</f>
        <v>0</v>
      </c>
      <c r="K29" s="115">
        <v>3</v>
      </c>
      <c r="L29" s="122">
        <v>30</v>
      </c>
      <c r="M29" s="132" t="s">
        <v>472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5">
      <c r="A30" s="124" t="s">
        <v>144</v>
      </c>
      <c r="B30" s="114" t="s">
        <v>30</v>
      </c>
      <c r="C30" s="114" t="s">
        <v>31</v>
      </c>
      <c r="D30" s="145">
        <v>1</v>
      </c>
      <c r="E30" s="148">
        <v>30</v>
      </c>
      <c r="F30" s="116">
        <v>45882</v>
      </c>
      <c r="G30" s="146">
        <v>0.375</v>
      </c>
      <c r="H30" s="116">
        <v>45877</v>
      </c>
      <c r="I30" s="146">
        <v>4.1666666666666664E-2</v>
      </c>
      <c r="J30" s="147">
        <f t="shared" si="0"/>
        <v>0</v>
      </c>
      <c r="K30" s="148">
        <v>1</v>
      </c>
      <c r="L30" s="149">
        <v>30</v>
      </c>
      <c r="M30" s="149" t="s">
        <v>145</v>
      </c>
      <c r="N30" s="117"/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5">
      <c r="A31" s="124" t="s">
        <v>54</v>
      </c>
      <c r="B31" s="114" t="s">
        <v>21</v>
      </c>
      <c r="C31" s="114" t="s">
        <v>22</v>
      </c>
      <c r="D31" s="145">
        <v>1</v>
      </c>
      <c r="E31" s="147">
        <v>120</v>
      </c>
      <c r="F31" s="116">
        <v>45882</v>
      </c>
      <c r="G31" s="146">
        <v>0.375</v>
      </c>
      <c r="H31" s="154">
        <v>45879</v>
      </c>
      <c r="I31" s="146">
        <v>0.91666666666666663</v>
      </c>
      <c r="J31" s="147">
        <f t="shared" si="0"/>
        <v>60</v>
      </c>
      <c r="K31" s="148">
        <v>1</v>
      </c>
      <c r="L31" s="149">
        <v>60</v>
      </c>
      <c r="M31" s="149" t="s">
        <v>56</v>
      </c>
      <c r="N31" s="117"/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5">
      <c r="A32" s="124" t="s">
        <v>54</v>
      </c>
      <c r="B32" s="114" t="s">
        <v>39</v>
      </c>
      <c r="C32" s="114" t="s">
        <v>40</v>
      </c>
      <c r="D32" s="150">
        <v>1</v>
      </c>
      <c r="E32" s="155">
        <v>120</v>
      </c>
      <c r="F32" s="116">
        <v>45882</v>
      </c>
      <c r="G32" s="146">
        <v>0.375</v>
      </c>
      <c r="H32" s="116">
        <v>45879</v>
      </c>
      <c r="I32" s="146">
        <v>0.91666666666666663</v>
      </c>
      <c r="J32" s="147">
        <f t="shared" si="0"/>
        <v>60</v>
      </c>
      <c r="K32" s="148">
        <v>1</v>
      </c>
      <c r="L32" s="149">
        <v>60</v>
      </c>
      <c r="M32" s="149" t="s">
        <v>59</v>
      </c>
      <c r="N32" s="117"/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5">
      <c r="A33" s="113" t="s">
        <v>60</v>
      </c>
      <c r="B33" s="114" t="s">
        <v>30</v>
      </c>
      <c r="C33" s="114" t="s">
        <v>31</v>
      </c>
      <c r="D33" s="145">
        <v>1</v>
      </c>
      <c r="E33" s="147">
        <v>30</v>
      </c>
      <c r="F33" s="116">
        <v>45882</v>
      </c>
      <c r="G33" s="146">
        <v>0.375</v>
      </c>
      <c r="H33" s="97">
        <v>45879</v>
      </c>
      <c r="I33" s="156">
        <v>0.91666666666666663</v>
      </c>
      <c r="J33" s="147">
        <f>E33-L33</f>
        <v>-30</v>
      </c>
      <c r="K33" s="148">
        <v>1</v>
      </c>
      <c r="L33" s="149">
        <v>60</v>
      </c>
      <c r="M33" s="149" t="s">
        <v>63</v>
      </c>
      <c r="N33" s="117"/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5">
      <c r="A34" s="124" t="s">
        <v>60</v>
      </c>
      <c r="B34" s="114" t="s">
        <v>136</v>
      </c>
      <c r="C34" s="114" t="s">
        <v>34</v>
      </c>
      <c r="D34" s="150">
        <v>1</v>
      </c>
      <c r="E34" s="155">
        <v>30</v>
      </c>
      <c r="F34" s="116">
        <v>45882</v>
      </c>
      <c r="G34" s="146">
        <v>0.375</v>
      </c>
      <c r="H34" s="116">
        <v>45879</v>
      </c>
      <c r="I34" s="146">
        <v>0.875</v>
      </c>
      <c r="J34" s="147">
        <f t="shared" si="0"/>
        <v>-30</v>
      </c>
      <c r="K34" s="148">
        <v>1</v>
      </c>
      <c r="L34" s="149">
        <v>60</v>
      </c>
      <c r="M34" s="149" t="s">
        <v>66</v>
      </c>
      <c r="N34" s="117"/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5">
      <c r="A35" s="124" t="s">
        <v>60</v>
      </c>
      <c r="B35" s="114" t="s">
        <v>42</v>
      </c>
      <c r="C35" s="114" t="s">
        <v>43</v>
      </c>
      <c r="D35" s="150">
        <v>1</v>
      </c>
      <c r="E35" s="155">
        <v>30</v>
      </c>
      <c r="F35" s="116">
        <v>45882</v>
      </c>
      <c r="G35" s="146">
        <v>0.375</v>
      </c>
      <c r="H35" s="116">
        <v>45879</v>
      </c>
      <c r="I35" s="146">
        <v>0.91666666666666663</v>
      </c>
      <c r="J35" s="147">
        <f t="shared" si="0"/>
        <v>-90</v>
      </c>
      <c r="K35" s="148">
        <v>1</v>
      </c>
      <c r="L35" s="149">
        <v>120</v>
      </c>
      <c r="M35" s="149" t="s">
        <v>69</v>
      </c>
      <c r="N35" s="117"/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" customHeight="1" x14ac:dyDescent="0.25">
      <c r="A36" s="124" t="s">
        <v>60</v>
      </c>
      <c r="B36" s="114" t="s">
        <v>36</v>
      </c>
      <c r="C36" s="114" t="s">
        <v>37</v>
      </c>
      <c r="D36" s="150">
        <v>1</v>
      </c>
      <c r="E36" s="155">
        <v>30</v>
      </c>
      <c r="F36" s="116">
        <v>45882</v>
      </c>
      <c r="G36" s="146">
        <v>0.375</v>
      </c>
      <c r="H36" s="116">
        <v>45879</v>
      </c>
      <c r="I36" s="146">
        <v>0.46527777777777779</v>
      </c>
      <c r="J36" s="147">
        <f t="shared" si="0"/>
        <v>5</v>
      </c>
      <c r="K36" s="148">
        <v>1</v>
      </c>
      <c r="L36" s="149">
        <v>25</v>
      </c>
      <c r="M36" s="149" t="s">
        <v>72</v>
      </c>
      <c r="N36" s="117"/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5">
      <c r="A37" s="124" t="s">
        <v>73</v>
      </c>
      <c r="B37" s="114" t="s">
        <v>36</v>
      </c>
      <c r="C37" s="114" t="s">
        <v>37</v>
      </c>
      <c r="D37" s="150">
        <v>1</v>
      </c>
      <c r="E37" s="155">
        <v>70</v>
      </c>
      <c r="F37" s="116">
        <v>45882</v>
      </c>
      <c r="G37" s="146">
        <v>0.375</v>
      </c>
      <c r="H37" s="116">
        <v>45880</v>
      </c>
      <c r="I37" s="146">
        <v>0.83333333333333337</v>
      </c>
      <c r="J37" s="147">
        <f t="shared" si="0"/>
        <v>-50</v>
      </c>
      <c r="K37" s="148">
        <v>1</v>
      </c>
      <c r="L37" s="149">
        <v>120</v>
      </c>
      <c r="M37" s="149" t="s">
        <v>75</v>
      </c>
      <c r="N37" s="117"/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5">
      <c r="A38" s="124" t="s">
        <v>76</v>
      </c>
      <c r="B38" s="114" t="s">
        <v>42</v>
      </c>
      <c r="C38" s="114" t="s">
        <v>43</v>
      </c>
      <c r="D38" s="150">
        <v>1</v>
      </c>
      <c r="E38" s="155">
        <v>50</v>
      </c>
      <c r="F38" s="116">
        <v>45882</v>
      </c>
      <c r="G38" s="146">
        <v>0.375</v>
      </c>
      <c r="H38" s="116">
        <v>45880</v>
      </c>
      <c r="I38" s="146">
        <v>0.91666666666666663</v>
      </c>
      <c r="J38" s="147">
        <f t="shared" si="0"/>
        <v>-70</v>
      </c>
      <c r="K38" s="148">
        <v>1</v>
      </c>
      <c r="L38" s="149">
        <v>120</v>
      </c>
      <c r="M38" s="149" t="s">
        <v>78</v>
      </c>
      <c r="N38" s="117"/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5">
      <c r="A39" s="124" t="s">
        <v>79</v>
      </c>
      <c r="B39" s="114" t="s">
        <v>36</v>
      </c>
      <c r="C39" s="114" t="s">
        <v>208</v>
      </c>
      <c r="D39" s="150">
        <v>1</v>
      </c>
      <c r="E39" s="155">
        <v>45</v>
      </c>
      <c r="F39" s="116">
        <v>45882</v>
      </c>
      <c r="G39" s="146">
        <v>0.375</v>
      </c>
      <c r="H39" s="116">
        <v>45880</v>
      </c>
      <c r="I39" s="146">
        <v>0.9375</v>
      </c>
      <c r="J39" s="147">
        <f t="shared" si="0"/>
        <v>-35</v>
      </c>
      <c r="K39" s="148">
        <v>1</v>
      </c>
      <c r="L39" s="149">
        <v>80</v>
      </c>
      <c r="M39" s="149" t="s">
        <v>81</v>
      </c>
      <c r="N39" s="117"/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5">
      <c r="A40" s="124" t="s">
        <v>82</v>
      </c>
      <c r="B40" s="114" t="s">
        <v>30</v>
      </c>
      <c r="C40" s="114" t="s">
        <v>31</v>
      </c>
      <c r="D40" s="145">
        <v>1</v>
      </c>
      <c r="E40" s="147">
        <v>50</v>
      </c>
      <c r="F40" s="116">
        <v>45882</v>
      </c>
      <c r="G40" s="146">
        <v>0.375</v>
      </c>
      <c r="H40" s="116">
        <v>45880</v>
      </c>
      <c r="I40" s="146">
        <v>0.95833333333333337</v>
      </c>
      <c r="J40" s="147">
        <f t="shared" si="0"/>
        <v>-4</v>
      </c>
      <c r="K40" s="148">
        <v>1</v>
      </c>
      <c r="L40" s="149">
        <v>54</v>
      </c>
      <c r="M40" s="149" t="s">
        <v>84</v>
      </c>
      <c r="N40" s="117"/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5">
      <c r="A41" s="124" t="s">
        <v>85</v>
      </c>
      <c r="B41" s="114" t="s">
        <v>21</v>
      </c>
      <c r="C41" s="114" t="s">
        <v>22</v>
      </c>
      <c r="D41" s="145">
        <v>1</v>
      </c>
      <c r="E41" s="147">
        <v>60</v>
      </c>
      <c r="F41" s="116">
        <v>45882</v>
      </c>
      <c r="G41" s="146">
        <v>0.375</v>
      </c>
      <c r="H41" s="116">
        <v>45880</v>
      </c>
      <c r="I41" s="146">
        <v>0.95833333333333337</v>
      </c>
      <c r="J41" s="147">
        <f t="shared" si="0"/>
        <v>10</v>
      </c>
      <c r="K41" s="148">
        <v>1</v>
      </c>
      <c r="L41" s="149">
        <v>50</v>
      </c>
      <c r="M41" s="149" t="s">
        <v>87</v>
      </c>
      <c r="N41" s="117"/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5">
      <c r="A42" s="124" t="s">
        <v>88</v>
      </c>
      <c r="B42" s="114" t="s">
        <v>21</v>
      </c>
      <c r="C42" s="114" t="s">
        <v>22</v>
      </c>
      <c r="D42" s="145">
        <v>1</v>
      </c>
      <c r="E42" s="147">
        <v>55</v>
      </c>
      <c r="F42" s="116">
        <v>45882</v>
      </c>
      <c r="G42" s="146">
        <v>0.375</v>
      </c>
      <c r="H42" s="116">
        <v>45880</v>
      </c>
      <c r="I42" s="146">
        <v>0.95833333333333337</v>
      </c>
      <c r="J42" s="147">
        <f t="shared" si="0"/>
        <v>0</v>
      </c>
      <c r="K42" s="148">
        <v>1</v>
      </c>
      <c r="L42" s="149">
        <v>55</v>
      </c>
      <c r="M42" s="149" t="s">
        <v>89</v>
      </c>
      <c r="N42" s="117"/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5">
      <c r="A43" s="124" t="s">
        <v>146</v>
      </c>
      <c r="B43" s="114" t="s">
        <v>30</v>
      </c>
      <c r="C43" s="114" t="s">
        <v>31</v>
      </c>
      <c r="D43" s="145">
        <v>1</v>
      </c>
      <c r="E43" s="147">
        <v>60</v>
      </c>
      <c r="F43" s="116">
        <v>45882</v>
      </c>
      <c r="G43" s="146">
        <v>0.375</v>
      </c>
      <c r="H43" s="116">
        <v>45880</v>
      </c>
      <c r="I43" s="146">
        <v>0.875</v>
      </c>
      <c r="J43" s="147">
        <f>E43-L43</f>
        <v>-6</v>
      </c>
      <c r="K43" s="148">
        <v>1</v>
      </c>
      <c r="L43" s="149">
        <v>66</v>
      </c>
      <c r="M43" s="149" t="s">
        <v>149</v>
      </c>
      <c r="N43" s="117"/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5">
      <c r="A44" s="124" t="s">
        <v>146</v>
      </c>
      <c r="B44" s="114" t="s">
        <v>21</v>
      </c>
      <c r="C44" s="114" t="s">
        <v>22</v>
      </c>
      <c r="D44" s="145">
        <v>1</v>
      </c>
      <c r="E44" s="147">
        <v>60</v>
      </c>
      <c r="F44" s="116">
        <v>45882</v>
      </c>
      <c r="G44" s="146">
        <v>0.375</v>
      </c>
      <c r="H44" s="116">
        <v>45880</v>
      </c>
      <c r="I44" s="146">
        <v>0.875</v>
      </c>
      <c r="J44" s="147">
        <f>E44-L44</f>
        <v>-6</v>
      </c>
      <c r="K44" s="148">
        <v>1</v>
      </c>
      <c r="L44" s="149">
        <v>66</v>
      </c>
      <c r="M44" s="149" t="s">
        <v>149</v>
      </c>
      <c r="N44" s="117"/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5">
      <c r="A45" s="124" t="s">
        <v>146</v>
      </c>
      <c r="B45" s="114" t="s">
        <v>39</v>
      </c>
      <c r="C45" s="114" t="s">
        <v>40</v>
      </c>
      <c r="D45" s="150">
        <v>1</v>
      </c>
      <c r="E45" s="155">
        <v>60</v>
      </c>
      <c r="F45" s="116">
        <v>45882</v>
      </c>
      <c r="G45" s="146">
        <v>0.375</v>
      </c>
      <c r="H45" s="116">
        <v>45880</v>
      </c>
      <c r="I45" s="146">
        <v>0.875</v>
      </c>
      <c r="J45" s="147">
        <f>E45-L45</f>
        <v>-6</v>
      </c>
      <c r="K45" s="148">
        <v>1</v>
      </c>
      <c r="L45" s="149">
        <v>66</v>
      </c>
      <c r="M45" s="149" t="s">
        <v>149</v>
      </c>
      <c r="N45" s="117"/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5">
      <c r="A46" s="124" t="s">
        <v>146</v>
      </c>
      <c r="B46" s="114" t="s">
        <v>136</v>
      </c>
      <c r="C46" s="114" t="s">
        <v>34</v>
      </c>
      <c r="D46" s="150">
        <v>1</v>
      </c>
      <c r="E46" s="155">
        <v>60</v>
      </c>
      <c r="F46" s="116">
        <v>45882</v>
      </c>
      <c r="G46" s="146">
        <v>0.375</v>
      </c>
      <c r="H46" s="116">
        <v>45880</v>
      </c>
      <c r="I46" s="146">
        <v>0.875</v>
      </c>
      <c r="J46" s="147">
        <f>E46-L46</f>
        <v>-6</v>
      </c>
      <c r="K46" s="148">
        <v>1</v>
      </c>
      <c r="L46" s="149">
        <v>66</v>
      </c>
      <c r="M46" s="149" t="s">
        <v>149</v>
      </c>
      <c r="N46" s="117"/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5">
      <c r="A47" s="124" t="s">
        <v>146</v>
      </c>
      <c r="B47" s="114" t="s">
        <v>42</v>
      </c>
      <c r="C47" s="114" t="s">
        <v>43</v>
      </c>
      <c r="D47" s="150">
        <v>1</v>
      </c>
      <c r="E47" s="155">
        <v>60</v>
      </c>
      <c r="F47" s="116">
        <v>45882</v>
      </c>
      <c r="G47" s="146">
        <v>0.375</v>
      </c>
      <c r="H47" s="116">
        <v>45880</v>
      </c>
      <c r="I47" s="146">
        <v>0.875</v>
      </c>
      <c r="J47" s="147">
        <f>E47-L47</f>
        <v>-6</v>
      </c>
      <c r="K47" s="148">
        <v>1</v>
      </c>
      <c r="L47" s="149">
        <v>66</v>
      </c>
      <c r="M47" s="149" t="s">
        <v>149</v>
      </c>
      <c r="N47" s="117"/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5">
      <c r="A48" s="124" t="s">
        <v>146</v>
      </c>
      <c r="B48" s="114" t="s">
        <v>36</v>
      </c>
      <c r="C48" s="114" t="s">
        <v>37</v>
      </c>
      <c r="D48" s="150">
        <v>1</v>
      </c>
      <c r="E48" s="155">
        <v>60</v>
      </c>
      <c r="F48" s="116">
        <v>45882</v>
      </c>
      <c r="G48" s="146">
        <v>0.375</v>
      </c>
      <c r="H48" s="116">
        <v>45880</v>
      </c>
      <c r="I48" s="146">
        <v>0.875</v>
      </c>
      <c r="J48" s="147">
        <f t="shared" si="0"/>
        <v>-6</v>
      </c>
      <c r="K48" s="148">
        <v>1</v>
      </c>
      <c r="L48" s="149">
        <v>66</v>
      </c>
      <c r="M48" s="149" t="s">
        <v>149</v>
      </c>
      <c r="N48" s="117"/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5">
      <c r="A49" s="124" t="s">
        <v>147</v>
      </c>
      <c r="B49" s="114" t="s">
        <v>30</v>
      </c>
      <c r="C49" s="114" t="s">
        <v>31</v>
      </c>
      <c r="D49" s="145">
        <v>1</v>
      </c>
      <c r="E49" s="147">
        <v>30</v>
      </c>
      <c r="F49" s="116">
        <v>45882</v>
      </c>
      <c r="G49" s="146">
        <v>0.375</v>
      </c>
      <c r="H49" s="116">
        <v>45880</v>
      </c>
      <c r="I49" s="146">
        <v>0.95833333333333337</v>
      </c>
      <c r="J49" s="147">
        <f t="shared" si="0"/>
        <v>5</v>
      </c>
      <c r="K49" s="148">
        <v>1</v>
      </c>
      <c r="L49" s="149">
        <v>25</v>
      </c>
      <c r="M49" s="149" t="s">
        <v>148</v>
      </c>
      <c r="N49" s="117"/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" customHeight="1" x14ac:dyDescent="0.25">
      <c r="A50" s="124" t="s">
        <v>90</v>
      </c>
      <c r="B50" s="114" t="s">
        <v>42</v>
      </c>
      <c r="C50" s="114" t="s">
        <v>43</v>
      </c>
      <c r="D50" s="150">
        <v>1</v>
      </c>
      <c r="E50" s="155">
        <v>20</v>
      </c>
      <c r="F50" s="116">
        <v>45882</v>
      </c>
      <c r="G50" s="146">
        <v>0.375</v>
      </c>
      <c r="H50" s="116">
        <v>45880</v>
      </c>
      <c r="I50" s="146">
        <v>0.95833333333333337</v>
      </c>
      <c r="J50" s="147">
        <f t="shared" si="0"/>
        <v>0</v>
      </c>
      <c r="K50" s="148">
        <v>1</v>
      </c>
      <c r="L50" s="149">
        <v>20</v>
      </c>
      <c r="M50" s="149" t="s">
        <v>91</v>
      </c>
      <c r="N50" s="117"/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5">
      <c r="A51" s="126" t="s">
        <v>92</v>
      </c>
      <c r="B51" s="114" t="s">
        <v>140</v>
      </c>
      <c r="C51" s="114" t="s">
        <v>22</v>
      </c>
      <c r="D51" s="150">
        <v>1</v>
      </c>
      <c r="E51" s="155">
        <v>30</v>
      </c>
      <c r="F51" s="116">
        <v>45896</v>
      </c>
      <c r="G51" s="146">
        <v>0.375</v>
      </c>
      <c r="H51" s="116">
        <v>45890</v>
      </c>
      <c r="I51" s="146">
        <v>0.8125</v>
      </c>
      <c r="J51" s="147">
        <f>E51-L51</f>
        <v>5</v>
      </c>
      <c r="K51" s="115">
        <v>1</v>
      </c>
      <c r="L51" s="149">
        <v>25</v>
      </c>
      <c r="M51" s="149" t="s">
        <v>93</v>
      </c>
      <c r="N51" s="117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" customHeight="1" x14ac:dyDescent="0.25">
      <c r="A52" s="127" t="s">
        <v>92</v>
      </c>
      <c r="B52" s="114" t="s">
        <v>136</v>
      </c>
      <c r="C52" s="114" t="s">
        <v>34</v>
      </c>
      <c r="D52" s="150">
        <v>1</v>
      </c>
      <c r="E52" s="155">
        <v>30</v>
      </c>
      <c r="F52" s="116">
        <v>45896</v>
      </c>
      <c r="G52" s="146">
        <v>0.375</v>
      </c>
      <c r="H52" s="116">
        <v>45890</v>
      </c>
      <c r="I52" s="146">
        <v>0.8125</v>
      </c>
      <c r="J52" s="147">
        <f t="shared" ref="J52:J115" si="2">E52-L52</f>
        <v>5</v>
      </c>
      <c r="K52" s="115">
        <v>1</v>
      </c>
      <c r="L52" s="149">
        <v>25</v>
      </c>
      <c r="M52" s="149" t="s">
        <v>93</v>
      </c>
      <c r="N52" s="117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5">
      <c r="A53" s="124" t="s">
        <v>144</v>
      </c>
      <c r="B53" s="114" t="s">
        <v>30</v>
      </c>
      <c r="C53" s="114" t="s">
        <v>31</v>
      </c>
      <c r="D53" s="150">
        <v>1</v>
      </c>
      <c r="E53" s="115">
        <v>30</v>
      </c>
      <c r="F53" s="116">
        <v>45882</v>
      </c>
      <c r="G53" s="146">
        <v>0.375</v>
      </c>
      <c r="H53" s="116">
        <v>45890</v>
      </c>
      <c r="I53" s="146">
        <v>0.83333333333333337</v>
      </c>
      <c r="J53" s="147">
        <f t="shared" si="2"/>
        <v>0</v>
      </c>
      <c r="K53" s="115">
        <v>1</v>
      </c>
      <c r="L53" s="149">
        <v>30</v>
      </c>
      <c r="M53" s="149" t="s">
        <v>152</v>
      </c>
      <c r="N53" s="117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5">
      <c r="A54" s="128" t="s">
        <v>94</v>
      </c>
      <c r="B54" s="114" t="s">
        <v>136</v>
      </c>
      <c r="C54" s="114" t="s">
        <v>34</v>
      </c>
      <c r="D54" s="150">
        <v>3</v>
      </c>
      <c r="E54" s="155">
        <v>60</v>
      </c>
      <c r="F54" s="116">
        <v>45896</v>
      </c>
      <c r="G54" s="146">
        <v>0.375</v>
      </c>
      <c r="H54" s="116">
        <v>45890</v>
      </c>
      <c r="I54" s="146">
        <v>0.85416666666666663</v>
      </c>
      <c r="J54" s="147">
        <f>E54-L54</f>
        <v>0</v>
      </c>
      <c r="K54" s="115">
        <v>3</v>
      </c>
      <c r="L54" s="149">
        <v>60</v>
      </c>
      <c r="M54" s="149" t="s">
        <v>141</v>
      </c>
      <c r="N54" s="117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" customHeight="1" x14ac:dyDescent="0.25">
      <c r="A55" s="128" t="s">
        <v>94</v>
      </c>
      <c r="B55" s="114" t="s">
        <v>21</v>
      </c>
      <c r="C55" s="114" t="s">
        <v>22</v>
      </c>
      <c r="D55" s="150">
        <v>3</v>
      </c>
      <c r="E55" s="155">
        <v>60</v>
      </c>
      <c r="F55" s="116">
        <v>45896</v>
      </c>
      <c r="G55" s="146">
        <v>0.375</v>
      </c>
      <c r="H55" s="116">
        <v>45890</v>
      </c>
      <c r="I55" s="146">
        <v>0.85416666666666663</v>
      </c>
      <c r="J55" s="147">
        <f t="shared" si="2"/>
        <v>0</v>
      </c>
      <c r="K55" s="115">
        <v>3</v>
      </c>
      <c r="L55" s="149">
        <v>60</v>
      </c>
      <c r="M55" s="149" t="s">
        <v>141</v>
      </c>
      <c r="N55" s="117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" customHeight="1" x14ac:dyDescent="0.25">
      <c r="A56" s="128" t="s">
        <v>95</v>
      </c>
      <c r="B56" s="114" t="s">
        <v>21</v>
      </c>
      <c r="C56" s="114" t="s">
        <v>22</v>
      </c>
      <c r="D56" s="150">
        <v>1</v>
      </c>
      <c r="E56" s="155">
        <v>30</v>
      </c>
      <c r="F56" s="116">
        <v>45896</v>
      </c>
      <c r="G56" s="146">
        <v>0.375</v>
      </c>
      <c r="H56" s="116">
        <v>45890</v>
      </c>
      <c r="I56" s="146">
        <v>0.875</v>
      </c>
      <c r="J56" s="147">
        <f>E56-L56</f>
        <v>0</v>
      </c>
      <c r="K56" s="115">
        <v>1</v>
      </c>
      <c r="L56" s="149">
        <v>30</v>
      </c>
      <c r="M56" s="149" t="s">
        <v>96</v>
      </c>
      <c r="N56" s="117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" customHeight="1" x14ac:dyDescent="0.25">
      <c r="A57" s="128" t="s">
        <v>95</v>
      </c>
      <c r="B57" s="114" t="s">
        <v>136</v>
      </c>
      <c r="C57" s="114" t="s">
        <v>34</v>
      </c>
      <c r="D57" s="150">
        <v>1</v>
      </c>
      <c r="E57" s="155">
        <v>30</v>
      </c>
      <c r="F57" s="116">
        <v>45896</v>
      </c>
      <c r="G57" s="146">
        <v>0.375</v>
      </c>
      <c r="H57" s="116">
        <v>45890</v>
      </c>
      <c r="I57" s="146">
        <v>0.875</v>
      </c>
      <c r="J57" s="147">
        <f t="shared" si="2"/>
        <v>0</v>
      </c>
      <c r="K57" s="115">
        <v>1</v>
      </c>
      <c r="L57" s="149">
        <v>30</v>
      </c>
      <c r="M57" s="149" t="s">
        <v>96</v>
      </c>
      <c r="N57" s="117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" customHeight="1" x14ac:dyDescent="0.25">
      <c r="A58" s="124" t="s">
        <v>97</v>
      </c>
      <c r="B58" s="114" t="s">
        <v>21</v>
      </c>
      <c r="C58" s="114" t="s">
        <v>22</v>
      </c>
      <c r="D58" s="150">
        <v>1</v>
      </c>
      <c r="E58" s="155">
        <v>20</v>
      </c>
      <c r="F58" s="116">
        <v>45896</v>
      </c>
      <c r="G58" s="146">
        <v>0.375</v>
      </c>
      <c r="H58" s="116">
        <v>45890</v>
      </c>
      <c r="I58" s="146">
        <v>0.88888888888888884</v>
      </c>
      <c r="J58" s="147">
        <f>E58-L58</f>
        <v>0</v>
      </c>
      <c r="K58" s="115">
        <v>1</v>
      </c>
      <c r="L58" s="149">
        <v>20</v>
      </c>
      <c r="M58" s="149" t="s">
        <v>98</v>
      </c>
      <c r="N58" s="117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" customHeight="1" x14ac:dyDescent="0.25">
      <c r="A59" s="124" t="s">
        <v>97</v>
      </c>
      <c r="B59" s="114" t="s">
        <v>136</v>
      </c>
      <c r="C59" s="114" t="s">
        <v>34</v>
      </c>
      <c r="D59" s="150">
        <v>1</v>
      </c>
      <c r="E59" s="155">
        <v>20</v>
      </c>
      <c r="F59" s="116">
        <v>45896</v>
      </c>
      <c r="G59" s="146">
        <v>0.375</v>
      </c>
      <c r="H59" s="116">
        <v>45890</v>
      </c>
      <c r="I59" s="146">
        <v>0.88888888888888884</v>
      </c>
      <c r="J59" s="147">
        <f t="shared" si="2"/>
        <v>0</v>
      </c>
      <c r="K59" s="115">
        <v>1</v>
      </c>
      <c r="L59" s="149">
        <v>20</v>
      </c>
      <c r="M59" s="149" t="s">
        <v>98</v>
      </c>
      <c r="N59" s="117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" customHeight="1" x14ac:dyDescent="0.25">
      <c r="A60" s="124" t="s">
        <v>99</v>
      </c>
      <c r="B60" s="114" t="s">
        <v>21</v>
      </c>
      <c r="C60" s="114" t="s">
        <v>22</v>
      </c>
      <c r="D60" s="155">
        <v>1</v>
      </c>
      <c r="E60" s="119">
        <v>20</v>
      </c>
      <c r="F60" s="116">
        <v>45896</v>
      </c>
      <c r="G60" s="146">
        <v>0.375</v>
      </c>
      <c r="H60" s="116">
        <v>45890</v>
      </c>
      <c r="I60" s="146">
        <v>0.90277777777777779</v>
      </c>
      <c r="J60" s="147">
        <f>E60-L60</f>
        <v>2</v>
      </c>
      <c r="K60" s="115">
        <v>1</v>
      </c>
      <c r="L60" s="149">
        <v>18</v>
      </c>
      <c r="M60" s="149" t="s">
        <v>100</v>
      </c>
      <c r="N60" s="117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" customHeight="1" x14ac:dyDescent="0.25">
      <c r="A61" s="124" t="s">
        <v>99</v>
      </c>
      <c r="B61" s="114" t="s">
        <v>136</v>
      </c>
      <c r="C61" s="114" t="s">
        <v>34</v>
      </c>
      <c r="D61" s="155">
        <v>1</v>
      </c>
      <c r="E61" s="157">
        <v>20</v>
      </c>
      <c r="F61" s="116">
        <v>45896</v>
      </c>
      <c r="G61" s="146">
        <v>0.375</v>
      </c>
      <c r="H61" s="116">
        <v>45890</v>
      </c>
      <c r="I61" s="146">
        <v>0.90277777777777779</v>
      </c>
      <c r="J61" s="147">
        <f t="shared" si="2"/>
        <v>2</v>
      </c>
      <c r="K61" s="115">
        <v>1</v>
      </c>
      <c r="L61" s="149">
        <v>18</v>
      </c>
      <c r="M61" s="149" t="s">
        <v>100</v>
      </c>
      <c r="N61" s="117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" customHeight="1" x14ac:dyDescent="0.25">
      <c r="A62" s="117" t="s">
        <v>101</v>
      </c>
      <c r="B62" s="114" t="s">
        <v>21</v>
      </c>
      <c r="C62" s="114" t="s">
        <v>22</v>
      </c>
      <c r="D62" s="155">
        <v>1</v>
      </c>
      <c r="E62" s="155">
        <v>20</v>
      </c>
      <c r="F62" s="116">
        <v>45896</v>
      </c>
      <c r="G62" s="146">
        <v>0.375</v>
      </c>
      <c r="H62" s="116">
        <v>45890</v>
      </c>
      <c r="I62" s="146">
        <v>0.91666666666666663</v>
      </c>
      <c r="J62" s="147">
        <f>E62-L62</f>
        <v>1</v>
      </c>
      <c r="K62" s="115">
        <v>1</v>
      </c>
      <c r="L62" s="149">
        <v>19</v>
      </c>
      <c r="M62" s="149" t="s">
        <v>102</v>
      </c>
      <c r="N62" s="117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" customHeight="1" x14ac:dyDescent="0.25">
      <c r="A63" s="129" t="s">
        <v>101</v>
      </c>
      <c r="B63" s="114" t="s">
        <v>136</v>
      </c>
      <c r="C63" s="114" t="s">
        <v>34</v>
      </c>
      <c r="D63" s="155">
        <v>1</v>
      </c>
      <c r="E63" s="155">
        <v>20</v>
      </c>
      <c r="F63" s="116">
        <v>45896</v>
      </c>
      <c r="G63" s="146">
        <v>0.375</v>
      </c>
      <c r="H63" s="116">
        <v>45890</v>
      </c>
      <c r="I63" s="146">
        <v>0.91666666666666663</v>
      </c>
      <c r="J63" s="147">
        <f t="shared" si="2"/>
        <v>1</v>
      </c>
      <c r="K63" s="115">
        <v>1</v>
      </c>
      <c r="L63" s="149">
        <v>19</v>
      </c>
      <c r="M63" s="149" t="s">
        <v>102</v>
      </c>
      <c r="N63" s="117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" customHeight="1" x14ac:dyDescent="0.25">
      <c r="A64" s="124" t="s">
        <v>103</v>
      </c>
      <c r="B64" s="114" t="s">
        <v>21</v>
      </c>
      <c r="C64" s="114" t="s">
        <v>22</v>
      </c>
      <c r="D64" s="155">
        <v>1</v>
      </c>
      <c r="E64" s="155">
        <v>30</v>
      </c>
      <c r="F64" s="116">
        <v>45896</v>
      </c>
      <c r="G64" s="146">
        <v>0.375</v>
      </c>
      <c r="H64" s="116">
        <v>45890</v>
      </c>
      <c r="I64" s="146">
        <v>0.9375</v>
      </c>
      <c r="J64" s="147">
        <f>E64-L64</f>
        <v>5</v>
      </c>
      <c r="K64" s="115">
        <v>1</v>
      </c>
      <c r="L64" s="149">
        <v>25</v>
      </c>
      <c r="M64" s="149" t="s">
        <v>104</v>
      </c>
      <c r="N64" s="117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" customHeight="1" x14ac:dyDescent="0.25">
      <c r="A65" s="124" t="s">
        <v>103</v>
      </c>
      <c r="B65" s="114" t="s">
        <v>136</v>
      </c>
      <c r="C65" s="114" t="s">
        <v>34</v>
      </c>
      <c r="D65" s="155">
        <v>1</v>
      </c>
      <c r="E65" s="155">
        <v>30</v>
      </c>
      <c r="F65" s="116">
        <v>45896</v>
      </c>
      <c r="G65" s="146">
        <v>0.375</v>
      </c>
      <c r="H65" s="116">
        <v>45890</v>
      </c>
      <c r="I65" s="146">
        <v>0.9375</v>
      </c>
      <c r="J65" s="147">
        <f t="shared" si="2"/>
        <v>5</v>
      </c>
      <c r="K65" s="115">
        <v>1</v>
      </c>
      <c r="L65" s="149">
        <v>25</v>
      </c>
      <c r="M65" s="149" t="s">
        <v>104</v>
      </c>
      <c r="N65" s="117"/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" customHeight="1" x14ac:dyDescent="0.25">
      <c r="A66" s="124" t="s">
        <v>105</v>
      </c>
      <c r="B66" s="114" t="s">
        <v>30</v>
      </c>
      <c r="C66" s="114" t="s">
        <v>31</v>
      </c>
      <c r="D66" s="155">
        <v>1</v>
      </c>
      <c r="E66" s="155">
        <v>30</v>
      </c>
      <c r="F66" s="116">
        <v>45896</v>
      </c>
      <c r="G66" s="146">
        <v>0.375</v>
      </c>
      <c r="H66" s="116">
        <v>45890</v>
      </c>
      <c r="I66" s="146">
        <v>0.8125</v>
      </c>
      <c r="J66" s="147">
        <f>E66-L66</f>
        <v>6</v>
      </c>
      <c r="K66" s="115">
        <v>1</v>
      </c>
      <c r="L66" s="149">
        <v>24</v>
      </c>
      <c r="M66" s="149" t="s">
        <v>106</v>
      </c>
      <c r="N66" s="117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" customHeight="1" x14ac:dyDescent="0.25">
      <c r="A67" s="124" t="s">
        <v>105</v>
      </c>
      <c r="B67" s="114" t="s">
        <v>39</v>
      </c>
      <c r="C67" s="114" t="s">
        <v>40</v>
      </c>
      <c r="D67" s="155">
        <v>1</v>
      </c>
      <c r="E67" s="155">
        <v>30</v>
      </c>
      <c r="F67" s="116">
        <v>45896</v>
      </c>
      <c r="G67" s="146">
        <v>0.375</v>
      </c>
      <c r="H67" s="116">
        <v>45890</v>
      </c>
      <c r="I67" s="146">
        <v>0.8125</v>
      </c>
      <c r="J67" s="147">
        <f t="shared" si="2"/>
        <v>6</v>
      </c>
      <c r="K67" s="115">
        <v>1</v>
      </c>
      <c r="L67" s="149">
        <v>24</v>
      </c>
      <c r="M67" s="149" t="s">
        <v>106</v>
      </c>
      <c r="N67" s="117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0" customHeight="1" x14ac:dyDescent="0.25">
      <c r="A68" s="128" t="s">
        <v>107</v>
      </c>
      <c r="B68" s="114" t="s">
        <v>30</v>
      </c>
      <c r="C68" s="114" t="s">
        <v>31</v>
      </c>
      <c r="D68" s="155">
        <v>1</v>
      </c>
      <c r="E68" s="155">
        <v>60</v>
      </c>
      <c r="F68" s="116">
        <v>45896</v>
      </c>
      <c r="G68" s="146">
        <v>0.375</v>
      </c>
      <c r="H68" s="116">
        <v>45890</v>
      </c>
      <c r="I68" s="146">
        <v>0.85416666666666663</v>
      </c>
      <c r="J68" s="147">
        <f>E68-L68</f>
        <v>15</v>
      </c>
      <c r="K68" s="115">
        <v>1</v>
      </c>
      <c r="L68" s="149">
        <v>45</v>
      </c>
      <c r="M68" s="149" t="s">
        <v>108</v>
      </c>
      <c r="N68" s="117"/>
      <c r="Q68" s="29">
        <v>1</v>
      </c>
      <c r="R68" s="29">
        <v>60</v>
      </c>
      <c r="S68" s="8">
        <v>1</v>
      </c>
      <c r="T68" s="7">
        <v>45</v>
      </c>
    </row>
    <row r="69" spans="1:20" ht="26.4" x14ac:dyDescent="0.25">
      <c r="A69" s="128" t="s">
        <v>107</v>
      </c>
      <c r="B69" s="114" t="s">
        <v>39</v>
      </c>
      <c r="C69" s="114" t="s">
        <v>40</v>
      </c>
      <c r="D69" s="155">
        <v>1</v>
      </c>
      <c r="E69" s="155">
        <v>60</v>
      </c>
      <c r="F69" s="116">
        <v>45896</v>
      </c>
      <c r="G69" s="146">
        <v>0.375</v>
      </c>
      <c r="H69" s="116">
        <v>45890</v>
      </c>
      <c r="I69" s="146">
        <v>0.85416666666666663</v>
      </c>
      <c r="J69" s="147">
        <f t="shared" si="2"/>
        <v>15</v>
      </c>
      <c r="K69" s="115">
        <v>1</v>
      </c>
      <c r="L69" s="149">
        <v>45</v>
      </c>
      <c r="M69" s="149" t="s">
        <v>108</v>
      </c>
      <c r="Q69" s="29">
        <v>1</v>
      </c>
      <c r="R69" s="29">
        <v>30</v>
      </c>
      <c r="S69" s="8">
        <v>1</v>
      </c>
      <c r="T69" s="7">
        <v>20</v>
      </c>
    </row>
    <row r="70" spans="1:20" ht="26.4" x14ac:dyDescent="0.25">
      <c r="A70" s="124" t="s">
        <v>109</v>
      </c>
      <c r="B70" s="114" t="s">
        <v>30</v>
      </c>
      <c r="C70" s="114" t="s">
        <v>31</v>
      </c>
      <c r="D70" s="155">
        <v>1</v>
      </c>
      <c r="E70" s="155">
        <v>30</v>
      </c>
      <c r="F70" s="116">
        <v>45896</v>
      </c>
      <c r="G70" s="146">
        <v>0.375</v>
      </c>
      <c r="H70" s="116">
        <v>45890</v>
      </c>
      <c r="I70" s="146">
        <v>0.875</v>
      </c>
      <c r="J70" s="147">
        <f>E70-L70</f>
        <v>10</v>
      </c>
      <c r="K70" s="115">
        <v>1</v>
      </c>
      <c r="L70" s="149">
        <v>20</v>
      </c>
      <c r="M70" s="149" t="s">
        <v>110</v>
      </c>
      <c r="Q70" s="29">
        <v>1</v>
      </c>
      <c r="R70" s="29">
        <v>30</v>
      </c>
      <c r="S70" s="8">
        <v>1</v>
      </c>
      <c r="T70" s="7">
        <v>20</v>
      </c>
    </row>
    <row r="71" spans="1:20" ht="26.4" x14ac:dyDescent="0.25">
      <c r="A71" s="124" t="s">
        <v>109</v>
      </c>
      <c r="B71" s="114" t="s">
        <v>39</v>
      </c>
      <c r="C71" s="114" t="s">
        <v>40</v>
      </c>
      <c r="D71" s="155">
        <v>1</v>
      </c>
      <c r="E71" s="155">
        <v>30</v>
      </c>
      <c r="F71" s="116">
        <v>45896</v>
      </c>
      <c r="G71" s="146">
        <v>0.375</v>
      </c>
      <c r="H71" s="116">
        <v>45890</v>
      </c>
      <c r="I71" s="146">
        <v>0.875</v>
      </c>
      <c r="J71" s="147">
        <f t="shared" si="2"/>
        <v>10</v>
      </c>
      <c r="K71" s="115">
        <v>1</v>
      </c>
      <c r="L71" s="149">
        <v>20</v>
      </c>
      <c r="M71" s="149" t="s">
        <v>110</v>
      </c>
      <c r="Q71" s="29">
        <v>1</v>
      </c>
      <c r="R71" s="29">
        <v>30</v>
      </c>
      <c r="S71" s="8">
        <v>1</v>
      </c>
      <c r="T71" s="7">
        <v>30</v>
      </c>
    </row>
    <row r="72" spans="1:20" ht="26.4" x14ac:dyDescent="0.25">
      <c r="A72" s="124" t="s">
        <v>111</v>
      </c>
      <c r="B72" s="114" t="s">
        <v>39</v>
      </c>
      <c r="C72" s="114" t="s">
        <v>142</v>
      </c>
      <c r="D72" s="155">
        <v>1</v>
      </c>
      <c r="E72" s="155">
        <v>30</v>
      </c>
      <c r="F72" s="116">
        <v>45896</v>
      </c>
      <c r="G72" s="146">
        <v>0.375</v>
      </c>
      <c r="H72" s="116">
        <v>45890</v>
      </c>
      <c r="I72" s="146">
        <v>0.89583333333333337</v>
      </c>
      <c r="J72" s="147">
        <f t="shared" si="2"/>
        <v>0</v>
      </c>
      <c r="K72" s="115">
        <v>1</v>
      </c>
      <c r="L72" s="149">
        <v>30</v>
      </c>
      <c r="M72" s="149" t="s">
        <v>112</v>
      </c>
      <c r="Q72" s="29">
        <v>1</v>
      </c>
      <c r="R72" s="29">
        <v>30</v>
      </c>
      <c r="S72" s="8">
        <v>1</v>
      </c>
      <c r="T72" s="7">
        <v>30</v>
      </c>
    </row>
    <row r="73" spans="1:20" ht="26.4" x14ac:dyDescent="0.25">
      <c r="A73" s="124" t="s">
        <v>111</v>
      </c>
      <c r="B73" s="114" t="s">
        <v>30</v>
      </c>
      <c r="C73" s="114" t="s">
        <v>31</v>
      </c>
      <c r="D73" s="155">
        <v>1</v>
      </c>
      <c r="E73" s="155">
        <v>30</v>
      </c>
      <c r="F73" s="116">
        <v>45896</v>
      </c>
      <c r="G73" s="146">
        <v>0.375</v>
      </c>
      <c r="H73" s="116">
        <v>45890</v>
      </c>
      <c r="I73" s="146">
        <v>0.89583333333333337</v>
      </c>
      <c r="J73" s="147">
        <f t="shared" si="2"/>
        <v>0</v>
      </c>
      <c r="K73" s="115">
        <v>1</v>
      </c>
      <c r="L73" s="149">
        <v>30</v>
      </c>
      <c r="M73" s="149" t="s">
        <v>112</v>
      </c>
      <c r="Q73" s="29">
        <v>1</v>
      </c>
      <c r="R73" s="29">
        <v>30</v>
      </c>
      <c r="S73" s="8">
        <v>1</v>
      </c>
      <c r="T73" s="7">
        <v>32</v>
      </c>
    </row>
    <row r="74" spans="1:20" ht="26.4" x14ac:dyDescent="0.25">
      <c r="A74" s="128" t="s">
        <v>113</v>
      </c>
      <c r="B74" s="114" t="s">
        <v>30</v>
      </c>
      <c r="C74" s="114" t="s">
        <v>31</v>
      </c>
      <c r="D74" s="155">
        <v>1</v>
      </c>
      <c r="E74" s="155">
        <v>30</v>
      </c>
      <c r="F74" s="116">
        <v>45896</v>
      </c>
      <c r="G74" s="146">
        <v>0.375</v>
      </c>
      <c r="H74" s="116">
        <v>45890</v>
      </c>
      <c r="I74" s="146">
        <v>0.91666666666666663</v>
      </c>
      <c r="J74" s="147">
        <f t="shared" si="2"/>
        <v>-2</v>
      </c>
      <c r="K74" s="115">
        <v>1</v>
      </c>
      <c r="L74" s="149">
        <v>32</v>
      </c>
      <c r="M74" s="149" t="s">
        <v>114</v>
      </c>
      <c r="Q74" s="29">
        <v>1</v>
      </c>
      <c r="R74" s="29">
        <v>30</v>
      </c>
      <c r="S74" s="8">
        <v>1</v>
      </c>
      <c r="T74" s="7">
        <v>32</v>
      </c>
    </row>
    <row r="75" spans="1:20" ht="26.4" x14ac:dyDescent="0.25">
      <c r="A75" s="128" t="s">
        <v>113</v>
      </c>
      <c r="B75" s="114" t="s">
        <v>39</v>
      </c>
      <c r="C75" s="114" t="s">
        <v>40</v>
      </c>
      <c r="D75" s="155">
        <v>1</v>
      </c>
      <c r="E75" s="155">
        <v>30</v>
      </c>
      <c r="F75" s="116">
        <v>45896</v>
      </c>
      <c r="G75" s="146">
        <v>0.375</v>
      </c>
      <c r="H75" s="116">
        <v>45890</v>
      </c>
      <c r="I75" s="146">
        <v>0.91666666666666663</v>
      </c>
      <c r="J75" s="147">
        <f t="shared" si="2"/>
        <v>-2</v>
      </c>
      <c r="K75" s="115">
        <v>1</v>
      </c>
      <c r="L75" s="149">
        <v>32</v>
      </c>
      <c r="M75" s="149" t="s">
        <v>114</v>
      </c>
      <c r="Q75" s="29">
        <v>1</v>
      </c>
      <c r="R75" s="29">
        <v>20</v>
      </c>
      <c r="S75" s="8">
        <v>1</v>
      </c>
      <c r="T75" s="7">
        <v>20</v>
      </c>
    </row>
    <row r="76" spans="1:20" ht="26.4" x14ac:dyDescent="0.25">
      <c r="A76" s="128" t="s">
        <v>115</v>
      </c>
      <c r="B76" s="114" t="s">
        <v>36</v>
      </c>
      <c r="C76" s="114" t="s">
        <v>37</v>
      </c>
      <c r="D76" s="155">
        <v>1</v>
      </c>
      <c r="E76" s="155">
        <v>20</v>
      </c>
      <c r="F76" s="116">
        <v>45896</v>
      </c>
      <c r="G76" s="146">
        <v>0.375</v>
      </c>
      <c r="H76" s="116">
        <v>45890</v>
      </c>
      <c r="I76" s="146">
        <v>0.80555555555555558</v>
      </c>
      <c r="J76" s="147">
        <f t="shared" si="2"/>
        <v>0</v>
      </c>
      <c r="K76" s="115">
        <v>1</v>
      </c>
      <c r="L76" s="149">
        <v>20</v>
      </c>
      <c r="M76" s="149" t="s">
        <v>116</v>
      </c>
      <c r="Q76" s="29">
        <v>1</v>
      </c>
      <c r="R76" s="29">
        <v>20</v>
      </c>
      <c r="S76" s="8">
        <v>1</v>
      </c>
      <c r="T76" s="7">
        <v>20</v>
      </c>
    </row>
    <row r="77" spans="1:20" ht="26.4" x14ac:dyDescent="0.25">
      <c r="A77" s="128" t="s">
        <v>115</v>
      </c>
      <c r="B77" s="114" t="s">
        <v>42</v>
      </c>
      <c r="C77" s="114" t="s">
        <v>43</v>
      </c>
      <c r="D77" s="155">
        <v>1</v>
      </c>
      <c r="E77" s="155">
        <v>20</v>
      </c>
      <c r="F77" s="116">
        <v>45896</v>
      </c>
      <c r="G77" s="146">
        <v>0.375</v>
      </c>
      <c r="H77" s="116">
        <v>45890</v>
      </c>
      <c r="I77" s="146">
        <v>0.80555555555555558</v>
      </c>
      <c r="J77" s="147">
        <f t="shared" si="2"/>
        <v>0</v>
      </c>
      <c r="K77" s="115">
        <v>1</v>
      </c>
      <c r="L77" s="149">
        <v>20</v>
      </c>
      <c r="M77" s="149" t="s">
        <v>116</v>
      </c>
      <c r="Q77" s="29">
        <v>1</v>
      </c>
      <c r="R77" s="29">
        <v>20</v>
      </c>
      <c r="S77" s="8">
        <v>1</v>
      </c>
      <c r="T77" s="7">
        <v>20</v>
      </c>
    </row>
    <row r="78" spans="1:20" ht="26.4" x14ac:dyDescent="0.25">
      <c r="A78" s="128" t="s">
        <v>117</v>
      </c>
      <c r="B78" s="114" t="s">
        <v>36</v>
      </c>
      <c r="C78" s="114" t="s">
        <v>37</v>
      </c>
      <c r="D78" s="155">
        <v>1</v>
      </c>
      <c r="E78" s="155">
        <v>20</v>
      </c>
      <c r="F78" s="116">
        <v>45896</v>
      </c>
      <c r="G78" s="146">
        <v>0.375</v>
      </c>
      <c r="H78" s="116">
        <v>45890</v>
      </c>
      <c r="I78" s="146">
        <v>0.81944444444444442</v>
      </c>
      <c r="J78" s="147">
        <f t="shared" si="2"/>
        <v>0</v>
      </c>
      <c r="K78" s="115">
        <v>1</v>
      </c>
      <c r="L78" s="149">
        <v>20</v>
      </c>
      <c r="M78" s="149" t="s">
        <v>118</v>
      </c>
      <c r="Q78" s="29">
        <v>1</v>
      </c>
      <c r="R78" s="29">
        <v>20</v>
      </c>
      <c r="S78" s="8">
        <v>1</v>
      </c>
      <c r="T78" s="7">
        <v>20</v>
      </c>
    </row>
    <row r="79" spans="1:20" ht="26.4" x14ac:dyDescent="0.25">
      <c r="A79" s="128" t="s">
        <v>117</v>
      </c>
      <c r="B79" s="114" t="s">
        <v>42</v>
      </c>
      <c r="C79" s="114" t="s">
        <v>43</v>
      </c>
      <c r="D79" s="155">
        <v>1</v>
      </c>
      <c r="E79" s="155">
        <v>20</v>
      </c>
      <c r="F79" s="116">
        <v>45896</v>
      </c>
      <c r="G79" s="146">
        <v>0.375</v>
      </c>
      <c r="H79" s="116">
        <v>45890</v>
      </c>
      <c r="I79" s="146">
        <v>0.81944444444444442</v>
      </c>
      <c r="J79" s="147">
        <f t="shared" si="2"/>
        <v>0</v>
      </c>
      <c r="K79" s="115">
        <v>1</v>
      </c>
      <c r="L79" s="149">
        <v>20</v>
      </c>
      <c r="M79" s="149" t="s">
        <v>118</v>
      </c>
      <c r="Q79" s="29">
        <v>1</v>
      </c>
      <c r="R79" s="29">
        <v>20</v>
      </c>
      <c r="S79" s="8">
        <v>1</v>
      </c>
      <c r="T79" s="7">
        <v>20</v>
      </c>
    </row>
    <row r="80" spans="1:20" ht="194.25" customHeight="1" x14ac:dyDescent="0.25">
      <c r="A80" s="128" t="s">
        <v>119</v>
      </c>
      <c r="B80" s="114" t="s">
        <v>36</v>
      </c>
      <c r="C80" s="114" t="s">
        <v>37</v>
      </c>
      <c r="D80" s="155">
        <v>1</v>
      </c>
      <c r="E80" s="155">
        <v>20</v>
      </c>
      <c r="F80" s="116">
        <v>45896</v>
      </c>
      <c r="G80" s="146">
        <v>0.375</v>
      </c>
      <c r="H80" s="116">
        <v>45890</v>
      </c>
      <c r="I80" s="146">
        <v>0.83333333333333337</v>
      </c>
      <c r="J80" s="147">
        <f>E80-L80</f>
        <v>0</v>
      </c>
      <c r="K80" s="115">
        <v>4</v>
      </c>
      <c r="L80" s="149">
        <v>20</v>
      </c>
      <c r="M80" s="149" t="s">
        <v>120</v>
      </c>
      <c r="Q80" s="29">
        <v>1</v>
      </c>
      <c r="R80" s="29">
        <v>20</v>
      </c>
      <c r="S80" s="8">
        <v>1</v>
      </c>
      <c r="T80" s="7">
        <v>20</v>
      </c>
    </row>
    <row r="81" spans="1:20" ht="39.6" x14ac:dyDescent="0.25">
      <c r="A81" s="128" t="s">
        <v>119</v>
      </c>
      <c r="B81" s="114" t="s">
        <v>42</v>
      </c>
      <c r="C81" s="114" t="s">
        <v>43</v>
      </c>
      <c r="D81" s="155">
        <v>1</v>
      </c>
      <c r="E81" s="155">
        <v>20</v>
      </c>
      <c r="F81" s="116">
        <v>45896</v>
      </c>
      <c r="G81" s="146">
        <v>0.375</v>
      </c>
      <c r="H81" s="116">
        <v>45890</v>
      </c>
      <c r="I81" s="146">
        <v>0.83333333333333337</v>
      </c>
      <c r="J81" s="147">
        <f t="shared" si="2"/>
        <v>0</v>
      </c>
      <c r="K81" s="115">
        <v>1</v>
      </c>
      <c r="L81" s="149">
        <v>20</v>
      </c>
      <c r="M81" s="149" t="s">
        <v>120</v>
      </c>
      <c r="Q81" s="29">
        <v>1</v>
      </c>
      <c r="R81" s="29">
        <v>20</v>
      </c>
      <c r="S81" s="8">
        <v>1</v>
      </c>
      <c r="T81" s="7">
        <v>18</v>
      </c>
    </row>
    <row r="82" spans="1:20" ht="39.6" x14ac:dyDescent="0.25">
      <c r="A82" s="128" t="s">
        <v>121</v>
      </c>
      <c r="B82" s="114" t="s">
        <v>36</v>
      </c>
      <c r="C82" s="114" t="s">
        <v>37</v>
      </c>
      <c r="D82" s="155">
        <v>1</v>
      </c>
      <c r="E82" s="155">
        <v>20</v>
      </c>
      <c r="F82" s="116">
        <v>45896</v>
      </c>
      <c r="G82" s="146">
        <v>0.375</v>
      </c>
      <c r="H82" s="116">
        <v>45890</v>
      </c>
      <c r="I82" s="146">
        <v>0.84722222222222221</v>
      </c>
      <c r="J82" s="147">
        <f>E82-L82</f>
        <v>2</v>
      </c>
      <c r="K82" s="115">
        <v>1</v>
      </c>
      <c r="L82" s="149">
        <v>18</v>
      </c>
      <c r="M82" s="149" t="s">
        <v>122</v>
      </c>
      <c r="Q82" s="29">
        <v>1</v>
      </c>
      <c r="R82" s="29">
        <v>20</v>
      </c>
      <c r="S82" s="8">
        <v>1</v>
      </c>
      <c r="T82" s="7">
        <v>18</v>
      </c>
    </row>
    <row r="83" spans="1:20" ht="39.6" x14ac:dyDescent="0.25">
      <c r="A83" s="128" t="s">
        <v>121</v>
      </c>
      <c r="B83" s="114" t="s">
        <v>42</v>
      </c>
      <c r="C83" s="114" t="s">
        <v>43</v>
      </c>
      <c r="D83" s="155">
        <v>1</v>
      </c>
      <c r="E83" s="155">
        <v>20</v>
      </c>
      <c r="F83" s="116">
        <v>45896</v>
      </c>
      <c r="G83" s="146">
        <v>0.375</v>
      </c>
      <c r="H83" s="116">
        <v>45890</v>
      </c>
      <c r="I83" s="146">
        <v>0.84722222222222221</v>
      </c>
      <c r="J83" s="147">
        <f t="shared" si="2"/>
        <v>2</v>
      </c>
      <c r="K83" s="115">
        <v>1</v>
      </c>
      <c r="L83" s="149">
        <v>18</v>
      </c>
      <c r="M83" s="149" t="s">
        <v>122</v>
      </c>
      <c r="Q83" s="29">
        <v>1</v>
      </c>
      <c r="R83" s="29">
        <v>20</v>
      </c>
      <c r="S83" s="8">
        <v>1</v>
      </c>
      <c r="T83" s="7">
        <v>20</v>
      </c>
    </row>
    <row r="84" spans="1:20" ht="26.4" x14ac:dyDescent="0.25">
      <c r="A84" s="125" t="s">
        <v>123</v>
      </c>
      <c r="B84" s="114" t="s">
        <v>36</v>
      </c>
      <c r="C84" s="114" t="s">
        <v>37</v>
      </c>
      <c r="D84" s="155">
        <v>1</v>
      </c>
      <c r="E84" s="155">
        <v>20</v>
      </c>
      <c r="F84" s="116">
        <v>45896</v>
      </c>
      <c r="G84" s="146">
        <v>0.375</v>
      </c>
      <c r="H84" s="116">
        <v>45890</v>
      </c>
      <c r="I84" s="146">
        <v>0.86111111111111116</v>
      </c>
      <c r="J84" s="147">
        <f>E84-L84</f>
        <v>0</v>
      </c>
      <c r="K84" s="115">
        <v>1</v>
      </c>
      <c r="L84" s="149">
        <v>20</v>
      </c>
      <c r="M84" s="158" t="s">
        <v>124</v>
      </c>
      <c r="Q84" s="29">
        <v>1</v>
      </c>
      <c r="R84" s="29">
        <v>20</v>
      </c>
      <c r="S84" s="8">
        <v>1</v>
      </c>
      <c r="T84" s="7">
        <v>20</v>
      </c>
    </row>
    <row r="85" spans="1:20" ht="26.4" x14ac:dyDescent="0.25">
      <c r="A85" s="130" t="s">
        <v>123</v>
      </c>
      <c r="B85" s="114" t="s">
        <v>143</v>
      </c>
      <c r="C85" s="114" t="s">
        <v>43</v>
      </c>
      <c r="D85" s="155">
        <v>1</v>
      </c>
      <c r="E85" s="155">
        <v>20</v>
      </c>
      <c r="F85" s="116">
        <v>45896</v>
      </c>
      <c r="G85" s="146">
        <v>0.375</v>
      </c>
      <c r="H85" s="116">
        <v>45890</v>
      </c>
      <c r="I85" s="146">
        <v>0.86111111111111116</v>
      </c>
      <c r="J85" s="147">
        <f t="shared" si="2"/>
        <v>0</v>
      </c>
      <c r="K85" s="115">
        <v>1</v>
      </c>
      <c r="L85" s="149">
        <v>20</v>
      </c>
      <c r="M85" s="158" t="s">
        <v>124</v>
      </c>
      <c r="Q85" s="29">
        <v>1</v>
      </c>
      <c r="R85" s="29">
        <v>20</v>
      </c>
      <c r="S85" s="8">
        <v>1</v>
      </c>
      <c r="T85" s="7">
        <v>21</v>
      </c>
    </row>
    <row r="86" spans="1:20" ht="26.4" x14ac:dyDescent="0.25">
      <c r="A86" s="128" t="s">
        <v>125</v>
      </c>
      <c r="B86" s="114" t="s">
        <v>36</v>
      </c>
      <c r="C86" s="114" t="s">
        <v>37</v>
      </c>
      <c r="D86" s="155">
        <v>1</v>
      </c>
      <c r="E86" s="155">
        <v>20</v>
      </c>
      <c r="F86" s="116">
        <v>45896</v>
      </c>
      <c r="G86" s="146">
        <v>0.375</v>
      </c>
      <c r="H86" s="116">
        <v>45890</v>
      </c>
      <c r="I86" s="146">
        <v>0.875</v>
      </c>
      <c r="J86" s="147">
        <f>E86-L86</f>
        <v>-1</v>
      </c>
      <c r="K86" s="115">
        <v>1</v>
      </c>
      <c r="L86" s="149">
        <v>21</v>
      </c>
      <c r="M86" s="149" t="s">
        <v>126</v>
      </c>
      <c r="Q86" s="29">
        <v>1</v>
      </c>
      <c r="R86" s="29">
        <v>20</v>
      </c>
      <c r="S86" s="8">
        <v>1</v>
      </c>
      <c r="T86" s="7">
        <v>21</v>
      </c>
    </row>
    <row r="87" spans="1:20" ht="26.4" x14ac:dyDescent="0.25">
      <c r="A87" s="128" t="s">
        <v>125</v>
      </c>
      <c r="B87" s="114" t="s">
        <v>42</v>
      </c>
      <c r="C87" s="114" t="s">
        <v>43</v>
      </c>
      <c r="D87" s="155">
        <v>1</v>
      </c>
      <c r="E87" s="155">
        <v>20</v>
      </c>
      <c r="F87" s="116">
        <v>45896</v>
      </c>
      <c r="G87" s="146">
        <v>0.375</v>
      </c>
      <c r="H87" s="116">
        <v>45890</v>
      </c>
      <c r="I87" s="146">
        <v>0.875</v>
      </c>
      <c r="J87" s="147">
        <f t="shared" si="2"/>
        <v>-1</v>
      </c>
      <c r="K87" s="115">
        <v>1</v>
      </c>
      <c r="L87" s="149">
        <v>21</v>
      </c>
      <c r="M87" s="149" t="s">
        <v>126</v>
      </c>
      <c r="Q87" s="29">
        <v>1</v>
      </c>
      <c r="R87" s="29">
        <v>30</v>
      </c>
      <c r="S87" s="8">
        <v>1</v>
      </c>
      <c r="T87" s="7">
        <v>25</v>
      </c>
    </row>
    <row r="88" spans="1:20" ht="39.6" x14ac:dyDescent="0.25">
      <c r="A88" s="129" t="s">
        <v>127</v>
      </c>
      <c r="B88" s="114" t="s">
        <v>36</v>
      </c>
      <c r="C88" s="114" t="s">
        <v>37</v>
      </c>
      <c r="D88" s="155">
        <v>1</v>
      </c>
      <c r="E88" s="155">
        <v>30</v>
      </c>
      <c r="F88" s="116">
        <v>45896</v>
      </c>
      <c r="G88" s="146">
        <v>0.375</v>
      </c>
      <c r="H88" s="116">
        <v>45890</v>
      </c>
      <c r="I88" s="146">
        <v>0.89583333333333337</v>
      </c>
      <c r="J88" s="147">
        <f>E88-L88</f>
        <v>5</v>
      </c>
      <c r="K88" s="115">
        <v>1</v>
      </c>
      <c r="L88" s="149">
        <v>25</v>
      </c>
      <c r="M88" s="149" t="s">
        <v>128</v>
      </c>
      <c r="Q88" s="29">
        <v>1</v>
      </c>
      <c r="R88" s="29">
        <v>30</v>
      </c>
      <c r="S88" s="8">
        <v>1</v>
      </c>
      <c r="T88" s="7">
        <v>25</v>
      </c>
    </row>
    <row r="89" spans="1:20" ht="255" customHeight="1" x14ac:dyDescent="0.25">
      <c r="A89" s="117" t="s">
        <v>127</v>
      </c>
      <c r="B89" s="114" t="s">
        <v>42</v>
      </c>
      <c r="C89" s="114" t="s">
        <v>43</v>
      </c>
      <c r="D89" s="155">
        <v>1</v>
      </c>
      <c r="E89" s="155">
        <v>30</v>
      </c>
      <c r="F89" s="116">
        <v>45896</v>
      </c>
      <c r="G89" s="146">
        <v>0.375</v>
      </c>
      <c r="H89" s="116">
        <v>45890</v>
      </c>
      <c r="I89" s="146">
        <v>0.89583333333333337</v>
      </c>
      <c r="J89" s="147">
        <f t="shared" si="2"/>
        <v>5</v>
      </c>
      <c r="K89" s="115">
        <v>1</v>
      </c>
      <c r="L89" s="149">
        <v>25</v>
      </c>
      <c r="M89" s="149" t="s">
        <v>128</v>
      </c>
      <c r="Q89" s="29">
        <v>1</v>
      </c>
      <c r="R89" s="29">
        <v>30</v>
      </c>
      <c r="S89" s="8">
        <v>1</v>
      </c>
      <c r="T89" s="7">
        <v>20</v>
      </c>
    </row>
    <row r="90" spans="1:20" ht="39.6" x14ac:dyDescent="0.25">
      <c r="A90" s="128" t="s">
        <v>129</v>
      </c>
      <c r="B90" s="114" t="s">
        <v>36</v>
      </c>
      <c r="C90" s="114" t="s">
        <v>37</v>
      </c>
      <c r="D90" s="155">
        <v>1</v>
      </c>
      <c r="E90" s="155">
        <v>30</v>
      </c>
      <c r="F90" s="116">
        <v>45896</v>
      </c>
      <c r="G90" s="146">
        <v>0.375</v>
      </c>
      <c r="H90" s="116">
        <v>45890</v>
      </c>
      <c r="I90" s="146">
        <v>0.91666666666666663</v>
      </c>
      <c r="J90" s="147">
        <f>E90-L90</f>
        <v>10</v>
      </c>
      <c r="K90" s="115">
        <v>1</v>
      </c>
      <c r="L90" s="149">
        <v>20</v>
      </c>
      <c r="M90" s="149" t="s">
        <v>130</v>
      </c>
      <c r="Q90" s="29">
        <v>1</v>
      </c>
      <c r="R90" s="29">
        <v>30</v>
      </c>
      <c r="S90" s="8">
        <v>1</v>
      </c>
      <c r="T90" s="7">
        <v>20</v>
      </c>
    </row>
    <row r="91" spans="1:20" ht="39.6" x14ac:dyDescent="0.25">
      <c r="A91" s="128" t="s">
        <v>129</v>
      </c>
      <c r="B91" s="114" t="s">
        <v>42</v>
      </c>
      <c r="C91" s="114" t="s">
        <v>43</v>
      </c>
      <c r="D91" s="155">
        <v>1</v>
      </c>
      <c r="E91" s="155">
        <v>30</v>
      </c>
      <c r="F91" s="116">
        <v>45896</v>
      </c>
      <c r="G91" s="146">
        <v>0.375</v>
      </c>
      <c r="H91" s="116">
        <v>45890</v>
      </c>
      <c r="I91" s="146">
        <v>0.91666666666666663</v>
      </c>
      <c r="J91" s="147">
        <f t="shared" si="2"/>
        <v>10</v>
      </c>
      <c r="K91" s="115">
        <v>1</v>
      </c>
      <c r="L91" s="149">
        <v>20</v>
      </c>
      <c r="M91" s="149" t="s">
        <v>130</v>
      </c>
      <c r="Q91" s="20">
        <v>1</v>
      </c>
      <c r="R91" s="29">
        <v>60</v>
      </c>
      <c r="S91" s="8">
        <v>1</v>
      </c>
      <c r="T91" s="7">
        <v>10</v>
      </c>
    </row>
    <row r="92" spans="1:20" ht="26.4" x14ac:dyDescent="0.25">
      <c r="A92" s="125" t="s">
        <v>471</v>
      </c>
      <c r="B92" s="122" t="s">
        <v>36</v>
      </c>
      <c r="C92" s="122" t="s">
        <v>37</v>
      </c>
      <c r="D92" s="115">
        <v>1</v>
      </c>
      <c r="E92" s="115">
        <v>30</v>
      </c>
      <c r="F92" s="135">
        <v>45896</v>
      </c>
      <c r="G92" s="152">
        <v>0.375</v>
      </c>
      <c r="H92" s="135">
        <v>45890</v>
      </c>
      <c r="I92" s="152">
        <v>0.79166666666666663</v>
      </c>
      <c r="J92" s="153">
        <f t="shared" si="2"/>
        <v>0</v>
      </c>
      <c r="K92" s="115">
        <v>3</v>
      </c>
      <c r="L92" s="122">
        <v>30</v>
      </c>
      <c r="M92" s="132" t="s">
        <v>472</v>
      </c>
      <c r="Q92" s="20">
        <v>1</v>
      </c>
      <c r="R92" s="29">
        <v>60</v>
      </c>
      <c r="S92" s="8">
        <v>1</v>
      </c>
      <c r="T92" s="7">
        <v>10</v>
      </c>
    </row>
    <row r="93" spans="1:20" ht="39.6" x14ac:dyDescent="0.25">
      <c r="A93" s="124" t="s">
        <v>146</v>
      </c>
      <c r="B93" s="114" t="s">
        <v>42</v>
      </c>
      <c r="C93" s="114" t="s">
        <v>43</v>
      </c>
      <c r="D93" s="150">
        <v>1</v>
      </c>
      <c r="E93" s="155">
        <v>60</v>
      </c>
      <c r="F93" s="116">
        <v>45896</v>
      </c>
      <c r="G93" s="146">
        <v>0.375</v>
      </c>
      <c r="H93" s="116">
        <v>45890</v>
      </c>
      <c r="I93" s="146">
        <v>0.91666666666666663</v>
      </c>
      <c r="J93" s="147">
        <f>E93-L93</f>
        <v>50</v>
      </c>
      <c r="K93" s="115">
        <v>2</v>
      </c>
      <c r="L93" s="149">
        <v>10</v>
      </c>
      <c r="M93" s="149" t="s">
        <v>149</v>
      </c>
      <c r="Q93" s="20">
        <v>1</v>
      </c>
      <c r="R93" s="29">
        <v>60</v>
      </c>
      <c r="S93" s="8">
        <v>1</v>
      </c>
      <c r="T93" s="7">
        <v>10</v>
      </c>
    </row>
    <row r="94" spans="1:20" ht="39.6" x14ac:dyDescent="0.25">
      <c r="A94" s="124" t="s">
        <v>146</v>
      </c>
      <c r="B94" s="114" t="s">
        <v>21</v>
      </c>
      <c r="C94" s="114" t="s">
        <v>22</v>
      </c>
      <c r="D94" s="150">
        <v>1</v>
      </c>
      <c r="E94" s="155">
        <v>60</v>
      </c>
      <c r="F94" s="116">
        <v>45896</v>
      </c>
      <c r="G94" s="146">
        <v>0.375</v>
      </c>
      <c r="H94" s="116">
        <v>45890</v>
      </c>
      <c r="I94" s="146">
        <v>0.91666666666666663</v>
      </c>
      <c r="J94" s="147">
        <f>E94-L94</f>
        <v>50</v>
      </c>
      <c r="K94" s="115">
        <v>1</v>
      </c>
      <c r="L94" s="149">
        <v>10</v>
      </c>
      <c r="M94" s="149" t="s">
        <v>149</v>
      </c>
      <c r="Q94" s="20">
        <v>1</v>
      </c>
      <c r="R94" s="29">
        <v>60</v>
      </c>
      <c r="S94" s="8">
        <v>1</v>
      </c>
      <c r="T94" s="7">
        <v>10</v>
      </c>
    </row>
    <row r="95" spans="1:20" ht="39.6" x14ac:dyDescent="0.25">
      <c r="A95" s="124" t="s">
        <v>146</v>
      </c>
      <c r="B95" s="114" t="s">
        <v>136</v>
      </c>
      <c r="C95" s="114" t="s">
        <v>34</v>
      </c>
      <c r="D95" s="150">
        <v>1</v>
      </c>
      <c r="E95" s="155">
        <v>60</v>
      </c>
      <c r="F95" s="116">
        <v>45896</v>
      </c>
      <c r="G95" s="146">
        <v>0.375</v>
      </c>
      <c r="H95" s="116">
        <v>45890</v>
      </c>
      <c r="I95" s="146">
        <v>0.91666666666666663</v>
      </c>
      <c r="J95" s="147">
        <f>E95-L95</f>
        <v>50</v>
      </c>
      <c r="K95" s="115">
        <v>1</v>
      </c>
      <c r="L95" s="149">
        <v>10</v>
      </c>
      <c r="M95" s="149" t="s">
        <v>149</v>
      </c>
      <c r="Q95" s="20">
        <v>1</v>
      </c>
      <c r="R95" s="29">
        <v>60</v>
      </c>
      <c r="S95" s="8">
        <v>1</v>
      </c>
      <c r="T95" s="7">
        <v>10</v>
      </c>
    </row>
    <row r="96" spans="1:20" ht="228" customHeight="1" x14ac:dyDescent="0.25">
      <c r="A96" s="124" t="s">
        <v>146</v>
      </c>
      <c r="B96" s="114" t="s">
        <v>36</v>
      </c>
      <c r="C96" s="114" t="s">
        <v>37</v>
      </c>
      <c r="D96" s="150">
        <v>1</v>
      </c>
      <c r="E96" s="155">
        <v>60</v>
      </c>
      <c r="F96" s="116">
        <v>45882</v>
      </c>
      <c r="G96" s="146">
        <v>0.375</v>
      </c>
      <c r="H96" s="116">
        <v>45890</v>
      </c>
      <c r="I96" s="146">
        <v>0.91666666666666663</v>
      </c>
      <c r="J96" s="147">
        <f>E96-L96</f>
        <v>50</v>
      </c>
      <c r="K96" s="115">
        <v>1</v>
      </c>
      <c r="L96" s="149">
        <v>10</v>
      </c>
      <c r="M96" s="149" t="s">
        <v>149</v>
      </c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5">
      <c r="A97" s="124" t="s">
        <v>146</v>
      </c>
      <c r="B97" s="114" t="s">
        <v>39</v>
      </c>
      <c r="C97" s="114" t="s">
        <v>40</v>
      </c>
      <c r="D97" s="150">
        <v>1</v>
      </c>
      <c r="E97" s="155">
        <v>60</v>
      </c>
      <c r="F97" s="116">
        <v>45896</v>
      </c>
      <c r="G97" s="146">
        <v>0.375</v>
      </c>
      <c r="H97" s="116">
        <v>45890</v>
      </c>
      <c r="I97" s="146">
        <v>0.91666666666666663</v>
      </c>
      <c r="J97" s="147">
        <f t="shared" si="2"/>
        <v>50</v>
      </c>
      <c r="K97" s="115">
        <v>1</v>
      </c>
      <c r="L97" s="149">
        <v>10</v>
      </c>
      <c r="M97" s="149" t="s">
        <v>149</v>
      </c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5">
      <c r="A98" s="124" t="s">
        <v>52</v>
      </c>
      <c r="B98" s="114" t="s">
        <v>21</v>
      </c>
      <c r="C98" s="114" t="s">
        <v>22</v>
      </c>
      <c r="D98" s="150">
        <v>1</v>
      </c>
      <c r="E98" s="155">
        <v>30</v>
      </c>
      <c r="F98" s="116">
        <v>45896</v>
      </c>
      <c r="G98" s="146">
        <v>0.375</v>
      </c>
      <c r="H98" s="116">
        <v>45890</v>
      </c>
      <c r="I98" s="146">
        <v>0.91666666666666663</v>
      </c>
      <c r="J98" s="147">
        <f t="shared" si="2"/>
        <v>0</v>
      </c>
      <c r="K98" s="115">
        <v>1</v>
      </c>
      <c r="L98" s="149">
        <v>30</v>
      </c>
      <c r="M98" s="149" t="s">
        <v>53</v>
      </c>
      <c r="Q98" s="20">
        <v>1</v>
      </c>
      <c r="R98" s="5">
        <v>30</v>
      </c>
      <c r="S98" s="8">
        <v>1</v>
      </c>
      <c r="T98" s="7">
        <v>30</v>
      </c>
    </row>
    <row r="99" spans="1:20" ht="26.4" x14ac:dyDescent="0.25">
      <c r="A99" s="124" t="s">
        <v>153</v>
      </c>
      <c r="B99" s="114" t="s">
        <v>36</v>
      </c>
      <c r="C99" s="114" t="s">
        <v>37</v>
      </c>
      <c r="D99" s="150">
        <v>1</v>
      </c>
      <c r="E99" s="117">
        <v>30</v>
      </c>
      <c r="F99" s="116">
        <v>45896</v>
      </c>
      <c r="G99" s="146">
        <v>0.375</v>
      </c>
      <c r="H99" s="116">
        <v>45890</v>
      </c>
      <c r="I99" s="146">
        <v>0.91666666666666663</v>
      </c>
      <c r="J99" s="147">
        <f t="shared" si="2"/>
        <v>0</v>
      </c>
      <c r="K99" s="115">
        <v>1</v>
      </c>
      <c r="L99" s="149">
        <v>30</v>
      </c>
      <c r="M99" s="149" t="s">
        <v>53</v>
      </c>
      <c r="Q99" s="20">
        <v>1</v>
      </c>
      <c r="R99" s="29">
        <v>45</v>
      </c>
      <c r="S99" s="8">
        <v>1</v>
      </c>
      <c r="T99" s="7">
        <v>80</v>
      </c>
    </row>
    <row r="100" spans="1:20" ht="26.4" x14ac:dyDescent="0.25">
      <c r="A100" s="124" t="s">
        <v>79</v>
      </c>
      <c r="B100" s="114" t="s">
        <v>36</v>
      </c>
      <c r="C100" s="114" t="s">
        <v>37</v>
      </c>
      <c r="D100" s="150">
        <v>1</v>
      </c>
      <c r="E100" s="155">
        <v>45</v>
      </c>
      <c r="F100" s="116">
        <v>45896</v>
      </c>
      <c r="G100" s="146">
        <v>0.375</v>
      </c>
      <c r="H100" s="116">
        <v>45890</v>
      </c>
      <c r="I100" s="146">
        <v>0.9375</v>
      </c>
      <c r="J100" s="147">
        <f t="shared" si="2"/>
        <v>-35</v>
      </c>
      <c r="K100" s="115">
        <v>1</v>
      </c>
      <c r="L100" s="149">
        <v>80</v>
      </c>
      <c r="M100" s="149" t="s">
        <v>81</v>
      </c>
      <c r="Q100" s="20">
        <v>1</v>
      </c>
      <c r="R100" s="29">
        <v>60</v>
      </c>
      <c r="S100" s="8">
        <v>1</v>
      </c>
      <c r="T100" s="7">
        <v>50</v>
      </c>
    </row>
    <row r="101" spans="1:20" ht="26.4" x14ac:dyDescent="0.25">
      <c r="A101" s="124" t="s">
        <v>85</v>
      </c>
      <c r="B101" s="114" t="s">
        <v>21</v>
      </c>
      <c r="C101" s="114" t="s">
        <v>22</v>
      </c>
      <c r="D101" s="150">
        <v>1</v>
      </c>
      <c r="E101" s="155">
        <v>60</v>
      </c>
      <c r="F101" s="116">
        <v>45896</v>
      </c>
      <c r="G101" s="146">
        <v>0.375</v>
      </c>
      <c r="H101" s="116">
        <v>45890</v>
      </c>
      <c r="I101" s="146">
        <v>0.9375</v>
      </c>
      <c r="J101" s="147">
        <f t="shared" si="2"/>
        <v>10</v>
      </c>
      <c r="K101" s="115">
        <v>1</v>
      </c>
      <c r="L101" s="149">
        <v>50</v>
      </c>
      <c r="M101" s="149" t="s">
        <v>87</v>
      </c>
      <c r="Q101" s="20">
        <v>1</v>
      </c>
      <c r="R101" s="29">
        <v>55</v>
      </c>
      <c r="S101" s="8">
        <v>1</v>
      </c>
      <c r="T101" s="7">
        <v>55</v>
      </c>
    </row>
    <row r="102" spans="1:20" x14ac:dyDescent="0.25">
      <c r="A102" s="124" t="s">
        <v>88</v>
      </c>
      <c r="B102" s="114" t="s">
        <v>21</v>
      </c>
      <c r="C102" s="114" t="s">
        <v>22</v>
      </c>
      <c r="D102" s="150">
        <v>1</v>
      </c>
      <c r="E102" s="155">
        <v>55</v>
      </c>
      <c r="F102" s="116">
        <v>45896</v>
      </c>
      <c r="G102" s="146">
        <v>0.375</v>
      </c>
      <c r="H102" s="116">
        <v>45890</v>
      </c>
      <c r="I102" s="146">
        <v>0.9375</v>
      </c>
      <c r="J102" s="147">
        <f t="shared" si="2"/>
        <v>0</v>
      </c>
      <c r="K102" s="115">
        <v>1</v>
      </c>
      <c r="L102" s="149">
        <v>55</v>
      </c>
      <c r="M102" s="149" t="s">
        <v>89</v>
      </c>
      <c r="Q102" s="29">
        <v>1</v>
      </c>
      <c r="R102" s="29">
        <v>30</v>
      </c>
      <c r="S102" s="8">
        <v>1</v>
      </c>
      <c r="T102" s="7">
        <v>32</v>
      </c>
    </row>
    <row r="103" spans="1:20" ht="26.4" x14ac:dyDescent="0.25">
      <c r="A103" s="128" t="s">
        <v>131</v>
      </c>
      <c r="B103" s="114" t="s">
        <v>36</v>
      </c>
      <c r="C103" s="114" t="s">
        <v>37</v>
      </c>
      <c r="D103" s="155">
        <v>1</v>
      </c>
      <c r="E103" s="155">
        <v>30</v>
      </c>
      <c r="F103" s="116">
        <v>45896</v>
      </c>
      <c r="G103" s="146">
        <v>0.375</v>
      </c>
      <c r="H103" s="116">
        <v>45894</v>
      </c>
      <c r="I103" s="146">
        <v>0.9375</v>
      </c>
      <c r="J103" s="147">
        <f>E103-L103</f>
        <v>-2</v>
      </c>
      <c r="K103" s="115">
        <v>1</v>
      </c>
      <c r="L103" s="149">
        <v>32</v>
      </c>
      <c r="M103" s="149" t="s">
        <v>132</v>
      </c>
      <c r="Q103" s="29">
        <v>1</v>
      </c>
      <c r="R103" s="29">
        <v>30</v>
      </c>
      <c r="S103" s="8">
        <v>1</v>
      </c>
      <c r="T103" s="7">
        <v>32</v>
      </c>
    </row>
    <row r="104" spans="1:20" ht="26.4" x14ac:dyDescent="0.25">
      <c r="A104" s="128" t="s">
        <v>131</v>
      </c>
      <c r="B104" s="114" t="s">
        <v>42</v>
      </c>
      <c r="C104" s="114" t="s">
        <v>43</v>
      </c>
      <c r="D104" s="155">
        <v>1</v>
      </c>
      <c r="E104" s="155">
        <v>30</v>
      </c>
      <c r="F104" s="116">
        <v>45896</v>
      </c>
      <c r="G104" s="146">
        <v>0.375</v>
      </c>
      <c r="H104" s="116">
        <v>45894</v>
      </c>
      <c r="I104" s="146">
        <v>0.9375</v>
      </c>
      <c r="J104" s="147">
        <f>E104-L104</f>
        <v>-2</v>
      </c>
      <c r="K104" s="115">
        <v>1</v>
      </c>
      <c r="L104" s="149">
        <v>32</v>
      </c>
      <c r="M104" s="149" t="s">
        <v>132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5">
      <c r="A105" s="128" t="s">
        <v>131</v>
      </c>
      <c r="B105" s="114" t="s">
        <v>30</v>
      </c>
      <c r="C105" s="114" t="s">
        <v>31</v>
      </c>
      <c r="D105" s="155">
        <v>1</v>
      </c>
      <c r="E105" s="155">
        <v>30</v>
      </c>
      <c r="F105" s="116">
        <v>45896</v>
      </c>
      <c r="G105" s="146">
        <v>0.375</v>
      </c>
      <c r="H105" s="116">
        <v>45894</v>
      </c>
      <c r="I105" s="146">
        <v>0.9375</v>
      </c>
      <c r="J105" s="147">
        <f>E105-L105</f>
        <v>-2</v>
      </c>
      <c r="K105" s="115">
        <v>1</v>
      </c>
      <c r="L105" s="149">
        <v>32</v>
      </c>
      <c r="M105" s="149" t="s">
        <v>132</v>
      </c>
      <c r="N105" s="117"/>
      <c r="O105"/>
      <c r="P105"/>
      <c r="Q105" s="29">
        <v>1</v>
      </c>
      <c r="R105" s="29">
        <v>30</v>
      </c>
      <c r="S105" s="8">
        <v>1</v>
      </c>
      <c r="T105" s="7">
        <v>32</v>
      </c>
    </row>
    <row r="106" spans="1:20" ht="26.4" x14ac:dyDescent="0.25">
      <c r="A106" s="128" t="s">
        <v>131</v>
      </c>
      <c r="B106" s="114" t="s">
        <v>21</v>
      </c>
      <c r="C106" s="114" t="s">
        <v>22</v>
      </c>
      <c r="D106" s="155">
        <v>1</v>
      </c>
      <c r="E106" s="155">
        <v>30</v>
      </c>
      <c r="F106" s="116">
        <v>45896</v>
      </c>
      <c r="G106" s="146">
        <v>0.375</v>
      </c>
      <c r="H106" s="116">
        <v>45894</v>
      </c>
      <c r="I106" s="146">
        <v>0.9375</v>
      </c>
      <c r="J106" s="147">
        <f>E106-L106</f>
        <v>-2</v>
      </c>
      <c r="K106" s="115">
        <v>1</v>
      </c>
      <c r="L106" s="149">
        <v>32</v>
      </c>
      <c r="M106" s="149" t="s">
        <v>132</v>
      </c>
      <c r="Q106" s="29">
        <v>1</v>
      </c>
      <c r="R106" s="29">
        <v>30</v>
      </c>
      <c r="S106" s="8">
        <v>1</v>
      </c>
      <c r="T106" s="7">
        <v>32</v>
      </c>
    </row>
    <row r="107" spans="1:20" ht="26.4" x14ac:dyDescent="0.25">
      <c r="A107" s="128" t="s">
        <v>131</v>
      </c>
      <c r="B107" s="114" t="s">
        <v>136</v>
      </c>
      <c r="C107" s="114" t="s">
        <v>34</v>
      </c>
      <c r="D107" s="155">
        <v>1</v>
      </c>
      <c r="E107" s="155">
        <v>30</v>
      </c>
      <c r="F107" s="116">
        <v>45896</v>
      </c>
      <c r="G107" s="146">
        <v>0.375</v>
      </c>
      <c r="H107" s="116">
        <v>45894</v>
      </c>
      <c r="I107" s="146">
        <v>0.9375</v>
      </c>
      <c r="J107" s="147">
        <f>E107-L107</f>
        <v>-2</v>
      </c>
      <c r="K107" s="115">
        <v>1</v>
      </c>
      <c r="L107" s="149">
        <v>32</v>
      </c>
      <c r="M107" s="149" t="s">
        <v>132</v>
      </c>
      <c r="Q107" s="29">
        <v>1</v>
      </c>
      <c r="R107" s="29">
        <v>30</v>
      </c>
      <c r="S107" s="8">
        <v>1</v>
      </c>
      <c r="T107" s="7">
        <v>32</v>
      </c>
    </row>
    <row r="108" spans="1:20" ht="26.4" x14ac:dyDescent="0.25">
      <c r="A108" s="128" t="s">
        <v>131</v>
      </c>
      <c r="B108" s="114" t="s">
        <v>39</v>
      </c>
      <c r="C108" s="114" t="s">
        <v>40</v>
      </c>
      <c r="D108" s="155">
        <v>1</v>
      </c>
      <c r="E108" s="155">
        <v>30</v>
      </c>
      <c r="F108" s="116">
        <v>45896</v>
      </c>
      <c r="G108" s="146">
        <v>0.375</v>
      </c>
      <c r="H108" s="116">
        <v>45894</v>
      </c>
      <c r="I108" s="146">
        <v>0.9375</v>
      </c>
      <c r="J108" s="147">
        <f t="shared" si="2"/>
        <v>-2</v>
      </c>
      <c r="K108" s="115">
        <v>1</v>
      </c>
      <c r="L108" s="149">
        <v>32</v>
      </c>
      <c r="M108" s="149" t="s">
        <v>132</v>
      </c>
      <c r="Q108" s="29">
        <v>3</v>
      </c>
      <c r="R108" s="29">
        <v>20</v>
      </c>
      <c r="S108" s="8">
        <v>3</v>
      </c>
      <c r="T108" s="7">
        <v>15</v>
      </c>
    </row>
    <row r="109" spans="1:20" ht="26.4" x14ac:dyDescent="0.25">
      <c r="A109" s="128" t="s">
        <v>133</v>
      </c>
      <c r="B109" s="114" t="s">
        <v>21</v>
      </c>
      <c r="C109" s="114" t="s">
        <v>22</v>
      </c>
      <c r="D109" s="155">
        <v>3</v>
      </c>
      <c r="E109" s="155">
        <v>20</v>
      </c>
      <c r="F109" s="116">
        <v>45896</v>
      </c>
      <c r="G109" s="146">
        <v>0.375</v>
      </c>
      <c r="H109" s="116">
        <v>45895</v>
      </c>
      <c r="I109" s="146">
        <v>0.58333333333333337</v>
      </c>
      <c r="J109" s="147">
        <f t="shared" si="2"/>
        <v>5</v>
      </c>
      <c r="K109" s="115">
        <v>3</v>
      </c>
      <c r="L109" s="149">
        <v>15</v>
      </c>
      <c r="M109" s="149" t="s">
        <v>134</v>
      </c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5">
      <c r="A110" s="131" t="s">
        <v>154</v>
      </c>
      <c r="B110" s="114" t="s">
        <v>30</v>
      </c>
      <c r="C110" s="114" t="s">
        <v>31</v>
      </c>
      <c r="D110" s="147">
        <v>2</v>
      </c>
      <c r="E110" s="147">
        <v>50</v>
      </c>
      <c r="F110" s="116">
        <v>45903</v>
      </c>
      <c r="G110" s="146">
        <v>0.375</v>
      </c>
      <c r="H110" s="116">
        <v>45902</v>
      </c>
      <c r="I110" s="146">
        <v>0.66666666666666663</v>
      </c>
      <c r="J110" s="147">
        <f t="shared" si="2"/>
        <v>0</v>
      </c>
      <c r="K110" s="148">
        <v>1</v>
      </c>
      <c r="L110" s="159">
        <v>50</v>
      </c>
      <c r="M110" s="158" t="s">
        <v>155</v>
      </c>
      <c r="N110" s="117" t="s">
        <v>589</v>
      </c>
    </row>
    <row r="111" spans="1:20" ht="36.75" customHeight="1" x14ac:dyDescent="0.25">
      <c r="A111" s="131" t="s">
        <v>154</v>
      </c>
      <c r="B111" s="114" t="s">
        <v>39</v>
      </c>
      <c r="C111" s="114" t="s">
        <v>40</v>
      </c>
      <c r="D111" s="147">
        <v>2</v>
      </c>
      <c r="E111" s="147">
        <v>50</v>
      </c>
      <c r="F111" s="116">
        <v>45903</v>
      </c>
      <c r="G111" s="146">
        <v>0.375</v>
      </c>
      <c r="H111" s="116">
        <v>45902</v>
      </c>
      <c r="I111" s="146">
        <v>0.66666666666666663</v>
      </c>
      <c r="J111" s="147">
        <f t="shared" si="2"/>
        <v>0</v>
      </c>
      <c r="K111" s="148">
        <v>1</v>
      </c>
      <c r="L111" s="149">
        <v>50</v>
      </c>
      <c r="M111" s="158" t="s">
        <v>155</v>
      </c>
    </row>
    <row r="112" spans="1:20" ht="33.75" customHeight="1" x14ac:dyDescent="0.25">
      <c r="A112" s="131" t="s">
        <v>154</v>
      </c>
      <c r="B112" s="114" t="s">
        <v>21</v>
      </c>
      <c r="C112" s="114" t="s">
        <v>22</v>
      </c>
      <c r="D112" s="147">
        <v>2</v>
      </c>
      <c r="E112" s="147">
        <v>50</v>
      </c>
      <c r="F112" s="116">
        <v>45903</v>
      </c>
      <c r="G112" s="146">
        <v>0.375</v>
      </c>
      <c r="H112" s="116">
        <v>45902</v>
      </c>
      <c r="I112" s="146">
        <v>0.66666666666666663</v>
      </c>
      <c r="J112" s="147">
        <f t="shared" si="2"/>
        <v>0</v>
      </c>
      <c r="K112" s="148">
        <v>1</v>
      </c>
      <c r="L112" s="149">
        <v>50</v>
      </c>
      <c r="M112" s="158" t="s">
        <v>155</v>
      </c>
    </row>
    <row r="113" spans="1:13" ht="26.25" customHeight="1" x14ac:dyDescent="0.25">
      <c r="A113" s="131" t="s">
        <v>154</v>
      </c>
      <c r="B113" s="114" t="s">
        <v>136</v>
      </c>
      <c r="C113" s="114" t="s">
        <v>34</v>
      </c>
      <c r="D113" s="147">
        <v>2</v>
      </c>
      <c r="E113" s="147">
        <v>50</v>
      </c>
      <c r="F113" s="116">
        <v>45903</v>
      </c>
      <c r="G113" s="146">
        <v>0.375</v>
      </c>
      <c r="H113" s="116">
        <v>45902</v>
      </c>
      <c r="I113" s="146">
        <v>0.66666666666666663</v>
      </c>
      <c r="J113" s="147">
        <f t="shared" si="2"/>
        <v>0</v>
      </c>
      <c r="K113" s="148">
        <v>1</v>
      </c>
      <c r="L113" s="149">
        <v>50</v>
      </c>
      <c r="M113" s="158" t="s">
        <v>155</v>
      </c>
    </row>
    <row r="114" spans="1:13" ht="27.75" customHeight="1" x14ac:dyDescent="0.25">
      <c r="A114" s="131" t="s">
        <v>154</v>
      </c>
      <c r="B114" s="114" t="s">
        <v>36</v>
      </c>
      <c r="C114" s="114" t="s">
        <v>37</v>
      </c>
      <c r="D114" s="147">
        <v>2</v>
      </c>
      <c r="E114" s="147">
        <v>50</v>
      </c>
      <c r="F114" s="116">
        <v>45903</v>
      </c>
      <c r="G114" s="146">
        <v>0.375</v>
      </c>
      <c r="H114" s="116">
        <v>45902</v>
      </c>
      <c r="I114" s="146">
        <v>0.66666666666666663</v>
      </c>
      <c r="J114" s="147">
        <f t="shared" si="2"/>
        <v>0</v>
      </c>
      <c r="K114" s="148">
        <v>1</v>
      </c>
      <c r="L114" s="149">
        <v>50</v>
      </c>
      <c r="M114" s="158" t="s">
        <v>155</v>
      </c>
    </row>
    <row r="115" spans="1:13" ht="40.5" customHeight="1" x14ac:dyDescent="0.25">
      <c r="A115" s="131" t="s">
        <v>154</v>
      </c>
      <c r="B115" s="114" t="s">
        <v>42</v>
      </c>
      <c r="C115" s="114" t="s">
        <v>43</v>
      </c>
      <c r="D115" s="147">
        <v>2</v>
      </c>
      <c r="E115" s="147">
        <v>50</v>
      </c>
      <c r="F115" s="116">
        <v>45903</v>
      </c>
      <c r="G115" s="146">
        <v>0.375</v>
      </c>
      <c r="H115" s="116">
        <v>45902</v>
      </c>
      <c r="I115" s="146">
        <v>0.66666666666666663</v>
      </c>
      <c r="J115" s="147">
        <f t="shared" si="2"/>
        <v>0</v>
      </c>
      <c r="K115" s="148">
        <v>1</v>
      </c>
      <c r="L115" s="149">
        <v>50</v>
      </c>
      <c r="M115" s="158" t="s">
        <v>155</v>
      </c>
    </row>
    <row r="116" spans="1:13" ht="39.6" x14ac:dyDescent="0.25">
      <c r="A116" s="124" t="s">
        <v>144</v>
      </c>
      <c r="B116" s="114" t="s">
        <v>30</v>
      </c>
      <c r="C116" s="114" t="s">
        <v>31</v>
      </c>
      <c r="D116" s="145">
        <v>1</v>
      </c>
      <c r="E116" s="160">
        <v>30</v>
      </c>
      <c r="F116" s="116">
        <v>45903</v>
      </c>
      <c r="G116" s="146">
        <v>0.375</v>
      </c>
      <c r="H116" s="116">
        <v>45899</v>
      </c>
      <c r="I116" s="146">
        <v>0.79166666666666663</v>
      </c>
      <c r="J116" s="147">
        <f t="shared" ref="J116:J163" si="3">E116-L116</f>
        <v>0</v>
      </c>
      <c r="K116" s="148">
        <v>1</v>
      </c>
      <c r="L116" s="159">
        <v>30</v>
      </c>
      <c r="M116" s="149" t="s">
        <v>156</v>
      </c>
    </row>
    <row r="117" spans="1:13" ht="39.6" x14ac:dyDescent="0.25">
      <c r="A117" s="124" t="s">
        <v>206</v>
      </c>
      <c r="B117" s="114" t="s">
        <v>36</v>
      </c>
      <c r="C117" s="114" t="s">
        <v>208</v>
      </c>
      <c r="D117" s="145">
        <v>1</v>
      </c>
      <c r="E117" s="147">
        <v>30</v>
      </c>
      <c r="F117" s="116">
        <v>45903</v>
      </c>
      <c r="G117" s="146">
        <v>0.375</v>
      </c>
      <c r="H117" s="116">
        <v>45899</v>
      </c>
      <c r="I117" s="146">
        <v>0.79166666666666663</v>
      </c>
      <c r="J117" s="147">
        <f t="shared" si="3"/>
        <v>0</v>
      </c>
      <c r="K117" s="148">
        <v>1</v>
      </c>
      <c r="L117" s="149">
        <v>30</v>
      </c>
      <c r="M117" s="149" t="s">
        <v>75</v>
      </c>
    </row>
    <row r="118" spans="1:13" ht="26.4" x14ac:dyDescent="0.25">
      <c r="A118" s="125" t="s">
        <v>123</v>
      </c>
      <c r="B118" s="114" t="s">
        <v>36</v>
      </c>
      <c r="C118" s="114" t="s">
        <v>37</v>
      </c>
      <c r="D118" s="147">
        <v>1</v>
      </c>
      <c r="E118" s="147">
        <v>20</v>
      </c>
      <c r="F118" s="116">
        <v>45903</v>
      </c>
      <c r="G118" s="146">
        <v>0.375</v>
      </c>
      <c r="H118" s="116">
        <v>45902</v>
      </c>
      <c r="I118" s="146">
        <v>0.80555555555555558</v>
      </c>
      <c r="J118" s="147">
        <f t="shared" si="3"/>
        <v>0</v>
      </c>
      <c r="K118" s="148">
        <v>1</v>
      </c>
      <c r="L118" s="149">
        <v>20</v>
      </c>
      <c r="M118" s="158" t="s">
        <v>124</v>
      </c>
    </row>
    <row r="119" spans="1:13" ht="26.4" x14ac:dyDescent="0.25">
      <c r="A119" s="125" t="s">
        <v>123</v>
      </c>
      <c r="B119" s="114" t="s">
        <v>42</v>
      </c>
      <c r="C119" s="114" t="s">
        <v>43</v>
      </c>
      <c r="D119" s="147">
        <v>1</v>
      </c>
      <c r="E119" s="147">
        <v>20</v>
      </c>
      <c r="F119" s="116">
        <v>45903</v>
      </c>
      <c r="G119" s="146">
        <v>0.375</v>
      </c>
      <c r="H119" s="116">
        <v>45902</v>
      </c>
      <c r="I119" s="146">
        <v>0.80555555555555558</v>
      </c>
      <c r="J119" s="147">
        <f t="shared" si="3"/>
        <v>0</v>
      </c>
      <c r="K119" s="148">
        <v>1</v>
      </c>
      <c r="L119" s="149">
        <v>20</v>
      </c>
      <c r="M119" s="158" t="s">
        <v>124</v>
      </c>
    </row>
    <row r="120" spans="1:13" ht="26.4" x14ac:dyDescent="0.25">
      <c r="A120" s="125" t="s">
        <v>217</v>
      </c>
      <c r="B120" s="114" t="s">
        <v>39</v>
      </c>
      <c r="C120" s="114" t="s">
        <v>40</v>
      </c>
      <c r="D120" s="147">
        <v>1</v>
      </c>
      <c r="E120" s="147">
        <v>30</v>
      </c>
      <c r="F120" s="116">
        <v>45903</v>
      </c>
      <c r="G120" s="146">
        <v>0.375</v>
      </c>
      <c r="H120" s="116">
        <v>45902</v>
      </c>
      <c r="I120" s="146">
        <v>0.8125</v>
      </c>
      <c r="J120" s="147">
        <f t="shared" si="3"/>
        <v>2</v>
      </c>
      <c r="K120" s="148">
        <v>2</v>
      </c>
      <c r="L120" s="149">
        <v>28</v>
      </c>
      <c r="M120" s="158" t="s">
        <v>158</v>
      </c>
    </row>
    <row r="121" spans="1:13" ht="32.25" customHeight="1" x14ac:dyDescent="0.25">
      <c r="A121" s="132" t="s">
        <v>218</v>
      </c>
      <c r="B121" s="120" t="s">
        <v>21</v>
      </c>
      <c r="C121" s="120" t="s">
        <v>22</v>
      </c>
      <c r="D121" s="160">
        <v>1</v>
      </c>
      <c r="E121" s="160">
        <v>30</v>
      </c>
      <c r="F121" s="116">
        <v>45903</v>
      </c>
      <c r="G121" s="146">
        <v>0.375</v>
      </c>
      <c r="H121" s="56">
        <v>45902</v>
      </c>
      <c r="I121" s="161">
        <v>0.8125</v>
      </c>
      <c r="J121" s="157">
        <f t="shared" si="3"/>
        <v>0</v>
      </c>
      <c r="K121" s="160">
        <v>2</v>
      </c>
      <c r="L121" s="159">
        <v>30</v>
      </c>
      <c r="M121" s="149" t="s">
        <v>235</v>
      </c>
    </row>
    <row r="122" spans="1:13" ht="29.25" customHeight="1" x14ac:dyDescent="0.25">
      <c r="A122" s="60" t="s">
        <v>219</v>
      </c>
      <c r="B122" s="120" t="s">
        <v>30</v>
      </c>
      <c r="C122" s="120" t="s">
        <v>31</v>
      </c>
      <c r="D122" s="160">
        <v>1</v>
      </c>
      <c r="E122" s="160">
        <v>30</v>
      </c>
      <c r="F122" s="116">
        <v>45903</v>
      </c>
      <c r="G122" s="146">
        <v>0.375</v>
      </c>
      <c r="H122" s="56">
        <v>45902</v>
      </c>
      <c r="I122" s="161">
        <v>0.8125</v>
      </c>
      <c r="J122" s="157">
        <f t="shared" si="3"/>
        <v>3</v>
      </c>
      <c r="K122" s="160">
        <v>1</v>
      </c>
      <c r="L122" s="159">
        <v>27</v>
      </c>
      <c r="M122" s="149" t="s">
        <v>236</v>
      </c>
    </row>
    <row r="123" spans="1:13" ht="26.4" x14ac:dyDescent="0.25">
      <c r="A123" s="60" t="s">
        <v>220</v>
      </c>
      <c r="B123" s="120" t="s">
        <v>30</v>
      </c>
      <c r="C123" s="120" t="s">
        <v>31</v>
      </c>
      <c r="D123" s="160">
        <v>1</v>
      </c>
      <c r="E123" s="160">
        <v>30</v>
      </c>
      <c r="F123" s="116">
        <v>45903</v>
      </c>
      <c r="G123" s="146">
        <v>0.375</v>
      </c>
      <c r="H123" s="56">
        <v>45902</v>
      </c>
      <c r="I123" s="161">
        <v>0.83333333333333337</v>
      </c>
      <c r="J123" s="157">
        <f t="shared" si="3"/>
        <v>2</v>
      </c>
      <c r="K123" s="160">
        <v>1</v>
      </c>
      <c r="L123" s="159">
        <v>28</v>
      </c>
      <c r="M123" s="162" t="s">
        <v>237</v>
      </c>
    </row>
    <row r="124" spans="1:13" ht="26.4" x14ac:dyDescent="0.25">
      <c r="A124" s="60" t="s">
        <v>221</v>
      </c>
      <c r="B124" s="120" t="s">
        <v>30</v>
      </c>
      <c r="C124" s="120" t="s">
        <v>31</v>
      </c>
      <c r="D124" s="160">
        <v>1</v>
      </c>
      <c r="E124" s="160">
        <v>30</v>
      </c>
      <c r="F124" s="116">
        <v>45903</v>
      </c>
      <c r="G124" s="146">
        <v>0.375</v>
      </c>
      <c r="H124" s="56">
        <v>45902</v>
      </c>
      <c r="I124" s="161">
        <v>0.85416666666666663</v>
      </c>
      <c r="J124" s="157">
        <f t="shared" si="3"/>
        <v>10</v>
      </c>
      <c r="K124" s="160">
        <v>2</v>
      </c>
      <c r="L124" s="159">
        <v>20</v>
      </c>
      <c r="M124" s="149" t="s">
        <v>238</v>
      </c>
    </row>
    <row r="125" spans="1:13" ht="26.4" x14ac:dyDescent="0.25">
      <c r="A125" s="60" t="s">
        <v>222</v>
      </c>
      <c r="B125" s="120" t="s">
        <v>42</v>
      </c>
      <c r="C125" s="120" t="s">
        <v>43</v>
      </c>
      <c r="D125" s="160">
        <v>1</v>
      </c>
      <c r="E125" s="160">
        <v>30</v>
      </c>
      <c r="F125" s="116">
        <v>45903</v>
      </c>
      <c r="G125" s="146">
        <v>0.375</v>
      </c>
      <c r="H125" s="56">
        <v>45900</v>
      </c>
      <c r="I125" s="161">
        <v>0.79166666666666663</v>
      </c>
      <c r="J125" s="157">
        <f t="shared" si="3"/>
        <v>5</v>
      </c>
      <c r="K125" s="160">
        <v>2</v>
      </c>
      <c r="L125" s="159">
        <v>25</v>
      </c>
      <c r="M125" s="149" t="s">
        <v>239</v>
      </c>
    </row>
    <row r="126" spans="1:13" ht="26.4" x14ac:dyDescent="0.25">
      <c r="A126" s="60" t="s">
        <v>228</v>
      </c>
      <c r="B126" s="120" t="s">
        <v>136</v>
      </c>
      <c r="C126" s="120" t="s">
        <v>34</v>
      </c>
      <c r="D126" s="160">
        <v>1</v>
      </c>
      <c r="E126" s="148">
        <v>30</v>
      </c>
      <c r="F126" s="116">
        <v>45903</v>
      </c>
      <c r="G126" s="146">
        <v>0.375</v>
      </c>
      <c r="H126" s="97">
        <v>45900</v>
      </c>
      <c r="I126" s="156">
        <v>0.79166666666666663</v>
      </c>
      <c r="J126" s="115">
        <f t="shared" si="3"/>
        <v>4</v>
      </c>
      <c r="K126" s="148">
        <v>1</v>
      </c>
      <c r="L126" s="159">
        <v>26</v>
      </c>
      <c r="M126" s="162" t="s">
        <v>240</v>
      </c>
    </row>
    <row r="127" spans="1:13" ht="26.4" x14ac:dyDescent="0.25">
      <c r="A127" s="97" t="s">
        <v>225</v>
      </c>
      <c r="B127" s="120" t="s">
        <v>36</v>
      </c>
      <c r="C127" s="120" t="s">
        <v>37</v>
      </c>
      <c r="D127" s="160">
        <v>1</v>
      </c>
      <c r="E127" s="148">
        <v>30</v>
      </c>
      <c r="F127" s="116">
        <v>45910</v>
      </c>
      <c r="G127" s="146">
        <v>0.375</v>
      </c>
      <c r="H127" s="97">
        <v>45899</v>
      </c>
      <c r="I127" s="156">
        <v>0.79166666666666663</v>
      </c>
      <c r="J127" s="115">
        <f t="shared" si="3"/>
        <v>0</v>
      </c>
      <c r="K127" s="148">
        <v>1</v>
      </c>
      <c r="L127" s="159">
        <v>30</v>
      </c>
      <c r="M127" s="162" t="s">
        <v>241</v>
      </c>
    </row>
    <row r="128" spans="1:13" ht="26.4" x14ac:dyDescent="0.25">
      <c r="A128" s="97" t="s">
        <v>226</v>
      </c>
      <c r="B128" s="120" t="s">
        <v>36</v>
      </c>
      <c r="C128" s="120" t="s">
        <v>37</v>
      </c>
      <c r="D128" s="160">
        <v>1</v>
      </c>
      <c r="E128" s="148">
        <v>30</v>
      </c>
      <c r="F128" s="116">
        <v>45911</v>
      </c>
      <c r="G128" s="146">
        <v>0.375</v>
      </c>
      <c r="H128" s="97">
        <v>45899</v>
      </c>
      <c r="I128" s="156">
        <v>0.8125</v>
      </c>
      <c r="J128" s="115">
        <f t="shared" si="3"/>
        <v>2</v>
      </c>
      <c r="K128" s="148">
        <v>1</v>
      </c>
      <c r="L128" s="159">
        <v>28</v>
      </c>
      <c r="M128" s="162" t="s">
        <v>242</v>
      </c>
    </row>
    <row r="129" spans="1:13" ht="26.4" x14ac:dyDescent="0.25">
      <c r="A129" s="97" t="s">
        <v>227</v>
      </c>
      <c r="B129" s="120" t="s">
        <v>36</v>
      </c>
      <c r="C129" s="120" t="s">
        <v>37</v>
      </c>
      <c r="D129" s="160">
        <v>1</v>
      </c>
      <c r="E129" s="148">
        <v>30</v>
      </c>
      <c r="F129" s="116">
        <v>45912</v>
      </c>
      <c r="G129" s="146">
        <v>0.375</v>
      </c>
      <c r="H129" s="97">
        <v>45899</v>
      </c>
      <c r="I129" s="156">
        <v>0.83333333333333337</v>
      </c>
      <c r="J129" s="115">
        <f t="shared" si="3"/>
        <v>6</v>
      </c>
      <c r="K129" s="148">
        <v>1</v>
      </c>
      <c r="L129" s="159">
        <v>24</v>
      </c>
      <c r="M129" s="162" t="s">
        <v>243</v>
      </c>
    </row>
    <row r="130" spans="1:13" ht="26.4" x14ac:dyDescent="0.25">
      <c r="A130" s="97" t="s">
        <v>233</v>
      </c>
      <c r="B130" s="120" t="s">
        <v>39</v>
      </c>
      <c r="C130" s="120" t="s">
        <v>40</v>
      </c>
      <c r="D130" s="160">
        <v>1</v>
      </c>
      <c r="E130" s="148">
        <v>30</v>
      </c>
      <c r="F130" s="116">
        <v>45913</v>
      </c>
      <c r="G130" s="146">
        <v>0.375</v>
      </c>
      <c r="H130" s="97">
        <v>45902</v>
      </c>
      <c r="I130" s="156">
        <v>0.83333333333333337</v>
      </c>
      <c r="J130" s="115">
        <f t="shared" si="3"/>
        <v>0</v>
      </c>
      <c r="K130" s="148">
        <v>1</v>
      </c>
      <c r="L130" s="159">
        <v>30</v>
      </c>
      <c r="M130" s="162" t="s">
        <v>244</v>
      </c>
    </row>
    <row r="131" spans="1:13" x14ac:dyDescent="0.25">
      <c r="A131" s="60" t="s">
        <v>234</v>
      </c>
      <c r="B131" s="120" t="s">
        <v>39</v>
      </c>
      <c r="C131" s="120" t="s">
        <v>40</v>
      </c>
      <c r="D131" s="160">
        <v>5</v>
      </c>
      <c r="E131" s="148">
        <v>50</v>
      </c>
      <c r="F131" s="116">
        <v>45914</v>
      </c>
      <c r="G131" s="146">
        <v>0.375</v>
      </c>
      <c r="H131" s="97">
        <v>45902</v>
      </c>
      <c r="I131" s="156">
        <v>0.86805555555555558</v>
      </c>
      <c r="J131" s="115">
        <f t="shared" si="3"/>
        <v>5</v>
      </c>
      <c r="K131" s="148">
        <v>5</v>
      </c>
      <c r="L131" s="159">
        <v>45</v>
      </c>
      <c r="M131" s="162" t="s">
        <v>245</v>
      </c>
    </row>
    <row r="132" spans="1:13" ht="26.4" x14ac:dyDescent="0.25">
      <c r="A132" s="97" t="s">
        <v>229</v>
      </c>
      <c r="B132" s="120" t="s">
        <v>136</v>
      </c>
      <c r="C132" s="120" t="s">
        <v>34</v>
      </c>
      <c r="D132" s="160">
        <v>1</v>
      </c>
      <c r="E132" s="148">
        <v>30</v>
      </c>
      <c r="F132" s="116">
        <v>45915</v>
      </c>
      <c r="G132" s="146">
        <v>0.375</v>
      </c>
      <c r="H132" s="97">
        <v>45900</v>
      </c>
      <c r="I132" s="156">
        <v>0.8125</v>
      </c>
      <c r="J132" s="115">
        <f t="shared" si="3"/>
        <v>8</v>
      </c>
      <c r="K132" s="148">
        <v>1</v>
      </c>
      <c r="L132" s="159">
        <v>22</v>
      </c>
      <c r="M132" s="162" t="s">
        <v>246</v>
      </c>
    </row>
    <row r="133" spans="1:13" ht="26.4" x14ac:dyDescent="0.25">
      <c r="A133" s="97" t="s">
        <v>231</v>
      </c>
      <c r="B133" s="120" t="s">
        <v>21</v>
      </c>
      <c r="C133" s="120" t="s">
        <v>22</v>
      </c>
      <c r="D133" s="160">
        <v>1</v>
      </c>
      <c r="E133" s="148">
        <v>30</v>
      </c>
      <c r="F133" s="116">
        <v>45916</v>
      </c>
      <c r="G133" s="146">
        <v>0.375</v>
      </c>
      <c r="H133" s="97">
        <v>45902</v>
      </c>
      <c r="I133" s="156">
        <v>0.83333333333333337</v>
      </c>
      <c r="J133" s="115">
        <f t="shared" si="3"/>
        <v>7</v>
      </c>
      <c r="K133" s="148">
        <v>1</v>
      </c>
      <c r="L133" s="159">
        <v>23</v>
      </c>
      <c r="M133" s="162" t="s">
        <v>247</v>
      </c>
    </row>
    <row r="134" spans="1:13" ht="26.4" x14ac:dyDescent="0.25">
      <c r="A134" s="60" t="s">
        <v>232</v>
      </c>
      <c r="B134" s="120" t="s">
        <v>21</v>
      </c>
      <c r="C134" s="120" t="s">
        <v>22</v>
      </c>
      <c r="D134" s="160">
        <v>1</v>
      </c>
      <c r="E134" s="148">
        <v>40</v>
      </c>
      <c r="F134" s="116">
        <v>45917</v>
      </c>
      <c r="G134" s="146">
        <v>0.375</v>
      </c>
      <c r="H134" s="97">
        <v>45902</v>
      </c>
      <c r="I134" s="156">
        <v>0.86111111111111116</v>
      </c>
      <c r="J134" s="115">
        <f t="shared" si="3"/>
        <v>9</v>
      </c>
      <c r="K134" s="148">
        <v>2</v>
      </c>
      <c r="L134" s="159">
        <v>31</v>
      </c>
      <c r="M134" s="162" t="s">
        <v>248</v>
      </c>
    </row>
    <row r="135" spans="1:13" x14ac:dyDescent="0.25">
      <c r="A135" s="97" t="s">
        <v>230</v>
      </c>
      <c r="B135" s="120" t="s">
        <v>136</v>
      </c>
      <c r="C135" s="120" t="s">
        <v>34</v>
      </c>
      <c r="D135" s="160">
        <v>1</v>
      </c>
      <c r="E135" s="148">
        <v>25</v>
      </c>
      <c r="F135" s="116">
        <v>45918</v>
      </c>
      <c r="G135" s="146">
        <v>0.375</v>
      </c>
      <c r="H135" s="97">
        <v>45900</v>
      </c>
      <c r="I135" s="156">
        <v>0.82986111111111116</v>
      </c>
      <c r="J135" s="115">
        <f t="shared" si="3"/>
        <v>5</v>
      </c>
      <c r="K135" s="148">
        <v>2</v>
      </c>
      <c r="L135" s="159">
        <v>20</v>
      </c>
      <c r="M135" s="162" t="s">
        <v>249</v>
      </c>
    </row>
    <row r="136" spans="1:13" ht="26.4" x14ac:dyDescent="0.25">
      <c r="A136" s="60" t="s">
        <v>224</v>
      </c>
      <c r="B136" s="120" t="s">
        <v>42</v>
      </c>
      <c r="C136" s="120" t="s">
        <v>43</v>
      </c>
      <c r="D136" s="160">
        <v>1</v>
      </c>
      <c r="E136" s="148">
        <v>20</v>
      </c>
      <c r="F136" s="116">
        <v>45919</v>
      </c>
      <c r="G136" s="146">
        <v>0.375</v>
      </c>
      <c r="H136" s="97">
        <v>45900</v>
      </c>
      <c r="I136" s="156">
        <v>0.80555555555555558</v>
      </c>
      <c r="J136" s="115">
        <f t="shared" si="3"/>
        <v>0</v>
      </c>
      <c r="K136" s="148">
        <v>1</v>
      </c>
      <c r="L136" s="159">
        <v>20</v>
      </c>
      <c r="M136" s="162" t="s">
        <v>250</v>
      </c>
    </row>
    <row r="137" spans="1:13" ht="26.4" x14ac:dyDescent="0.25">
      <c r="A137" s="97" t="s">
        <v>223</v>
      </c>
      <c r="B137" s="120" t="s">
        <v>42</v>
      </c>
      <c r="C137" s="120" t="s">
        <v>43</v>
      </c>
      <c r="D137" s="160">
        <v>1</v>
      </c>
      <c r="E137" s="148">
        <v>20</v>
      </c>
      <c r="F137" s="116">
        <v>45920</v>
      </c>
      <c r="G137" s="146">
        <v>0.375</v>
      </c>
      <c r="H137" s="97">
        <v>45900</v>
      </c>
      <c r="I137" s="156">
        <v>0.81944444444444442</v>
      </c>
      <c r="J137" s="115">
        <f t="shared" si="3"/>
        <v>0</v>
      </c>
      <c r="K137" s="148">
        <v>1</v>
      </c>
      <c r="L137" s="159">
        <v>20</v>
      </c>
      <c r="M137" s="162" t="s">
        <v>251</v>
      </c>
    </row>
    <row r="138" spans="1:13" ht="26.4" x14ac:dyDescent="0.25">
      <c r="A138" s="97" t="s">
        <v>193</v>
      </c>
      <c r="B138" s="120" t="s">
        <v>30</v>
      </c>
      <c r="C138" s="120" t="s">
        <v>31</v>
      </c>
      <c r="D138" s="160">
        <v>1</v>
      </c>
      <c r="E138" s="148">
        <v>30</v>
      </c>
      <c r="F138" s="116">
        <v>45921</v>
      </c>
      <c r="G138" s="146">
        <v>0.375</v>
      </c>
      <c r="H138" s="97">
        <v>45902</v>
      </c>
      <c r="I138" s="156">
        <v>0.875</v>
      </c>
      <c r="J138" s="115">
        <f t="shared" si="3"/>
        <v>5</v>
      </c>
      <c r="K138" s="148">
        <v>1</v>
      </c>
      <c r="L138" s="159">
        <v>25</v>
      </c>
      <c r="M138" s="162" t="s">
        <v>192</v>
      </c>
    </row>
    <row r="139" spans="1:13" ht="26.4" x14ac:dyDescent="0.25">
      <c r="A139" s="97" t="s">
        <v>194</v>
      </c>
      <c r="B139" s="120" t="s">
        <v>42</v>
      </c>
      <c r="C139" s="120" t="s">
        <v>43</v>
      </c>
      <c r="D139" s="160">
        <v>1</v>
      </c>
      <c r="E139" s="148">
        <v>30</v>
      </c>
      <c r="F139" s="116">
        <v>45922</v>
      </c>
      <c r="G139" s="146">
        <v>0.375</v>
      </c>
      <c r="H139" s="97">
        <v>45900</v>
      </c>
      <c r="I139" s="156">
        <v>0.84027777777777779</v>
      </c>
      <c r="J139" s="115">
        <f t="shared" si="3"/>
        <v>0</v>
      </c>
      <c r="K139" s="148">
        <v>1</v>
      </c>
      <c r="L139" s="159">
        <v>30</v>
      </c>
      <c r="M139" s="162" t="s">
        <v>195</v>
      </c>
    </row>
    <row r="140" spans="1:13" ht="26.4" x14ac:dyDescent="0.25">
      <c r="A140" s="97" t="s">
        <v>198</v>
      </c>
      <c r="B140" s="120" t="s">
        <v>36</v>
      </c>
      <c r="C140" s="120" t="s">
        <v>37</v>
      </c>
      <c r="D140" s="160">
        <v>1</v>
      </c>
      <c r="E140" s="148">
        <v>30</v>
      </c>
      <c r="F140" s="116">
        <v>45923</v>
      </c>
      <c r="G140" s="146">
        <v>0.375</v>
      </c>
      <c r="H140" s="97">
        <v>45899</v>
      </c>
      <c r="I140" s="156">
        <v>0.85416666666666663</v>
      </c>
      <c r="J140" s="115">
        <f t="shared" si="3"/>
        <v>5</v>
      </c>
      <c r="K140" s="148">
        <v>1</v>
      </c>
      <c r="L140" s="159">
        <v>25</v>
      </c>
      <c r="M140" s="162" t="s">
        <v>196</v>
      </c>
    </row>
    <row r="141" spans="1:13" ht="26.4" x14ac:dyDescent="0.25">
      <c r="A141" s="97" t="s">
        <v>197</v>
      </c>
      <c r="B141" s="120" t="s">
        <v>21</v>
      </c>
      <c r="C141" s="120" t="s">
        <v>22</v>
      </c>
      <c r="D141" s="160">
        <v>1</v>
      </c>
      <c r="E141" s="148">
        <v>30</v>
      </c>
      <c r="F141" s="116">
        <v>45924</v>
      </c>
      <c r="G141" s="146">
        <v>0.375</v>
      </c>
      <c r="H141" s="97">
        <v>45902</v>
      </c>
      <c r="I141" s="156">
        <v>0.88194444444444442</v>
      </c>
      <c r="J141" s="115">
        <f t="shared" si="3"/>
        <v>6</v>
      </c>
      <c r="K141" s="148">
        <v>1</v>
      </c>
      <c r="L141" s="159">
        <v>24</v>
      </c>
      <c r="M141" s="162" t="s">
        <v>199</v>
      </c>
    </row>
    <row r="142" spans="1:13" ht="26.4" x14ac:dyDescent="0.25">
      <c r="A142" s="97" t="s">
        <v>200</v>
      </c>
      <c r="B142" s="120" t="s">
        <v>136</v>
      </c>
      <c r="C142" s="120" t="s">
        <v>34</v>
      </c>
      <c r="D142" s="160">
        <v>1</v>
      </c>
      <c r="E142" s="148">
        <v>30</v>
      </c>
      <c r="F142" s="116">
        <v>45925</v>
      </c>
      <c r="G142" s="146">
        <v>0.375</v>
      </c>
      <c r="H142" s="97">
        <v>45900</v>
      </c>
      <c r="I142" s="156">
        <v>0.85069444444444442</v>
      </c>
      <c r="J142" s="115">
        <f t="shared" si="3"/>
        <v>7</v>
      </c>
      <c r="K142" s="148">
        <v>1</v>
      </c>
      <c r="L142" s="159">
        <v>23</v>
      </c>
      <c r="M142" s="162" t="s">
        <v>201</v>
      </c>
    </row>
    <row r="143" spans="1:13" ht="26.4" x14ac:dyDescent="0.25">
      <c r="A143" s="97" t="s">
        <v>202</v>
      </c>
      <c r="B143" s="120" t="s">
        <v>39</v>
      </c>
      <c r="C143" s="120" t="s">
        <v>40</v>
      </c>
      <c r="D143" s="160">
        <v>1</v>
      </c>
      <c r="E143" s="148">
        <v>30</v>
      </c>
      <c r="F143" s="116">
        <v>45926</v>
      </c>
      <c r="G143" s="146">
        <v>0.375</v>
      </c>
      <c r="H143" s="97">
        <v>45902</v>
      </c>
      <c r="I143" s="156">
        <v>0.88888888888888884</v>
      </c>
      <c r="J143" s="115">
        <f t="shared" si="3"/>
        <v>4</v>
      </c>
      <c r="K143" s="148">
        <v>1</v>
      </c>
      <c r="L143" s="159">
        <v>26</v>
      </c>
      <c r="M143" s="162" t="s">
        <v>203</v>
      </c>
    </row>
    <row r="144" spans="1:13" ht="26.4" x14ac:dyDescent="0.25">
      <c r="A144" s="125" t="s">
        <v>471</v>
      </c>
      <c r="B144" s="122" t="s">
        <v>36</v>
      </c>
      <c r="C144" s="122" t="s">
        <v>37</v>
      </c>
      <c r="D144" s="115">
        <v>1</v>
      </c>
      <c r="E144" s="115">
        <v>30</v>
      </c>
      <c r="F144" s="135">
        <v>45927</v>
      </c>
      <c r="G144" s="152">
        <v>0.375</v>
      </c>
      <c r="H144" s="135">
        <v>45902</v>
      </c>
      <c r="I144" s="152">
        <v>0.79166666666666663</v>
      </c>
      <c r="J144" s="153">
        <f t="shared" si="3"/>
        <v>0</v>
      </c>
      <c r="K144" s="115">
        <v>3</v>
      </c>
      <c r="L144" s="122">
        <v>30</v>
      </c>
      <c r="M144" s="132" t="s">
        <v>472</v>
      </c>
    </row>
    <row r="145" spans="1:13" ht="26.4" x14ac:dyDescent="0.25">
      <c r="A145" s="97" t="s">
        <v>204</v>
      </c>
      <c r="B145" s="120" t="s">
        <v>39</v>
      </c>
      <c r="C145" s="120" t="s">
        <v>40</v>
      </c>
      <c r="D145" s="160">
        <v>1</v>
      </c>
      <c r="E145" s="148">
        <v>60</v>
      </c>
      <c r="F145" s="116">
        <v>45927</v>
      </c>
      <c r="G145" s="146">
        <v>0.375</v>
      </c>
      <c r="H145" s="97">
        <v>45902</v>
      </c>
      <c r="I145" s="156">
        <v>0.93055555555555558</v>
      </c>
      <c r="J145" s="115">
        <f t="shared" si="3"/>
        <v>-2</v>
      </c>
      <c r="K145" s="148">
        <v>1</v>
      </c>
      <c r="L145" s="159">
        <v>62</v>
      </c>
      <c r="M145" s="162" t="s">
        <v>205</v>
      </c>
    </row>
    <row r="146" spans="1:13" ht="39.6" x14ac:dyDescent="0.25">
      <c r="A146" s="124" t="s">
        <v>146</v>
      </c>
      <c r="B146" s="114" t="s">
        <v>30</v>
      </c>
      <c r="C146" s="114" t="s">
        <v>207</v>
      </c>
      <c r="D146" s="145">
        <v>1</v>
      </c>
      <c r="E146" s="147">
        <v>60</v>
      </c>
      <c r="F146" s="116">
        <v>45903</v>
      </c>
      <c r="G146" s="146">
        <v>0.375</v>
      </c>
      <c r="H146" s="116">
        <v>45902</v>
      </c>
      <c r="I146" s="146">
        <v>0.91666666666666663</v>
      </c>
      <c r="J146" s="147">
        <f t="shared" si="3"/>
        <v>50</v>
      </c>
      <c r="K146" s="148">
        <v>1</v>
      </c>
      <c r="L146" s="159">
        <v>10</v>
      </c>
      <c r="M146" s="149" t="s">
        <v>149</v>
      </c>
    </row>
    <row r="147" spans="1:13" ht="39.6" x14ac:dyDescent="0.25">
      <c r="A147" s="124" t="s">
        <v>146</v>
      </c>
      <c r="B147" s="114" t="s">
        <v>42</v>
      </c>
      <c r="C147" s="114" t="s">
        <v>43</v>
      </c>
      <c r="D147" s="145">
        <v>1</v>
      </c>
      <c r="E147" s="147">
        <v>60</v>
      </c>
      <c r="F147" s="116">
        <v>45903</v>
      </c>
      <c r="G147" s="146">
        <v>0.375</v>
      </c>
      <c r="H147" s="116">
        <v>45902</v>
      </c>
      <c r="I147" s="146">
        <v>0.91666666666666663</v>
      </c>
      <c r="J147" s="147">
        <f t="shared" si="3"/>
        <v>50</v>
      </c>
      <c r="K147" s="148">
        <v>1</v>
      </c>
      <c r="L147" s="149">
        <v>10</v>
      </c>
      <c r="M147" s="149" t="s">
        <v>149</v>
      </c>
    </row>
    <row r="148" spans="1:13" ht="39.6" x14ac:dyDescent="0.25">
      <c r="A148" s="124" t="s">
        <v>146</v>
      </c>
      <c r="B148" s="114" t="s">
        <v>21</v>
      </c>
      <c r="C148" s="114" t="s">
        <v>22</v>
      </c>
      <c r="D148" s="145">
        <v>1</v>
      </c>
      <c r="E148" s="147">
        <v>60</v>
      </c>
      <c r="F148" s="116">
        <v>45903</v>
      </c>
      <c r="G148" s="146">
        <v>0.375</v>
      </c>
      <c r="H148" s="116">
        <v>45902</v>
      </c>
      <c r="I148" s="146">
        <v>0.91666666666666663</v>
      </c>
      <c r="J148" s="147">
        <f t="shared" si="3"/>
        <v>50</v>
      </c>
      <c r="K148" s="148">
        <v>1</v>
      </c>
      <c r="L148" s="149">
        <v>10</v>
      </c>
      <c r="M148" s="149" t="s">
        <v>149</v>
      </c>
    </row>
    <row r="149" spans="1:13" ht="39.6" x14ac:dyDescent="0.25">
      <c r="A149" s="124" t="s">
        <v>146</v>
      </c>
      <c r="B149" s="114" t="s">
        <v>136</v>
      </c>
      <c r="C149" s="114" t="s">
        <v>34</v>
      </c>
      <c r="D149" s="145">
        <v>1</v>
      </c>
      <c r="E149" s="147">
        <v>60</v>
      </c>
      <c r="F149" s="116">
        <v>45903</v>
      </c>
      <c r="G149" s="146">
        <v>0.375</v>
      </c>
      <c r="H149" s="116">
        <v>45902</v>
      </c>
      <c r="I149" s="146">
        <v>0.91666666666666663</v>
      </c>
      <c r="J149" s="147">
        <f t="shared" si="3"/>
        <v>50</v>
      </c>
      <c r="K149" s="148">
        <v>1</v>
      </c>
      <c r="L149" s="149">
        <v>10</v>
      </c>
      <c r="M149" s="149" t="s">
        <v>149</v>
      </c>
    </row>
    <row r="150" spans="1:13" ht="39.6" x14ac:dyDescent="0.25">
      <c r="A150" s="124" t="s">
        <v>146</v>
      </c>
      <c r="B150" s="114" t="s">
        <v>36</v>
      </c>
      <c r="C150" s="114" t="s">
        <v>37</v>
      </c>
      <c r="D150" s="145">
        <v>1</v>
      </c>
      <c r="E150" s="147">
        <v>60</v>
      </c>
      <c r="F150" s="116">
        <v>45903</v>
      </c>
      <c r="G150" s="146">
        <v>0.375</v>
      </c>
      <c r="H150" s="116">
        <v>45902</v>
      </c>
      <c r="I150" s="146">
        <v>0.91666666666666663</v>
      </c>
      <c r="J150" s="147">
        <f t="shared" si="3"/>
        <v>50</v>
      </c>
      <c r="K150" s="148">
        <v>1</v>
      </c>
      <c r="L150" s="149">
        <v>10</v>
      </c>
      <c r="M150" s="149" t="s">
        <v>149</v>
      </c>
    </row>
    <row r="151" spans="1:13" ht="39.6" x14ac:dyDescent="0.25">
      <c r="A151" s="124" t="s">
        <v>146</v>
      </c>
      <c r="B151" s="114" t="s">
        <v>39</v>
      </c>
      <c r="C151" s="114" t="s">
        <v>40</v>
      </c>
      <c r="D151" s="145">
        <v>1</v>
      </c>
      <c r="E151" s="147">
        <v>60</v>
      </c>
      <c r="F151" s="116">
        <v>45903</v>
      </c>
      <c r="G151" s="146">
        <v>0.375</v>
      </c>
      <c r="H151" s="116">
        <v>45902</v>
      </c>
      <c r="I151" s="146">
        <v>0.91666666666666663</v>
      </c>
      <c r="J151" s="147">
        <f t="shared" si="3"/>
        <v>50</v>
      </c>
      <c r="K151" s="148">
        <v>1</v>
      </c>
      <c r="L151" s="149">
        <v>10</v>
      </c>
      <c r="M151" s="149" t="s">
        <v>149</v>
      </c>
    </row>
    <row r="152" spans="1:13" ht="26.4" x14ac:dyDescent="0.25">
      <c r="A152" s="124" t="s">
        <v>52</v>
      </c>
      <c r="B152" s="114" t="s">
        <v>21</v>
      </c>
      <c r="C152" s="114" t="s">
        <v>22</v>
      </c>
      <c r="D152" s="145">
        <v>1</v>
      </c>
      <c r="E152" s="147">
        <v>30</v>
      </c>
      <c r="F152" s="116">
        <v>45903</v>
      </c>
      <c r="G152" s="146">
        <v>0.375</v>
      </c>
      <c r="H152" s="116">
        <v>45902</v>
      </c>
      <c r="I152" s="146">
        <v>0.91666666666666663</v>
      </c>
      <c r="J152" s="147">
        <f t="shared" si="3"/>
        <v>0</v>
      </c>
      <c r="K152" s="148">
        <v>1</v>
      </c>
      <c r="L152" s="149">
        <v>30</v>
      </c>
      <c r="M152" s="149" t="s">
        <v>53</v>
      </c>
    </row>
    <row r="153" spans="1:13" ht="26.4" x14ac:dyDescent="0.25">
      <c r="A153" s="124" t="s">
        <v>153</v>
      </c>
      <c r="B153" s="114" t="s">
        <v>36</v>
      </c>
      <c r="C153" s="114" t="s">
        <v>37</v>
      </c>
      <c r="D153" s="145">
        <v>1</v>
      </c>
      <c r="E153" s="140">
        <v>30</v>
      </c>
      <c r="F153" s="116">
        <v>45903</v>
      </c>
      <c r="G153" s="146">
        <v>0.375</v>
      </c>
      <c r="H153" s="116">
        <v>45902</v>
      </c>
      <c r="I153" s="146">
        <v>0.91666666666666663</v>
      </c>
      <c r="J153" s="147">
        <f t="shared" si="3"/>
        <v>0</v>
      </c>
      <c r="K153" s="148">
        <v>1</v>
      </c>
      <c r="L153" s="149">
        <v>30</v>
      </c>
      <c r="M153" s="149" t="s">
        <v>53</v>
      </c>
    </row>
    <row r="154" spans="1:13" ht="26.4" x14ac:dyDescent="0.25">
      <c r="A154" s="124" t="s">
        <v>79</v>
      </c>
      <c r="B154" s="114" t="s">
        <v>36</v>
      </c>
      <c r="C154" s="114" t="s">
        <v>37</v>
      </c>
      <c r="D154" s="145">
        <v>1</v>
      </c>
      <c r="E154" s="147">
        <v>45</v>
      </c>
      <c r="F154" s="116">
        <v>45903</v>
      </c>
      <c r="G154" s="146">
        <v>0.375</v>
      </c>
      <c r="H154" s="116">
        <v>45902</v>
      </c>
      <c r="I154" s="146">
        <v>0.9375</v>
      </c>
      <c r="J154" s="147">
        <f t="shared" si="3"/>
        <v>-35</v>
      </c>
      <c r="K154" s="148">
        <v>1</v>
      </c>
      <c r="L154" s="149">
        <v>80</v>
      </c>
      <c r="M154" s="149" t="s">
        <v>81</v>
      </c>
    </row>
    <row r="155" spans="1:13" ht="26.4" x14ac:dyDescent="0.25">
      <c r="A155" s="124" t="s">
        <v>85</v>
      </c>
      <c r="B155" s="114" t="s">
        <v>21</v>
      </c>
      <c r="C155" s="114" t="s">
        <v>22</v>
      </c>
      <c r="D155" s="145">
        <v>1</v>
      </c>
      <c r="E155" s="147">
        <v>60</v>
      </c>
      <c r="F155" s="116">
        <v>45903</v>
      </c>
      <c r="G155" s="146">
        <v>0.375</v>
      </c>
      <c r="H155" s="116">
        <v>45902</v>
      </c>
      <c r="I155" s="146">
        <v>0.9375</v>
      </c>
      <c r="J155" s="147">
        <f t="shared" si="3"/>
        <v>10</v>
      </c>
      <c r="K155" s="148">
        <v>1</v>
      </c>
      <c r="L155" s="149">
        <v>50</v>
      </c>
      <c r="M155" s="149" t="s">
        <v>87</v>
      </c>
    </row>
    <row r="156" spans="1:13" x14ac:dyDescent="0.25">
      <c r="A156" s="124" t="s">
        <v>88</v>
      </c>
      <c r="B156" s="114" t="s">
        <v>21</v>
      </c>
      <c r="C156" s="114" t="s">
        <v>22</v>
      </c>
      <c r="D156" s="145">
        <v>1</v>
      </c>
      <c r="E156" s="147">
        <v>55</v>
      </c>
      <c r="F156" s="116">
        <v>45903</v>
      </c>
      <c r="G156" s="146">
        <v>0.375</v>
      </c>
      <c r="H156" s="116">
        <v>45902</v>
      </c>
      <c r="I156" s="146">
        <v>0.9375</v>
      </c>
      <c r="J156" s="147">
        <f t="shared" si="3"/>
        <v>0</v>
      </c>
      <c r="K156" s="148">
        <v>1</v>
      </c>
      <c r="L156" s="149">
        <v>55</v>
      </c>
      <c r="M156" s="149" t="s">
        <v>89</v>
      </c>
    </row>
    <row r="157" spans="1:13" ht="26.4" x14ac:dyDescent="0.25">
      <c r="A157" s="128" t="s">
        <v>131</v>
      </c>
      <c r="B157" s="114" t="s">
        <v>36</v>
      </c>
      <c r="C157" s="114" t="s">
        <v>37</v>
      </c>
      <c r="D157" s="147">
        <v>1</v>
      </c>
      <c r="E157" s="147">
        <v>30</v>
      </c>
      <c r="F157" s="116">
        <v>45903</v>
      </c>
      <c r="G157" s="146">
        <v>0.375</v>
      </c>
      <c r="H157" s="116">
        <v>45902</v>
      </c>
      <c r="I157" s="146">
        <v>0.9375</v>
      </c>
      <c r="J157" s="147">
        <f t="shared" si="3"/>
        <v>-2</v>
      </c>
      <c r="K157" s="148">
        <v>1</v>
      </c>
      <c r="L157" s="149">
        <v>32</v>
      </c>
      <c r="M157" s="149" t="s">
        <v>132</v>
      </c>
    </row>
    <row r="158" spans="1:13" ht="26.4" x14ac:dyDescent="0.25">
      <c r="A158" s="128" t="s">
        <v>131</v>
      </c>
      <c r="B158" s="114" t="s">
        <v>42</v>
      </c>
      <c r="C158" s="114" t="s">
        <v>43</v>
      </c>
      <c r="D158" s="147">
        <v>1</v>
      </c>
      <c r="E158" s="147">
        <v>30</v>
      </c>
      <c r="F158" s="116">
        <v>45903</v>
      </c>
      <c r="G158" s="146">
        <v>0.375</v>
      </c>
      <c r="H158" s="116">
        <v>45902</v>
      </c>
      <c r="I158" s="146">
        <v>0.9375</v>
      </c>
      <c r="J158" s="147">
        <f t="shared" si="3"/>
        <v>-2</v>
      </c>
      <c r="K158" s="148">
        <v>1</v>
      </c>
      <c r="L158" s="149">
        <v>32</v>
      </c>
      <c r="M158" s="149" t="s">
        <v>132</v>
      </c>
    </row>
    <row r="159" spans="1:13" ht="26.4" x14ac:dyDescent="0.25">
      <c r="A159" s="128" t="s">
        <v>131</v>
      </c>
      <c r="B159" s="114" t="s">
        <v>30</v>
      </c>
      <c r="C159" s="114" t="s">
        <v>31</v>
      </c>
      <c r="D159" s="147">
        <v>1</v>
      </c>
      <c r="E159" s="147">
        <v>30</v>
      </c>
      <c r="F159" s="116">
        <v>45903</v>
      </c>
      <c r="G159" s="146">
        <v>0.375</v>
      </c>
      <c r="H159" s="116">
        <v>45902</v>
      </c>
      <c r="I159" s="146">
        <v>0.9375</v>
      </c>
      <c r="J159" s="147">
        <f t="shared" si="3"/>
        <v>-2</v>
      </c>
      <c r="K159" s="148">
        <v>1</v>
      </c>
      <c r="L159" s="159">
        <v>32</v>
      </c>
      <c r="M159" s="149" t="s">
        <v>132</v>
      </c>
    </row>
    <row r="160" spans="1:13" ht="26.4" x14ac:dyDescent="0.25">
      <c r="A160" s="128" t="s">
        <v>131</v>
      </c>
      <c r="B160" s="114" t="s">
        <v>21</v>
      </c>
      <c r="C160" s="114" t="s">
        <v>22</v>
      </c>
      <c r="D160" s="147">
        <v>1</v>
      </c>
      <c r="E160" s="147">
        <v>30</v>
      </c>
      <c r="F160" s="116">
        <v>45903</v>
      </c>
      <c r="G160" s="146">
        <v>0.375</v>
      </c>
      <c r="H160" s="116">
        <v>45902</v>
      </c>
      <c r="I160" s="146">
        <v>0.9375</v>
      </c>
      <c r="J160" s="147">
        <f t="shared" si="3"/>
        <v>-2</v>
      </c>
      <c r="K160" s="148">
        <v>1</v>
      </c>
      <c r="L160" s="149">
        <v>32</v>
      </c>
      <c r="M160" s="149" t="s">
        <v>132</v>
      </c>
    </row>
    <row r="161" spans="1:14" ht="26.4" x14ac:dyDescent="0.25">
      <c r="A161" s="128" t="s">
        <v>131</v>
      </c>
      <c r="B161" s="114" t="s">
        <v>136</v>
      </c>
      <c r="C161" s="114" t="s">
        <v>34</v>
      </c>
      <c r="D161" s="147">
        <v>1</v>
      </c>
      <c r="E161" s="147">
        <v>30</v>
      </c>
      <c r="F161" s="116">
        <v>45903</v>
      </c>
      <c r="G161" s="146">
        <v>0.375</v>
      </c>
      <c r="H161" s="116">
        <v>45902</v>
      </c>
      <c r="I161" s="146">
        <v>0.9375</v>
      </c>
      <c r="J161" s="147">
        <f t="shared" si="3"/>
        <v>-2</v>
      </c>
      <c r="K161" s="148">
        <v>1</v>
      </c>
      <c r="L161" s="149">
        <v>32</v>
      </c>
      <c r="M161" s="149" t="s">
        <v>132</v>
      </c>
    </row>
    <row r="162" spans="1:14" ht="26.4" x14ac:dyDescent="0.25">
      <c r="A162" s="128" t="s">
        <v>131</v>
      </c>
      <c r="B162" s="114" t="s">
        <v>39</v>
      </c>
      <c r="C162" s="114" t="s">
        <v>40</v>
      </c>
      <c r="D162" s="147">
        <v>1</v>
      </c>
      <c r="E162" s="147">
        <v>30</v>
      </c>
      <c r="F162" s="116">
        <v>45903</v>
      </c>
      <c r="G162" s="146">
        <v>0.375</v>
      </c>
      <c r="H162" s="116">
        <v>45902</v>
      </c>
      <c r="I162" s="146">
        <v>0.9375</v>
      </c>
      <c r="J162" s="147">
        <f t="shared" si="3"/>
        <v>-2</v>
      </c>
      <c r="K162" s="148">
        <v>1</v>
      </c>
      <c r="L162" s="149">
        <v>32</v>
      </c>
      <c r="M162" s="149" t="s">
        <v>132</v>
      </c>
    </row>
    <row r="163" spans="1:14" ht="26.4" x14ac:dyDescent="0.25">
      <c r="A163" s="128" t="s">
        <v>133</v>
      </c>
      <c r="B163" s="114" t="s">
        <v>21</v>
      </c>
      <c r="C163" s="114" t="s">
        <v>22</v>
      </c>
      <c r="D163" s="147">
        <v>3</v>
      </c>
      <c r="E163" s="147">
        <v>20</v>
      </c>
      <c r="F163" s="116">
        <v>45903</v>
      </c>
      <c r="G163" s="146">
        <v>0.375</v>
      </c>
      <c r="H163" s="116">
        <v>45903</v>
      </c>
      <c r="I163" s="146">
        <v>0.375</v>
      </c>
      <c r="J163" s="147">
        <f t="shared" si="3"/>
        <v>5</v>
      </c>
      <c r="K163" s="148">
        <v>3</v>
      </c>
      <c r="L163" s="149">
        <v>15</v>
      </c>
      <c r="M163" s="149" t="s">
        <v>134</v>
      </c>
    </row>
    <row r="164" spans="1:14" ht="39.6" x14ac:dyDescent="0.25">
      <c r="A164" s="124" t="s">
        <v>144</v>
      </c>
      <c r="B164" s="114" t="s">
        <v>30</v>
      </c>
      <c r="C164" s="114" t="s">
        <v>31</v>
      </c>
      <c r="D164" s="163">
        <v>1</v>
      </c>
      <c r="E164" s="115">
        <v>30</v>
      </c>
      <c r="F164" s="60">
        <v>45909</v>
      </c>
      <c r="G164" s="164">
        <v>0.375</v>
      </c>
      <c r="H164" s="60">
        <v>45905</v>
      </c>
      <c r="I164" s="164">
        <v>0.45833333333333331</v>
      </c>
      <c r="J164" s="153">
        <f>E164-L164</f>
        <v>0</v>
      </c>
      <c r="K164" s="115">
        <v>1</v>
      </c>
      <c r="L164" s="149">
        <v>30</v>
      </c>
      <c r="M164" s="162" t="s">
        <v>156</v>
      </c>
      <c r="N164" s="117" t="s">
        <v>590</v>
      </c>
    </row>
    <row r="165" spans="1:14" ht="26.4" x14ac:dyDescent="0.25">
      <c r="A165" s="124" t="s">
        <v>216</v>
      </c>
      <c r="B165" s="114" t="s">
        <v>36</v>
      </c>
      <c r="C165" s="114" t="s">
        <v>37</v>
      </c>
      <c r="D165" s="163">
        <v>1</v>
      </c>
      <c r="E165" s="132">
        <v>30</v>
      </c>
      <c r="F165" s="60">
        <v>45909</v>
      </c>
      <c r="G165" s="164">
        <v>0.375</v>
      </c>
      <c r="H165" s="60">
        <v>45905</v>
      </c>
      <c r="I165" s="164">
        <v>0.79166666666666663</v>
      </c>
      <c r="J165" s="153">
        <f>E165-L165</f>
        <v>0</v>
      </c>
      <c r="K165" s="115">
        <v>1</v>
      </c>
      <c r="L165" s="149">
        <v>30</v>
      </c>
      <c r="M165" s="162" t="s">
        <v>75</v>
      </c>
    </row>
    <row r="166" spans="1:14" ht="26.4" x14ac:dyDescent="0.25">
      <c r="A166" s="115" t="s">
        <v>252</v>
      </c>
      <c r="B166" s="122" t="s">
        <v>36</v>
      </c>
      <c r="C166" s="122" t="s">
        <v>37</v>
      </c>
      <c r="D166" s="115">
        <v>2</v>
      </c>
      <c r="E166" s="115">
        <v>30</v>
      </c>
      <c r="F166" s="135">
        <v>45909</v>
      </c>
      <c r="G166" s="152">
        <v>0.375</v>
      </c>
      <c r="H166" s="135">
        <v>45907</v>
      </c>
      <c r="I166" s="152">
        <v>0.52083333333333337</v>
      </c>
      <c r="J166" s="153">
        <f>E166-L166</f>
        <v>0</v>
      </c>
      <c r="K166" s="115">
        <v>2</v>
      </c>
      <c r="L166" s="122">
        <v>30</v>
      </c>
      <c r="M166" s="132" t="s">
        <v>253</v>
      </c>
    </row>
    <row r="167" spans="1:14" ht="26.4" x14ac:dyDescent="0.25">
      <c r="A167" s="115" t="s">
        <v>252</v>
      </c>
      <c r="B167" s="122" t="s">
        <v>42</v>
      </c>
      <c r="C167" s="122" t="s">
        <v>43</v>
      </c>
      <c r="D167" s="115">
        <v>2</v>
      </c>
      <c r="E167" s="115">
        <v>30</v>
      </c>
      <c r="F167" s="135">
        <v>45909</v>
      </c>
      <c r="G167" s="152">
        <v>0.375</v>
      </c>
      <c r="H167" s="135">
        <v>45907</v>
      </c>
      <c r="I167" s="152">
        <v>0.54166666666666663</v>
      </c>
      <c r="J167" s="153">
        <f t="shared" ref="J167:J230" si="4">E167-L167</f>
        <v>0</v>
      </c>
      <c r="K167" s="115">
        <v>2</v>
      </c>
      <c r="L167" s="122">
        <v>30</v>
      </c>
      <c r="M167" s="132" t="s">
        <v>253</v>
      </c>
    </row>
    <row r="168" spans="1:14" ht="26.4" x14ac:dyDescent="0.25">
      <c r="A168" s="115" t="s">
        <v>254</v>
      </c>
      <c r="B168" s="122" t="s">
        <v>36</v>
      </c>
      <c r="C168" s="122" t="s">
        <v>37</v>
      </c>
      <c r="D168" s="115">
        <v>1</v>
      </c>
      <c r="E168" s="115">
        <v>30</v>
      </c>
      <c r="F168" s="135">
        <v>45909</v>
      </c>
      <c r="G168" s="152">
        <v>0.375</v>
      </c>
      <c r="H168" s="135">
        <v>45907</v>
      </c>
      <c r="I168" s="152">
        <v>0.5625</v>
      </c>
      <c r="J168" s="153">
        <f t="shared" si="4"/>
        <v>0</v>
      </c>
      <c r="K168" s="115">
        <v>1</v>
      </c>
      <c r="L168" s="122">
        <v>30</v>
      </c>
      <c r="M168" s="132" t="s">
        <v>255</v>
      </c>
    </row>
    <row r="169" spans="1:14" ht="26.4" x14ac:dyDescent="0.25">
      <c r="A169" s="132" t="s">
        <v>254</v>
      </c>
      <c r="B169" s="122" t="s">
        <v>42</v>
      </c>
      <c r="C169" s="122" t="s">
        <v>43</v>
      </c>
      <c r="D169" s="115">
        <v>1</v>
      </c>
      <c r="E169" s="115">
        <v>30</v>
      </c>
      <c r="F169" s="135">
        <v>45909</v>
      </c>
      <c r="G169" s="152">
        <v>0.375</v>
      </c>
      <c r="H169" s="135">
        <v>45907</v>
      </c>
      <c r="I169" s="152">
        <v>0.58333333333333337</v>
      </c>
      <c r="J169" s="153">
        <f t="shared" si="4"/>
        <v>0</v>
      </c>
      <c r="K169" s="115">
        <v>2</v>
      </c>
      <c r="L169" s="122">
        <v>30</v>
      </c>
      <c r="M169" s="132" t="s">
        <v>255</v>
      </c>
    </row>
    <row r="170" spans="1:14" ht="26.4" x14ac:dyDescent="0.25">
      <c r="A170" s="115" t="s">
        <v>256</v>
      </c>
      <c r="B170" s="122" t="s">
        <v>36</v>
      </c>
      <c r="C170" s="122" t="s">
        <v>37</v>
      </c>
      <c r="D170" s="115">
        <v>2</v>
      </c>
      <c r="E170" s="115">
        <v>30</v>
      </c>
      <c r="F170" s="135">
        <v>45909</v>
      </c>
      <c r="G170" s="152">
        <v>0.375</v>
      </c>
      <c r="H170" s="135">
        <v>45907</v>
      </c>
      <c r="I170" s="152">
        <v>0.58333333333333337</v>
      </c>
      <c r="J170" s="115">
        <f t="shared" si="4"/>
        <v>0</v>
      </c>
      <c r="K170" s="115">
        <v>2</v>
      </c>
      <c r="L170" s="122">
        <v>30</v>
      </c>
      <c r="M170" s="132" t="s">
        <v>257</v>
      </c>
    </row>
    <row r="171" spans="1:14" ht="26.4" x14ac:dyDescent="0.25">
      <c r="A171" s="132" t="s">
        <v>256</v>
      </c>
      <c r="B171" s="122" t="s">
        <v>42</v>
      </c>
      <c r="C171" s="122" t="s">
        <v>43</v>
      </c>
      <c r="D171" s="115">
        <v>2</v>
      </c>
      <c r="E171" s="115">
        <v>30</v>
      </c>
      <c r="F171" s="135">
        <v>45909</v>
      </c>
      <c r="G171" s="152">
        <v>0.375</v>
      </c>
      <c r="H171" s="135">
        <v>45907</v>
      </c>
      <c r="I171" s="152">
        <v>0.58333333333333337</v>
      </c>
      <c r="J171" s="115">
        <f t="shared" si="4"/>
        <v>0</v>
      </c>
      <c r="K171" s="115">
        <v>2</v>
      </c>
      <c r="L171" s="122">
        <v>30</v>
      </c>
      <c r="M171" s="132" t="s">
        <v>257</v>
      </c>
    </row>
    <row r="172" spans="1:14" ht="39.6" x14ac:dyDescent="0.25">
      <c r="A172" s="132" t="s">
        <v>258</v>
      </c>
      <c r="B172" s="122" t="s">
        <v>36</v>
      </c>
      <c r="C172" s="122" t="s">
        <v>37</v>
      </c>
      <c r="D172" s="115">
        <v>2</v>
      </c>
      <c r="E172" s="115">
        <v>30</v>
      </c>
      <c r="F172" s="135">
        <v>45909</v>
      </c>
      <c r="G172" s="152">
        <v>0.375</v>
      </c>
      <c r="H172" s="135">
        <v>45907</v>
      </c>
      <c r="I172" s="152">
        <v>0.58333333333333337</v>
      </c>
      <c r="J172" s="115">
        <f t="shared" si="4"/>
        <v>0</v>
      </c>
      <c r="K172" s="115">
        <v>1</v>
      </c>
      <c r="L172" s="122">
        <v>30</v>
      </c>
      <c r="M172" s="132" t="s">
        <v>259</v>
      </c>
    </row>
    <row r="173" spans="1:14" ht="39.6" x14ac:dyDescent="0.25">
      <c r="A173" s="132" t="s">
        <v>258</v>
      </c>
      <c r="B173" s="122" t="s">
        <v>42</v>
      </c>
      <c r="C173" s="122" t="s">
        <v>43</v>
      </c>
      <c r="D173" s="115">
        <v>2</v>
      </c>
      <c r="E173" s="115">
        <v>30</v>
      </c>
      <c r="F173" s="135">
        <v>45909</v>
      </c>
      <c r="G173" s="152">
        <v>0.375</v>
      </c>
      <c r="H173" s="135">
        <v>45907</v>
      </c>
      <c r="I173" s="152">
        <v>0.58333333333333337</v>
      </c>
      <c r="J173" s="115">
        <f t="shared" si="4"/>
        <v>0</v>
      </c>
      <c r="K173" s="115">
        <v>1</v>
      </c>
      <c r="L173" s="122">
        <v>30</v>
      </c>
      <c r="M173" s="132" t="s">
        <v>259</v>
      </c>
    </row>
    <row r="174" spans="1:14" ht="26.4" x14ac:dyDescent="0.25">
      <c r="A174" s="115" t="s">
        <v>260</v>
      </c>
      <c r="B174" s="122" t="s">
        <v>36</v>
      </c>
      <c r="C174" s="122" t="s">
        <v>37</v>
      </c>
      <c r="D174" s="115">
        <v>1</v>
      </c>
      <c r="E174" s="115">
        <v>30</v>
      </c>
      <c r="F174" s="135">
        <v>45909</v>
      </c>
      <c r="G174" s="152">
        <v>0.375</v>
      </c>
      <c r="H174" s="135">
        <v>45907</v>
      </c>
      <c r="I174" s="152">
        <v>0.58333333333333337</v>
      </c>
      <c r="J174" s="115">
        <f t="shared" si="4"/>
        <v>0</v>
      </c>
      <c r="K174" s="115">
        <v>3</v>
      </c>
      <c r="L174" s="122">
        <v>30</v>
      </c>
      <c r="M174" s="132" t="s">
        <v>261</v>
      </c>
    </row>
    <row r="175" spans="1:14" ht="26.4" x14ac:dyDescent="0.25">
      <c r="A175" s="115" t="s">
        <v>260</v>
      </c>
      <c r="B175" s="122" t="s">
        <v>42</v>
      </c>
      <c r="C175" s="122" t="s">
        <v>43</v>
      </c>
      <c r="D175" s="115">
        <v>1</v>
      </c>
      <c r="E175" s="115">
        <v>30</v>
      </c>
      <c r="F175" s="135">
        <v>45909</v>
      </c>
      <c r="G175" s="152">
        <v>0.375</v>
      </c>
      <c r="H175" s="135">
        <v>45907</v>
      </c>
      <c r="I175" s="152">
        <v>0.58333333333333337</v>
      </c>
      <c r="J175" s="115">
        <f t="shared" si="4"/>
        <v>0</v>
      </c>
      <c r="K175" s="115">
        <v>2</v>
      </c>
      <c r="L175" s="122">
        <v>30</v>
      </c>
      <c r="M175" s="132" t="s">
        <v>261</v>
      </c>
    </row>
    <row r="176" spans="1:14" ht="39.6" x14ac:dyDescent="0.25">
      <c r="A176" s="115" t="s">
        <v>262</v>
      </c>
      <c r="B176" s="122" t="s">
        <v>36</v>
      </c>
      <c r="C176" s="122" t="s">
        <v>37</v>
      </c>
      <c r="D176" s="115">
        <v>1</v>
      </c>
      <c r="E176" s="115">
        <v>30</v>
      </c>
      <c r="F176" s="135">
        <v>45909</v>
      </c>
      <c r="G176" s="152">
        <v>0.375</v>
      </c>
      <c r="H176" s="135">
        <v>45907</v>
      </c>
      <c r="I176" s="152">
        <v>0.58333333333333337</v>
      </c>
      <c r="J176" s="115">
        <f t="shared" si="4"/>
        <v>0</v>
      </c>
      <c r="K176" s="115">
        <v>2</v>
      </c>
      <c r="L176" s="122">
        <v>30</v>
      </c>
      <c r="M176" s="132" t="s">
        <v>263</v>
      </c>
    </row>
    <row r="177" spans="1:13" ht="39.6" x14ac:dyDescent="0.25">
      <c r="A177" s="132" t="s">
        <v>262</v>
      </c>
      <c r="B177" s="122" t="s">
        <v>42</v>
      </c>
      <c r="C177" s="122" t="s">
        <v>43</v>
      </c>
      <c r="D177" s="115">
        <v>1</v>
      </c>
      <c r="E177" s="115">
        <v>30</v>
      </c>
      <c r="F177" s="135">
        <v>45909</v>
      </c>
      <c r="G177" s="152">
        <v>0.375</v>
      </c>
      <c r="H177" s="135">
        <v>45907</v>
      </c>
      <c r="I177" s="152">
        <v>0.58333333333333337</v>
      </c>
      <c r="J177" s="115">
        <f t="shared" si="4"/>
        <v>0</v>
      </c>
      <c r="K177" s="115">
        <v>1</v>
      </c>
      <c r="L177" s="122">
        <v>30</v>
      </c>
      <c r="M177" s="132" t="s">
        <v>263</v>
      </c>
    </row>
    <row r="178" spans="1:13" ht="26.4" x14ac:dyDescent="0.25">
      <c r="A178" s="132" t="s">
        <v>264</v>
      </c>
      <c r="B178" s="122" t="s">
        <v>36</v>
      </c>
      <c r="C178" s="122" t="s">
        <v>37</v>
      </c>
      <c r="D178" s="115">
        <v>1</v>
      </c>
      <c r="E178" s="115">
        <v>30</v>
      </c>
      <c r="F178" s="135">
        <v>45909</v>
      </c>
      <c r="G178" s="152">
        <v>0.375</v>
      </c>
      <c r="H178" s="135">
        <v>45907</v>
      </c>
      <c r="I178" s="152">
        <v>0.58333333333333337</v>
      </c>
      <c r="J178" s="115">
        <f t="shared" si="4"/>
        <v>0</v>
      </c>
      <c r="K178" s="115">
        <v>1</v>
      </c>
      <c r="L178" s="122">
        <v>30</v>
      </c>
      <c r="M178" s="132" t="s">
        <v>265</v>
      </c>
    </row>
    <row r="179" spans="1:13" ht="26.4" x14ac:dyDescent="0.25">
      <c r="A179" s="132" t="s">
        <v>264</v>
      </c>
      <c r="B179" s="122" t="s">
        <v>42</v>
      </c>
      <c r="C179" s="122" t="s">
        <v>43</v>
      </c>
      <c r="D179" s="115">
        <v>1</v>
      </c>
      <c r="E179" s="115">
        <v>30</v>
      </c>
      <c r="F179" s="135">
        <v>45909</v>
      </c>
      <c r="G179" s="152">
        <v>0.375</v>
      </c>
      <c r="H179" s="135">
        <v>45907</v>
      </c>
      <c r="I179" s="152">
        <v>0.58333333333333337</v>
      </c>
      <c r="J179" s="115">
        <f t="shared" si="4"/>
        <v>0</v>
      </c>
      <c r="K179" s="115">
        <v>1</v>
      </c>
      <c r="L179" s="122">
        <v>30</v>
      </c>
      <c r="M179" s="132" t="s">
        <v>265</v>
      </c>
    </row>
    <row r="180" spans="1:13" ht="26.4" x14ac:dyDescent="0.25">
      <c r="A180" s="132" t="s">
        <v>266</v>
      </c>
      <c r="B180" s="122" t="s">
        <v>36</v>
      </c>
      <c r="C180" s="122" t="s">
        <v>37</v>
      </c>
      <c r="D180" s="115">
        <v>1</v>
      </c>
      <c r="E180" s="115">
        <v>20</v>
      </c>
      <c r="F180" s="135">
        <v>45909</v>
      </c>
      <c r="G180" s="152">
        <v>0.375</v>
      </c>
      <c r="H180" s="135">
        <v>45907</v>
      </c>
      <c r="I180" s="152">
        <v>0.58333333333333337</v>
      </c>
      <c r="J180" s="115">
        <f t="shared" si="4"/>
        <v>-10</v>
      </c>
      <c r="K180" s="115">
        <v>1</v>
      </c>
      <c r="L180" s="122">
        <v>30</v>
      </c>
      <c r="M180" s="132" t="s">
        <v>267</v>
      </c>
    </row>
    <row r="181" spans="1:13" ht="26.4" x14ac:dyDescent="0.25">
      <c r="A181" s="132" t="s">
        <v>266</v>
      </c>
      <c r="B181" s="122" t="s">
        <v>42</v>
      </c>
      <c r="C181" s="122" t="s">
        <v>43</v>
      </c>
      <c r="D181" s="115">
        <v>1</v>
      </c>
      <c r="E181" s="115">
        <v>20</v>
      </c>
      <c r="F181" s="135">
        <v>45909</v>
      </c>
      <c r="G181" s="152">
        <v>0.375</v>
      </c>
      <c r="H181" s="135">
        <v>45907</v>
      </c>
      <c r="I181" s="152">
        <v>0.58333333333333337</v>
      </c>
      <c r="J181" s="115">
        <f t="shared" si="4"/>
        <v>-10</v>
      </c>
      <c r="K181" s="115">
        <v>1</v>
      </c>
      <c r="L181" s="122">
        <v>30</v>
      </c>
      <c r="M181" s="132" t="s">
        <v>267</v>
      </c>
    </row>
    <row r="182" spans="1:13" ht="26.4" x14ac:dyDescent="0.25">
      <c r="A182" s="132" t="s">
        <v>268</v>
      </c>
      <c r="B182" s="122" t="s">
        <v>36</v>
      </c>
      <c r="C182" s="122" t="s">
        <v>37</v>
      </c>
      <c r="D182" s="115">
        <v>1</v>
      </c>
      <c r="E182" s="115">
        <v>20</v>
      </c>
      <c r="F182" s="135">
        <v>45909</v>
      </c>
      <c r="G182" s="152">
        <v>0.375</v>
      </c>
      <c r="H182" s="135">
        <v>45907</v>
      </c>
      <c r="I182" s="152">
        <v>0.58333333333333337</v>
      </c>
      <c r="J182" s="115">
        <f t="shared" si="4"/>
        <v>-10</v>
      </c>
      <c r="K182" s="115">
        <v>1</v>
      </c>
      <c r="L182" s="122">
        <v>30</v>
      </c>
      <c r="M182" s="132" t="s">
        <v>269</v>
      </c>
    </row>
    <row r="183" spans="1:13" ht="26.4" x14ac:dyDescent="0.25">
      <c r="A183" s="132" t="s">
        <v>268</v>
      </c>
      <c r="B183" s="122" t="s">
        <v>42</v>
      </c>
      <c r="C183" s="122" t="s">
        <v>43</v>
      </c>
      <c r="D183" s="115">
        <v>1</v>
      </c>
      <c r="E183" s="115">
        <v>20</v>
      </c>
      <c r="F183" s="135">
        <v>45909</v>
      </c>
      <c r="G183" s="152">
        <v>0.375</v>
      </c>
      <c r="H183" s="135">
        <v>45907</v>
      </c>
      <c r="I183" s="152">
        <v>0.58333333333333337</v>
      </c>
      <c r="J183" s="115">
        <f t="shared" si="4"/>
        <v>0</v>
      </c>
      <c r="K183" s="115">
        <v>1</v>
      </c>
      <c r="L183" s="122">
        <v>20</v>
      </c>
      <c r="M183" s="132" t="s">
        <v>269</v>
      </c>
    </row>
    <row r="184" spans="1:13" ht="26.4" x14ac:dyDescent="0.25">
      <c r="A184" s="132" t="s">
        <v>270</v>
      </c>
      <c r="B184" s="122" t="s">
        <v>36</v>
      </c>
      <c r="C184" s="122" t="s">
        <v>37</v>
      </c>
      <c r="D184" s="115">
        <v>1</v>
      </c>
      <c r="E184" s="115">
        <v>20</v>
      </c>
      <c r="F184" s="135">
        <v>45909</v>
      </c>
      <c r="G184" s="152">
        <v>0.375</v>
      </c>
      <c r="H184" s="135">
        <v>45907</v>
      </c>
      <c r="I184" s="152">
        <v>0.58333333333333337</v>
      </c>
      <c r="J184" s="115">
        <f t="shared" si="4"/>
        <v>1</v>
      </c>
      <c r="K184" s="115">
        <v>2</v>
      </c>
      <c r="L184" s="122">
        <v>19</v>
      </c>
      <c r="M184" s="132" t="s">
        <v>273</v>
      </c>
    </row>
    <row r="185" spans="1:13" ht="26.4" x14ac:dyDescent="0.25">
      <c r="A185" s="132" t="s">
        <v>271</v>
      </c>
      <c r="B185" s="122" t="s">
        <v>42</v>
      </c>
      <c r="C185" s="122" t="s">
        <v>43</v>
      </c>
      <c r="D185" s="115">
        <v>1</v>
      </c>
      <c r="E185" s="115">
        <v>20</v>
      </c>
      <c r="F185" s="135">
        <v>45909</v>
      </c>
      <c r="G185" s="152">
        <v>0.375</v>
      </c>
      <c r="H185" s="135">
        <v>45907</v>
      </c>
      <c r="I185" s="152">
        <v>0.58333333333333337</v>
      </c>
      <c r="J185" s="115">
        <f t="shared" si="4"/>
        <v>0</v>
      </c>
      <c r="K185" s="115">
        <v>2</v>
      </c>
      <c r="L185" s="122">
        <v>20</v>
      </c>
      <c r="M185" s="132" t="s">
        <v>273</v>
      </c>
    </row>
    <row r="186" spans="1:13" ht="39.6" x14ac:dyDescent="0.25">
      <c r="A186" s="132" t="s">
        <v>272</v>
      </c>
      <c r="B186" s="122" t="s">
        <v>36</v>
      </c>
      <c r="C186" s="122" t="s">
        <v>37</v>
      </c>
      <c r="D186" s="115">
        <v>1</v>
      </c>
      <c r="E186" s="115">
        <v>15</v>
      </c>
      <c r="F186" s="135">
        <v>45909</v>
      </c>
      <c r="G186" s="152">
        <v>0.375</v>
      </c>
      <c r="H186" s="135">
        <v>45907</v>
      </c>
      <c r="I186" s="152">
        <v>0.58333333333333337</v>
      </c>
      <c r="J186" s="115">
        <f t="shared" si="4"/>
        <v>5</v>
      </c>
      <c r="K186" s="115">
        <v>1</v>
      </c>
      <c r="L186" s="122">
        <v>10</v>
      </c>
      <c r="M186" s="132" t="s">
        <v>274</v>
      </c>
    </row>
    <row r="187" spans="1:13" ht="39.6" x14ac:dyDescent="0.25">
      <c r="A187" s="132" t="s">
        <v>272</v>
      </c>
      <c r="B187" s="122" t="s">
        <v>42</v>
      </c>
      <c r="C187" s="122" t="s">
        <v>43</v>
      </c>
      <c r="D187" s="115">
        <v>1</v>
      </c>
      <c r="E187" s="115">
        <v>15</v>
      </c>
      <c r="F187" s="135">
        <v>45909</v>
      </c>
      <c r="G187" s="152">
        <v>0.375</v>
      </c>
      <c r="H187" s="135">
        <v>45907</v>
      </c>
      <c r="I187" s="152">
        <v>0.58333333333333337</v>
      </c>
      <c r="J187" s="115">
        <f t="shared" si="4"/>
        <v>5</v>
      </c>
      <c r="K187" s="115">
        <v>1</v>
      </c>
      <c r="L187" s="122">
        <v>10</v>
      </c>
      <c r="M187" s="132" t="s">
        <v>274</v>
      </c>
    </row>
    <row r="188" spans="1:13" ht="39.6" x14ac:dyDescent="0.25">
      <c r="A188" s="132" t="s">
        <v>275</v>
      </c>
      <c r="B188" s="122" t="s">
        <v>36</v>
      </c>
      <c r="C188" s="122" t="s">
        <v>37</v>
      </c>
      <c r="D188" s="115">
        <v>1</v>
      </c>
      <c r="E188" s="115">
        <v>20</v>
      </c>
      <c r="F188" s="135">
        <v>45909</v>
      </c>
      <c r="G188" s="152">
        <v>0.375</v>
      </c>
      <c r="H188" s="135">
        <v>45907</v>
      </c>
      <c r="I188" s="152">
        <v>0.58333333333333337</v>
      </c>
      <c r="J188" s="115">
        <f t="shared" si="4"/>
        <v>10</v>
      </c>
      <c r="K188" s="115">
        <v>1</v>
      </c>
      <c r="L188" s="122">
        <v>10</v>
      </c>
      <c r="M188" s="132" t="s">
        <v>276</v>
      </c>
    </row>
    <row r="189" spans="1:13" ht="39.6" x14ac:dyDescent="0.25">
      <c r="A189" s="132" t="s">
        <v>275</v>
      </c>
      <c r="B189" s="122" t="s">
        <v>42</v>
      </c>
      <c r="C189" s="122" t="s">
        <v>43</v>
      </c>
      <c r="D189" s="115">
        <v>1</v>
      </c>
      <c r="E189" s="115">
        <v>20</v>
      </c>
      <c r="F189" s="135">
        <v>45909</v>
      </c>
      <c r="G189" s="152">
        <v>0.375</v>
      </c>
      <c r="H189" s="135">
        <v>45907</v>
      </c>
      <c r="I189" s="152">
        <v>0.58333333333333337</v>
      </c>
      <c r="J189" s="115">
        <f t="shared" si="4"/>
        <v>10</v>
      </c>
      <c r="K189" s="115">
        <v>1</v>
      </c>
      <c r="L189" s="122">
        <v>10</v>
      </c>
      <c r="M189" s="132" t="s">
        <v>276</v>
      </c>
    </row>
    <row r="190" spans="1:13" ht="39.6" x14ac:dyDescent="0.25">
      <c r="A190" s="132" t="s">
        <v>277</v>
      </c>
      <c r="B190" s="122" t="s">
        <v>21</v>
      </c>
      <c r="C190" s="122" t="s">
        <v>22</v>
      </c>
      <c r="D190" s="115">
        <v>1</v>
      </c>
      <c r="E190" s="115">
        <v>55</v>
      </c>
      <c r="F190" s="135">
        <v>45909</v>
      </c>
      <c r="G190" s="152">
        <v>0.375</v>
      </c>
      <c r="H190" s="135">
        <v>45906</v>
      </c>
      <c r="I190" s="152">
        <v>0.35416666666666669</v>
      </c>
      <c r="J190" s="115">
        <f t="shared" si="4"/>
        <v>-5</v>
      </c>
      <c r="K190" s="115">
        <v>2</v>
      </c>
      <c r="L190" s="122">
        <v>60</v>
      </c>
      <c r="M190" s="132" t="s">
        <v>278</v>
      </c>
    </row>
    <row r="191" spans="1:13" ht="39.6" x14ac:dyDescent="0.25">
      <c r="A191" s="132" t="s">
        <v>277</v>
      </c>
      <c r="B191" s="122" t="s">
        <v>136</v>
      </c>
      <c r="C191" s="122" t="s">
        <v>34</v>
      </c>
      <c r="D191" s="115">
        <v>1</v>
      </c>
      <c r="E191" s="115">
        <v>55</v>
      </c>
      <c r="F191" s="135">
        <v>45909</v>
      </c>
      <c r="G191" s="152">
        <v>0.375</v>
      </c>
      <c r="H191" s="135">
        <v>45906</v>
      </c>
      <c r="I191" s="152">
        <v>0.39583333333333298</v>
      </c>
      <c r="J191" s="115">
        <f t="shared" si="4"/>
        <v>-5</v>
      </c>
      <c r="K191" s="115">
        <v>1</v>
      </c>
      <c r="L191" s="122">
        <v>60</v>
      </c>
      <c r="M191" s="132" t="s">
        <v>278</v>
      </c>
    </row>
    <row r="192" spans="1:13" ht="39.6" x14ac:dyDescent="0.25">
      <c r="A192" s="132" t="s">
        <v>279</v>
      </c>
      <c r="B192" s="122" t="s">
        <v>21</v>
      </c>
      <c r="C192" s="122" t="s">
        <v>22</v>
      </c>
      <c r="D192" s="115">
        <v>1</v>
      </c>
      <c r="E192" s="115">
        <v>60</v>
      </c>
      <c r="F192" s="135">
        <v>45909</v>
      </c>
      <c r="G192" s="152">
        <v>0.375</v>
      </c>
      <c r="H192" s="135">
        <v>45906</v>
      </c>
      <c r="I192" s="152">
        <v>0.4375</v>
      </c>
      <c r="J192" s="115">
        <f t="shared" si="4"/>
        <v>0</v>
      </c>
      <c r="K192" s="115">
        <v>3</v>
      </c>
      <c r="L192" s="122">
        <v>60</v>
      </c>
      <c r="M192" s="132" t="s">
        <v>280</v>
      </c>
    </row>
    <row r="193" spans="1:13" ht="39.6" x14ac:dyDescent="0.25">
      <c r="A193" s="132" t="s">
        <v>279</v>
      </c>
      <c r="B193" s="122" t="s">
        <v>136</v>
      </c>
      <c r="C193" s="122" t="s">
        <v>34</v>
      </c>
      <c r="D193" s="115">
        <v>1</v>
      </c>
      <c r="E193" s="115">
        <v>60</v>
      </c>
      <c r="F193" s="135">
        <v>45909</v>
      </c>
      <c r="G193" s="152">
        <v>0.375</v>
      </c>
      <c r="H193" s="135">
        <v>45906</v>
      </c>
      <c r="I193" s="152">
        <v>0.47916666666666702</v>
      </c>
      <c r="J193" s="115">
        <f t="shared" si="4"/>
        <v>0</v>
      </c>
      <c r="K193" s="115">
        <v>1</v>
      </c>
      <c r="L193" s="122">
        <v>60</v>
      </c>
      <c r="M193" s="132" t="s">
        <v>280</v>
      </c>
    </row>
    <row r="194" spans="1:13" ht="26.4" x14ac:dyDescent="0.25">
      <c r="A194" s="132" t="s">
        <v>281</v>
      </c>
      <c r="B194" s="122" t="s">
        <v>21</v>
      </c>
      <c r="C194" s="122" t="s">
        <v>22</v>
      </c>
      <c r="D194" s="115">
        <v>1</v>
      </c>
      <c r="E194" s="115">
        <v>30</v>
      </c>
      <c r="F194" s="135">
        <v>45909</v>
      </c>
      <c r="G194" s="152">
        <v>0.375</v>
      </c>
      <c r="H194" s="135">
        <v>45906</v>
      </c>
      <c r="I194" s="152">
        <v>0.5</v>
      </c>
      <c r="J194" s="115">
        <f t="shared" si="4"/>
        <v>0</v>
      </c>
      <c r="K194" s="115">
        <v>1</v>
      </c>
      <c r="L194" s="122">
        <v>30</v>
      </c>
      <c r="M194" s="132" t="s">
        <v>282</v>
      </c>
    </row>
    <row r="195" spans="1:13" ht="26.4" x14ac:dyDescent="0.25">
      <c r="A195" s="132" t="s">
        <v>281</v>
      </c>
      <c r="B195" s="122" t="s">
        <v>136</v>
      </c>
      <c r="C195" s="122" t="s">
        <v>34</v>
      </c>
      <c r="D195" s="115">
        <v>1</v>
      </c>
      <c r="E195" s="115">
        <v>30</v>
      </c>
      <c r="F195" s="135">
        <v>45909</v>
      </c>
      <c r="G195" s="152">
        <v>0.375</v>
      </c>
      <c r="H195" s="135">
        <v>45906</v>
      </c>
      <c r="I195" s="152">
        <v>0.52083333333333337</v>
      </c>
      <c r="J195" s="115">
        <f t="shared" si="4"/>
        <v>2</v>
      </c>
      <c r="K195" s="115">
        <v>1</v>
      </c>
      <c r="L195" s="122">
        <v>28</v>
      </c>
      <c r="M195" s="132" t="s">
        <v>282</v>
      </c>
    </row>
    <row r="196" spans="1:13" ht="39.6" x14ac:dyDescent="0.25">
      <c r="A196" s="132" t="s">
        <v>283</v>
      </c>
      <c r="B196" s="122" t="s">
        <v>21</v>
      </c>
      <c r="C196" s="122" t="s">
        <v>22</v>
      </c>
      <c r="D196" s="115">
        <v>1</v>
      </c>
      <c r="E196" s="115">
        <v>30</v>
      </c>
      <c r="F196" s="135">
        <v>45909</v>
      </c>
      <c r="G196" s="152">
        <v>0.375</v>
      </c>
      <c r="H196" s="135">
        <v>45906</v>
      </c>
      <c r="I196" s="152">
        <v>0.54166666666666663</v>
      </c>
      <c r="J196" s="115">
        <f t="shared" si="4"/>
        <v>0</v>
      </c>
      <c r="K196" s="115">
        <v>1</v>
      </c>
      <c r="L196" s="122">
        <v>30</v>
      </c>
      <c r="M196" s="132" t="s">
        <v>284</v>
      </c>
    </row>
    <row r="197" spans="1:13" ht="39.6" x14ac:dyDescent="0.25">
      <c r="A197" s="132" t="s">
        <v>283</v>
      </c>
      <c r="B197" s="122" t="s">
        <v>136</v>
      </c>
      <c r="C197" s="122" t="s">
        <v>34</v>
      </c>
      <c r="D197" s="115">
        <v>1</v>
      </c>
      <c r="E197" s="115">
        <v>30</v>
      </c>
      <c r="F197" s="135">
        <v>45909</v>
      </c>
      <c r="G197" s="152">
        <v>0.375</v>
      </c>
      <c r="H197" s="135">
        <v>45906</v>
      </c>
      <c r="I197" s="152">
        <v>0.5625</v>
      </c>
      <c r="J197" s="115">
        <f t="shared" si="4"/>
        <v>1</v>
      </c>
      <c r="K197" s="115">
        <v>1</v>
      </c>
      <c r="L197" s="122">
        <v>29</v>
      </c>
      <c r="M197" s="132" t="s">
        <v>284</v>
      </c>
    </row>
    <row r="198" spans="1:13" ht="39.6" x14ac:dyDescent="0.25">
      <c r="A198" s="132" t="s">
        <v>285</v>
      </c>
      <c r="B198" s="122" t="s">
        <v>21</v>
      </c>
      <c r="C198" s="122" t="s">
        <v>22</v>
      </c>
      <c r="D198" s="115">
        <v>1</v>
      </c>
      <c r="E198" s="115">
        <v>30</v>
      </c>
      <c r="F198" s="135">
        <v>45909</v>
      </c>
      <c r="G198" s="152">
        <v>0.375</v>
      </c>
      <c r="H198" s="135">
        <v>45906</v>
      </c>
      <c r="I198" s="152">
        <v>0.58333333333333337</v>
      </c>
      <c r="J198" s="115">
        <f t="shared" si="4"/>
        <v>0</v>
      </c>
      <c r="K198" s="115">
        <v>1</v>
      </c>
      <c r="L198" s="122">
        <v>30</v>
      </c>
      <c r="M198" s="132" t="s">
        <v>286</v>
      </c>
    </row>
    <row r="199" spans="1:13" ht="39.6" x14ac:dyDescent="0.25">
      <c r="A199" s="132" t="s">
        <v>285</v>
      </c>
      <c r="B199" s="122" t="s">
        <v>136</v>
      </c>
      <c r="C199" s="122" t="s">
        <v>34</v>
      </c>
      <c r="D199" s="115">
        <v>1</v>
      </c>
      <c r="E199" s="115">
        <v>30</v>
      </c>
      <c r="F199" s="135">
        <v>45909</v>
      </c>
      <c r="G199" s="152">
        <v>0.375</v>
      </c>
      <c r="H199" s="135">
        <v>45906</v>
      </c>
      <c r="I199" s="152">
        <v>0.58333333333333337</v>
      </c>
      <c r="J199" s="115">
        <f t="shared" si="4"/>
        <v>0</v>
      </c>
      <c r="K199" s="115">
        <v>1</v>
      </c>
      <c r="L199" s="122">
        <v>30</v>
      </c>
      <c r="M199" s="132" t="s">
        <v>286</v>
      </c>
    </row>
    <row r="200" spans="1:13" ht="26.4" x14ac:dyDescent="0.25">
      <c r="A200" s="132" t="s">
        <v>287</v>
      </c>
      <c r="B200" s="122" t="s">
        <v>21</v>
      </c>
      <c r="C200" s="122" t="s">
        <v>22</v>
      </c>
      <c r="D200" s="115">
        <v>1</v>
      </c>
      <c r="E200" s="115">
        <v>30</v>
      </c>
      <c r="F200" s="135">
        <v>45909</v>
      </c>
      <c r="G200" s="152">
        <v>0.375</v>
      </c>
      <c r="H200" s="135">
        <v>45906</v>
      </c>
      <c r="I200" s="152">
        <v>0.60416666666666663</v>
      </c>
      <c r="J200" s="115">
        <f t="shared" si="4"/>
        <v>0</v>
      </c>
      <c r="K200" s="115">
        <v>1</v>
      </c>
      <c r="L200" s="122">
        <v>30</v>
      </c>
      <c r="M200" s="132" t="s">
        <v>288</v>
      </c>
    </row>
    <row r="201" spans="1:13" ht="26.4" x14ac:dyDescent="0.25">
      <c r="A201" s="132" t="s">
        <v>287</v>
      </c>
      <c r="B201" s="122" t="s">
        <v>136</v>
      </c>
      <c r="C201" s="122" t="s">
        <v>34</v>
      </c>
      <c r="D201" s="115">
        <v>1</v>
      </c>
      <c r="E201" s="115">
        <v>30</v>
      </c>
      <c r="F201" s="135">
        <v>45909</v>
      </c>
      <c r="G201" s="152">
        <v>0.375</v>
      </c>
      <c r="H201" s="135">
        <v>45906</v>
      </c>
      <c r="I201" s="152">
        <v>0.60416666666666663</v>
      </c>
      <c r="J201" s="115">
        <f t="shared" si="4"/>
        <v>5</v>
      </c>
      <c r="K201" s="115">
        <v>1</v>
      </c>
      <c r="L201" s="122">
        <v>25</v>
      </c>
      <c r="M201" s="132" t="s">
        <v>288</v>
      </c>
    </row>
    <row r="202" spans="1:13" ht="39.6" x14ac:dyDescent="0.25">
      <c r="A202" s="132" t="s">
        <v>289</v>
      </c>
      <c r="B202" s="122" t="s">
        <v>21</v>
      </c>
      <c r="C202" s="122" t="s">
        <v>22</v>
      </c>
      <c r="D202" s="115">
        <v>1</v>
      </c>
      <c r="E202" s="115">
        <v>30</v>
      </c>
      <c r="F202" s="135">
        <v>45909</v>
      </c>
      <c r="G202" s="152">
        <v>0.375</v>
      </c>
      <c r="H202" s="135">
        <v>45906</v>
      </c>
      <c r="I202" s="152">
        <v>0.625</v>
      </c>
      <c r="J202" s="115">
        <f t="shared" si="4"/>
        <v>5</v>
      </c>
      <c r="K202" s="115">
        <v>1</v>
      </c>
      <c r="L202" s="122">
        <v>25</v>
      </c>
      <c r="M202" s="132" t="s">
        <v>290</v>
      </c>
    </row>
    <row r="203" spans="1:13" ht="39.6" x14ac:dyDescent="0.25">
      <c r="A203" s="115" t="s">
        <v>289</v>
      </c>
      <c r="B203" s="122" t="s">
        <v>136</v>
      </c>
      <c r="C203" s="122" t="s">
        <v>34</v>
      </c>
      <c r="D203" s="115">
        <v>1</v>
      </c>
      <c r="E203" s="115">
        <v>30</v>
      </c>
      <c r="F203" s="135">
        <v>45909</v>
      </c>
      <c r="G203" s="152">
        <v>0.375</v>
      </c>
      <c r="H203" s="135">
        <v>45906</v>
      </c>
      <c r="I203" s="152">
        <v>0.625</v>
      </c>
      <c r="J203" s="115">
        <f t="shared" si="4"/>
        <v>0</v>
      </c>
      <c r="K203" s="115">
        <v>1</v>
      </c>
      <c r="L203" s="122">
        <v>30</v>
      </c>
      <c r="M203" s="132" t="s">
        <v>290</v>
      </c>
    </row>
    <row r="204" spans="1:13" ht="39.6" x14ac:dyDescent="0.25">
      <c r="A204" s="132" t="s">
        <v>291</v>
      </c>
      <c r="B204" s="122" t="s">
        <v>21</v>
      </c>
      <c r="C204" s="122" t="s">
        <v>22</v>
      </c>
      <c r="D204" s="115">
        <v>1</v>
      </c>
      <c r="E204" s="115">
        <v>30</v>
      </c>
      <c r="F204" s="135">
        <v>45909</v>
      </c>
      <c r="G204" s="152">
        <v>0.375</v>
      </c>
      <c r="H204" s="135">
        <v>45906</v>
      </c>
      <c r="I204" s="152">
        <v>0.64583333333333337</v>
      </c>
      <c r="J204" s="115">
        <f t="shared" si="4"/>
        <v>0</v>
      </c>
      <c r="K204" s="115">
        <v>1</v>
      </c>
      <c r="L204" s="122">
        <v>30</v>
      </c>
      <c r="M204" s="132" t="s">
        <v>292</v>
      </c>
    </row>
    <row r="205" spans="1:13" ht="39.6" x14ac:dyDescent="0.25">
      <c r="A205" s="132" t="s">
        <v>291</v>
      </c>
      <c r="B205" s="122" t="s">
        <v>136</v>
      </c>
      <c r="C205" s="122" t="s">
        <v>34</v>
      </c>
      <c r="D205" s="115">
        <v>1</v>
      </c>
      <c r="E205" s="115">
        <v>30</v>
      </c>
      <c r="F205" s="135">
        <v>45909</v>
      </c>
      <c r="G205" s="152">
        <v>0.375</v>
      </c>
      <c r="H205" s="135">
        <v>45906</v>
      </c>
      <c r="I205" s="152">
        <v>0.64583333333333337</v>
      </c>
      <c r="J205" s="115">
        <f t="shared" si="4"/>
        <v>0</v>
      </c>
      <c r="K205" s="115">
        <v>1</v>
      </c>
      <c r="L205" s="122">
        <v>30</v>
      </c>
      <c r="M205" s="132" t="s">
        <v>292</v>
      </c>
    </row>
    <row r="206" spans="1:13" ht="26.4" x14ac:dyDescent="0.25">
      <c r="A206" s="132" t="s">
        <v>293</v>
      </c>
      <c r="B206" s="122" t="s">
        <v>21</v>
      </c>
      <c r="C206" s="122" t="s">
        <v>22</v>
      </c>
      <c r="D206" s="115">
        <v>2</v>
      </c>
      <c r="E206" s="115">
        <v>60</v>
      </c>
      <c r="F206" s="135">
        <v>45909</v>
      </c>
      <c r="G206" s="152">
        <v>0.375</v>
      </c>
      <c r="H206" s="135">
        <v>45906</v>
      </c>
      <c r="I206" s="152">
        <v>0.66666666666666663</v>
      </c>
      <c r="J206" s="115">
        <f t="shared" si="4"/>
        <v>35</v>
      </c>
      <c r="K206" s="115">
        <v>1</v>
      </c>
      <c r="L206" s="122">
        <v>25</v>
      </c>
      <c r="M206" s="132" t="s">
        <v>294</v>
      </c>
    </row>
    <row r="207" spans="1:13" ht="26.4" x14ac:dyDescent="0.25">
      <c r="A207" s="132" t="s">
        <v>293</v>
      </c>
      <c r="B207" s="122" t="s">
        <v>136</v>
      </c>
      <c r="C207" s="122" t="s">
        <v>34</v>
      </c>
      <c r="D207" s="115">
        <v>2</v>
      </c>
      <c r="E207" s="115">
        <v>60</v>
      </c>
      <c r="F207" s="135">
        <v>45909</v>
      </c>
      <c r="G207" s="152">
        <v>0.375</v>
      </c>
      <c r="H207" s="135">
        <v>45906</v>
      </c>
      <c r="I207" s="152">
        <v>0.66666666666666663</v>
      </c>
      <c r="J207" s="115">
        <f t="shared" si="4"/>
        <v>35</v>
      </c>
      <c r="K207" s="115">
        <v>1</v>
      </c>
      <c r="L207" s="122">
        <v>25</v>
      </c>
      <c r="M207" s="132" t="s">
        <v>294</v>
      </c>
    </row>
    <row r="208" spans="1:13" ht="26.4" x14ac:dyDescent="0.25">
      <c r="A208" s="132" t="s">
        <v>295</v>
      </c>
      <c r="B208" s="122" t="s">
        <v>21</v>
      </c>
      <c r="C208" s="122" t="s">
        <v>22</v>
      </c>
      <c r="D208" s="115">
        <v>2</v>
      </c>
      <c r="E208" s="115">
        <v>60</v>
      </c>
      <c r="F208" s="135">
        <v>45909</v>
      </c>
      <c r="G208" s="152">
        <v>0.375</v>
      </c>
      <c r="H208" s="135">
        <v>45906</v>
      </c>
      <c r="I208" s="152">
        <v>0.70833333333333337</v>
      </c>
      <c r="J208" s="115">
        <f t="shared" si="4"/>
        <v>38</v>
      </c>
      <c r="K208" s="115">
        <v>1</v>
      </c>
      <c r="L208" s="122">
        <v>22</v>
      </c>
      <c r="M208" s="132" t="s">
        <v>296</v>
      </c>
    </row>
    <row r="209" spans="1:13" ht="26.4" x14ac:dyDescent="0.25">
      <c r="A209" s="132" t="s">
        <v>295</v>
      </c>
      <c r="B209" s="122" t="s">
        <v>136</v>
      </c>
      <c r="C209" s="122" t="s">
        <v>34</v>
      </c>
      <c r="D209" s="115">
        <v>2</v>
      </c>
      <c r="E209" s="115">
        <v>60</v>
      </c>
      <c r="F209" s="135">
        <v>45909</v>
      </c>
      <c r="G209" s="152">
        <v>0.375</v>
      </c>
      <c r="H209" s="135">
        <v>45906</v>
      </c>
      <c r="I209" s="152">
        <v>0.75</v>
      </c>
      <c r="J209" s="115">
        <f t="shared" si="4"/>
        <v>38</v>
      </c>
      <c r="K209" s="115">
        <v>2</v>
      </c>
      <c r="L209" s="122">
        <v>22</v>
      </c>
      <c r="M209" s="132" t="s">
        <v>296</v>
      </c>
    </row>
    <row r="210" spans="1:13" ht="26.4" x14ac:dyDescent="0.25">
      <c r="A210" s="132" t="s">
        <v>297</v>
      </c>
      <c r="B210" s="122" t="s">
        <v>21</v>
      </c>
      <c r="C210" s="122" t="s">
        <v>22</v>
      </c>
      <c r="D210" s="115">
        <v>2</v>
      </c>
      <c r="E210" s="115">
        <v>60</v>
      </c>
      <c r="F210" s="135">
        <v>45909</v>
      </c>
      <c r="G210" s="152">
        <v>0.375</v>
      </c>
      <c r="H210" s="135">
        <v>45906</v>
      </c>
      <c r="I210" s="152">
        <v>0.79166666666666696</v>
      </c>
      <c r="J210" s="115">
        <f t="shared" si="4"/>
        <v>39</v>
      </c>
      <c r="K210" s="115">
        <v>2</v>
      </c>
      <c r="L210" s="122">
        <v>21</v>
      </c>
      <c r="M210" s="132" t="s">
        <v>298</v>
      </c>
    </row>
    <row r="211" spans="1:13" ht="26.4" x14ac:dyDescent="0.25">
      <c r="A211" s="132" t="s">
        <v>297</v>
      </c>
      <c r="B211" s="122" t="s">
        <v>136</v>
      </c>
      <c r="C211" s="122" t="s">
        <v>34</v>
      </c>
      <c r="D211" s="115">
        <v>2</v>
      </c>
      <c r="E211" s="115">
        <v>60</v>
      </c>
      <c r="F211" s="135">
        <v>45909</v>
      </c>
      <c r="G211" s="152">
        <v>0.375</v>
      </c>
      <c r="H211" s="135">
        <v>45906</v>
      </c>
      <c r="I211" s="152">
        <v>0.83333333333333304</v>
      </c>
      <c r="J211" s="115">
        <f t="shared" si="4"/>
        <v>39</v>
      </c>
      <c r="K211" s="115">
        <v>2</v>
      </c>
      <c r="L211" s="122">
        <v>21</v>
      </c>
      <c r="M211" s="132" t="s">
        <v>298</v>
      </c>
    </row>
    <row r="212" spans="1:13" ht="39.6" x14ac:dyDescent="0.25">
      <c r="A212" s="132" t="s">
        <v>299</v>
      </c>
      <c r="B212" s="122" t="s">
        <v>30</v>
      </c>
      <c r="C212" s="122" t="s">
        <v>31</v>
      </c>
      <c r="D212" s="115">
        <v>1</v>
      </c>
      <c r="E212" s="115">
        <v>30</v>
      </c>
      <c r="F212" s="135">
        <v>45909</v>
      </c>
      <c r="G212" s="152">
        <v>0.375</v>
      </c>
      <c r="H212" s="135">
        <v>45907</v>
      </c>
      <c r="I212" s="152">
        <v>0.5</v>
      </c>
      <c r="J212" s="115">
        <f t="shared" si="4"/>
        <v>0</v>
      </c>
      <c r="K212" s="115">
        <v>2</v>
      </c>
      <c r="L212" s="122">
        <v>30</v>
      </c>
      <c r="M212" s="132" t="s">
        <v>300</v>
      </c>
    </row>
    <row r="213" spans="1:13" ht="39.6" x14ac:dyDescent="0.25">
      <c r="A213" s="115" t="s">
        <v>299</v>
      </c>
      <c r="B213" s="122" t="s">
        <v>39</v>
      </c>
      <c r="C213" s="122" t="s">
        <v>40</v>
      </c>
      <c r="D213" s="115">
        <v>1</v>
      </c>
      <c r="E213" s="115">
        <v>30</v>
      </c>
      <c r="F213" s="135">
        <v>45909</v>
      </c>
      <c r="G213" s="152">
        <v>0.375</v>
      </c>
      <c r="H213" s="135">
        <v>45907</v>
      </c>
      <c r="I213" s="152">
        <v>0.52083333333333337</v>
      </c>
      <c r="J213" s="115">
        <f t="shared" si="4"/>
        <v>0</v>
      </c>
      <c r="K213" s="115">
        <v>2</v>
      </c>
      <c r="L213" s="122">
        <v>30</v>
      </c>
      <c r="M213" s="132" t="s">
        <v>300</v>
      </c>
    </row>
    <row r="214" spans="1:13" ht="26.4" x14ac:dyDescent="0.25">
      <c r="A214" s="132" t="s">
        <v>301</v>
      </c>
      <c r="B214" s="122" t="s">
        <v>30</v>
      </c>
      <c r="C214" s="122" t="s">
        <v>31</v>
      </c>
      <c r="D214" s="115">
        <v>1</v>
      </c>
      <c r="E214" s="115">
        <v>30</v>
      </c>
      <c r="F214" s="135">
        <v>45909</v>
      </c>
      <c r="G214" s="152">
        <v>0.375</v>
      </c>
      <c r="H214" s="135">
        <v>45907</v>
      </c>
      <c r="I214" s="152">
        <v>0.54166666666666663</v>
      </c>
      <c r="J214" s="115">
        <f t="shared" si="4"/>
        <v>0</v>
      </c>
      <c r="K214" s="115">
        <v>2</v>
      </c>
      <c r="L214" s="122">
        <v>30</v>
      </c>
      <c r="M214" s="132" t="s">
        <v>302</v>
      </c>
    </row>
    <row r="215" spans="1:13" ht="26.4" x14ac:dyDescent="0.25">
      <c r="A215" s="132" t="s">
        <v>301</v>
      </c>
      <c r="B215" s="122" t="s">
        <v>39</v>
      </c>
      <c r="C215" s="122" t="s">
        <v>40</v>
      </c>
      <c r="D215" s="115">
        <v>1</v>
      </c>
      <c r="E215" s="115">
        <v>30</v>
      </c>
      <c r="F215" s="135">
        <v>45909</v>
      </c>
      <c r="G215" s="152">
        <v>0.375</v>
      </c>
      <c r="H215" s="135">
        <v>45907</v>
      </c>
      <c r="I215" s="152">
        <v>0.5625</v>
      </c>
      <c r="J215" s="115">
        <f t="shared" si="4"/>
        <v>0</v>
      </c>
      <c r="K215" s="115">
        <v>1</v>
      </c>
      <c r="L215" s="122">
        <v>30</v>
      </c>
      <c r="M215" s="132" t="s">
        <v>302</v>
      </c>
    </row>
    <row r="216" spans="1:13" ht="26.4" x14ac:dyDescent="0.25">
      <c r="A216" s="132" t="s">
        <v>303</v>
      </c>
      <c r="B216" s="122" t="s">
        <v>30</v>
      </c>
      <c r="C216" s="122" t="s">
        <v>31</v>
      </c>
      <c r="D216" s="115">
        <v>1</v>
      </c>
      <c r="E216" s="115">
        <v>30</v>
      </c>
      <c r="F216" s="135">
        <v>45909</v>
      </c>
      <c r="G216" s="152">
        <v>0.375</v>
      </c>
      <c r="H216" s="135">
        <v>45907</v>
      </c>
      <c r="I216" s="152">
        <v>0.58333333333333337</v>
      </c>
      <c r="J216" s="115">
        <f t="shared" si="4"/>
        <v>-5</v>
      </c>
      <c r="K216" s="115">
        <v>1</v>
      </c>
      <c r="L216" s="122">
        <v>35</v>
      </c>
      <c r="M216" s="132" t="s">
        <v>304</v>
      </c>
    </row>
    <row r="217" spans="1:13" ht="26.4" x14ac:dyDescent="0.25">
      <c r="A217" s="132" t="s">
        <v>303</v>
      </c>
      <c r="B217" s="122" t="s">
        <v>39</v>
      </c>
      <c r="C217" s="122" t="s">
        <v>40</v>
      </c>
      <c r="D217" s="115">
        <v>1</v>
      </c>
      <c r="E217" s="115">
        <v>30</v>
      </c>
      <c r="F217" s="135">
        <v>45909</v>
      </c>
      <c r="G217" s="152">
        <v>0.375</v>
      </c>
      <c r="H217" s="135">
        <v>45907</v>
      </c>
      <c r="I217" s="152">
        <v>0.60416666666666663</v>
      </c>
      <c r="J217" s="115">
        <f t="shared" si="4"/>
        <v>6</v>
      </c>
      <c r="K217" s="115">
        <v>1</v>
      </c>
      <c r="L217" s="122">
        <v>24</v>
      </c>
      <c r="M217" s="132" t="s">
        <v>304</v>
      </c>
    </row>
    <row r="218" spans="1:13" ht="26.4" x14ac:dyDescent="0.25">
      <c r="A218" s="132" t="s">
        <v>305</v>
      </c>
      <c r="B218" s="122" t="s">
        <v>30</v>
      </c>
      <c r="C218" s="122" t="s">
        <v>31</v>
      </c>
      <c r="D218" s="115">
        <v>2</v>
      </c>
      <c r="E218" s="115">
        <v>20</v>
      </c>
      <c r="F218" s="135">
        <v>45909</v>
      </c>
      <c r="G218" s="152">
        <v>0.375</v>
      </c>
      <c r="H218" s="135">
        <v>45907</v>
      </c>
      <c r="I218" s="152">
        <v>0.625</v>
      </c>
      <c r="J218" s="115">
        <f t="shared" si="4"/>
        <v>0</v>
      </c>
      <c r="K218" s="115">
        <v>1</v>
      </c>
      <c r="L218" s="122">
        <v>20</v>
      </c>
      <c r="M218" s="115" t="s">
        <v>306</v>
      </c>
    </row>
    <row r="219" spans="1:13" ht="26.4" x14ac:dyDescent="0.25">
      <c r="A219" s="132" t="s">
        <v>305</v>
      </c>
      <c r="B219" s="122" t="s">
        <v>39</v>
      </c>
      <c r="C219" s="122" t="s">
        <v>40</v>
      </c>
      <c r="D219" s="115">
        <v>2</v>
      </c>
      <c r="E219" s="115">
        <v>20</v>
      </c>
      <c r="F219" s="135">
        <v>45909</v>
      </c>
      <c r="G219" s="152">
        <v>0.375</v>
      </c>
      <c r="H219" s="135">
        <v>45907</v>
      </c>
      <c r="I219" s="152">
        <v>0.63888888888888884</v>
      </c>
      <c r="J219" s="115">
        <f t="shared" si="4"/>
        <v>0</v>
      </c>
      <c r="K219" s="115">
        <v>1</v>
      </c>
      <c r="L219" s="122">
        <v>20</v>
      </c>
      <c r="M219" s="117" t="s">
        <v>306</v>
      </c>
    </row>
    <row r="220" spans="1:13" ht="26.4" x14ac:dyDescent="0.25">
      <c r="A220" s="132" t="s">
        <v>308</v>
      </c>
      <c r="B220" s="122" t="s">
        <v>30</v>
      </c>
      <c r="C220" s="122" t="s">
        <v>31</v>
      </c>
      <c r="D220" s="115">
        <v>1</v>
      </c>
      <c r="E220" s="115">
        <v>20</v>
      </c>
      <c r="F220" s="135">
        <v>45909</v>
      </c>
      <c r="G220" s="152">
        <v>0.375</v>
      </c>
      <c r="H220" s="135">
        <v>45907</v>
      </c>
      <c r="I220" s="152">
        <v>0.65277777777777779</v>
      </c>
      <c r="J220" s="115">
        <f t="shared" si="4"/>
        <v>0</v>
      </c>
      <c r="K220" s="115">
        <v>1</v>
      </c>
      <c r="L220" s="122">
        <v>20</v>
      </c>
      <c r="M220" s="132" t="s">
        <v>307</v>
      </c>
    </row>
    <row r="221" spans="1:13" ht="26.4" x14ac:dyDescent="0.25">
      <c r="A221" s="132" t="s">
        <v>308</v>
      </c>
      <c r="B221" s="122" t="s">
        <v>39</v>
      </c>
      <c r="C221" s="122" t="s">
        <v>40</v>
      </c>
      <c r="D221" s="115">
        <v>1</v>
      </c>
      <c r="E221" s="115">
        <v>20</v>
      </c>
      <c r="F221" s="135">
        <v>45909</v>
      </c>
      <c r="G221" s="152">
        <v>0.375</v>
      </c>
      <c r="H221" s="135">
        <v>45907</v>
      </c>
      <c r="I221" s="152">
        <v>0.66666666666666663</v>
      </c>
      <c r="J221" s="115">
        <f t="shared" si="4"/>
        <v>-5</v>
      </c>
      <c r="K221" s="115">
        <v>1</v>
      </c>
      <c r="L221" s="122">
        <v>25</v>
      </c>
      <c r="M221" s="132" t="s">
        <v>307</v>
      </c>
    </row>
    <row r="222" spans="1:13" ht="26.4" x14ac:dyDescent="0.25">
      <c r="A222" s="132" t="s">
        <v>309</v>
      </c>
      <c r="B222" s="122" t="s">
        <v>30</v>
      </c>
      <c r="C222" s="122" t="s">
        <v>31</v>
      </c>
      <c r="D222" s="115">
        <v>1</v>
      </c>
      <c r="E222" s="115">
        <v>20</v>
      </c>
      <c r="F222" s="135">
        <v>45909</v>
      </c>
      <c r="G222" s="152">
        <v>0.375</v>
      </c>
      <c r="H222" s="135">
        <v>45907</v>
      </c>
      <c r="I222" s="152">
        <v>0.68055555555555558</v>
      </c>
      <c r="J222" s="115">
        <f t="shared" si="4"/>
        <v>-5</v>
      </c>
      <c r="K222" s="115">
        <v>1</v>
      </c>
      <c r="L222" s="122">
        <v>25</v>
      </c>
      <c r="M222" s="132" t="s">
        <v>310</v>
      </c>
    </row>
    <row r="223" spans="1:13" ht="26.4" x14ac:dyDescent="0.25">
      <c r="A223" s="132" t="s">
        <v>309</v>
      </c>
      <c r="B223" s="122" t="s">
        <v>39</v>
      </c>
      <c r="C223" s="122" t="s">
        <v>40</v>
      </c>
      <c r="D223" s="115">
        <v>1</v>
      </c>
      <c r="E223" s="115">
        <v>20</v>
      </c>
      <c r="F223" s="135">
        <v>45909</v>
      </c>
      <c r="G223" s="152">
        <v>0.375</v>
      </c>
      <c r="H223" s="135">
        <v>45907</v>
      </c>
      <c r="I223" s="152">
        <v>0.69444444444444442</v>
      </c>
      <c r="J223" s="115">
        <f t="shared" si="4"/>
        <v>5</v>
      </c>
      <c r="K223" s="115">
        <v>1</v>
      </c>
      <c r="L223" s="122">
        <v>15</v>
      </c>
      <c r="M223" s="132" t="s">
        <v>310</v>
      </c>
    </row>
    <row r="224" spans="1:13" ht="26.4" x14ac:dyDescent="0.25">
      <c r="A224" s="132" t="s">
        <v>311</v>
      </c>
      <c r="B224" s="122" t="s">
        <v>30</v>
      </c>
      <c r="C224" s="122" t="s">
        <v>31</v>
      </c>
      <c r="D224" s="115">
        <v>1</v>
      </c>
      <c r="E224" s="115">
        <v>20</v>
      </c>
      <c r="F224" s="135">
        <v>45909</v>
      </c>
      <c r="G224" s="152">
        <v>0.375</v>
      </c>
      <c r="H224" s="135">
        <v>45907</v>
      </c>
      <c r="I224" s="152">
        <v>0.70833333333333337</v>
      </c>
      <c r="J224" s="115">
        <f t="shared" si="4"/>
        <v>10</v>
      </c>
      <c r="K224" s="115">
        <v>1</v>
      </c>
      <c r="L224" s="122">
        <v>10</v>
      </c>
      <c r="M224" s="115" t="s">
        <v>312</v>
      </c>
    </row>
    <row r="225" spans="1:13" ht="26.4" x14ac:dyDescent="0.25">
      <c r="A225" s="132" t="s">
        <v>311</v>
      </c>
      <c r="B225" s="122" t="s">
        <v>39</v>
      </c>
      <c r="C225" s="122" t="s">
        <v>40</v>
      </c>
      <c r="D225" s="115">
        <v>1</v>
      </c>
      <c r="E225" s="115">
        <v>20</v>
      </c>
      <c r="F225" s="135">
        <v>45909</v>
      </c>
      <c r="G225" s="152" t="s">
        <v>306</v>
      </c>
      <c r="H225" s="135">
        <v>45907</v>
      </c>
      <c r="I225" s="152">
        <v>0.72222222222222221</v>
      </c>
      <c r="J225" s="115">
        <f t="shared" si="4"/>
        <v>10</v>
      </c>
      <c r="K225" s="115">
        <v>1</v>
      </c>
      <c r="L225" s="122">
        <v>10</v>
      </c>
      <c r="M225" s="115" t="s">
        <v>312</v>
      </c>
    </row>
    <row r="226" spans="1:13" ht="26.4" x14ac:dyDescent="0.25">
      <c r="A226" s="132" t="s">
        <v>313</v>
      </c>
      <c r="B226" s="122" t="s">
        <v>30</v>
      </c>
      <c r="C226" s="122" t="s">
        <v>31</v>
      </c>
      <c r="D226" s="115">
        <v>1</v>
      </c>
      <c r="E226" s="115">
        <v>20</v>
      </c>
      <c r="F226" s="135">
        <v>45909</v>
      </c>
      <c r="G226" s="152">
        <v>0.375</v>
      </c>
      <c r="H226" s="135">
        <v>45907</v>
      </c>
      <c r="I226" s="152">
        <v>0.73611111111111116</v>
      </c>
      <c r="J226" s="115">
        <f t="shared" si="4"/>
        <v>10</v>
      </c>
      <c r="K226" s="115">
        <v>1</v>
      </c>
      <c r="L226" s="122">
        <v>10</v>
      </c>
      <c r="M226" s="132" t="s">
        <v>314</v>
      </c>
    </row>
    <row r="227" spans="1:13" ht="26.4" x14ac:dyDescent="0.25">
      <c r="A227" s="132" t="s">
        <v>313</v>
      </c>
      <c r="B227" s="122" t="s">
        <v>39</v>
      </c>
      <c r="C227" s="122" t="s">
        <v>40</v>
      </c>
      <c r="D227" s="115">
        <v>1</v>
      </c>
      <c r="E227" s="115">
        <v>20</v>
      </c>
      <c r="F227" s="135">
        <v>45909</v>
      </c>
      <c r="G227" s="152">
        <v>0.375</v>
      </c>
      <c r="H227" s="135">
        <v>45907</v>
      </c>
      <c r="I227" s="152">
        <v>0.75</v>
      </c>
      <c r="J227" s="115">
        <f t="shared" si="4"/>
        <v>5</v>
      </c>
      <c r="K227" s="115">
        <v>1</v>
      </c>
      <c r="L227" s="122">
        <v>15</v>
      </c>
      <c r="M227" s="132" t="s">
        <v>314</v>
      </c>
    </row>
    <row r="228" spans="1:13" ht="26.4" x14ac:dyDescent="0.25">
      <c r="A228" s="132" t="s">
        <v>315</v>
      </c>
      <c r="B228" s="122" t="s">
        <v>30</v>
      </c>
      <c r="C228" s="122" t="s">
        <v>31</v>
      </c>
      <c r="D228" s="115">
        <v>1</v>
      </c>
      <c r="E228" s="115">
        <v>10</v>
      </c>
      <c r="F228" s="135">
        <v>45909</v>
      </c>
      <c r="G228" s="152">
        <v>0.375</v>
      </c>
      <c r="H228" s="135">
        <v>45907</v>
      </c>
      <c r="I228" s="152">
        <v>0.75694444444444442</v>
      </c>
      <c r="J228" s="115">
        <f t="shared" si="4"/>
        <v>0</v>
      </c>
      <c r="K228" s="115">
        <v>1</v>
      </c>
      <c r="L228" s="122">
        <v>10</v>
      </c>
      <c r="M228" s="132" t="s">
        <v>316</v>
      </c>
    </row>
    <row r="229" spans="1:13" ht="26.4" x14ac:dyDescent="0.25">
      <c r="A229" s="132" t="s">
        <v>315</v>
      </c>
      <c r="B229" s="122" t="s">
        <v>39</v>
      </c>
      <c r="C229" s="122" t="s">
        <v>40</v>
      </c>
      <c r="D229" s="115">
        <v>1</v>
      </c>
      <c r="E229" s="115">
        <v>10</v>
      </c>
      <c r="F229" s="135">
        <v>45909</v>
      </c>
      <c r="G229" s="152">
        <v>0.375</v>
      </c>
      <c r="H229" s="135">
        <v>45907</v>
      </c>
      <c r="I229" s="152">
        <v>0.76388888888888884</v>
      </c>
      <c r="J229" s="115">
        <f t="shared" si="4"/>
        <v>0</v>
      </c>
      <c r="K229" s="115">
        <v>1</v>
      </c>
      <c r="L229" s="122">
        <v>10</v>
      </c>
      <c r="M229" s="132" t="s">
        <v>316</v>
      </c>
    </row>
    <row r="230" spans="1:13" ht="26.4" x14ac:dyDescent="0.25">
      <c r="A230" s="125" t="s">
        <v>471</v>
      </c>
      <c r="B230" s="122" t="s">
        <v>36</v>
      </c>
      <c r="C230" s="122" t="s">
        <v>37</v>
      </c>
      <c r="D230" s="115">
        <v>1</v>
      </c>
      <c r="E230" s="115">
        <v>30</v>
      </c>
      <c r="F230" s="135">
        <v>45909</v>
      </c>
      <c r="G230" s="152">
        <v>0.375</v>
      </c>
      <c r="H230" s="135">
        <v>45930</v>
      </c>
      <c r="I230" s="152">
        <v>0.79166666666666663</v>
      </c>
      <c r="J230" s="153">
        <f t="shared" si="4"/>
        <v>0</v>
      </c>
      <c r="K230" s="115">
        <v>3</v>
      </c>
      <c r="L230" s="122">
        <v>30</v>
      </c>
      <c r="M230" s="132" t="s">
        <v>472</v>
      </c>
    </row>
    <row r="231" spans="1:13" ht="26.4" x14ac:dyDescent="0.25">
      <c r="A231" s="133" t="s">
        <v>123</v>
      </c>
      <c r="B231" s="114" t="s">
        <v>36</v>
      </c>
      <c r="C231" s="114" t="s">
        <v>37</v>
      </c>
      <c r="D231" s="132">
        <v>1</v>
      </c>
      <c r="E231" s="132">
        <v>20</v>
      </c>
      <c r="F231" s="60">
        <v>45909</v>
      </c>
      <c r="G231" s="164">
        <v>0.375</v>
      </c>
      <c r="H231" s="60">
        <v>45907</v>
      </c>
      <c r="I231" s="164">
        <v>0.80555555555555558</v>
      </c>
      <c r="J231" s="153">
        <f t="shared" ref="J231:J253" si="5">E231-L231</f>
        <v>0</v>
      </c>
      <c r="K231" s="115">
        <v>1</v>
      </c>
      <c r="L231" s="149">
        <v>20</v>
      </c>
      <c r="M231" s="165" t="s">
        <v>124</v>
      </c>
    </row>
    <row r="232" spans="1:13" ht="26.4" x14ac:dyDescent="0.25">
      <c r="A232" s="125" t="s">
        <v>123</v>
      </c>
      <c r="B232" s="114" t="s">
        <v>143</v>
      </c>
      <c r="C232" s="114" t="s">
        <v>43</v>
      </c>
      <c r="D232" s="132">
        <v>1</v>
      </c>
      <c r="E232" s="132">
        <v>20</v>
      </c>
      <c r="F232" s="60">
        <v>45909</v>
      </c>
      <c r="G232" s="164">
        <v>0.375</v>
      </c>
      <c r="H232" s="60">
        <v>45907</v>
      </c>
      <c r="I232" s="164">
        <v>0.80555555555555558</v>
      </c>
      <c r="J232" s="153">
        <f t="shared" si="5"/>
        <v>0</v>
      </c>
      <c r="K232" s="115">
        <v>1</v>
      </c>
      <c r="L232" s="149">
        <v>20</v>
      </c>
      <c r="M232" s="165" t="s">
        <v>124</v>
      </c>
    </row>
    <row r="233" spans="1:13" ht="26.4" x14ac:dyDescent="0.25">
      <c r="A233" s="97" t="s">
        <v>175</v>
      </c>
      <c r="B233" s="120" t="s">
        <v>36</v>
      </c>
      <c r="C233" s="120" t="s">
        <v>37</v>
      </c>
      <c r="D233" s="115">
        <v>1</v>
      </c>
      <c r="E233" s="115">
        <v>30</v>
      </c>
      <c r="F233" s="97">
        <v>45909</v>
      </c>
      <c r="G233" s="164">
        <v>0.375</v>
      </c>
      <c r="H233" s="97">
        <v>45907</v>
      </c>
      <c r="I233" s="156">
        <v>0.83333333333333337</v>
      </c>
      <c r="J233" s="115">
        <f t="shared" si="5"/>
        <v>6</v>
      </c>
      <c r="K233" s="148">
        <v>1</v>
      </c>
      <c r="L233" s="159">
        <v>24</v>
      </c>
      <c r="M233" s="162" t="s">
        <v>176</v>
      </c>
    </row>
    <row r="234" spans="1:13" ht="26.4" x14ac:dyDescent="0.25">
      <c r="A234" s="97" t="s">
        <v>177</v>
      </c>
      <c r="B234" s="120" t="s">
        <v>39</v>
      </c>
      <c r="C234" s="120" t="s">
        <v>40</v>
      </c>
      <c r="D234" s="115">
        <v>1</v>
      </c>
      <c r="E234" s="115">
        <v>30</v>
      </c>
      <c r="F234" s="97">
        <v>45909</v>
      </c>
      <c r="G234" s="164">
        <v>0.375</v>
      </c>
      <c r="H234" s="97">
        <v>45907</v>
      </c>
      <c r="I234" s="156">
        <v>0.83333333333333337</v>
      </c>
      <c r="J234" s="115">
        <f t="shared" si="5"/>
        <v>0</v>
      </c>
      <c r="K234" s="148">
        <v>1</v>
      </c>
      <c r="L234" s="159">
        <v>30</v>
      </c>
      <c r="M234" s="162" t="s">
        <v>178</v>
      </c>
    </row>
    <row r="235" spans="1:13" ht="39.6" x14ac:dyDescent="0.25">
      <c r="A235" s="60" t="s">
        <v>179</v>
      </c>
      <c r="B235" s="120" t="s">
        <v>39</v>
      </c>
      <c r="C235" s="120" t="s">
        <v>40</v>
      </c>
      <c r="D235" s="115">
        <v>5</v>
      </c>
      <c r="E235" s="115">
        <v>50</v>
      </c>
      <c r="F235" s="97">
        <v>45909</v>
      </c>
      <c r="G235" s="164">
        <v>0.375</v>
      </c>
      <c r="H235" s="97">
        <v>45907</v>
      </c>
      <c r="I235" s="156">
        <v>0.86805555555555558</v>
      </c>
      <c r="J235" s="115">
        <f t="shared" si="5"/>
        <v>5</v>
      </c>
      <c r="K235" s="148">
        <v>5</v>
      </c>
      <c r="L235" s="159">
        <v>45</v>
      </c>
      <c r="M235" s="162" t="s">
        <v>180</v>
      </c>
    </row>
    <row r="236" spans="1:13" ht="39.6" x14ac:dyDescent="0.25">
      <c r="A236" s="124" t="s">
        <v>146</v>
      </c>
      <c r="B236" s="114" t="s">
        <v>30</v>
      </c>
      <c r="C236" s="114" t="s">
        <v>31</v>
      </c>
      <c r="D236" s="163">
        <v>1</v>
      </c>
      <c r="E236" s="132">
        <v>60</v>
      </c>
      <c r="F236" s="60">
        <v>45909</v>
      </c>
      <c r="G236" s="164">
        <v>0.375</v>
      </c>
      <c r="H236" s="60">
        <v>45907</v>
      </c>
      <c r="I236" s="164">
        <v>0.91666666666666663</v>
      </c>
      <c r="J236" s="153">
        <f t="shared" si="5"/>
        <v>50</v>
      </c>
      <c r="K236" s="115">
        <v>1</v>
      </c>
      <c r="L236" s="149">
        <v>10</v>
      </c>
      <c r="M236" s="162" t="s">
        <v>149</v>
      </c>
    </row>
    <row r="237" spans="1:13" ht="39.6" x14ac:dyDescent="0.25">
      <c r="A237" s="124" t="s">
        <v>146</v>
      </c>
      <c r="B237" s="114" t="s">
        <v>42</v>
      </c>
      <c r="C237" s="114" t="s">
        <v>43</v>
      </c>
      <c r="D237" s="163">
        <v>1</v>
      </c>
      <c r="E237" s="132">
        <v>60</v>
      </c>
      <c r="F237" s="60">
        <v>45909</v>
      </c>
      <c r="G237" s="164">
        <v>0.375</v>
      </c>
      <c r="H237" s="60">
        <v>45907</v>
      </c>
      <c r="I237" s="164">
        <v>0.91666666666666663</v>
      </c>
      <c r="J237" s="153">
        <f t="shared" si="5"/>
        <v>50</v>
      </c>
      <c r="K237" s="115">
        <v>1</v>
      </c>
      <c r="L237" s="149">
        <v>10</v>
      </c>
      <c r="M237" s="162" t="s">
        <v>149</v>
      </c>
    </row>
    <row r="238" spans="1:13" ht="39.6" x14ac:dyDescent="0.25">
      <c r="A238" s="124" t="s">
        <v>146</v>
      </c>
      <c r="B238" s="114" t="s">
        <v>21</v>
      </c>
      <c r="C238" s="114" t="s">
        <v>22</v>
      </c>
      <c r="D238" s="163">
        <v>1</v>
      </c>
      <c r="E238" s="132">
        <v>60</v>
      </c>
      <c r="F238" s="60">
        <v>45909</v>
      </c>
      <c r="G238" s="164">
        <v>0.375</v>
      </c>
      <c r="H238" s="60">
        <v>45907</v>
      </c>
      <c r="I238" s="164">
        <v>0.91666666666666663</v>
      </c>
      <c r="J238" s="153">
        <f t="shared" si="5"/>
        <v>50</v>
      </c>
      <c r="K238" s="115">
        <v>1</v>
      </c>
      <c r="L238" s="149">
        <v>10</v>
      </c>
      <c r="M238" s="162" t="s">
        <v>149</v>
      </c>
    </row>
    <row r="239" spans="1:13" ht="39.6" x14ac:dyDescent="0.25">
      <c r="A239" s="124" t="s">
        <v>146</v>
      </c>
      <c r="B239" s="114" t="s">
        <v>136</v>
      </c>
      <c r="C239" s="114" t="s">
        <v>34</v>
      </c>
      <c r="D239" s="163">
        <v>1</v>
      </c>
      <c r="E239" s="132">
        <v>60</v>
      </c>
      <c r="F239" s="60">
        <v>45909</v>
      </c>
      <c r="G239" s="164">
        <v>0.375</v>
      </c>
      <c r="H239" s="60">
        <v>45907</v>
      </c>
      <c r="I239" s="164">
        <v>0.91666666666666663</v>
      </c>
      <c r="J239" s="153">
        <f t="shared" si="5"/>
        <v>50</v>
      </c>
      <c r="K239" s="115">
        <v>1</v>
      </c>
      <c r="L239" s="149">
        <v>10</v>
      </c>
      <c r="M239" s="162" t="s">
        <v>149</v>
      </c>
    </row>
    <row r="240" spans="1:13" ht="39.6" x14ac:dyDescent="0.25">
      <c r="A240" s="124" t="s">
        <v>146</v>
      </c>
      <c r="B240" s="114" t="s">
        <v>36</v>
      </c>
      <c r="C240" s="114" t="s">
        <v>37</v>
      </c>
      <c r="D240" s="163">
        <v>1</v>
      </c>
      <c r="E240" s="132">
        <v>60</v>
      </c>
      <c r="F240" s="60">
        <v>45909</v>
      </c>
      <c r="G240" s="164">
        <v>0.375</v>
      </c>
      <c r="H240" s="60">
        <v>45907</v>
      </c>
      <c r="I240" s="164">
        <v>0.91666666666666663</v>
      </c>
      <c r="J240" s="153">
        <f t="shared" si="5"/>
        <v>50</v>
      </c>
      <c r="K240" s="115">
        <v>1</v>
      </c>
      <c r="L240" s="149">
        <v>10</v>
      </c>
      <c r="M240" s="162" t="s">
        <v>149</v>
      </c>
    </row>
    <row r="241" spans="1:14" ht="39.6" x14ac:dyDescent="0.25">
      <c r="A241" s="124" t="s">
        <v>146</v>
      </c>
      <c r="B241" s="114" t="s">
        <v>39</v>
      </c>
      <c r="C241" s="114" t="s">
        <v>40</v>
      </c>
      <c r="D241" s="163">
        <v>1</v>
      </c>
      <c r="E241" s="132">
        <v>60</v>
      </c>
      <c r="F241" s="60">
        <v>45909</v>
      </c>
      <c r="G241" s="164">
        <v>0.375</v>
      </c>
      <c r="H241" s="60">
        <v>45907</v>
      </c>
      <c r="I241" s="164">
        <v>0.91666666666666663</v>
      </c>
      <c r="J241" s="153">
        <f t="shared" si="5"/>
        <v>50</v>
      </c>
      <c r="K241" s="115">
        <v>1</v>
      </c>
      <c r="L241" s="149">
        <v>10</v>
      </c>
      <c r="M241" s="162" t="s">
        <v>149</v>
      </c>
    </row>
    <row r="242" spans="1:14" ht="26.4" x14ac:dyDescent="0.25">
      <c r="A242" s="124" t="s">
        <v>52</v>
      </c>
      <c r="B242" s="114" t="s">
        <v>21</v>
      </c>
      <c r="C242" s="114" t="s">
        <v>22</v>
      </c>
      <c r="D242" s="163">
        <v>1</v>
      </c>
      <c r="E242" s="132">
        <v>30</v>
      </c>
      <c r="F242" s="60">
        <v>45909</v>
      </c>
      <c r="G242" s="164">
        <v>0.375</v>
      </c>
      <c r="H242" s="60">
        <v>45907</v>
      </c>
      <c r="I242" s="164">
        <v>0.91666666666666663</v>
      </c>
      <c r="J242" s="153">
        <f t="shared" si="5"/>
        <v>0</v>
      </c>
      <c r="K242" s="115">
        <v>1</v>
      </c>
      <c r="L242" s="149">
        <v>30</v>
      </c>
      <c r="M242" s="162" t="s">
        <v>53</v>
      </c>
    </row>
    <row r="243" spans="1:14" ht="26.4" x14ac:dyDescent="0.25">
      <c r="A243" s="124" t="s">
        <v>153</v>
      </c>
      <c r="B243" s="114" t="s">
        <v>36</v>
      </c>
      <c r="C243" s="114" t="s">
        <v>37</v>
      </c>
      <c r="D243" s="163">
        <v>1</v>
      </c>
      <c r="E243" s="117">
        <v>30</v>
      </c>
      <c r="F243" s="60">
        <v>45909</v>
      </c>
      <c r="G243" s="164">
        <v>0.375</v>
      </c>
      <c r="H243" s="60">
        <v>45907</v>
      </c>
      <c r="I243" s="164">
        <v>0.91666666666666663</v>
      </c>
      <c r="J243" s="153">
        <f t="shared" si="5"/>
        <v>0</v>
      </c>
      <c r="K243" s="115">
        <v>1</v>
      </c>
      <c r="L243" s="149">
        <v>30</v>
      </c>
      <c r="M243" s="162" t="s">
        <v>53</v>
      </c>
    </row>
    <row r="244" spans="1:14" ht="26.4" x14ac:dyDescent="0.25">
      <c r="A244" s="124" t="s">
        <v>79</v>
      </c>
      <c r="B244" s="114" t="s">
        <v>36</v>
      </c>
      <c r="C244" s="114" t="s">
        <v>37</v>
      </c>
      <c r="D244" s="163">
        <v>1</v>
      </c>
      <c r="E244" s="132">
        <v>45</v>
      </c>
      <c r="F244" s="60">
        <v>45909</v>
      </c>
      <c r="G244" s="164">
        <v>0.375</v>
      </c>
      <c r="H244" s="60">
        <v>45907</v>
      </c>
      <c r="I244" s="164">
        <v>0.9375</v>
      </c>
      <c r="J244" s="153">
        <f t="shared" si="5"/>
        <v>-35</v>
      </c>
      <c r="K244" s="115">
        <v>1</v>
      </c>
      <c r="L244" s="149">
        <v>80</v>
      </c>
      <c r="M244" s="162" t="s">
        <v>81</v>
      </c>
    </row>
    <row r="245" spans="1:14" ht="26.4" x14ac:dyDescent="0.25">
      <c r="A245" s="124" t="s">
        <v>85</v>
      </c>
      <c r="B245" s="114" t="s">
        <v>21</v>
      </c>
      <c r="C245" s="114" t="s">
        <v>22</v>
      </c>
      <c r="D245" s="163">
        <v>1</v>
      </c>
      <c r="E245" s="132">
        <v>60</v>
      </c>
      <c r="F245" s="60">
        <v>45909</v>
      </c>
      <c r="G245" s="164">
        <v>0.375</v>
      </c>
      <c r="H245" s="60">
        <v>45907</v>
      </c>
      <c r="I245" s="164">
        <v>0.9375</v>
      </c>
      <c r="J245" s="153">
        <f t="shared" si="5"/>
        <v>10</v>
      </c>
      <c r="K245" s="115">
        <v>1</v>
      </c>
      <c r="L245" s="149">
        <v>50</v>
      </c>
      <c r="M245" s="162" t="s">
        <v>87</v>
      </c>
    </row>
    <row r="246" spans="1:14" x14ac:dyDescent="0.25">
      <c r="A246" s="124" t="s">
        <v>88</v>
      </c>
      <c r="B246" s="114" t="s">
        <v>21</v>
      </c>
      <c r="C246" s="114" t="s">
        <v>22</v>
      </c>
      <c r="D246" s="163">
        <v>1</v>
      </c>
      <c r="E246" s="132">
        <v>55</v>
      </c>
      <c r="F246" s="60">
        <v>45909</v>
      </c>
      <c r="G246" s="164">
        <v>0.375</v>
      </c>
      <c r="H246" s="60">
        <v>45907</v>
      </c>
      <c r="I246" s="164">
        <v>0.9375</v>
      </c>
      <c r="J246" s="153">
        <f t="shared" si="5"/>
        <v>0</v>
      </c>
      <c r="K246" s="115">
        <v>1</v>
      </c>
      <c r="L246" s="149">
        <v>55</v>
      </c>
      <c r="M246" s="162" t="s">
        <v>89</v>
      </c>
    </row>
    <row r="247" spans="1:14" ht="26.4" x14ac:dyDescent="0.25">
      <c r="A247" s="128" t="s">
        <v>131</v>
      </c>
      <c r="B247" s="114" t="s">
        <v>36</v>
      </c>
      <c r="C247" s="114" t="s">
        <v>37</v>
      </c>
      <c r="D247" s="132">
        <v>1</v>
      </c>
      <c r="E247" s="132">
        <v>30</v>
      </c>
      <c r="F247" s="60">
        <v>45909</v>
      </c>
      <c r="G247" s="164">
        <v>0.375</v>
      </c>
      <c r="H247" s="60">
        <v>45907</v>
      </c>
      <c r="I247" s="164">
        <v>0.9375</v>
      </c>
      <c r="J247" s="153">
        <f t="shared" si="5"/>
        <v>-2</v>
      </c>
      <c r="K247" s="115">
        <v>1</v>
      </c>
      <c r="L247" s="149">
        <v>32</v>
      </c>
      <c r="M247" s="162" t="s">
        <v>132</v>
      </c>
    </row>
    <row r="248" spans="1:14" ht="26.4" x14ac:dyDescent="0.25">
      <c r="A248" s="128" t="s">
        <v>131</v>
      </c>
      <c r="B248" s="114" t="s">
        <v>42</v>
      </c>
      <c r="C248" s="114" t="s">
        <v>43</v>
      </c>
      <c r="D248" s="132">
        <v>1</v>
      </c>
      <c r="E248" s="132">
        <v>30</v>
      </c>
      <c r="F248" s="60">
        <v>45909</v>
      </c>
      <c r="G248" s="164">
        <v>0.375</v>
      </c>
      <c r="H248" s="60">
        <v>45907</v>
      </c>
      <c r="I248" s="164">
        <v>0.9375</v>
      </c>
      <c r="J248" s="153">
        <f t="shared" si="5"/>
        <v>-2</v>
      </c>
      <c r="K248" s="115">
        <v>1</v>
      </c>
      <c r="L248" s="149">
        <v>32</v>
      </c>
      <c r="M248" s="162" t="s">
        <v>132</v>
      </c>
    </row>
    <row r="249" spans="1:14" ht="26.4" x14ac:dyDescent="0.25">
      <c r="A249" s="128" t="s">
        <v>131</v>
      </c>
      <c r="B249" s="114" t="s">
        <v>30</v>
      </c>
      <c r="C249" s="114" t="s">
        <v>31</v>
      </c>
      <c r="D249" s="132">
        <v>1</v>
      </c>
      <c r="E249" s="132">
        <v>30</v>
      </c>
      <c r="F249" s="60">
        <v>45909</v>
      </c>
      <c r="G249" s="164">
        <v>0.375</v>
      </c>
      <c r="H249" s="60">
        <v>45907</v>
      </c>
      <c r="I249" s="164">
        <v>0.9375</v>
      </c>
      <c r="J249" s="153">
        <f t="shared" si="5"/>
        <v>-2</v>
      </c>
      <c r="K249" s="115">
        <v>1</v>
      </c>
      <c r="L249" s="149">
        <v>32</v>
      </c>
      <c r="M249" s="162" t="s">
        <v>132</v>
      </c>
    </row>
    <row r="250" spans="1:14" ht="26.4" x14ac:dyDescent="0.25">
      <c r="A250" s="128" t="s">
        <v>131</v>
      </c>
      <c r="B250" s="114" t="s">
        <v>21</v>
      </c>
      <c r="C250" s="114" t="s">
        <v>22</v>
      </c>
      <c r="D250" s="132">
        <v>1</v>
      </c>
      <c r="E250" s="132">
        <v>30</v>
      </c>
      <c r="F250" s="60">
        <v>45909</v>
      </c>
      <c r="G250" s="164">
        <v>0.375</v>
      </c>
      <c r="H250" s="60">
        <v>45907</v>
      </c>
      <c r="I250" s="164">
        <v>0.9375</v>
      </c>
      <c r="J250" s="153">
        <f t="shared" si="5"/>
        <v>-2</v>
      </c>
      <c r="K250" s="115">
        <v>1</v>
      </c>
      <c r="L250" s="149">
        <v>32</v>
      </c>
      <c r="M250" s="162" t="s">
        <v>132</v>
      </c>
    </row>
    <row r="251" spans="1:14" ht="26.4" x14ac:dyDescent="0.25">
      <c r="A251" s="128" t="s">
        <v>131</v>
      </c>
      <c r="B251" s="114" t="s">
        <v>136</v>
      </c>
      <c r="C251" s="114" t="s">
        <v>34</v>
      </c>
      <c r="D251" s="132">
        <v>1</v>
      </c>
      <c r="E251" s="132">
        <v>30</v>
      </c>
      <c r="F251" s="60">
        <v>45909</v>
      </c>
      <c r="G251" s="164">
        <v>0.375</v>
      </c>
      <c r="H251" s="60">
        <v>45907</v>
      </c>
      <c r="I251" s="164">
        <v>0.9375</v>
      </c>
      <c r="J251" s="153">
        <f t="shared" si="5"/>
        <v>-2</v>
      </c>
      <c r="K251" s="115">
        <v>1</v>
      </c>
      <c r="L251" s="149">
        <v>32</v>
      </c>
      <c r="M251" s="162" t="s">
        <v>132</v>
      </c>
    </row>
    <row r="252" spans="1:14" ht="26.4" x14ac:dyDescent="0.25">
      <c r="A252" s="128" t="s">
        <v>131</v>
      </c>
      <c r="B252" s="114" t="s">
        <v>39</v>
      </c>
      <c r="C252" s="114" t="s">
        <v>40</v>
      </c>
      <c r="D252" s="132">
        <v>1</v>
      </c>
      <c r="E252" s="132">
        <v>30</v>
      </c>
      <c r="F252" s="60">
        <v>45909</v>
      </c>
      <c r="G252" s="164">
        <v>0.375</v>
      </c>
      <c r="H252" s="60">
        <v>45907</v>
      </c>
      <c r="I252" s="164">
        <v>0.9375</v>
      </c>
      <c r="J252" s="153">
        <f t="shared" si="5"/>
        <v>-2</v>
      </c>
      <c r="K252" s="115">
        <v>1</v>
      </c>
      <c r="L252" s="149">
        <v>32</v>
      </c>
      <c r="M252" s="162" t="s">
        <v>132</v>
      </c>
    </row>
    <row r="253" spans="1:14" ht="26.4" x14ac:dyDescent="0.25">
      <c r="A253" s="128" t="s">
        <v>133</v>
      </c>
      <c r="B253" s="114" t="s">
        <v>21</v>
      </c>
      <c r="C253" s="114" t="s">
        <v>22</v>
      </c>
      <c r="D253" s="132">
        <v>3</v>
      </c>
      <c r="E253" s="132">
        <v>20</v>
      </c>
      <c r="F253" s="60">
        <v>45909</v>
      </c>
      <c r="G253" s="164">
        <v>0.375</v>
      </c>
      <c r="H253" s="60">
        <v>45908</v>
      </c>
      <c r="I253" s="164">
        <v>0.375</v>
      </c>
      <c r="J253" s="153">
        <f t="shared" si="5"/>
        <v>5</v>
      </c>
      <c r="K253" s="115">
        <v>3</v>
      </c>
      <c r="L253" s="149">
        <v>15</v>
      </c>
      <c r="M253" s="162" t="s">
        <v>134</v>
      </c>
    </row>
    <row r="254" spans="1:14" ht="26.4" x14ac:dyDescent="0.25">
      <c r="A254" s="124" t="s">
        <v>318</v>
      </c>
      <c r="B254" s="114" t="s">
        <v>36</v>
      </c>
      <c r="C254" s="114" t="s">
        <v>37</v>
      </c>
      <c r="D254" s="163">
        <v>1</v>
      </c>
      <c r="E254" s="132">
        <v>30</v>
      </c>
      <c r="F254" s="60">
        <v>45917</v>
      </c>
      <c r="G254" s="164">
        <v>0.375</v>
      </c>
      <c r="H254" s="60">
        <v>45915</v>
      </c>
      <c r="I254" s="164">
        <v>0.79166666666666663</v>
      </c>
      <c r="J254" s="153">
        <f>E254-L254</f>
        <v>0</v>
      </c>
      <c r="K254" s="115">
        <v>1</v>
      </c>
      <c r="L254" s="149">
        <v>30</v>
      </c>
      <c r="M254" s="162" t="s">
        <v>75</v>
      </c>
      <c r="N254" s="117" t="s">
        <v>591</v>
      </c>
    </row>
    <row r="255" spans="1:14" ht="39.6" x14ac:dyDescent="0.25">
      <c r="A255" s="124" t="s">
        <v>216</v>
      </c>
      <c r="B255" s="114" t="s">
        <v>30</v>
      </c>
      <c r="C255" s="114" t="s">
        <v>37</v>
      </c>
      <c r="D255" s="163">
        <v>1</v>
      </c>
      <c r="E255" s="132">
        <v>30</v>
      </c>
      <c r="F255" s="60">
        <v>45917</v>
      </c>
      <c r="G255" s="164">
        <v>0.375</v>
      </c>
      <c r="H255" s="60">
        <v>45915</v>
      </c>
      <c r="I255" s="164">
        <v>0.79166666666666663</v>
      </c>
      <c r="J255" s="153">
        <f>E255-L255</f>
        <v>0</v>
      </c>
      <c r="K255" s="115">
        <v>1</v>
      </c>
      <c r="L255" s="149">
        <v>30</v>
      </c>
      <c r="M255" s="162" t="s">
        <v>355</v>
      </c>
    </row>
    <row r="256" spans="1:14" ht="26.4" x14ac:dyDescent="0.25">
      <c r="A256" s="132" t="s">
        <v>322</v>
      </c>
      <c r="B256" s="122" t="s">
        <v>21</v>
      </c>
      <c r="C256" s="122" t="s">
        <v>22</v>
      </c>
      <c r="D256" s="115">
        <v>1</v>
      </c>
      <c r="E256" s="115">
        <v>30</v>
      </c>
      <c r="F256" s="135">
        <v>45917</v>
      </c>
      <c r="G256" s="152">
        <v>0.375</v>
      </c>
      <c r="H256" s="135">
        <v>45916</v>
      </c>
      <c r="I256" s="152">
        <v>0.54166666666666663</v>
      </c>
      <c r="J256" s="153">
        <f>E256-L256</f>
        <v>0</v>
      </c>
      <c r="K256" s="115">
        <v>1</v>
      </c>
      <c r="L256" s="122">
        <v>30</v>
      </c>
      <c r="M256" s="132" t="s">
        <v>323</v>
      </c>
    </row>
    <row r="257" spans="1:13" ht="26.4" x14ac:dyDescent="0.25">
      <c r="A257" s="132" t="s">
        <v>324</v>
      </c>
      <c r="B257" s="122" t="s">
        <v>30</v>
      </c>
      <c r="C257" s="122" t="s">
        <v>31</v>
      </c>
      <c r="D257" s="115">
        <v>2</v>
      </c>
      <c r="E257" s="115">
        <v>30</v>
      </c>
      <c r="F257" s="135">
        <v>45917</v>
      </c>
      <c r="G257" s="152">
        <v>0.375</v>
      </c>
      <c r="H257" s="135">
        <v>45916</v>
      </c>
      <c r="I257" s="152">
        <v>0.54166666666666663</v>
      </c>
      <c r="J257" s="153">
        <f t="shared" ref="J257:J302" si="6">E257-L257</f>
        <v>2</v>
      </c>
      <c r="K257" s="115">
        <v>2</v>
      </c>
      <c r="L257" s="122">
        <v>28</v>
      </c>
      <c r="M257" s="132" t="s">
        <v>325</v>
      </c>
    </row>
    <row r="258" spans="1:13" ht="26.4" x14ac:dyDescent="0.25">
      <c r="A258" s="115" t="s">
        <v>326</v>
      </c>
      <c r="B258" s="122" t="s">
        <v>30</v>
      </c>
      <c r="C258" s="122" t="s">
        <v>31</v>
      </c>
      <c r="D258" s="115">
        <v>1</v>
      </c>
      <c r="E258" s="115">
        <v>30</v>
      </c>
      <c r="F258" s="135">
        <v>45917</v>
      </c>
      <c r="G258" s="152">
        <v>0.375</v>
      </c>
      <c r="H258" s="135">
        <v>45916</v>
      </c>
      <c r="I258" s="152">
        <v>0.5625</v>
      </c>
      <c r="J258" s="153">
        <f t="shared" si="6"/>
        <v>0</v>
      </c>
      <c r="K258" s="115">
        <v>2</v>
      </c>
      <c r="L258" s="122">
        <v>30</v>
      </c>
      <c r="M258" s="132" t="s">
        <v>331</v>
      </c>
    </row>
    <row r="259" spans="1:13" ht="26.4" x14ac:dyDescent="0.25">
      <c r="A259" s="132" t="s">
        <v>327</v>
      </c>
      <c r="B259" s="122" t="s">
        <v>136</v>
      </c>
      <c r="C259" s="122" t="s">
        <v>34</v>
      </c>
      <c r="D259" s="115">
        <v>2</v>
      </c>
      <c r="E259" s="115">
        <v>30</v>
      </c>
      <c r="F259" s="135">
        <v>45917</v>
      </c>
      <c r="G259" s="152">
        <v>0.375</v>
      </c>
      <c r="H259" s="135">
        <v>45916</v>
      </c>
      <c r="I259" s="152">
        <v>0.54166666666666663</v>
      </c>
      <c r="J259" s="153">
        <f t="shared" si="6"/>
        <v>0</v>
      </c>
      <c r="K259" s="115">
        <v>2</v>
      </c>
      <c r="L259" s="122">
        <v>30</v>
      </c>
      <c r="M259" s="132" t="s">
        <v>330</v>
      </c>
    </row>
    <row r="260" spans="1:13" ht="26.4" x14ac:dyDescent="0.25">
      <c r="A260" s="115" t="s">
        <v>328</v>
      </c>
      <c r="B260" s="122" t="s">
        <v>136</v>
      </c>
      <c r="C260" s="122" t="s">
        <v>34</v>
      </c>
      <c r="D260" s="115">
        <v>2</v>
      </c>
      <c r="E260" s="115">
        <v>30</v>
      </c>
      <c r="F260" s="135">
        <v>45917</v>
      </c>
      <c r="G260" s="152">
        <v>0.375</v>
      </c>
      <c r="H260" s="135">
        <v>45916</v>
      </c>
      <c r="I260" s="152">
        <v>0.5625</v>
      </c>
      <c r="J260" s="153">
        <f t="shared" si="6"/>
        <v>7</v>
      </c>
      <c r="K260" s="115">
        <v>1</v>
      </c>
      <c r="L260" s="122">
        <v>23</v>
      </c>
      <c r="M260" s="132" t="s">
        <v>329</v>
      </c>
    </row>
    <row r="261" spans="1:13" ht="26.4" x14ac:dyDescent="0.25">
      <c r="A261" s="132" t="s">
        <v>332</v>
      </c>
      <c r="B261" s="122" t="s">
        <v>136</v>
      </c>
      <c r="C261" s="122" t="s">
        <v>34</v>
      </c>
      <c r="D261" s="115">
        <v>1</v>
      </c>
      <c r="E261" s="115">
        <v>30</v>
      </c>
      <c r="F261" s="135">
        <v>45917</v>
      </c>
      <c r="G261" s="152">
        <v>0.375</v>
      </c>
      <c r="H261" s="135">
        <v>45916</v>
      </c>
      <c r="I261" s="152">
        <v>0.58333333333333337</v>
      </c>
      <c r="J261" s="153">
        <f t="shared" si="6"/>
        <v>0</v>
      </c>
      <c r="K261" s="115">
        <v>1</v>
      </c>
      <c r="L261" s="122">
        <v>30</v>
      </c>
      <c r="M261" s="132" t="s">
        <v>333</v>
      </c>
    </row>
    <row r="262" spans="1:13" ht="26.4" x14ac:dyDescent="0.25">
      <c r="A262" s="132" t="s">
        <v>334</v>
      </c>
      <c r="B262" s="122" t="s">
        <v>21</v>
      </c>
      <c r="C262" s="122" t="s">
        <v>22</v>
      </c>
      <c r="D262" s="115">
        <v>1</v>
      </c>
      <c r="E262" s="115">
        <v>30</v>
      </c>
      <c r="F262" s="135">
        <v>45917</v>
      </c>
      <c r="G262" s="152">
        <v>0.375</v>
      </c>
      <c r="H262" s="135">
        <v>45916</v>
      </c>
      <c r="I262" s="152">
        <v>0.5625</v>
      </c>
      <c r="J262" s="153">
        <f t="shared" si="6"/>
        <v>5</v>
      </c>
      <c r="K262" s="115">
        <v>2</v>
      </c>
      <c r="L262" s="122">
        <v>25</v>
      </c>
      <c r="M262" s="132" t="s">
        <v>335</v>
      </c>
    </row>
    <row r="263" spans="1:13" ht="26.4" x14ac:dyDescent="0.25">
      <c r="A263" s="132" t="s">
        <v>336</v>
      </c>
      <c r="B263" s="122" t="s">
        <v>30</v>
      </c>
      <c r="C263" s="122" t="s">
        <v>31</v>
      </c>
      <c r="D263" s="115">
        <v>1</v>
      </c>
      <c r="E263" s="115">
        <v>60</v>
      </c>
      <c r="F263" s="135">
        <v>45917</v>
      </c>
      <c r="G263" s="152">
        <v>0.375</v>
      </c>
      <c r="H263" s="135">
        <v>45916</v>
      </c>
      <c r="I263" s="152">
        <v>0.60416666666666663</v>
      </c>
      <c r="J263" s="153">
        <f t="shared" si="6"/>
        <v>-5</v>
      </c>
      <c r="K263" s="115">
        <v>1</v>
      </c>
      <c r="L263" s="122">
        <v>65</v>
      </c>
      <c r="M263" s="132" t="s">
        <v>337</v>
      </c>
    </row>
    <row r="264" spans="1:13" ht="26.4" x14ac:dyDescent="0.25">
      <c r="A264" s="115" t="s">
        <v>319</v>
      </c>
      <c r="B264" s="122" t="s">
        <v>136</v>
      </c>
      <c r="C264" s="122" t="s">
        <v>34</v>
      </c>
      <c r="D264" s="115">
        <v>1</v>
      </c>
      <c r="E264" s="115">
        <v>60</v>
      </c>
      <c r="F264" s="135">
        <v>45917</v>
      </c>
      <c r="G264" s="152">
        <v>0.375</v>
      </c>
      <c r="H264" s="135">
        <v>45916</v>
      </c>
      <c r="I264" s="152">
        <v>0.625</v>
      </c>
      <c r="J264" s="153">
        <f t="shared" si="6"/>
        <v>0</v>
      </c>
      <c r="K264" s="115">
        <v>1</v>
      </c>
      <c r="L264" s="122">
        <v>60</v>
      </c>
      <c r="M264" s="132" t="s">
        <v>320</v>
      </c>
    </row>
    <row r="265" spans="1:13" ht="26.4" x14ac:dyDescent="0.25">
      <c r="A265" s="115" t="s">
        <v>338</v>
      </c>
      <c r="B265" s="122" t="s">
        <v>21</v>
      </c>
      <c r="C265" s="122" t="s">
        <v>22</v>
      </c>
      <c r="D265" s="115">
        <v>1</v>
      </c>
      <c r="E265" s="115">
        <v>60</v>
      </c>
      <c r="F265" s="135">
        <v>45917</v>
      </c>
      <c r="G265" s="152">
        <v>0.375</v>
      </c>
      <c r="H265" s="135">
        <v>45916</v>
      </c>
      <c r="I265" s="152">
        <v>0.60416666666666663</v>
      </c>
      <c r="J265" s="153">
        <f t="shared" si="6"/>
        <v>5</v>
      </c>
      <c r="K265" s="115">
        <v>1</v>
      </c>
      <c r="L265" s="122">
        <v>55</v>
      </c>
      <c r="M265" s="132" t="s">
        <v>321</v>
      </c>
    </row>
    <row r="266" spans="1:13" ht="26.4" x14ac:dyDescent="0.25">
      <c r="A266" s="132" t="s">
        <v>339</v>
      </c>
      <c r="B266" s="122" t="s">
        <v>36</v>
      </c>
      <c r="C266" s="122" t="s">
        <v>37</v>
      </c>
      <c r="D266" s="115">
        <v>1</v>
      </c>
      <c r="E266" s="115">
        <v>60</v>
      </c>
      <c r="F266" s="135">
        <v>45917</v>
      </c>
      <c r="G266" s="152">
        <v>0.375</v>
      </c>
      <c r="H266" s="135">
        <v>45916</v>
      </c>
      <c r="I266" s="152">
        <v>0.58333333333333337</v>
      </c>
      <c r="J266" s="153">
        <f t="shared" si="6"/>
        <v>0</v>
      </c>
      <c r="K266" s="115">
        <v>1</v>
      </c>
      <c r="L266" s="122">
        <v>60</v>
      </c>
      <c r="M266" s="132" t="s">
        <v>340</v>
      </c>
    </row>
    <row r="267" spans="1:13" ht="26.4" x14ac:dyDescent="0.25">
      <c r="A267" s="132" t="s">
        <v>341</v>
      </c>
      <c r="B267" s="122" t="s">
        <v>42</v>
      </c>
      <c r="C267" s="122" t="s">
        <v>43</v>
      </c>
      <c r="D267" s="115">
        <v>1</v>
      </c>
      <c r="E267" s="115">
        <v>60</v>
      </c>
      <c r="F267" s="135">
        <v>45917</v>
      </c>
      <c r="G267" s="152">
        <v>0.375</v>
      </c>
      <c r="H267" s="135">
        <v>45916</v>
      </c>
      <c r="I267" s="152">
        <v>0.58333333333333337</v>
      </c>
      <c r="J267" s="153">
        <f t="shared" si="6"/>
        <v>6</v>
      </c>
      <c r="K267" s="115">
        <v>1</v>
      </c>
      <c r="L267" s="122">
        <v>54</v>
      </c>
      <c r="M267" s="132" t="s">
        <v>342</v>
      </c>
    </row>
    <row r="268" spans="1:13" ht="26.4" x14ac:dyDescent="0.25">
      <c r="A268" s="132" t="s">
        <v>343</v>
      </c>
      <c r="B268" s="122" t="s">
        <v>39</v>
      </c>
      <c r="C268" s="122" t="s">
        <v>40</v>
      </c>
      <c r="D268" s="115">
        <v>1</v>
      </c>
      <c r="E268" s="115">
        <v>60</v>
      </c>
      <c r="F268" s="135">
        <v>45917</v>
      </c>
      <c r="G268" s="152">
        <v>0.375</v>
      </c>
      <c r="H268" s="135">
        <v>45916</v>
      </c>
      <c r="I268" s="152">
        <v>0.58333333333333337</v>
      </c>
      <c r="J268" s="153">
        <f t="shared" si="6"/>
        <v>0</v>
      </c>
      <c r="K268" s="115">
        <v>1</v>
      </c>
      <c r="L268" s="122">
        <v>60</v>
      </c>
      <c r="M268" s="132" t="s">
        <v>344</v>
      </c>
    </row>
    <row r="269" spans="1:13" ht="26.4" x14ac:dyDescent="0.25">
      <c r="A269" s="132" t="s">
        <v>345</v>
      </c>
      <c r="B269" s="122" t="s">
        <v>21</v>
      </c>
      <c r="C269" s="122" t="s">
        <v>22</v>
      </c>
      <c r="D269" s="115">
        <v>1</v>
      </c>
      <c r="E269" s="115">
        <v>60</v>
      </c>
      <c r="F269" s="135">
        <v>45917</v>
      </c>
      <c r="G269" s="152">
        <v>0.375</v>
      </c>
      <c r="H269" s="135">
        <v>45916</v>
      </c>
      <c r="I269" s="152">
        <v>0.64583333333333337</v>
      </c>
      <c r="J269" s="153">
        <f t="shared" si="6"/>
        <v>0</v>
      </c>
      <c r="K269" s="115">
        <v>1</v>
      </c>
      <c r="L269" s="122">
        <v>60</v>
      </c>
      <c r="M269" s="132" t="s">
        <v>348</v>
      </c>
    </row>
    <row r="270" spans="1:13" ht="26.4" x14ac:dyDescent="0.25">
      <c r="A270" s="132" t="s">
        <v>346</v>
      </c>
      <c r="B270" s="122" t="s">
        <v>36</v>
      </c>
      <c r="C270" s="122" t="s">
        <v>37</v>
      </c>
      <c r="D270" s="115">
        <v>2</v>
      </c>
      <c r="E270" s="115">
        <v>60</v>
      </c>
      <c r="F270" s="135">
        <v>45917</v>
      </c>
      <c r="G270" s="152">
        <v>0.375</v>
      </c>
      <c r="H270" s="135">
        <v>45916</v>
      </c>
      <c r="I270" s="152">
        <v>0.625</v>
      </c>
      <c r="J270" s="153">
        <f t="shared" si="6"/>
        <v>-1</v>
      </c>
      <c r="K270" s="115">
        <v>1</v>
      </c>
      <c r="L270" s="122">
        <v>61</v>
      </c>
      <c r="M270" s="132" t="s">
        <v>347</v>
      </c>
    </row>
    <row r="271" spans="1:13" ht="26.4" x14ac:dyDescent="0.25">
      <c r="A271" s="132" t="s">
        <v>349</v>
      </c>
      <c r="B271" s="122" t="s">
        <v>42</v>
      </c>
      <c r="C271" s="122" t="s">
        <v>43</v>
      </c>
      <c r="D271" s="115">
        <v>2</v>
      </c>
      <c r="E271" s="115">
        <v>60</v>
      </c>
      <c r="F271" s="135">
        <v>45917</v>
      </c>
      <c r="G271" s="152">
        <v>0.375</v>
      </c>
      <c r="H271" s="135">
        <v>45916</v>
      </c>
      <c r="I271" s="152">
        <v>0.66666666666666696</v>
      </c>
      <c r="J271" s="153">
        <f t="shared" si="6"/>
        <v>0</v>
      </c>
      <c r="K271" s="115">
        <v>1</v>
      </c>
      <c r="L271" s="122">
        <v>60</v>
      </c>
      <c r="M271" s="132" t="s">
        <v>350</v>
      </c>
    </row>
    <row r="272" spans="1:13" x14ac:dyDescent="0.25">
      <c r="A272" s="132" t="s">
        <v>352</v>
      </c>
      <c r="B272" s="122" t="s">
        <v>39</v>
      </c>
      <c r="C272" s="122" t="s">
        <v>40</v>
      </c>
      <c r="D272" s="115">
        <v>2</v>
      </c>
      <c r="E272" s="115">
        <v>60</v>
      </c>
      <c r="F272" s="135">
        <v>45917</v>
      </c>
      <c r="G272" s="152">
        <v>0.375</v>
      </c>
      <c r="H272" s="135">
        <v>45916</v>
      </c>
      <c r="I272" s="152">
        <v>0.70833333333333304</v>
      </c>
      <c r="J272" s="153">
        <f t="shared" si="6"/>
        <v>3</v>
      </c>
      <c r="K272" s="115">
        <v>1</v>
      </c>
      <c r="L272" s="122">
        <v>57</v>
      </c>
      <c r="M272" s="132" t="s">
        <v>351</v>
      </c>
    </row>
    <row r="273" spans="1:13" ht="26.4" x14ac:dyDescent="0.25">
      <c r="A273" s="132" t="s">
        <v>353</v>
      </c>
      <c r="B273" s="122" t="s">
        <v>30</v>
      </c>
      <c r="C273" s="122" t="s">
        <v>31</v>
      </c>
      <c r="D273" s="115">
        <v>1</v>
      </c>
      <c r="E273" s="115">
        <v>30</v>
      </c>
      <c r="F273" s="135">
        <v>45917</v>
      </c>
      <c r="G273" s="152">
        <v>0.375</v>
      </c>
      <c r="H273" s="135">
        <v>45916</v>
      </c>
      <c r="I273" s="152">
        <v>0.79166666666666663</v>
      </c>
      <c r="J273" s="153">
        <f t="shared" si="6"/>
        <v>5</v>
      </c>
      <c r="K273" s="115">
        <v>1</v>
      </c>
      <c r="L273" s="122">
        <v>25</v>
      </c>
      <c r="M273" s="132" t="s">
        <v>354</v>
      </c>
    </row>
    <row r="274" spans="1:13" ht="26.4" x14ac:dyDescent="0.25">
      <c r="A274" s="132" t="s">
        <v>353</v>
      </c>
      <c r="B274" s="122" t="s">
        <v>21</v>
      </c>
      <c r="C274" s="122" t="s">
        <v>22</v>
      </c>
      <c r="D274" s="115">
        <v>1</v>
      </c>
      <c r="E274" s="115">
        <v>30</v>
      </c>
      <c r="F274" s="135">
        <v>45917</v>
      </c>
      <c r="G274" s="152">
        <v>0.375</v>
      </c>
      <c r="H274" s="135">
        <v>45916</v>
      </c>
      <c r="I274" s="152">
        <v>0.79166666666666663</v>
      </c>
      <c r="J274" s="153">
        <f t="shared" si="6"/>
        <v>5</v>
      </c>
      <c r="K274" s="115">
        <v>1</v>
      </c>
      <c r="L274" s="122">
        <v>25</v>
      </c>
      <c r="M274" s="132" t="s">
        <v>354</v>
      </c>
    </row>
    <row r="275" spans="1:13" ht="26.4" x14ac:dyDescent="0.25">
      <c r="A275" s="132" t="s">
        <v>353</v>
      </c>
      <c r="B275" s="122" t="s">
        <v>36</v>
      </c>
      <c r="C275" s="122" t="s">
        <v>37</v>
      </c>
      <c r="D275" s="115">
        <v>1</v>
      </c>
      <c r="E275" s="115">
        <v>30</v>
      </c>
      <c r="F275" s="135">
        <v>45917</v>
      </c>
      <c r="G275" s="152">
        <v>0.375</v>
      </c>
      <c r="H275" s="135">
        <v>45916</v>
      </c>
      <c r="I275" s="152">
        <v>0.79166666666666663</v>
      </c>
      <c r="J275" s="153">
        <f t="shared" si="6"/>
        <v>5</v>
      </c>
      <c r="K275" s="115">
        <v>1</v>
      </c>
      <c r="L275" s="122">
        <v>25</v>
      </c>
      <c r="M275" s="132" t="s">
        <v>354</v>
      </c>
    </row>
    <row r="276" spans="1:13" ht="26.4" x14ac:dyDescent="0.25">
      <c r="A276" s="132" t="s">
        <v>353</v>
      </c>
      <c r="B276" s="122" t="s">
        <v>136</v>
      </c>
      <c r="C276" s="122" t="s">
        <v>34</v>
      </c>
      <c r="D276" s="115">
        <v>1</v>
      </c>
      <c r="E276" s="115">
        <v>30</v>
      </c>
      <c r="F276" s="135">
        <v>45917</v>
      </c>
      <c r="G276" s="152">
        <v>0.375</v>
      </c>
      <c r="H276" s="135">
        <v>45916</v>
      </c>
      <c r="I276" s="152">
        <v>0.79166666666666663</v>
      </c>
      <c r="J276" s="153">
        <f t="shared" si="6"/>
        <v>5</v>
      </c>
      <c r="K276" s="115">
        <v>1</v>
      </c>
      <c r="L276" s="122">
        <v>25</v>
      </c>
      <c r="M276" s="132" t="s">
        <v>354</v>
      </c>
    </row>
    <row r="277" spans="1:13" ht="26.4" x14ac:dyDescent="0.25">
      <c r="A277" s="132" t="s">
        <v>353</v>
      </c>
      <c r="B277" s="122" t="s">
        <v>39</v>
      </c>
      <c r="C277" s="122" t="s">
        <v>40</v>
      </c>
      <c r="D277" s="115">
        <v>1</v>
      </c>
      <c r="E277" s="115">
        <v>30</v>
      </c>
      <c r="F277" s="135">
        <v>45917</v>
      </c>
      <c r="G277" s="152">
        <v>0.375</v>
      </c>
      <c r="H277" s="135">
        <v>45916</v>
      </c>
      <c r="I277" s="152">
        <v>0.79166666666666663</v>
      </c>
      <c r="J277" s="153">
        <f t="shared" si="6"/>
        <v>5</v>
      </c>
      <c r="K277" s="115">
        <v>1</v>
      </c>
      <c r="L277" s="122">
        <v>25</v>
      </c>
      <c r="M277" s="132" t="s">
        <v>354</v>
      </c>
    </row>
    <row r="278" spans="1:13" ht="26.4" x14ac:dyDescent="0.25">
      <c r="A278" s="125" t="s">
        <v>471</v>
      </c>
      <c r="B278" s="122" t="s">
        <v>36</v>
      </c>
      <c r="C278" s="122" t="s">
        <v>37</v>
      </c>
      <c r="D278" s="115">
        <v>1</v>
      </c>
      <c r="E278" s="115">
        <v>30</v>
      </c>
      <c r="F278" s="135">
        <v>45917</v>
      </c>
      <c r="G278" s="152">
        <v>0.375</v>
      </c>
      <c r="H278" s="135">
        <v>45930</v>
      </c>
      <c r="I278" s="152">
        <v>0.79166666666666663</v>
      </c>
      <c r="J278" s="153">
        <f t="shared" si="6"/>
        <v>0</v>
      </c>
      <c r="K278" s="115">
        <v>3</v>
      </c>
      <c r="L278" s="122">
        <v>30</v>
      </c>
      <c r="M278" s="132" t="s">
        <v>472</v>
      </c>
    </row>
    <row r="279" spans="1:13" ht="26.4" x14ac:dyDescent="0.25">
      <c r="A279" s="132" t="s">
        <v>353</v>
      </c>
      <c r="B279" s="122" t="s">
        <v>42</v>
      </c>
      <c r="C279" s="122" t="s">
        <v>43</v>
      </c>
      <c r="D279" s="115">
        <v>1</v>
      </c>
      <c r="E279" s="115">
        <v>30</v>
      </c>
      <c r="F279" s="135">
        <v>45917</v>
      </c>
      <c r="G279" s="152">
        <v>0.375</v>
      </c>
      <c r="H279" s="135">
        <v>45916</v>
      </c>
      <c r="I279" s="152">
        <v>0.79166666666666663</v>
      </c>
      <c r="J279" s="153">
        <f t="shared" si="6"/>
        <v>5</v>
      </c>
      <c r="K279" s="115">
        <v>1</v>
      </c>
      <c r="L279" s="122">
        <v>25</v>
      </c>
      <c r="M279" s="132" t="s">
        <v>354</v>
      </c>
    </row>
    <row r="280" spans="1:13" ht="26.4" x14ac:dyDescent="0.25">
      <c r="A280" s="134" t="s">
        <v>123</v>
      </c>
      <c r="B280" s="114" t="s">
        <v>36</v>
      </c>
      <c r="C280" s="114" t="s">
        <v>37</v>
      </c>
      <c r="D280" s="132">
        <v>1</v>
      </c>
      <c r="E280" s="132">
        <v>20</v>
      </c>
      <c r="F280" s="60">
        <v>45917</v>
      </c>
      <c r="G280" s="164">
        <v>0.375</v>
      </c>
      <c r="H280" s="60">
        <v>45916</v>
      </c>
      <c r="I280" s="164">
        <v>0.80555555555555558</v>
      </c>
      <c r="J280" s="153">
        <f t="shared" si="6"/>
        <v>0</v>
      </c>
      <c r="K280" s="115">
        <v>1</v>
      </c>
      <c r="L280" s="149">
        <v>20</v>
      </c>
      <c r="M280" s="165" t="s">
        <v>124</v>
      </c>
    </row>
    <row r="281" spans="1:13" ht="26.4" x14ac:dyDescent="0.25">
      <c r="A281" s="125" t="s">
        <v>123</v>
      </c>
      <c r="B281" s="114" t="s">
        <v>143</v>
      </c>
      <c r="C281" s="114" t="s">
        <v>43</v>
      </c>
      <c r="D281" s="132">
        <v>1</v>
      </c>
      <c r="E281" s="132">
        <v>20</v>
      </c>
      <c r="F281" s="60">
        <v>45917</v>
      </c>
      <c r="G281" s="164">
        <v>0.375</v>
      </c>
      <c r="H281" s="60">
        <v>45916</v>
      </c>
      <c r="I281" s="164">
        <v>0.80555555555555558</v>
      </c>
      <c r="J281" s="153">
        <f t="shared" si="6"/>
        <v>0</v>
      </c>
      <c r="K281" s="115">
        <v>1</v>
      </c>
      <c r="L281" s="149">
        <v>20</v>
      </c>
      <c r="M281" s="165" t="s">
        <v>124</v>
      </c>
    </row>
    <row r="282" spans="1:13" ht="26.4" x14ac:dyDescent="0.25">
      <c r="A282" s="97" t="s">
        <v>175</v>
      </c>
      <c r="B282" s="120" t="s">
        <v>36</v>
      </c>
      <c r="C282" s="120" t="s">
        <v>37</v>
      </c>
      <c r="D282" s="115">
        <v>1</v>
      </c>
      <c r="E282" s="115">
        <v>30</v>
      </c>
      <c r="F282" s="97">
        <v>45917</v>
      </c>
      <c r="G282" s="164">
        <v>0.375</v>
      </c>
      <c r="H282" s="97">
        <v>45916</v>
      </c>
      <c r="I282" s="156">
        <v>0.83333333333333337</v>
      </c>
      <c r="J282" s="115">
        <f t="shared" si="6"/>
        <v>6</v>
      </c>
      <c r="K282" s="148">
        <v>1</v>
      </c>
      <c r="L282" s="159">
        <v>24</v>
      </c>
      <c r="M282" s="162" t="s">
        <v>176</v>
      </c>
    </row>
    <row r="283" spans="1:13" ht="26.4" x14ac:dyDescent="0.25">
      <c r="A283" s="97" t="s">
        <v>177</v>
      </c>
      <c r="B283" s="120" t="s">
        <v>39</v>
      </c>
      <c r="C283" s="120" t="s">
        <v>40</v>
      </c>
      <c r="D283" s="115">
        <v>1</v>
      </c>
      <c r="E283" s="115">
        <v>30</v>
      </c>
      <c r="F283" s="97">
        <v>45917</v>
      </c>
      <c r="G283" s="164">
        <v>0.375</v>
      </c>
      <c r="H283" s="97">
        <v>45916</v>
      </c>
      <c r="I283" s="156">
        <v>0.83333333333333337</v>
      </c>
      <c r="J283" s="115">
        <f t="shared" si="6"/>
        <v>0</v>
      </c>
      <c r="K283" s="148">
        <v>1</v>
      </c>
      <c r="L283" s="159">
        <v>30</v>
      </c>
      <c r="M283" s="162" t="s">
        <v>178</v>
      </c>
    </row>
    <row r="284" spans="1:13" ht="39.6" x14ac:dyDescent="0.25">
      <c r="A284" s="60" t="s">
        <v>179</v>
      </c>
      <c r="B284" s="120" t="s">
        <v>39</v>
      </c>
      <c r="C284" s="120" t="s">
        <v>40</v>
      </c>
      <c r="D284" s="115">
        <v>5</v>
      </c>
      <c r="E284" s="115">
        <v>50</v>
      </c>
      <c r="F284" s="97">
        <v>45917</v>
      </c>
      <c r="G284" s="164">
        <v>0.375</v>
      </c>
      <c r="H284" s="97">
        <v>45916</v>
      </c>
      <c r="I284" s="156">
        <v>0.86805555555555558</v>
      </c>
      <c r="J284" s="115">
        <f t="shared" si="6"/>
        <v>5</v>
      </c>
      <c r="K284" s="148">
        <v>5</v>
      </c>
      <c r="L284" s="159">
        <v>45</v>
      </c>
      <c r="M284" s="162" t="s">
        <v>180</v>
      </c>
    </row>
    <row r="285" spans="1:13" ht="39.6" x14ac:dyDescent="0.25">
      <c r="A285" s="124" t="s">
        <v>146</v>
      </c>
      <c r="B285" s="114" t="s">
        <v>30</v>
      </c>
      <c r="C285" s="114" t="s">
        <v>31</v>
      </c>
      <c r="D285" s="163">
        <v>1</v>
      </c>
      <c r="E285" s="132">
        <v>60</v>
      </c>
      <c r="F285" s="60">
        <v>45917</v>
      </c>
      <c r="G285" s="164">
        <v>0.375</v>
      </c>
      <c r="H285" s="60">
        <v>45916</v>
      </c>
      <c r="I285" s="164">
        <v>0.91666666666666663</v>
      </c>
      <c r="J285" s="153">
        <f t="shared" si="6"/>
        <v>50</v>
      </c>
      <c r="K285" s="115">
        <v>1</v>
      </c>
      <c r="L285" s="149">
        <v>10</v>
      </c>
      <c r="M285" s="162" t="s">
        <v>149</v>
      </c>
    </row>
    <row r="286" spans="1:13" ht="39.6" x14ac:dyDescent="0.25">
      <c r="A286" s="124" t="s">
        <v>146</v>
      </c>
      <c r="B286" s="114" t="s">
        <v>42</v>
      </c>
      <c r="C286" s="114" t="s">
        <v>43</v>
      </c>
      <c r="D286" s="163">
        <v>1</v>
      </c>
      <c r="E286" s="132">
        <v>60</v>
      </c>
      <c r="F286" s="60">
        <v>45917</v>
      </c>
      <c r="G286" s="164">
        <v>0.375</v>
      </c>
      <c r="H286" s="60">
        <v>45916</v>
      </c>
      <c r="I286" s="164">
        <v>0.91666666666666663</v>
      </c>
      <c r="J286" s="153">
        <f t="shared" si="6"/>
        <v>50</v>
      </c>
      <c r="K286" s="115">
        <v>1</v>
      </c>
      <c r="L286" s="149">
        <v>10</v>
      </c>
      <c r="M286" s="162" t="s">
        <v>149</v>
      </c>
    </row>
    <row r="287" spans="1:13" ht="39.6" x14ac:dyDescent="0.25">
      <c r="A287" s="124" t="s">
        <v>146</v>
      </c>
      <c r="B287" s="114" t="s">
        <v>21</v>
      </c>
      <c r="C287" s="114" t="s">
        <v>22</v>
      </c>
      <c r="D287" s="163">
        <v>1</v>
      </c>
      <c r="E287" s="132">
        <v>60</v>
      </c>
      <c r="F287" s="60">
        <v>45917</v>
      </c>
      <c r="G287" s="164">
        <v>0.375</v>
      </c>
      <c r="H287" s="60">
        <v>45916</v>
      </c>
      <c r="I287" s="164">
        <v>0.91666666666666663</v>
      </c>
      <c r="J287" s="153">
        <f t="shared" si="6"/>
        <v>50</v>
      </c>
      <c r="K287" s="115">
        <v>1</v>
      </c>
      <c r="L287" s="149">
        <v>10</v>
      </c>
      <c r="M287" s="162" t="s">
        <v>149</v>
      </c>
    </row>
    <row r="288" spans="1:13" ht="39.6" x14ac:dyDescent="0.25">
      <c r="A288" s="124" t="s">
        <v>146</v>
      </c>
      <c r="B288" s="114" t="s">
        <v>136</v>
      </c>
      <c r="C288" s="114" t="s">
        <v>34</v>
      </c>
      <c r="D288" s="163">
        <v>1</v>
      </c>
      <c r="E288" s="132">
        <v>60</v>
      </c>
      <c r="F288" s="60">
        <v>45917</v>
      </c>
      <c r="G288" s="164">
        <v>0.375</v>
      </c>
      <c r="H288" s="60">
        <v>45916</v>
      </c>
      <c r="I288" s="164">
        <v>0.91666666666666663</v>
      </c>
      <c r="J288" s="153">
        <f t="shared" si="6"/>
        <v>50</v>
      </c>
      <c r="K288" s="115">
        <v>1</v>
      </c>
      <c r="L288" s="149">
        <v>10</v>
      </c>
      <c r="M288" s="162" t="s">
        <v>149</v>
      </c>
    </row>
    <row r="289" spans="1:14" ht="39.6" x14ac:dyDescent="0.25">
      <c r="A289" s="124" t="s">
        <v>146</v>
      </c>
      <c r="B289" s="114" t="s">
        <v>36</v>
      </c>
      <c r="C289" s="114" t="s">
        <v>37</v>
      </c>
      <c r="D289" s="163">
        <v>1</v>
      </c>
      <c r="E289" s="132">
        <v>60</v>
      </c>
      <c r="F289" s="60">
        <v>45917</v>
      </c>
      <c r="G289" s="164">
        <v>0.375</v>
      </c>
      <c r="H289" s="60">
        <v>45916</v>
      </c>
      <c r="I289" s="164">
        <v>0.91666666666666663</v>
      </c>
      <c r="J289" s="153">
        <f t="shared" si="6"/>
        <v>50</v>
      </c>
      <c r="K289" s="115">
        <v>1</v>
      </c>
      <c r="L289" s="149">
        <v>10</v>
      </c>
      <c r="M289" s="162" t="s">
        <v>149</v>
      </c>
    </row>
    <row r="290" spans="1:14" ht="39.6" x14ac:dyDescent="0.25">
      <c r="A290" s="124" t="s">
        <v>146</v>
      </c>
      <c r="B290" s="114" t="s">
        <v>39</v>
      </c>
      <c r="C290" s="114" t="s">
        <v>40</v>
      </c>
      <c r="D290" s="163">
        <v>1</v>
      </c>
      <c r="E290" s="132">
        <v>60</v>
      </c>
      <c r="F290" s="60">
        <v>45917</v>
      </c>
      <c r="G290" s="164">
        <v>0.375</v>
      </c>
      <c r="H290" s="60">
        <v>45916</v>
      </c>
      <c r="I290" s="164">
        <v>0.91666666666666663</v>
      </c>
      <c r="J290" s="153">
        <f t="shared" si="6"/>
        <v>50</v>
      </c>
      <c r="K290" s="115">
        <v>1</v>
      </c>
      <c r="L290" s="149">
        <v>10</v>
      </c>
      <c r="M290" s="162" t="s">
        <v>149</v>
      </c>
    </row>
    <row r="291" spans="1:14" ht="26.4" x14ac:dyDescent="0.25">
      <c r="A291" s="124" t="s">
        <v>52</v>
      </c>
      <c r="B291" s="114" t="s">
        <v>21</v>
      </c>
      <c r="C291" s="114" t="s">
        <v>22</v>
      </c>
      <c r="D291" s="163">
        <v>1</v>
      </c>
      <c r="E291" s="132">
        <v>30</v>
      </c>
      <c r="F291" s="60">
        <v>45917</v>
      </c>
      <c r="G291" s="164">
        <v>0.375</v>
      </c>
      <c r="H291" s="60">
        <v>45916</v>
      </c>
      <c r="I291" s="164">
        <v>0.91666666666666663</v>
      </c>
      <c r="J291" s="153">
        <f t="shared" si="6"/>
        <v>0</v>
      </c>
      <c r="K291" s="115">
        <v>1</v>
      </c>
      <c r="L291" s="149">
        <v>30</v>
      </c>
      <c r="M291" s="162" t="s">
        <v>53</v>
      </c>
    </row>
    <row r="292" spans="1:14" ht="26.4" x14ac:dyDescent="0.25">
      <c r="A292" s="124" t="s">
        <v>153</v>
      </c>
      <c r="B292" s="114" t="s">
        <v>36</v>
      </c>
      <c r="C292" s="114" t="s">
        <v>37</v>
      </c>
      <c r="D292" s="163">
        <v>1</v>
      </c>
      <c r="E292" s="117">
        <v>30</v>
      </c>
      <c r="F292" s="60">
        <v>45917</v>
      </c>
      <c r="G292" s="164">
        <v>0.375</v>
      </c>
      <c r="H292" s="60">
        <v>45916</v>
      </c>
      <c r="I292" s="164">
        <v>0.91666666666666663</v>
      </c>
      <c r="J292" s="153">
        <f t="shared" si="6"/>
        <v>0</v>
      </c>
      <c r="K292" s="115">
        <v>1</v>
      </c>
      <c r="L292" s="149">
        <v>30</v>
      </c>
      <c r="M292" s="162" t="s">
        <v>53</v>
      </c>
    </row>
    <row r="293" spans="1:14" ht="26.4" x14ac:dyDescent="0.25">
      <c r="A293" s="124" t="s">
        <v>79</v>
      </c>
      <c r="B293" s="114" t="s">
        <v>36</v>
      </c>
      <c r="C293" s="114" t="s">
        <v>37</v>
      </c>
      <c r="D293" s="163">
        <v>1</v>
      </c>
      <c r="E293" s="132">
        <v>45</v>
      </c>
      <c r="F293" s="60">
        <v>45917</v>
      </c>
      <c r="G293" s="164">
        <v>0.375</v>
      </c>
      <c r="H293" s="60">
        <v>45916</v>
      </c>
      <c r="I293" s="164">
        <v>0.9375</v>
      </c>
      <c r="J293" s="153">
        <f t="shared" si="6"/>
        <v>-35</v>
      </c>
      <c r="K293" s="115">
        <v>1</v>
      </c>
      <c r="L293" s="149">
        <v>80</v>
      </c>
      <c r="M293" s="162" t="s">
        <v>81</v>
      </c>
    </row>
    <row r="294" spans="1:14" ht="26.4" x14ac:dyDescent="0.25">
      <c r="A294" s="124" t="s">
        <v>85</v>
      </c>
      <c r="B294" s="114" t="s">
        <v>21</v>
      </c>
      <c r="C294" s="114" t="s">
        <v>22</v>
      </c>
      <c r="D294" s="163">
        <v>1</v>
      </c>
      <c r="E294" s="132">
        <v>60</v>
      </c>
      <c r="F294" s="60">
        <v>45917</v>
      </c>
      <c r="G294" s="164">
        <v>0.375</v>
      </c>
      <c r="H294" s="60">
        <v>45916</v>
      </c>
      <c r="I294" s="164">
        <v>0.9375</v>
      </c>
      <c r="J294" s="153">
        <f t="shared" si="6"/>
        <v>10</v>
      </c>
      <c r="K294" s="115">
        <v>1</v>
      </c>
      <c r="L294" s="149">
        <v>50</v>
      </c>
      <c r="M294" s="162" t="s">
        <v>87</v>
      </c>
    </row>
    <row r="295" spans="1:14" x14ac:dyDescent="0.25">
      <c r="A295" s="124" t="s">
        <v>88</v>
      </c>
      <c r="B295" s="114" t="s">
        <v>21</v>
      </c>
      <c r="C295" s="114" t="s">
        <v>22</v>
      </c>
      <c r="D295" s="163">
        <v>1</v>
      </c>
      <c r="E295" s="132">
        <v>55</v>
      </c>
      <c r="F295" s="60">
        <v>45917</v>
      </c>
      <c r="G295" s="164">
        <v>0.375</v>
      </c>
      <c r="H295" s="60">
        <v>45916</v>
      </c>
      <c r="I295" s="164">
        <v>0.9375</v>
      </c>
      <c r="J295" s="153">
        <f t="shared" si="6"/>
        <v>0</v>
      </c>
      <c r="K295" s="115">
        <v>1</v>
      </c>
      <c r="L295" s="149">
        <v>55</v>
      </c>
      <c r="M295" s="162" t="s">
        <v>89</v>
      </c>
    </row>
    <row r="296" spans="1:14" ht="26.4" x14ac:dyDescent="0.25">
      <c r="A296" s="128" t="s">
        <v>131</v>
      </c>
      <c r="B296" s="114" t="s">
        <v>36</v>
      </c>
      <c r="C296" s="114" t="s">
        <v>37</v>
      </c>
      <c r="D296" s="132">
        <v>1</v>
      </c>
      <c r="E296" s="132">
        <v>30</v>
      </c>
      <c r="F296" s="60">
        <v>45917</v>
      </c>
      <c r="G296" s="164">
        <v>0.375</v>
      </c>
      <c r="H296" s="60">
        <v>45916</v>
      </c>
      <c r="I296" s="164">
        <v>0.9375</v>
      </c>
      <c r="J296" s="153">
        <f t="shared" si="6"/>
        <v>-2</v>
      </c>
      <c r="K296" s="115">
        <v>1</v>
      </c>
      <c r="L296" s="149">
        <v>32</v>
      </c>
      <c r="M296" s="162" t="s">
        <v>132</v>
      </c>
    </row>
    <row r="297" spans="1:14" ht="26.4" x14ac:dyDescent="0.25">
      <c r="A297" s="128" t="s">
        <v>131</v>
      </c>
      <c r="B297" s="114" t="s">
        <v>42</v>
      </c>
      <c r="C297" s="114" t="s">
        <v>43</v>
      </c>
      <c r="D297" s="132">
        <v>1</v>
      </c>
      <c r="E297" s="132">
        <v>30</v>
      </c>
      <c r="F297" s="60">
        <v>45917</v>
      </c>
      <c r="G297" s="164">
        <v>0.375</v>
      </c>
      <c r="H297" s="60">
        <v>45916</v>
      </c>
      <c r="I297" s="164">
        <v>0.9375</v>
      </c>
      <c r="J297" s="153">
        <f t="shared" si="6"/>
        <v>-2</v>
      </c>
      <c r="K297" s="115">
        <v>1</v>
      </c>
      <c r="L297" s="149">
        <v>32</v>
      </c>
      <c r="M297" s="162" t="s">
        <v>132</v>
      </c>
    </row>
    <row r="298" spans="1:14" ht="26.4" x14ac:dyDescent="0.25">
      <c r="A298" s="128" t="s">
        <v>131</v>
      </c>
      <c r="B298" s="114" t="s">
        <v>30</v>
      </c>
      <c r="C298" s="114" t="s">
        <v>31</v>
      </c>
      <c r="D298" s="132">
        <v>1</v>
      </c>
      <c r="E298" s="132">
        <v>30</v>
      </c>
      <c r="F298" s="60">
        <v>45917</v>
      </c>
      <c r="G298" s="164">
        <v>0.375</v>
      </c>
      <c r="H298" s="60">
        <v>45916</v>
      </c>
      <c r="I298" s="164">
        <v>0.9375</v>
      </c>
      <c r="J298" s="153">
        <f t="shared" si="6"/>
        <v>-2</v>
      </c>
      <c r="K298" s="115">
        <v>1</v>
      </c>
      <c r="L298" s="149">
        <v>32</v>
      </c>
      <c r="M298" s="162" t="s">
        <v>132</v>
      </c>
    </row>
    <row r="299" spans="1:14" ht="26.4" x14ac:dyDescent="0.25">
      <c r="A299" s="128" t="s">
        <v>131</v>
      </c>
      <c r="B299" s="114" t="s">
        <v>21</v>
      </c>
      <c r="C299" s="114" t="s">
        <v>22</v>
      </c>
      <c r="D299" s="132">
        <v>1</v>
      </c>
      <c r="E299" s="132">
        <v>30</v>
      </c>
      <c r="F299" s="60">
        <v>45917</v>
      </c>
      <c r="G299" s="164">
        <v>0.375</v>
      </c>
      <c r="H299" s="60">
        <v>45916</v>
      </c>
      <c r="I299" s="164">
        <v>0.9375</v>
      </c>
      <c r="J299" s="153">
        <f t="shared" si="6"/>
        <v>-2</v>
      </c>
      <c r="K299" s="115">
        <v>1</v>
      </c>
      <c r="L299" s="149">
        <v>32</v>
      </c>
      <c r="M299" s="162" t="s">
        <v>132</v>
      </c>
    </row>
    <row r="300" spans="1:14" ht="26.4" x14ac:dyDescent="0.25">
      <c r="A300" s="128" t="s">
        <v>131</v>
      </c>
      <c r="B300" s="114" t="s">
        <v>136</v>
      </c>
      <c r="C300" s="114" t="s">
        <v>34</v>
      </c>
      <c r="D300" s="132">
        <v>1</v>
      </c>
      <c r="E300" s="132">
        <v>30</v>
      </c>
      <c r="F300" s="60">
        <v>45917</v>
      </c>
      <c r="G300" s="164">
        <v>0.375</v>
      </c>
      <c r="H300" s="60">
        <v>45916</v>
      </c>
      <c r="I300" s="164">
        <v>0.9375</v>
      </c>
      <c r="J300" s="153">
        <f t="shared" si="6"/>
        <v>-2</v>
      </c>
      <c r="K300" s="115">
        <v>1</v>
      </c>
      <c r="L300" s="149">
        <v>32</v>
      </c>
      <c r="M300" s="162" t="s">
        <v>132</v>
      </c>
    </row>
    <row r="301" spans="1:14" ht="26.4" x14ac:dyDescent="0.25">
      <c r="A301" s="128" t="s">
        <v>131</v>
      </c>
      <c r="B301" s="114" t="s">
        <v>39</v>
      </c>
      <c r="C301" s="114" t="s">
        <v>40</v>
      </c>
      <c r="D301" s="132">
        <v>1</v>
      </c>
      <c r="E301" s="132">
        <v>30</v>
      </c>
      <c r="F301" s="60">
        <v>45917</v>
      </c>
      <c r="G301" s="164">
        <v>0.375</v>
      </c>
      <c r="H301" s="60">
        <v>45916</v>
      </c>
      <c r="I301" s="164">
        <v>0.9375</v>
      </c>
      <c r="J301" s="153">
        <f t="shared" si="6"/>
        <v>-2</v>
      </c>
      <c r="K301" s="115">
        <v>1</v>
      </c>
      <c r="L301" s="149">
        <v>32</v>
      </c>
      <c r="M301" s="162" t="s">
        <v>132</v>
      </c>
    </row>
    <row r="302" spans="1:14" ht="26.4" x14ac:dyDescent="0.25">
      <c r="A302" s="128" t="s">
        <v>133</v>
      </c>
      <c r="B302" s="114" t="s">
        <v>21</v>
      </c>
      <c r="C302" s="114" t="s">
        <v>22</v>
      </c>
      <c r="D302" s="132">
        <v>3</v>
      </c>
      <c r="E302" s="132">
        <v>20</v>
      </c>
      <c r="F302" s="60">
        <v>45917</v>
      </c>
      <c r="G302" s="164">
        <v>0.375</v>
      </c>
      <c r="H302" s="60">
        <v>45917</v>
      </c>
      <c r="I302" s="164">
        <v>0.375</v>
      </c>
      <c r="J302" s="153">
        <f t="shared" si="6"/>
        <v>5</v>
      </c>
      <c r="K302" s="115">
        <v>3</v>
      </c>
      <c r="L302" s="149">
        <v>15</v>
      </c>
      <c r="M302" s="162" t="s">
        <v>134</v>
      </c>
    </row>
    <row r="303" spans="1:14" ht="26.4" x14ac:dyDescent="0.25">
      <c r="A303" s="124" t="s">
        <v>318</v>
      </c>
      <c r="B303" s="114" t="s">
        <v>36</v>
      </c>
      <c r="C303" s="114" t="s">
        <v>37</v>
      </c>
      <c r="D303" s="163">
        <v>1</v>
      </c>
      <c r="E303" s="132">
        <v>30</v>
      </c>
      <c r="F303" s="60">
        <v>45931</v>
      </c>
      <c r="G303" s="164">
        <v>0.375</v>
      </c>
      <c r="H303" s="60">
        <v>45922</v>
      </c>
      <c r="I303" s="164">
        <v>0.79166666666666663</v>
      </c>
      <c r="J303" s="153">
        <f>E303-L303</f>
        <v>0</v>
      </c>
      <c r="K303" s="115">
        <v>1</v>
      </c>
      <c r="L303" s="149">
        <v>30</v>
      </c>
      <c r="M303" s="162" t="s">
        <v>75</v>
      </c>
      <c r="N303" s="117" t="s">
        <v>592</v>
      </c>
    </row>
    <row r="304" spans="1:14" ht="39.6" x14ac:dyDescent="0.25">
      <c r="A304" s="124" t="s">
        <v>356</v>
      </c>
      <c r="B304" s="114" t="s">
        <v>30</v>
      </c>
      <c r="C304" s="114" t="s">
        <v>31</v>
      </c>
      <c r="D304" s="163">
        <v>1</v>
      </c>
      <c r="E304" s="132">
        <v>30</v>
      </c>
      <c r="F304" s="60">
        <v>45931</v>
      </c>
      <c r="G304" s="164">
        <v>0.375</v>
      </c>
      <c r="H304" s="60">
        <v>45922</v>
      </c>
      <c r="I304" s="164">
        <v>0.79166666666666663</v>
      </c>
      <c r="J304" s="153">
        <f>E304-L304</f>
        <v>0</v>
      </c>
      <c r="K304" s="115">
        <v>1</v>
      </c>
      <c r="L304" s="149">
        <v>30</v>
      </c>
      <c r="M304" s="162" t="s">
        <v>156</v>
      </c>
    </row>
    <row r="305" spans="1:13" ht="39.6" x14ac:dyDescent="0.25">
      <c r="A305" s="132" t="s">
        <v>357</v>
      </c>
      <c r="B305" s="122" t="s">
        <v>21</v>
      </c>
      <c r="C305" s="122" t="s">
        <v>22</v>
      </c>
      <c r="D305" s="115">
        <v>1</v>
      </c>
      <c r="E305" s="115">
        <v>30</v>
      </c>
      <c r="F305" s="135">
        <v>45931</v>
      </c>
      <c r="G305" s="152">
        <v>0.375</v>
      </c>
      <c r="H305" s="135">
        <v>45923</v>
      </c>
      <c r="I305" s="152">
        <v>0.33333333333333331</v>
      </c>
      <c r="J305" s="153">
        <f t="shared" ref="J305:J337" si="7">E305-L305</f>
        <v>0</v>
      </c>
      <c r="K305" s="115">
        <v>1</v>
      </c>
      <c r="L305" s="122">
        <v>30</v>
      </c>
      <c r="M305" s="132" t="s">
        <v>358</v>
      </c>
    </row>
    <row r="306" spans="1:13" ht="39.6" x14ac:dyDescent="0.25">
      <c r="A306" s="132" t="s">
        <v>359</v>
      </c>
      <c r="B306" s="122" t="s">
        <v>42</v>
      </c>
      <c r="C306" s="122" t="s">
        <v>43</v>
      </c>
      <c r="D306" s="115">
        <v>2</v>
      </c>
      <c r="E306" s="115">
        <v>60</v>
      </c>
      <c r="F306" s="135">
        <v>45931</v>
      </c>
      <c r="G306" s="152">
        <v>0.375</v>
      </c>
      <c r="H306" s="135">
        <v>45923</v>
      </c>
      <c r="I306" s="152">
        <v>0.67013888888888884</v>
      </c>
      <c r="J306" s="153">
        <f t="shared" si="7"/>
        <v>-5</v>
      </c>
      <c r="K306" s="115">
        <v>2</v>
      </c>
      <c r="L306" s="122">
        <v>65</v>
      </c>
      <c r="M306" s="132" t="s">
        <v>360</v>
      </c>
    </row>
    <row r="307" spans="1:13" ht="39.6" x14ac:dyDescent="0.25">
      <c r="A307" s="115" t="s">
        <v>361</v>
      </c>
      <c r="B307" s="122" t="s">
        <v>42</v>
      </c>
      <c r="C307" s="122" t="s">
        <v>43</v>
      </c>
      <c r="D307" s="115">
        <v>2</v>
      </c>
      <c r="E307" s="115">
        <v>60</v>
      </c>
      <c r="F307" s="135">
        <v>45931</v>
      </c>
      <c r="G307" s="152">
        <v>0.375</v>
      </c>
      <c r="H307" s="135">
        <v>45923</v>
      </c>
      <c r="I307" s="152">
        <v>0.70833333333333337</v>
      </c>
      <c r="J307" s="153">
        <f t="shared" si="7"/>
        <v>5</v>
      </c>
      <c r="K307" s="115">
        <v>2</v>
      </c>
      <c r="L307" s="122">
        <v>55</v>
      </c>
      <c r="M307" s="132" t="s">
        <v>362</v>
      </c>
    </row>
    <row r="308" spans="1:13" ht="52.8" x14ac:dyDescent="0.25">
      <c r="A308" s="132" t="s">
        <v>363</v>
      </c>
      <c r="B308" s="122" t="s">
        <v>42</v>
      </c>
      <c r="C308" s="122" t="s">
        <v>43</v>
      </c>
      <c r="D308" s="115">
        <v>2</v>
      </c>
      <c r="E308" s="115">
        <v>60</v>
      </c>
      <c r="F308" s="135">
        <v>45931</v>
      </c>
      <c r="G308" s="152">
        <v>0.375</v>
      </c>
      <c r="H308" s="135">
        <v>45923</v>
      </c>
      <c r="I308" s="152">
        <v>0.75</v>
      </c>
      <c r="J308" s="153">
        <f t="shared" si="7"/>
        <v>10</v>
      </c>
      <c r="K308" s="115">
        <v>2</v>
      </c>
      <c r="L308" s="122">
        <v>50</v>
      </c>
      <c r="M308" s="132" t="s">
        <v>364</v>
      </c>
    </row>
    <row r="309" spans="1:13" ht="39.6" x14ac:dyDescent="0.25">
      <c r="A309" s="132" t="s">
        <v>365</v>
      </c>
      <c r="B309" s="122" t="s">
        <v>136</v>
      </c>
      <c r="C309" s="122" t="s">
        <v>34</v>
      </c>
      <c r="D309" s="115">
        <v>2</v>
      </c>
      <c r="E309" s="115">
        <v>60</v>
      </c>
      <c r="F309" s="135">
        <v>45931</v>
      </c>
      <c r="G309" s="152">
        <v>0.375</v>
      </c>
      <c r="H309" s="135">
        <v>45924</v>
      </c>
      <c r="I309" s="152">
        <v>0.75</v>
      </c>
      <c r="J309" s="153">
        <f t="shared" si="7"/>
        <v>0</v>
      </c>
      <c r="K309" s="115">
        <v>1</v>
      </c>
      <c r="L309" s="122">
        <v>60</v>
      </c>
      <c r="M309" s="132" t="s">
        <v>366</v>
      </c>
    </row>
    <row r="310" spans="1:13" ht="39.6" x14ac:dyDescent="0.25">
      <c r="A310" s="132" t="s">
        <v>367</v>
      </c>
      <c r="B310" s="122" t="s">
        <v>21</v>
      </c>
      <c r="C310" s="122" t="s">
        <v>22</v>
      </c>
      <c r="D310" s="115">
        <v>2</v>
      </c>
      <c r="E310" s="115">
        <v>60</v>
      </c>
      <c r="F310" s="135">
        <v>45931</v>
      </c>
      <c r="G310" s="152">
        <v>0.375</v>
      </c>
      <c r="H310" s="135">
        <v>45923</v>
      </c>
      <c r="I310" s="152">
        <v>0.375</v>
      </c>
      <c r="J310" s="153">
        <f t="shared" si="7"/>
        <v>0</v>
      </c>
      <c r="K310" s="115">
        <v>2</v>
      </c>
      <c r="L310" s="122">
        <v>60</v>
      </c>
      <c r="M310" s="132" t="s">
        <v>368</v>
      </c>
    </row>
    <row r="311" spans="1:13" ht="39.6" x14ac:dyDescent="0.25">
      <c r="A311" s="132" t="s">
        <v>369</v>
      </c>
      <c r="B311" s="122" t="s">
        <v>21</v>
      </c>
      <c r="C311" s="122" t="s">
        <v>22</v>
      </c>
      <c r="D311" s="115">
        <v>1</v>
      </c>
      <c r="E311" s="115">
        <v>60</v>
      </c>
      <c r="F311" s="135">
        <v>45931</v>
      </c>
      <c r="G311" s="152">
        <v>0.375</v>
      </c>
      <c r="H311" s="135">
        <v>45923</v>
      </c>
      <c r="I311" s="152">
        <v>0.41666666666666669</v>
      </c>
      <c r="J311" s="153">
        <f t="shared" si="7"/>
        <v>5</v>
      </c>
      <c r="K311" s="115">
        <v>2</v>
      </c>
      <c r="L311" s="122">
        <v>55</v>
      </c>
      <c r="M311" s="132" t="s">
        <v>370</v>
      </c>
    </row>
    <row r="312" spans="1:13" ht="26.4" x14ac:dyDescent="0.25">
      <c r="A312" s="132" t="s">
        <v>371</v>
      </c>
      <c r="B312" s="122" t="s">
        <v>30</v>
      </c>
      <c r="C312" s="122" t="s">
        <v>31</v>
      </c>
      <c r="D312" s="115">
        <v>1</v>
      </c>
      <c r="E312" s="115">
        <v>60</v>
      </c>
      <c r="F312" s="135">
        <v>45931</v>
      </c>
      <c r="G312" s="152">
        <v>0.375</v>
      </c>
      <c r="H312" s="135">
        <v>45925</v>
      </c>
      <c r="I312" s="152">
        <v>0.5</v>
      </c>
      <c r="J312" s="153">
        <f>E312-L312</f>
        <v>0</v>
      </c>
      <c r="K312" s="115">
        <v>2</v>
      </c>
      <c r="L312" s="122">
        <v>60</v>
      </c>
      <c r="M312" s="132" t="s">
        <v>372</v>
      </c>
    </row>
    <row r="313" spans="1:13" ht="39.6" x14ac:dyDescent="0.25">
      <c r="A313" s="132" t="s">
        <v>373</v>
      </c>
      <c r="B313" s="122" t="s">
        <v>36</v>
      </c>
      <c r="C313" s="122" t="s">
        <v>37</v>
      </c>
      <c r="D313" s="115">
        <v>1</v>
      </c>
      <c r="E313" s="115">
        <v>60</v>
      </c>
      <c r="F313" s="135">
        <v>45931</v>
      </c>
      <c r="G313" s="152">
        <v>0.375</v>
      </c>
      <c r="H313" s="135">
        <v>45923</v>
      </c>
      <c r="I313" s="152">
        <v>0.875</v>
      </c>
      <c r="J313" s="153">
        <f t="shared" si="7"/>
        <v>0</v>
      </c>
      <c r="K313" s="115">
        <v>1</v>
      </c>
      <c r="L313" s="122">
        <v>60</v>
      </c>
      <c r="M313" s="132" t="s">
        <v>374</v>
      </c>
    </row>
    <row r="314" spans="1:13" ht="26.4" x14ac:dyDescent="0.25">
      <c r="A314" s="115" t="s">
        <v>375</v>
      </c>
      <c r="B314" s="122" t="s">
        <v>39</v>
      </c>
      <c r="C314" s="122" t="s">
        <v>40</v>
      </c>
      <c r="D314" s="115">
        <v>2</v>
      </c>
      <c r="E314" s="115">
        <v>60</v>
      </c>
      <c r="F314" s="135">
        <v>45931</v>
      </c>
      <c r="G314" s="152">
        <v>0.375</v>
      </c>
      <c r="H314" s="135">
        <v>45924</v>
      </c>
      <c r="I314" s="152">
        <v>0.5</v>
      </c>
      <c r="J314" s="153">
        <f t="shared" si="7"/>
        <v>0</v>
      </c>
      <c r="K314" s="115">
        <v>2</v>
      </c>
      <c r="L314" s="122">
        <v>60</v>
      </c>
      <c r="M314" s="132" t="s">
        <v>376</v>
      </c>
    </row>
    <row r="315" spans="1:13" ht="39.6" x14ac:dyDescent="0.25">
      <c r="A315" s="132" t="s">
        <v>377</v>
      </c>
      <c r="B315" s="122" t="s">
        <v>21</v>
      </c>
      <c r="C315" s="122" t="s">
        <v>22</v>
      </c>
      <c r="D315" s="115">
        <v>2</v>
      </c>
      <c r="E315" s="115">
        <v>60</v>
      </c>
      <c r="F315" s="135">
        <v>45931</v>
      </c>
      <c r="G315" s="152">
        <v>0.375</v>
      </c>
      <c r="H315" s="135">
        <v>45923</v>
      </c>
      <c r="I315" s="152">
        <v>0.45833333333333331</v>
      </c>
      <c r="J315" s="153">
        <f t="shared" si="7"/>
        <v>0</v>
      </c>
      <c r="K315" s="115">
        <v>2</v>
      </c>
      <c r="L315" s="122">
        <v>60</v>
      </c>
      <c r="M315" s="132" t="s">
        <v>378</v>
      </c>
    </row>
    <row r="316" spans="1:13" ht="39.6" x14ac:dyDescent="0.25">
      <c r="A316" s="132" t="s">
        <v>377</v>
      </c>
      <c r="B316" s="122" t="s">
        <v>39</v>
      </c>
      <c r="C316" s="122" t="s">
        <v>40</v>
      </c>
      <c r="D316" s="115">
        <v>2</v>
      </c>
      <c r="E316" s="115">
        <v>60</v>
      </c>
      <c r="F316" s="135">
        <v>45931</v>
      </c>
      <c r="G316" s="152">
        <v>0.375</v>
      </c>
      <c r="H316" s="135">
        <v>45924</v>
      </c>
      <c r="I316" s="152">
        <v>0.54166666666666663</v>
      </c>
      <c r="J316" s="153">
        <f>E316-L316</f>
        <v>0</v>
      </c>
      <c r="K316" s="115">
        <v>2</v>
      </c>
      <c r="L316" s="122">
        <v>60</v>
      </c>
      <c r="M316" s="132" t="s">
        <v>378</v>
      </c>
    </row>
    <row r="317" spans="1:13" ht="39.6" x14ac:dyDescent="0.25">
      <c r="A317" s="132" t="s">
        <v>379</v>
      </c>
      <c r="B317" s="122" t="s">
        <v>21</v>
      </c>
      <c r="C317" s="122" t="s">
        <v>22</v>
      </c>
      <c r="D317" s="115">
        <v>2</v>
      </c>
      <c r="E317" s="115">
        <v>60</v>
      </c>
      <c r="F317" s="135">
        <v>45931</v>
      </c>
      <c r="G317" s="152">
        <v>0.375</v>
      </c>
      <c r="H317" s="135">
        <v>45923</v>
      </c>
      <c r="I317" s="152">
        <v>0.5</v>
      </c>
      <c r="J317" s="153">
        <f>E317-L317</f>
        <v>0</v>
      </c>
      <c r="K317" s="115">
        <v>2</v>
      </c>
      <c r="L317" s="122">
        <v>60</v>
      </c>
      <c r="M317" s="132" t="s">
        <v>380</v>
      </c>
    </row>
    <row r="318" spans="1:13" ht="39.6" x14ac:dyDescent="0.25">
      <c r="A318" s="132" t="s">
        <v>379</v>
      </c>
      <c r="B318" s="122" t="s">
        <v>39</v>
      </c>
      <c r="C318" s="122" t="s">
        <v>40</v>
      </c>
      <c r="D318" s="115">
        <v>2</v>
      </c>
      <c r="E318" s="115">
        <v>60</v>
      </c>
      <c r="F318" s="135">
        <v>45931</v>
      </c>
      <c r="G318" s="152">
        <v>0.375</v>
      </c>
      <c r="H318" s="135">
        <v>45924</v>
      </c>
      <c r="I318" s="152">
        <v>0.58333333333333337</v>
      </c>
      <c r="J318" s="153">
        <f t="shared" si="7"/>
        <v>0</v>
      </c>
      <c r="K318" s="115">
        <v>2</v>
      </c>
      <c r="L318" s="122">
        <v>60</v>
      </c>
      <c r="M318" s="132" t="s">
        <v>380</v>
      </c>
    </row>
    <row r="319" spans="1:13" ht="39.6" x14ac:dyDescent="0.25">
      <c r="A319" s="132" t="s">
        <v>381</v>
      </c>
      <c r="B319" s="122" t="s">
        <v>21</v>
      </c>
      <c r="C319" s="122" t="s">
        <v>22</v>
      </c>
      <c r="D319" s="115">
        <v>2</v>
      </c>
      <c r="E319" s="115">
        <v>60</v>
      </c>
      <c r="F319" s="135">
        <v>45931</v>
      </c>
      <c r="G319" s="152">
        <v>0.375</v>
      </c>
      <c r="H319" s="135">
        <v>45929</v>
      </c>
      <c r="I319" s="152">
        <v>0.54166666666666663</v>
      </c>
      <c r="J319" s="153">
        <f t="shared" si="7"/>
        <v>0</v>
      </c>
      <c r="K319" s="115">
        <v>2</v>
      </c>
      <c r="L319" s="122">
        <v>60</v>
      </c>
      <c r="M319" s="132" t="s">
        <v>382</v>
      </c>
    </row>
    <row r="320" spans="1:13" ht="39.6" x14ac:dyDescent="0.25">
      <c r="A320" s="132" t="s">
        <v>381</v>
      </c>
      <c r="B320" s="122" t="s">
        <v>39</v>
      </c>
      <c r="C320" s="122" t="s">
        <v>40</v>
      </c>
      <c r="D320" s="115">
        <v>2</v>
      </c>
      <c r="E320" s="115">
        <v>60</v>
      </c>
      <c r="F320" s="135">
        <v>45931</v>
      </c>
      <c r="G320" s="152">
        <v>0.375</v>
      </c>
      <c r="H320" s="135">
        <v>45929</v>
      </c>
      <c r="I320" s="152">
        <v>0.625</v>
      </c>
      <c r="J320" s="153">
        <f t="shared" si="7"/>
        <v>0</v>
      </c>
      <c r="K320" s="115">
        <v>2</v>
      </c>
      <c r="L320" s="122">
        <v>60</v>
      </c>
      <c r="M320" s="132" t="s">
        <v>382</v>
      </c>
    </row>
    <row r="321" spans="1:13" ht="39.6" x14ac:dyDescent="0.25">
      <c r="A321" s="132" t="s">
        <v>383</v>
      </c>
      <c r="B321" s="122" t="s">
        <v>21</v>
      </c>
      <c r="C321" s="122" t="s">
        <v>22</v>
      </c>
      <c r="D321" s="115">
        <v>2</v>
      </c>
      <c r="E321" s="115">
        <v>60</v>
      </c>
      <c r="F321" s="135">
        <v>45931</v>
      </c>
      <c r="G321" s="152">
        <v>0.375</v>
      </c>
      <c r="H321" s="135">
        <v>45929</v>
      </c>
      <c r="I321" s="152">
        <v>0.58333333333333337</v>
      </c>
      <c r="J321" s="153">
        <f t="shared" si="7"/>
        <v>0</v>
      </c>
      <c r="K321" s="115">
        <v>2</v>
      </c>
      <c r="L321" s="122">
        <v>60</v>
      </c>
      <c r="M321" s="132" t="s">
        <v>384</v>
      </c>
    </row>
    <row r="322" spans="1:13" ht="39.6" x14ac:dyDescent="0.25">
      <c r="A322" s="132" t="s">
        <v>383</v>
      </c>
      <c r="B322" s="122" t="s">
        <v>39</v>
      </c>
      <c r="C322" s="122" t="s">
        <v>40</v>
      </c>
      <c r="D322" s="115">
        <v>2</v>
      </c>
      <c r="E322" s="115">
        <v>60</v>
      </c>
      <c r="F322" s="135">
        <v>45931</v>
      </c>
      <c r="G322" s="152">
        <v>0.375</v>
      </c>
      <c r="H322" s="135">
        <v>45929</v>
      </c>
      <c r="I322" s="152">
        <v>0.66666666666666663</v>
      </c>
      <c r="J322" s="153">
        <f t="shared" si="7"/>
        <v>0</v>
      </c>
      <c r="K322" s="115">
        <v>2</v>
      </c>
      <c r="L322" s="122">
        <v>60</v>
      </c>
      <c r="M322" s="132" t="s">
        <v>384</v>
      </c>
    </row>
    <row r="323" spans="1:13" ht="26.4" x14ac:dyDescent="0.25">
      <c r="A323" s="132" t="s">
        <v>385</v>
      </c>
      <c r="B323" s="122" t="s">
        <v>21</v>
      </c>
      <c r="C323" s="122" t="s">
        <v>22</v>
      </c>
      <c r="D323" s="115">
        <v>1</v>
      </c>
      <c r="E323" s="115">
        <v>30</v>
      </c>
      <c r="F323" s="135">
        <v>45931</v>
      </c>
      <c r="G323" s="152">
        <v>0.375</v>
      </c>
      <c r="H323" s="135">
        <v>45929</v>
      </c>
      <c r="I323" s="152">
        <v>0.60416666666666663</v>
      </c>
      <c r="J323" s="153">
        <f t="shared" si="7"/>
        <v>-4</v>
      </c>
      <c r="K323" s="115">
        <v>1</v>
      </c>
      <c r="L323" s="122">
        <v>34</v>
      </c>
      <c r="M323" s="132" t="s">
        <v>386</v>
      </c>
    </row>
    <row r="324" spans="1:13" ht="26.4" x14ac:dyDescent="0.25">
      <c r="A324" s="132" t="s">
        <v>385</v>
      </c>
      <c r="B324" s="122" t="s">
        <v>39</v>
      </c>
      <c r="C324" s="122" t="s">
        <v>40</v>
      </c>
      <c r="D324" s="115">
        <v>1</v>
      </c>
      <c r="E324" s="115">
        <v>30</v>
      </c>
      <c r="F324" s="135">
        <v>45931</v>
      </c>
      <c r="G324" s="152">
        <v>0.375</v>
      </c>
      <c r="H324" s="135">
        <v>45929</v>
      </c>
      <c r="I324" s="152">
        <v>0.6875</v>
      </c>
      <c r="J324" s="153">
        <f t="shared" si="7"/>
        <v>-4</v>
      </c>
      <c r="K324" s="115">
        <v>1</v>
      </c>
      <c r="L324" s="122">
        <v>34</v>
      </c>
      <c r="M324" s="132" t="s">
        <v>386</v>
      </c>
    </row>
    <row r="325" spans="1:13" ht="26.4" x14ac:dyDescent="0.25">
      <c r="A325" s="132" t="s">
        <v>387</v>
      </c>
      <c r="B325" s="122" t="s">
        <v>36</v>
      </c>
      <c r="C325" s="122" t="s">
        <v>37</v>
      </c>
      <c r="D325" s="115">
        <v>1</v>
      </c>
      <c r="E325" s="115">
        <v>60</v>
      </c>
      <c r="F325" s="135">
        <v>45931</v>
      </c>
      <c r="G325" s="152">
        <v>0.375</v>
      </c>
      <c r="H325" s="135">
        <v>45929</v>
      </c>
      <c r="I325" s="152">
        <v>0.79166666666666663</v>
      </c>
      <c r="J325" s="153">
        <f t="shared" si="7"/>
        <v>5</v>
      </c>
      <c r="K325" s="115">
        <v>1</v>
      </c>
      <c r="L325" s="122">
        <v>55</v>
      </c>
      <c r="M325" s="132" t="s">
        <v>388</v>
      </c>
    </row>
    <row r="326" spans="1:13" ht="26.4" x14ac:dyDescent="0.25">
      <c r="A326" s="132" t="s">
        <v>387</v>
      </c>
      <c r="B326" s="122" t="s">
        <v>42</v>
      </c>
      <c r="C326" s="122" t="s">
        <v>43</v>
      </c>
      <c r="D326" s="115">
        <v>1</v>
      </c>
      <c r="E326" s="115">
        <v>60</v>
      </c>
      <c r="F326" s="135">
        <v>45931</v>
      </c>
      <c r="G326" s="152">
        <v>0.375</v>
      </c>
      <c r="H326" s="135">
        <v>45929</v>
      </c>
      <c r="I326" s="152">
        <v>0.79166666666666663</v>
      </c>
      <c r="J326" s="153">
        <f t="shared" si="7"/>
        <v>5</v>
      </c>
      <c r="K326" s="115">
        <v>1</v>
      </c>
      <c r="L326" s="122">
        <v>55</v>
      </c>
      <c r="M326" s="132" t="s">
        <v>388</v>
      </c>
    </row>
    <row r="327" spans="1:13" ht="26.4" x14ac:dyDescent="0.25">
      <c r="A327" s="132" t="s">
        <v>387</v>
      </c>
      <c r="B327" s="122" t="s">
        <v>136</v>
      </c>
      <c r="C327" s="122" t="s">
        <v>34</v>
      </c>
      <c r="D327" s="115">
        <v>1</v>
      </c>
      <c r="E327" s="115">
        <v>60</v>
      </c>
      <c r="F327" s="135">
        <v>45931</v>
      </c>
      <c r="G327" s="152">
        <v>0.375</v>
      </c>
      <c r="H327" s="135">
        <v>45929</v>
      </c>
      <c r="I327" s="152">
        <v>0.79166666666666663</v>
      </c>
      <c r="J327" s="153">
        <f t="shared" si="7"/>
        <v>5</v>
      </c>
      <c r="K327" s="115">
        <v>1</v>
      </c>
      <c r="L327" s="122">
        <v>55</v>
      </c>
      <c r="M327" s="132" t="s">
        <v>388</v>
      </c>
    </row>
    <row r="328" spans="1:13" ht="26.4" x14ac:dyDescent="0.25">
      <c r="A328" s="132" t="s">
        <v>389</v>
      </c>
      <c r="B328" s="122" t="s">
        <v>21</v>
      </c>
      <c r="C328" s="122" t="s">
        <v>22</v>
      </c>
      <c r="D328" s="115">
        <v>1</v>
      </c>
      <c r="E328" s="115">
        <v>30</v>
      </c>
      <c r="F328" s="135">
        <v>45931</v>
      </c>
      <c r="G328" s="152">
        <v>0.375</v>
      </c>
      <c r="H328" s="135">
        <v>45930</v>
      </c>
      <c r="I328" s="152">
        <v>0.58333333333333337</v>
      </c>
      <c r="J328" s="153">
        <f t="shared" si="7"/>
        <v>5</v>
      </c>
      <c r="K328" s="115">
        <v>2</v>
      </c>
      <c r="L328" s="122">
        <v>25</v>
      </c>
      <c r="M328" s="132" t="s">
        <v>390</v>
      </c>
    </row>
    <row r="329" spans="1:13" ht="26.4" x14ac:dyDescent="0.25">
      <c r="A329" s="132" t="s">
        <v>389</v>
      </c>
      <c r="B329" s="122" t="s">
        <v>39</v>
      </c>
      <c r="C329" s="122" t="s">
        <v>40</v>
      </c>
      <c r="D329" s="115">
        <v>1</v>
      </c>
      <c r="E329" s="115">
        <v>30</v>
      </c>
      <c r="F329" s="135">
        <v>45931</v>
      </c>
      <c r="G329" s="152">
        <v>0.375</v>
      </c>
      <c r="H329" s="135">
        <v>45930</v>
      </c>
      <c r="I329" s="152">
        <v>0.58333333333333337</v>
      </c>
      <c r="J329" s="153">
        <f t="shared" si="7"/>
        <v>5</v>
      </c>
      <c r="K329" s="115">
        <v>2</v>
      </c>
      <c r="L329" s="122">
        <v>25</v>
      </c>
      <c r="M329" s="132" t="s">
        <v>390</v>
      </c>
    </row>
    <row r="330" spans="1:13" ht="39.6" x14ac:dyDescent="0.25">
      <c r="A330" s="132" t="s">
        <v>391</v>
      </c>
      <c r="B330" s="122" t="s">
        <v>21</v>
      </c>
      <c r="C330" s="122" t="s">
        <v>22</v>
      </c>
      <c r="D330" s="115">
        <v>1</v>
      </c>
      <c r="E330" s="115">
        <v>30</v>
      </c>
      <c r="F330" s="135">
        <v>45931</v>
      </c>
      <c r="G330" s="152">
        <v>0.375</v>
      </c>
      <c r="H330" s="135">
        <v>45930</v>
      </c>
      <c r="I330" s="152">
        <v>0.60416666666666663</v>
      </c>
      <c r="J330" s="153">
        <f t="shared" si="7"/>
        <v>0</v>
      </c>
      <c r="K330" s="115">
        <v>2</v>
      </c>
      <c r="L330" s="122">
        <v>30</v>
      </c>
      <c r="M330" s="132" t="s">
        <v>392</v>
      </c>
    </row>
    <row r="331" spans="1:13" ht="39.6" x14ac:dyDescent="0.25">
      <c r="A331" s="132" t="s">
        <v>391</v>
      </c>
      <c r="B331" s="122" t="s">
        <v>39</v>
      </c>
      <c r="C331" s="122" t="s">
        <v>40</v>
      </c>
      <c r="D331" s="115">
        <v>1</v>
      </c>
      <c r="E331" s="115">
        <v>30</v>
      </c>
      <c r="F331" s="135">
        <v>45931</v>
      </c>
      <c r="G331" s="152">
        <v>0.375</v>
      </c>
      <c r="H331" s="135">
        <v>45930</v>
      </c>
      <c r="I331" s="152">
        <v>0.60416666666666663</v>
      </c>
      <c r="J331" s="153">
        <f t="shared" si="7"/>
        <v>0</v>
      </c>
      <c r="K331" s="115">
        <v>2</v>
      </c>
      <c r="L331" s="122">
        <v>30</v>
      </c>
      <c r="M331" s="132" t="s">
        <v>392</v>
      </c>
    </row>
    <row r="332" spans="1:13" ht="26.4" x14ac:dyDescent="0.25">
      <c r="A332" s="132" t="s">
        <v>393</v>
      </c>
      <c r="B332" s="122" t="s">
        <v>21</v>
      </c>
      <c r="C332" s="122" t="s">
        <v>22</v>
      </c>
      <c r="D332" s="115">
        <v>1</v>
      </c>
      <c r="E332" s="115">
        <v>30</v>
      </c>
      <c r="F332" s="135">
        <v>45931</v>
      </c>
      <c r="G332" s="152">
        <v>0.375</v>
      </c>
      <c r="H332" s="135">
        <v>45930</v>
      </c>
      <c r="I332" s="152">
        <v>0.625</v>
      </c>
      <c r="J332" s="153">
        <f t="shared" si="7"/>
        <v>0</v>
      </c>
      <c r="K332" s="115">
        <v>2</v>
      </c>
      <c r="L332" s="122">
        <v>30</v>
      </c>
      <c r="M332" s="132" t="s">
        <v>394</v>
      </c>
    </row>
    <row r="333" spans="1:13" ht="26.4" x14ac:dyDescent="0.25">
      <c r="A333" s="132" t="s">
        <v>393</v>
      </c>
      <c r="B333" s="122" t="s">
        <v>39</v>
      </c>
      <c r="C333" s="122" t="s">
        <v>40</v>
      </c>
      <c r="D333" s="115">
        <v>1</v>
      </c>
      <c r="E333" s="115">
        <v>30</v>
      </c>
      <c r="F333" s="135">
        <v>45931</v>
      </c>
      <c r="G333" s="152">
        <v>0.375</v>
      </c>
      <c r="H333" s="135">
        <v>45930</v>
      </c>
      <c r="I333" s="152">
        <v>0.625</v>
      </c>
      <c r="J333" s="153">
        <f t="shared" si="7"/>
        <v>0</v>
      </c>
      <c r="K333" s="115">
        <v>2</v>
      </c>
      <c r="L333" s="122">
        <v>30</v>
      </c>
      <c r="M333" s="132" t="s">
        <v>394</v>
      </c>
    </row>
    <row r="334" spans="1:13" ht="39.6" x14ac:dyDescent="0.25">
      <c r="A334" s="132" t="s">
        <v>395</v>
      </c>
      <c r="B334" s="122" t="s">
        <v>21</v>
      </c>
      <c r="C334" s="122" t="s">
        <v>22</v>
      </c>
      <c r="D334" s="115">
        <v>1</v>
      </c>
      <c r="E334" s="115">
        <v>30</v>
      </c>
      <c r="F334" s="135">
        <v>45931</v>
      </c>
      <c r="G334" s="152">
        <v>0.375</v>
      </c>
      <c r="H334" s="135">
        <v>45930</v>
      </c>
      <c r="I334" s="152">
        <v>0.64583333333333337</v>
      </c>
      <c r="J334" s="153">
        <f>E334-L334</f>
        <v>5</v>
      </c>
      <c r="K334" s="115">
        <v>2</v>
      </c>
      <c r="L334" s="122">
        <v>25</v>
      </c>
      <c r="M334" s="132" t="s">
        <v>396</v>
      </c>
    </row>
    <row r="335" spans="1:13" ht="39.6" x14ac:dyDescent="0.25">
      <c r="A335" s="132" t="s">
        <v>395</v>
      </c>
      <c r="B335" s="122" t="s">
        <v>39</v>
      </c>
      <c r="C335" s="122" t="s">
        <v>40</v>
      </c>
      <c r="D335" s="115">
        <v>1</v>
      </c>
      <c r="E335" s="115">
        <v>30</v>
      </c>
      <c r="F335" s="135">
        <v>45931</v>
      </c>
      <c r="G335" s="152">
        <v>0.375</v>
      </c>
      <c r="H335" s="135">
        <v>45930</v>
      </c>
      <c r="I335" s="152">
        <v>0.64583333333333337</v>
      </c>
      <c r="J335" s="153">
        <f t="shared" ref="J335" si="8">E335-L335</f>
        <v>5</v>
      </c>
      <c r="K335" s="115">
        <v>2</v>
      </c>
      <c r="L335" s="122">
        <v>25</v>
      </c>
      <c r="M335" s="132" t="s">
        <v>396</v>
      </c>
    </row>
    <row r="336" spans="1:13" ht="39.6" x14ac:dyDescent="0.25">
      <c r="A336" s="132" t="s">
        <v>468</v>
      </c>
      <c r="B336" s="122" t="s">
        <v>39</v>
      </c>
      <c r="C336" s="122" t="s">
        <v>40</v>
      </c>
      <c r="D336" s="115">
        <v>1</v>
      </c>
      <c r="E336" s="115">
        <v>30</v>
      </c>
      <c r="F336" s="135">
        <v>45931</v>
      </c>
      <c r="G336" s="152">
        <v>0.375</v>
      </c>
      <c r="H336" s="135">
        <v>45930</v>
      </c>
      <c r="I336" s="152">
        <v>0.6875</v>
      </c>
      <c r="J336" s="153">
        <f t="shared" si="7"/>
        <v>5</v>
      </c>
      <c r="K336" s="115">
        <v>2</v>
      </c>
      <c r="L336" s="122">
        <v>25</v>
      </c>
      <c r="M336" s="132" t="s">
        <v>470</v>
      </c>
    </row>
    <row r="337" spans="1:13" ht="26.4" x14ac:dyDescent="0.25">
      <c r="A337" s="125" t="s">
        <v>471</v>
      </c>
      <c r="B337" s="122" t="s">
        <v>36</v>
      </c>
      <c r="C337" s="122" t="s">
        <v>37</v>
      </c>
      <c r="D337" s="115">
        <v>1</v>
      </c>
      <c r="E337" s="115">
        <v>30</v>
      </c>
      <c r="F337" s="135">
        <v>45931</v>
      </c>
      <c r="G337" s="152">
        <v>0.375</v>
      </c>
      <c r="H337" s="135">
        <v>45930</v>
      </c>
      <c r="I337" s="152">
        <v>0.79166666666666663</v>
      </c>
      <c r="J337" s="153">
        <f t="shared" si="7"/>
        <v>0</v>
      </c>
      <c r="K337" s="115">
        <v>3</v>
      </c>
      <c r="L337" s="122">
        <v>30</v>
      </c>
      <c r="M337" s="132" t="s">
        <v>472</v>
      </c>
    </row>
    <row r="338" spans="1:13" ht="26.4" x14ac:dyDescent="0.25">
      <c r="A338" s="134" t="s">
        <v>123</v>
      </c>
      <c r="B338" s="114" t="s">
        <v>36</v>
      </c>
      <c r="C338" s="114" t="s">
        <v>37</v>
      </c>
      <c r="D338" s="132">
        <v>1</v>
      </c>
      <c r="E338" s="132">
        <v>20</v>
      </c>
      <c r="F338" s="60">
        <v>45931</v>
      </c>
      <c r="G338" s="164">
        <v>0.375</v>
      </c>
      <c r="H338" s="60">
        <v>45930</v>
      </c>
      <c r="I338" s="164">
        <v>0.80555555555555558</v>
      </c>
      <c r="J338" s="153">
        <f>E338-L338</f>
        <v>0</v>
      </c>
      <c r="K338" s="115">
        <v>1</v>
      </c>
      <c r="L338" s="149">
        <v>20</v>
      </c>
      <c r="M338" s="165" t="s">
        <v>124</v>
      </c>
    </row>
    <row r="339" spans="1:13" ht="26.4" x14ac:dyDescent="0.25">
      <c r="A339" s="125" t="s">
        <v>123</v>
      </c>
      <c r="B339" s="114" t="s">
        <v>143</v>
      </c>
      <c r="C339" s="114" t="s">
        <v>43</v>
      </c>
      <c r="D339" s="132">
        <v>1</v>
      </c>
      <c r="E339" s="132">
        <v>20</v>
      </c>
      <c r="F339" s="60">
        <v>45931</v>
      </c>
      <c r="G339" s="164">
        <v>0.375</v>
      </c>
      <c r="H339" s="60">
        <v>45930</v>
      </c>
      <c r="I339" s="164">
        <v>0.80555555555555558</v>
      </c>
      <c r="J339" s="153">
        <f t="shared" ref="J339:J360" si="9">E339-L339</f>
        <v>0</v>
      </c>
      <c r="K339" s="115">
        <v>1</v>
      </c>
      <c r="L339" s="149">
        <v>20</v>
      </c>
      <c r="M339" s="165" t="s">
        <v>124</v>
      </c>
    </row>
    <row r="340" spans="1:13" ht="26.4" x14ac:dyDescent="0.25">
      <c r="A340" s="97" t="s">
        <v>175</v>
      </c>
      <c r="B340" s="120" t="s">
        <v>36</v>
      </c>
      <c r="C340" s="120" t="s">
        <v>37</v>
      </c>
      <c r="D340" s="115">
        <v>1</v>
      </c>
      <c r="E340" s="115">
        <v>30</v>
      </c>
      <c r="F340" s="97">
        <v>45931</v>
      </c>
      <c r="G340" s="164">
        <v>0.375</v>
      </c>
      <c r="H340" s="97">
        <v>45930</v>
      </c>
      <c r="I340" s="156">
        <v>0.83333333333333337</v>
      </c>
      <c r="J340" s="115">
        <f t="shared" si="9"/>
        <v>6</v>
      </c>
      <c r="K340" s="148">
        <v>1</v>
      </c>
      <c r="L340" s="159">
        <v>24</v>
      </c>
      <c r="M340" s="162" t="s">
        <v>176</v>
      </c>
    </row>
    <row r="341" spans="1:13" ht="26.4" x14ac:dyDescent="0.25">
      <c r="A341" s="97" t="s">
        <v>177</v>
      </c>
      <c r="B341" s="120" t="s">
        <v>39</v>
      </c>
      <c r="C341" s="120" t="s">
        <v>40</v>
      </c>
      <c r="D341" s="115">
        <v>1</v>
      </c>
      <c r="E341" s="115">
        <v>30</v>
      </c>
      <c r="F341" s="97">
        <v>45931</v>
      </c>
      <c r="G341" s="164">
        <v>0.375</v>
      </c>
      <c r="H341" s="97">
        <v>45930</v>
      </c>
      <c r="I341" s="156">
        <v>0.83333333333333337</v>
      </c>
      <c r="J341" s="115">
        <f t="shared" si="9"/>
        <v>0</v>
      </c>
      <c r="K341" s="148">
        <v>1</v>
      </c>
      <c r="L341" s="159">
        <v>30</v>
      </c>
      <c r="M341" s="162" t="s">
        <v>178</v>
      </c>
    </row>
    <row r="342" spans="1:13" ht="39.6" x14ac:dyDescent="0.25">
      <c r="A342" s="60" t="s">
        <v>179</v>
      </c>
      <c r="B342" s="120" t="s">
        <v>39</v>
      </c>
      <c r="C342" s="120" t="s">
        <v>40</v>
      </c>
      <c r="D342" s="115">
        <v>5</v>
      </c>
      <c r="E342" s="115">
        <v>50</v>
      </c>
      <c r="F342" s="97">
        <v>45931</v>
      </c>
      <c r="G342" s="164">
        <v>0.375</v>
      </c>
      <c r="H342" s="97">
        <v>45930</v>
      </c>
      <c r="I342" s="156">
        <v>0.86805555555555558</v>
      </c>
      <c r="J342" s="115">
        <f t="shared" si="9"/>
        <v>5</v>
      </c>
      <c r="K342" s="148">
        <v>5</v>
      </c>
      <c r="L342" s="159">
        <v>45</v>
      </c>
      <c r="M342" s="162" t="s">
        <v>180</v>
      </c>
    </row>
    <row r="343" spans="1:13" ht="39.6" x14ac:dyDescent="0.25">
      <c r="A343" s="124" t="s">
        <v>146</v>
      </c>
      <c r="B343" s="114" t="s">
        <v>30</v>
      </c>
      <c r="C343" s="114" t="s">
        <v>31</v>
      </c>
      <c r="D343" s="163">
        <v>1</v>
      </c>
      <c r="E343" s="132">
        <v>60</v>
      </c>
      <c r="F343" s="60">
        <v>45931</v>
      </c>
      <c r="G343" s="164">
        <v>0.375</v>
      </c>
      <c r="H343" s="60">
        <v>45930</v>
      </c>
      <c r="I343" s="164">
        <v>0.91666666666666663</v>
      </c>
      <c r="J343" s="153">
        <f t="shared" si="9"/>
        <v>50</v>
      </c>
      <c r="K343" s="115">
        <v>1</v>
      </c>
      <c r="L343" s="149">
        <v>10</v>
      </c>
      <c r="M343" s="162" t="s">
        <v>149</v>
      </c>
    </row>
    <row r="344" spans="1:13" ht="39.6" x14ac:dyDescent="0.25">
      <c r="A344" s="124" t="s">
        <v>146</v>
      </c>
      <c r="B344" s="114" t="s">
        <v>42</v>
      </c>
      <c r="C344" s="114" t="s">
        <v>43</v>
      </c>
      <c r="D344" s="163">
        <v>1</v>
      </c>
      <c r="E344" s="132">
        <v>60</v>
      </c>
      <c r="F344" s="60">
        <v>45931</v>
      </c>
      <c r="G344" s="164">
        <v>0.375</v>
      </c>
      <c r="H344" s="60">
        <v>45930</v>
      </c>
      <c r="I344" s="164">
        <v>0.91666666666666663</v>
      </c>
      <c r="J344" s="153">
        <f t="shared" si="9"/>
        <v>50</v>
      </c>
      <c r="K344" s="115">
        <v>1</v>
      </c>
      <c r="L344" s="149">
        <v>10</v>
      </c>
      <c r="M344" s="162" t="s">
        <v>149</v>
      </c>
    </row>
    <row r="345" spans="1:13" ht="39.6" x14ac:dyDescent="0.25">
      <c r="A345" s="124" t="s">
        <v>146</v>
      </c>
      <c r="B345" s="114" t="s">
        <v>21</v>
      </c>
      <c r="C345" s="114" t="s">
        <v>22</v>
      </c>
      <c r="D345" s="163">
        <v>1</v>
      </c>
      <c r="E345" s="132">
        <v>60</v>
      </c>
      <c r="F345" s="60">
        <v>45931</v>
      </c>
      <c r="G345" s="164">
        <v>0.375</v>
      </c>
      <c r="H345" s="60">
        <v>45930</v>
      </c>
      <c r="I345" s="164">
        <v>0.91666666666666663</v>
      </c>
      <c r="J345" s="153">
        <f t="shared" si="9"/>
        <v>50</v>
      </c>
      <c r="K345" s="115">
        <v>1</v>
      </c>
      <c r="L345" s="149">
        <v>10</v>
      </c>
      <c r="M345" s="162" t="s">
        <v>149</v>
      </c>
    </row>
    <row r="346" spans="1:13" ht="39.6" x14ac:dyDescent="0.25">
      <c r="A346" s="124" t="s">
        <v>146</v>
      </c>
      <c r="B346" s="114" t="s">
        <v>136</v>
      </c>
      <c r="C346" s="114" t="s">
        <v>34</v>
      </c>
      <c r="D346" s="163">
        <v>1</v>
      </c>
      <c r="E346" s="132">
        <v>60</v>
      </c>
      <c r="F346" s="60">
        <v>45931</v>
      </c>
      <c r="G346" s="164">
        <v>0.375</v>
      </c>
      <c r="H346" s="60">
        <v>45930</v>
      </c>
      <c r="I346" s="164">
        <v>0.91666666666666663</v>
      </c>
      <c r="J346" s="153">
        <f t="shared" si="9"/>
        <v>50</v>
      </c>
      <c r="K346" s="115">
        <v>1</v>
      </c>
      <c r="L346" s="149">
        <v>10</v>
      </c>
      <c r="M346" s="162" t="s">
        <v>149</v>
      </c>
    </row>
    <row r="347" spans="1:13" ht="39.6" x14ac:dyDescent="0.25">
      <c r="A347" s="124" t="s">
        <v>146</v>
      </c>
      <c r="B347" s="114" t="s">
        <v>36</v>
      </c>
      <c r="C347" s="114" t="s">
        <v>37</v>
      </c>
      <c r="D347" s="163">
        <v>1</v>
      </c>
      <c r="E347" s="132">
        <v>60</v>
      </c>
      <c r="F347" s="60">
        <v>45931</v>
      </c>
      <c r="G347" s="164">
        <v>0.375</v>
      </c>
      <c r="H347" s="60">
        <v>45930</v>
      </c>
      <c r="I347" s="164">
        <v>0.91666666666666663</v>
      </c>
      <c r="J347" s="153">
        <f t="shared" si="9"/>
        <v>50</v>
      </c>
      <c r="K347" s="115">
        <v>1</v>
      </c>
      <c r="L347" s="149">
        <v>10</v>
      </c>
      <c r="M347" s="162" t="s">
        <v>149</v>
      </c>
    </row>
    <row r="348" spans="1:13" ht="39.6" x14ac:dyDescent="0.25">
      <c r="A348" s="124" t="s">
        <v>146</v>
      </c>
      <c r="B348" s="114" t="s">
        <v>39</v>
      </c>
      <c r="C348" s="114" t="s">
        <v>40</v>
      </c>
      <c r="D348" s="163">
        <v>1</v>
      </c>
      <c r="E348" s="132">
        <v>60</v>
      </c>
      <c r="F348" s="60">
        <v>45931</v>
      </c>
      <c r="G348" s="164">
        <v>0.375</v>
      </c>
      <c r="H348" s="60">
        <v>45930</v>
      </c>
      <c r="I348" s="164">
        <v>0.91666666666666663</v>
      </c>
      <c r="J348" s="153">
        <f t="shared" si="9"/>
        <v>50</v>
      </c>
      <c r="K348" s="115">
        <v>1</v>
      </c>
      <c r="L348" s="149">
        <v>10</v>
      </c>
      <c r="M348" s="162" t="s">
        <v>149</v>
      </c>
    </row>
    <row r="349" spans="1:13" ht="26.4" x14ac:dyDescent="0.25">
      <c r="A349" s="124" t="s">
        <v>52</v>
      </c>
      <c r="B349" s="114" t="s">
        <v>21</v>
      </c>
      <c r="C349" s="114" t="s">
        <v>22</v>
      </c>
      <c r="D349" s="163">
        <v>1</v>
      </c>
      <c r="E349" s="132">
        <v>30</v>
      </c>
      <c r="F349" s="60">
        <v>45931</v>
      </c>
      <c r="G349" s="164">
        <v>0.375</v>
      </c>
      <c r="H349" s="60">
        <v>45930</v>
      </c>
      <c r="I349" s="164">
        <v>0.91666666666666663</v>
      </c>
      <c r="J349" s="153">
        <f t="shared" si="9"/>
        <v>0</v>
      </c>
      <c r="K349" s="115">
        <v>1</v>
      </c>
      <c r="L349" s="149">
        <v>30</v>
      </c>
      <c r="M349" s="162" t="s">
        <v>53</v>
      </c>
    </row>
    <row r="350" spans="1:13" ht="26.4" x14ac:dyDescent="0.25">
      <c r="A350" s="124" t="s">
        <v>153</v>
      </c>
      <c r="B350" s="114" t="s">
        <v>36</v>
      </c>
      <c r="C350" s="114" t="s">
        <v>37</v>
      </c>
      <c r="D350" s="163">
        <v>1</v>
      </c>
      <c r="E350" s="117">
        <v>30</v>
      </c>
      <c r="F350" s="60">
        <v>45931</v>
      </c>
      <c r="G350" s="164">
        <v>0.375</v>
      </c>
      <c r="H350" s="60">
        <v>45930</v>
      </c>
      <c r="I350" s="164">
        <v>0.91666666666666663</v>
      </c>
      <c r="J350" s="153">
        <f t="shared" si="9"/>
        <v>0</v>
      </c>
      <c r="K350" s="115">
        <v>1</v>
      </c>
      <c r="L350" s="149">
        <v>30</v>
      </c>
      <c r="M350" s="162" t="s">
        <v>53</v>
      </c>
    </row>
    <row r="351" spans="1:13" ht="26.4" x14ac:dyDescent="0.25">
      <c r="A351" s="124" t="s">
        <v>79</v>
      </c>
      <c r="B351" s="114" t="s">
        <v>36</v>
      </c>
      <c r="C351" s="114" t="s">
        <v>37</v>
      </c>
      <c r="D351" s="163">
        <v>1</v>
      </c>
      <c r="E351" s="132">
        <v>45</v>
      </c>
      <c r="F351" s="60">
        <v>45931</v>
      </c>
      <c r="G351" s="164">
        <v>0.375</v>
      </c>
      <c r="H351" s="60">
        <v>45930</v>
      </c>
      <c r="I351" s="164">
        <v>0.9375</v>
      </c>
      <c r="J351" s="153">
        <f t="shared" si="9"/>
        <v>-35</v>
      </c>
      <c r="K351" s="115">
        <v>1</v>
      </c>
      <c r="L351" s="149">
        <v>80</v>
      </c>
      <c r="M351" s="162" t="s">
        <v>81</v>
      </c>
    </row>
    <row r="352" spans="1:13" ht="26.4" x14ac:dyDescent="0.25">
      <c r="A352" s="124" t="s">
        <v>85</v>
      </c>
      <c r="B352" s="114" t="s">
        <v>21</v>
      </c>
      <c r="C352" s="114" t="s">
        <v>22</v>
      </c>
      <c r="D352" s="163">
        <v>1</v>
      </c>
      <c r="E352" s="132">
        <v>60</v>
      </c>
      <c r="F352" s="60">
        <v>45931</v>
      </c>
      <c r="G352" s="164">
        <v>0.375</v>
      </c>
      <c r="H352" s="60">
        <v>45930</v>
      </c>
      <c r="I352" s="164">
        <v>0.9375</v>
      </c>
      <c r="J352" s="153">
        <f t="shared" si="9"/>
        <v>10</v>
      </c>
      <c r="K352" s="115">
        <v>1</v>
      </c>
      <c r="L352" s="149">
        <v>50</v>
      </c>
      <c r="M352" s="162" t="s">
        <v>87</v>
      </c>
    </row>
    <row r="353" spans="1:14" x14ac:dyDescent="0.25">
      <c r="A353" s="124" t="s">
        <v>88</v>
      </c>
      <c r="B353" s="114" t="s">
        <v>21</v>
      </c>
      <c r="C353" s="114" t="s">
        <v>22</v>
      </c>
      <c r="D353" s="163">
        <v>1</v>
      </c>
      <c r="E353" s="132">
        <v>55</v>
      </c>
      <c r="F353" s="60">
        <v>45931</v>
      </c>
      <c r="G353" s="164">
        <v>0.375</v>
      </c>
      <c r="H353" s="60">
        <v>45930</v>
      </c>
      <c r="I353" s="164">
        <v>0.9375</v>
      </c>
      <c r="J353" s="153">
        <f t="shared" si="9"/>
        <v>0</v>
      </c>
      <c r="K353" s="115">
        <v>1</v>
      </c>
      <c r="L353" s="149">
        <v>55</v>
      </c>
      <c r="M353" s="162" t="s">
        <v>89</v>
      </c>
    </row>
    <row r="354" spans="1:14" ht="26.4" x14ac:dyDescent="0.25">
      <c r="A354" s="128" t="s">
        <v>131</v>
      </c>
      <c r="B354" s="114" t="s">
        <v>36</v>
      </c>
      <c r="C354" s="114" t="s">
        <v>37</v>
      </c>
      <c r="D354" s="132">
        <v>1</v>
      </c>
      <c r="E354" s="132">
        <v>30</v>
      </c>
      <c r="F354" s="60">
        <v>45931</v>
      </c>
      <c r="G354" s="164">
        <v>0.375</v>
      </c>
      <c r="H354" s="60">
        <v>45930</v>
      </c>
      <c r="I354" s="164">
        <v>0.9375</v>
      </c>
      <c r="J354" s="153">
        <f t="shared" si="9"/>
        <v>-2</v>
      </c>
      <c r="K354" s="115">
        <v>1</v>
      </c>
      <c r="L354" s="149">
        <v>32</v>
      </c>
      <c r="M354" s="162" t="s">
        <v>132</v>
      </c>
    </row>
    <row r="355" spans="1:14" ht="26.4" x14ac:dyDescent="0.25">
      <c r="A355" s="128" t="s">
        <v>131</v>
      </c>
      <c r="B355" s="114" t="s">
        <v>42</v>
      </c>
      <c r="C355" s="114" t="s">
        <v>43</v>
      </c>
      <c r="D355" s="132">
        <v>1</v>
      </c>
      <c r="E355" s="132">
        <v>30</v>
      </c>
      <c r="F355" s="60">
        <v>45931</v>
      </c>
      <c r="G355" s="164">
        <v>0.375</v>
      </c>
      <c r="H355" s="60">
        <v>45930</v>
      </c>
      <c r="I355" s="164">
        <v>0.9375</v>
      </c>
      <c r="J355" s="153">
        <f t="shared" si="9"/>
        <v>-2</v>
      </c>
      <c r="K355" s="115">
        <v>1</v>
      </c>
      <c r="L355" s="149">
        <v>32</v>
      </c>
      <c r="M355" s="162" t="s">
        <v>132</v>
      </c>
    </row>
    <row r="356" spans="1:14" ht="26.4" x14ac:dyDescent="0.25">
      <c r="A356" s="128" t="s">
        <v>131</v>
      </c>
      <c r="B356" s="114" t="s">
        <v>30</v>
      </c>
      <c r="C356" s="114" t="s">
        <v>31</v>
      </c>
      <c r="D356" s="132">
        <v>1</v>
      </c>
      <c r="E356" s="132">
        <v>30</v>
      </c>
      <c r="F356" s="60">
        <v>45931</v>
      </c>
      <c r="G356" s="164">
        <v>0.375</v>
      </c>
      <c r="H356" s="60">
        <v>45930</v>
      </c>
      <c r="I356" s="164">
        <v>0.9375</v>
      </c>
      <c r="J356" s="153">
        <f t="shared" si="9"/>
        <v>-2</v>
      </c>
      <c r="K356" s="115">
        <v>1</v>
      </c>
      <c r="L356" s="149">
        <v>32</v>
      </c>
      <c r="M356" s="162" t="s">
        <v>132</v>
      </c>
    </row>
    <row r="357" spans="1:14" ht="26.4" x14ac:dyDescent="0.25">
      <c r="A357" s="128" t="s">
        <v>131</v>
      </c>
      <c r="B357" s="114" t="s">
        <v>21</v>
      </c>
      <c r="C357" s="114" t="s">
        <v>22</v>
      </c>
      <c r="D357" s="132">
        <v>1</v>
      </c>
      <c r="E357" s="132">
        <v>30</v>
      </c>
      <c r="F357" s="60">
        <v>45931</v>
      </c>
      <c r="G357" s="164">
        <v>0.375</v>
      </c>
      <c r="H357" s="60">
        <v>45930</v>
      </c>
      <c r="I357" s="164">
        <v>0.9375</v>
      </c>
      <c r="J357" s="153">
        <f t="shared" si="9"/>
        <v>-2</v>
      </c>
      <c r="K357" s="115">
        <v>1</v>
      </c>
      <c r="L357" s="149">
        <v>32</v>
      </c>
      <c r="M357" s="162" t="s">
        <v>132</v>
      </c>
    </row>
    <row r="358" spans="1:14" ht="26.4" x14ac:dyDescent="0.25">
      <c r="A358" s="128" t="s">
        <v>131</v>
      </c>
      <c r="B358" s="114" t="s">
        <v>136</v>
      </c>
      <c r="C358" s="114" t="s">
        <v>34</v>
      </c>
      <c r="D358" s="132">
        <v>1</v>
      </c>
      <c r="E358" s="132">
        <v>30</v>
      </c>
      <c r="F358" s="60">
        <v>45931</v>
      </c>
      <c r="G358" s="164">
        <v>0.375</v>
      </c>
      <c r="H358" s="60">
        <v>45930</v>
      </c>
      <c r="I358" s="164">
        <v>0.9375</v>
      </c>
      <c r="J358" s="153">
        <f t="shared" si="9"/>
        <v>-2</v>
      </c>
      <c r="K358" s="115">
        <v>1</v>
      </c>
      <c r="L358" s="149">
        <v>32</v>
      </c>
      <c r="M358" s="162" t="s">
        <v>132</v>
      </c>
    </row>
    <row r="359" spans="1:14" ht="26.4" x14ac:dyDescent="0.25">
      <c r="A359" s="128" t="s">
        <v>131</v>
      </c>
      <c r="B359" s="114" t="s">
        <v>39</v>
      </c>
      <c r="C359" s="114" t="s">
        <v>40</v>
      </c>
      <c r="D359" s="132">
        <v>1</v>
      </c>
      <c r="E359" s="132">
        <v>30</v>
      </c>
      <c r="F359" s="60">
        <v>45931</v>
      </c>
      <c r="G359" s="164">
        <v>0.375</v>
      </c>
      <c r="H359" s="60">
        <v>45930</v>
      </c>
      <c r="I359" s="164">
        <v>0.9375</v>
      </c>
      <c r="J359" s="153">
        <f t="shared" si="9"/>
        <v>-2</v>
      </c>
      <c r="K359" s="115">
        <v>1</v>
      </c>
      <c r="L359" s="149">
        <v>32</v>
      </c>
      <c r="M359" s="162" t="s">
        <v>132</v>
      </c>
    </row>
    <row r="360" spans="1:14" ht="26.4" x14ac:dyDescent="0.25">
      <c r="A360" s="128" t="s">
        <v>133</v>
      </c>
      <c r="B360" s="114" t="s">
        <v>21</v>
      </c>
      <c r="C360" s="114" t="s">
        <v>22</v>
      </c>
      <c r="D360" s="132">
        <v>3</v>
      </c>
      <c r="E360" s="132">
        <v>20</v>
      </c>
      <c r="F360" s="60">
        <v>45931</v>
      </c>
      <c r="G360" s="164">
        <v>0.375</v>
      </c>
      <c r="H360" s="60">
        <v>45931</v>
      </c>
      <c r="I360" s="164">
        <v>0.375</v>
      </c>
      <c r="J360" s="153">
        <f t="shared" si="9"/>
        <v>5</v>
      </c>
      <c r="K360" s="115">
        <v>3</v>
      </c>
      <c r="L360" s="149">
        <v>15</v>
      </c>
      <c r="M360" s="162" t="s">
        <v>134</v>
      </c>
    </row>
    <row r="361" spans="1:14" ht="26.4" x14ac:dyDescent="0.25">
      <c r="A361" s="124" t="s">
        <v>466</v>
      </c>
      <c r="B361" s="114" t="s">
        <v>36</v>
      </c>
      <c r="C361" s="114" t="s">
        <v>37</v>
      </c>
      <c r="D361" s="163">
        <v>1</v>
      </c>
      <c r="E361" s="132">
        <v>30</v>
      </c>
      <c r="F361" s="60">
        <v>45938</v>
      </c>
      <c r="G361" s="164">
        <v>0.375</v>
      </c>
      <c r="H361" s="60">
        <v>45936</v>
      </c>
      <c r="I361" s="164">
        <v>0.79166666666666663</v>
      </c>
      <c r="J361" s="153">
        <f>E361-L361</f>
        <v>0</v>
      </c>
      <c r="K361" s="115">
        <v>1</v>
      </c>
      <c r="L361" s="149">
        <v>30</v>
      </c>
      <c r="M361" s="162" t="s">
        <v>75</v>
      </c>
      <c r="N361" s="117" t="s">
        <v>593</v>
      </c>
    </row>
    <row r="362" spans="1:14" ht="39.6" x14ac:dyDescent="0.25">
      <c r="A362" s="124" t="s">
        <v>466</v>
      </c>
      <c r="B362" s="114" t="s">
        <v>30</v>
      </c>
      <c r="C362" s="114" t="s">
        <v>31</v>
      </c>
      <c r="D362" s="163">
        <v>1</v>
      </c>
      <c r="E362" s="132">
        <v>30</v>
      </c>
      <c r="F362" s="60">
        <v>45938</v>
      </c>
      <c r="G362" s="164">
        <v>0.375</v>
      </c>
      <c r="H362" s="60">
        <v>45936</v>
      </c>
      <c r="I362" s="164">
        <v>0.79166666666666663</v>
      </c>
      <c r="J362" s="153">
        <f>E362-L362</f>
        <v>0</v>
      </c>
      <c r="K362" s="115">
        <v>1</v>
      </c>
      <c r="L362" s="149">
        <v>30</v>
      </c>
      <c r="M362" s="162" t="s">
        <v>467</v>
      </c>
    </row>
    <row r="363" spans="1:14" ht="26.4" x14ac:dyDescent="0.25">
      <c r="A363" s="132" t="s">
        <v>397</v>
      </c>
      <c r="B363" s="122" t="s">
        <v>42</v>
      </c>
      <c r="C363" s="122" t="s">
        <v>43</v>
      </c>
      <c r="D363" s="163">
        <v>1</v>
      </c>
      <c r="E363" s="132">
        <v>30</v>
      </c>
      <c r="F363" s="135">
        <v>45938</v>
      </c>
      <c r="G363" s="152">
        <v>0.375</v>
      </c>
      <c r="H363" s="135">
        <v>45936</v>
      </c>
      <c r="I363" s="152">
        <v>0.54166666666666663</v>
      </c>
      <c r="J363" s="153">
        <f t="shared" ref="J363:J417" si="10">E363-L363</f>
        <v>0</v>
      </c>
      <c r="K363" s="115">
        <v>1</v>
      </c>
      <c r="L363" s="122">
        <v>30</v>
      </c>
      <c r="M363" s="132" t="s">
        <v>398</v>
      </c>
    </row>
    <row r="364" spans="1:14" ht="26.4" x14ac:dyDescent="0.25">
      <c r="A364" s="132" t="s">
        <v>399</v>
      </c>
      <c r="B364" s="122" t="s">
        <v>42</v>
      </c>
      <c r="C364" s="122" t="s">
        <v>43</v>
      </c>
      <c r="D364" s="163">
        <v>1</v>
      </c>
      <c r="E364" s="132">
        <v>30</v>
      </c>
      <c r="F364" s="135">
        <v>45938</v>
      </c>
      <c r="G364" s="152">
        <v>0.375</v>
      </c>
      <c r="H364" s="135">
        <v>45936</v>
      </c>
      <c r="I364" s="152">
        <v>0.5625</v>
      </c>
      <c r="J364" s="153">
        <f t="shared" si="10"/>
        <v>2</v>
      </c>
      <c r="K364" s="115">
        <v>1</v>
      </c>
      <c r="L364" s="122">
        <v>28</v>
      </c>
      <c r="M364" s="132" t="s">
        <v>400</v>
      </c>
    </row>
    <row r="365" spans="1:14" ht="26.4" x14ac:dyDescent="0.25">
      <c r="A365" s="135" t="s">
        <v>401</v>
      </c>
      <c r="B365" s="122" t="s">
        <v>42</v>
      </c>
      <c r="C365" s="122" t="s">
        <v>43</v>
      </c>
      <c r="D365" s="163">
        <v>1</v>
      </c>
      <c r="E365" s="132">
        <v>30</v>
      </c>
      <c r="F365" s="135">
        <v>45938</v>
      </c>
      <c r="G365" s="152">
        <v>0.375</v>
      </c>
      <c r="H365" s="135">
        <v>45936</v>
      </c>
      <c r="I365" s="152">
        <v>0.58333333333333337</v>
      </c>
      <c r="J365" s="153">
        <f t="shared" si="10"/>
        <v>0</v>
      </c>
      <c r="K365" s="115">
        <v>1</v>
      </c>
      <c r="L365" s="122">
        <v>30</v>
      </c>
      <c r="M365" s="132" t="s">
        <v>403</v>
      </c>
    </row>
    <row r="366" spans="1:14" ht="39.6" x14ac:dyDescent="0.25">
      <c r="A366" s="132" t="s">
        <v>402</v>
      </c>
      <c r="B366" s="122" t="s">
        <v>42</v>
      </c>
      <c r="C366" s="122" t="s">
        <v>43</v>
      </c>
      <c r="D366" s="163">
        <v>1</v>
      </c>
      <c r="E366" s="132">
        <v>30</v>
      </c>
      <c r="F366" s="135">
        <v>45938</v>
      </c>
      <c r="G366" s="152">
        <v>0.375</v>
      </c>
      <c r="H366" s="135">
        <v>45936</v>
      </c>
      <c r="I366" s="152">
        <v>0.60416666666666663</v>
      </c>
      <c r="J366" s="153">
        <f t="shared" si="10"/>
        <v>7</v>
      </c>
      <c r="K366" s="115">
        <v>2</v>
      </c>
      <c r="L366" s="122">
        <v>23</v>
      </c>
      <c r="M366" s="132" t="s">
        <v>404</v>
      </c>
    </row>
    <row r="367" spans="1:14" ht="26.4" x14ac:dyDescent="0.25">
      <c r="A367" s="132" t="s">
        <v>405</v>
      </c>
      <c r="B367" s="122" t="s">
        <v>42</v>
      </c>
      <c r="C367" s="122" t="s">
        <v>43</v>
      </c>
      <c r="D367" s="163">
        <v>1</v>
      </c>
      <c r="E367" s="132">
        <v>30</v>
      </c>
      <c r="F367" s="135">
        <v>45938</v>
      </c>
      <c r="G367" s="152">
        <v>0.375</v>
      </c>
      <c r="H367" s="135">
        <v>45937</v>
      </c>
      <c r="I367" s="152">
        <v>0.41666666666666669</v>
      </c>
      <c r="J367" s="153">
        <f t="shared" si="10"/>
        <v>-2</v>
      </c>
      <c r="K367" s="115">
        <v>2</v>
      </c>
      <c r="L367" s="122">
        <v>32</v>
      </c>
      <c r="M367" s="132" t="s">
        <v>407</v>
      </c>
    </row>
    <row r="368" spans="1:14" ht="26.4" x14ac:dyDescent="0.25">
      <c r="A368" s="132" t="s">
        <v>405</v>
      </c>
      <c r="B368" s="122" t="s">
        <v>30</v>
      </c>
      <c r="C368" s="122" t="s">
        <v>31</v>
      </c>
      <c r="D368" s="163">
        <v>1</v>
      </c>
      <c r="E368" s="132">
        <v>30</v>
      </c>
      <c r="F368" s="135">
        <v>45938</v>
      </c>
      <c r="G368" s="152">
        <v>0.375</v>
      </c>
      <c r="H368" s="135">
        <v>45937</v>
      </c>
      <c r="I368" s="152">
        <v>0.41666666666666669</v>
      </c>
      <c r="J368" s="153">
        <f t="shared" si="10"/>
        <v>0</v>
      </c>
      <c r="K368" s="115">
        <v>2</v>
      </c>
      <c r="L368" s="122">
        <v>30</v>
      </c>
      <c r="M368" s="115" t="s">
        <v>408</v>
      </c>
    </row>
    <row r="369" spans="1:13" x14ac:dyDescent="0.25">
      <c r="A369" s="129" t="s">
        <v>406</v>
      </c>
      <c r="B369" s="122" t="s">
        <v>21</v>
      </c>
      <c r="C369" s="122" t="s">
        <v>22</v>
      </c>
      <c r="D369" s="163">
        <v>1</v>
      </c>
      <c r="E369" s="132">
        <v>30</v>
      </c>
      <c r="F369" s="135">
        <v>45938</v>
      </c>
      <c r="G369" s="152">
        <v>0.375</v>
      </c>
      <c r="H369" s="135">
        <v>45936</v>
      </c>
      <c r="I369" s="152">
        <v>0.5</v>
      </c>
      <c r="J369" s="153">
        <f t="shared" si="10"/>
        <v>6</v>
      </c>
      <c r="K369" s="115">
        <v>2</v>
      </c>
      <c r="L369" s="122">
        <v>24</v>
      </c>
      <c r="M369" s="115" t="s">
        <v>408</v>
      </c>
    </row>
    <row r="370" spans="1:13" x14ac:dyDescent="0.25">
      <c r="A370" s="129" t="s">
        <v>406</v>
      </c>
      <c r="B370" s="122" t="s">
        <v>39</v>
      </c>
      <c r="C370" s="122" t="s">
        <v>40</v>
      </c>
      <c r="D370" s="163">
        <v>1</v>
      </c>
      <c r="E370" s="132">
        <v>30</v>
      </c>
      <c r="F370" s="135">
        <v>45938</v>
      </c>
      <c r="G370" s="152">
        <v>0.375</v>
      </c>
      <c r="H370" s="135">
        <v>45937</v>
      </c>
      <c r="I370" s="152">
        <v>0.41666666666666669</v>
      </c>
      <c r="J370" s="153">
        <f t="shared" si="10"/>
        <v>5</v>
      </c>
      <c r="K370" s="115">
        <v>2</v>
      </c>
      <c r="L370" s="122">
        <v>25</v>
      </c>
      <c r="M370" s="115" t="s">
        <v>408</v>
      </c>
    </row>
    <row r="371" spans="1:13" x14ac:dyDescent="0.25">
      <c r="A371" s="129" t="s">
        <v>406</v>
      </c>
      <c r="B371" s="122" t="s">
        <v>36</v>
      </c>
      <c r="C371" s="122" t="s">
        <v>37</v>
      </c>
      <c r="D371" s="163">
        <v>2</v>
      </c>
      <c r="E371" s="132">
        <v>30</v>
      </c>
      <c r="F371" s="135">
        <v>45938</v>
      </c>
      <c r="G371" s="152">
        <v>0.375</v>
      </c>
      <c r="H371" s="135">
        <v>45937</v>
      </c>
      <c r="I371" s="152">
        <v>0.41666666666666669</v>
      </c>
      <c r="J371" s="153">
        <f t="shared" si="10"/>
        <v>5</v>
      </c>
      <c r="K371" s="115">
        <v>2</v>
      </c>
      <c r="L371" s="122">
        <v>25</v>
      </c>
      <c r="M371" s="115" t="s">
        <v>408</v>
      </c>
    </row>
    <row r="372" spans="1:13" x14ac:dyDescent="0.25">
      <c r="A372" s="117" t="s">
        <v>406</v>
      </c>
      <c r="B372" s="122" t="s">
        <v>136</v>
      </c>
      <c r="C372" s="122" t="s">
        <v>34</v>
      </c>
      <c r="D372" s="163">
        <v>1</v>
      </c>
      <c r="E372" s="132">
        <v>30</v>
      </c>
      <c r="F372" s="135">
        <v>45938</v>
      </c>
      <c r="G372" s="152">
        <v>0.375</v>
      </c>
      <c r="H372" s="135">
        <v>45937</v>
      </c>
      <c r="I372" s="152">
        <v>0.41666666666666669</v>
      </c>
      <c r="J372" s="153">
        <f t="shared" si="10"/>
        <v>4</v>
      </c>
      <c r="K372" s="115">
        <v>2</v>
      </c>
      <c r="L372" s="122">
        <v>26</v>
      </c>
      <c r="M372" s="115" t="s">
        <v>408</v>
      </c>
    </row>
    <row r="373" spans="1:13" ht="26.4" x14ac:dyDescent="0.25">
      <c r="A373" s="132" t="s">
        <v>409</v>
      </c>
      <c r="B373" s="122" t="s">
        <v>30</v>
      </c>
      <c r="C373" s="122" t="s">
        <v>31</v>
      </c>
      <c r="D373" s="163">
        <v>2</v>
      </c>
      <c r="E373" s="132">
        <v>30</v>
      </c>
      <c r="F373" s="135">
        <v>45938</v>
      </c>
      <c r="G373" s="152">
        <v>0.375</v>
      </c>
      <c r="H373" s="135">
        <v>45937</v>
      </c>
      <c r="I373" s="152">
        <v>0.4375</v>
      </c>
      <c r="J373" s="153">
        <f t="shared" si="10"/>
        <v>4</v>
      </c>
      <c r="K373" s="115">
        <v>1</v>
      </c>
      <c r="L373" s="122">
        <v>26</v>
      </c>
      <c r="M373" s="132" t="s">
        <v>439</v>
      </c>
    </row>
    <row r="374" spans="1:13" ht="26.4" x14ac:dyDescent="0.25">
      <c r="A374" s="132" t="s">
        <v>410</v>
      </c>
      <c r="B374" s="122" t="s">
        <v>30</v>
      </c>
      <c r="C374" s="122" t="s">
        <v>31</v>
      </c>
      <c r="D374" s="163">
        <v>1</v>
      </c>
      <c r="E374" s="132">
        <v>30</v>
      </c>
      <c r="F374" s="135">
        <v>45938</v>
      </c>
      <c r="G374" s="152">
        <v>0.375</v>
      </c>
      <c r="H374" s="135">
        <v>45937</v>
      </c>
      <c r="I374" s="152">
        <v>0.45833333333333331</v>
      </c>
      <c r="J374" s="153">
        <f t="shared" si="10"/>
        <v>4</v>
      </c>
      <c r="K374" s="115">
        <v>2</v>
      </c>
      <c r="L374" s="122">
        <v>26</v>
      </c>
      <c r="M374" s="132" t="s">
        <v>440</v>
      </c>
    </row>
    <row r="375" spans="1:13" ht="39.6" x14ac:dyDescent="0.25">
      <c r="A375" s="132" t="s">
        <v>411</v>
      </c>
      <c r="B375" s="122" t="s">
        <v>30</v>
      </c>
      <c r="C375" s="122" t="s">
        <v>31</v>
      </c>
      <c r="D375" s="163">
        <v>1</v>
      </c>
      <c r="E375" s="132">
        <v>30</v>
      </c>
      <c r="F375" s="135">
        <v>45938</v>
      </c>
      <c r="G375" s="152">
        <v>0.375</v>
      </c>
      <c r="H375" s="135">
        <v>45937</v>
      </c>
      <c r="I375" s="152">
        <v>0.47916666666666669</v>
      </c>
      <c r="J375" s="153">
        <f t="shared" si="10"/>
        <v>0</v>
      </c>
      <c r="K375" s="115">
        <v>2</v>
      </c>
      <c r="L375" s="122">
        <v>30</v>
      </c>
      <c r="M375" s="132" t="s">
        <v>441</v>
      </c>
    </row>
    <row r="376" spans="1:13" ht="39.6" x14ac:dyDescent="0.25">
      <c r="A376" s="132" t="s">
        <v>412</v>
      </c>
      <c r="B376" s="122" t="s">
        <v>36</v>
      </c>
      <c r="C376" s="122" t="s">
        <v>37</v>
      </c>
      <c r="D376" s="163">
        <v>2</v>
      </c>
      <c r="E376" s="132">
        <v>30</v>
      </c>
      <c r="F376" s="135">
        <v>45938</v>
      </c>
      <c r="G376" s="152">
        <v>0.375</v>
      </c>
      <c r="H376" s="135">
        <v>45937</v>
      </c>
      <c r="I376" s="152">
        <v>0.45833333333333331</v>
      </c>
      <c r="J376" s="153">
        <f t="shared" si="10"/>
        <v>4</v>
      </c>
      <c r="K376" s="115">
        <v>1</v>
      </c>
      <c r="L376" s="122">
        <v>26</v>
      </c>
      <c r="M376" s="132" t="s">
        <v>442</v>
      </c>
    </row>
    <row r="377" spans="1:13" ht="39.6" x14ac:dyDescent="0.25">
      <c r="A377" s="132" t="s">
        <v>413</v>
      </c>
      <c r="B377" s="122" t="s">
        <v>36</v>
      </c>
      <c r="C377" s="122" t="s">
        <v>37</v>
      </c>
      <c r="D377" s="163">
        <v>1</v>
      </c>
      <c r="E377" s="132">
        <v>30</v>
      </c>
      <c r="F377" s="135">
        <v>45938</v>
      </c>
      <c r="G377" s="152">
        <v>0.375</v>
      </c>
      <c r="H377" s="135">
        <v>45937</v>
      </c>
      <c r="I377" s="152">
        <v>0.47916666666666669</v>
      </c>
      <c r="J377" s="153">
        <f t="shared" si="10"/>
        <v>4</v>
      </c>
      <c r="K377" s="115">
        <v>1</v>
      </c>
      <c r="L377" s="122">
        <v>26</v>
      </c>
      <c r="M377" s="132" t="s">
        <v>443</v>
      </c>
    </row>
    <row r="378" spans="1:13" ht="26.4" x14ac:dyDescent="0.25">
      <c r="A378" s="132" t="s">
        <v>414</v>
      </c>
      <c r="B378" s="122" t="s">
        <v>36</v>
      </c>
      <c r="C378" s="122" t="s">
        <v>37</v>
      </c>
      <c r="D378" s="163">
        <v>1</v>
      </c>
      <c r="E378" s="132">
        <v>30</v>
      </c>
      <c r="F378" s="135">
        <v>45938</v>
      </c>
      <c r="G378" s="152">
        <v>0.375</v>
      </c>
      <c r="H378" s="135">
        <v>45937</v>
      </c>
      <c r="I378" s="152">
        <v>0.5</v>
      </c>
      <c r="J378" s="153">
        <f t="shared" si="10"/>
        <v>4</v>
      </c>
      <c r="K378" s="115">
        <v>1</v>
      </c>
      <c r="L378" s="122">
        <v>26</v>
      </c>
      <c r="M378" s="132" t="s">
        <v>444</v>
      </c>
    </row>
    <row r="379" spans="1:13" ht="39.6" x14ac:dyDescent="0.25">
      <c r="A379" s="132" t="s">
        <v>415</v>
      </c>
      <c r="B379" s="122" t="s">
        <v>136</v>
      </c>
      <c r="C379" s="122" t="s">
        <v>34</v>
      </c>
      <c r="D379" s="163">
        <v>1</v>
      </c>
      <c r="E379" s="132">
        <v>30</v>
      </c>
      <c r="F379" s="135">
        <v>45938</v>
      </c>
      <c r="G379" s="152">
        <v>0.375</v>
      </c>
      <c r="H379" s="135">
        <v>45937</v>
      </c>
      <c r="I379" s="152">
        <v>0.33333333333333331</v>
      </c>
      <c r="J379" s="153">
        <f t="shared" si="10"/>
        <v>4</v>
      </c>
      <c r="K379" s="115">
        <v>1</v>
      </c>
      <c r="L379" s="122">
        <v>26</v>
      </c>
      <c r="M379" s="132" t="s">
        <v>445</v>
      </c>
    </row>
    <row r="380" spans="1:13" ht="39.6" x14ac:dyDescent="0.25">
      <c r="A380" s="132" t="s">
        <v>416</v>
      </c>
      <c r="B380" s="122" t="s">
        <v>136</v>
      </c>
      <c r="C380" s="122" t="s">
        <v>34</v>
      </c>
      <c r="D380" s="163">
        <v>1</v>
      </c>
      <c r="E380" s="132">
        <v>30</v>
      </c>
      <c r="F380" s="135">
        <v>45938</v>
      </c>
      <c r="G380" s="152">
        <v>0.375</v>
      </c>
      <c r="H380" s="135">
        <v>45937</v>
      </c>
      <c r="I380" s="152">
        <v>0.35416666666666669</v>
      </c>
      <c r="J380" s="153">
        <f t="shared" si="10"/>
        <v>4</v>
      </c>
      <c r="K380" s="115">
        <v>1</v>
      </c>
      <c r="L380" s="122">
        <v>26</v>
      </c>
      <c r="M380" s="132" t="s">
        <v>446</v>
      </c>
    </row>
    <row r="381" spans="1:13" ht="39.6" x14ac:dyDescent="0.25">
      <c r="A381" s="132" t="s">
        <v>417</v>
      </c>
      <c r="B381" s="122" t="s">
        <v>21</v>
      </c>
      <c r="C381" s="122" t="s">
        <v>22</v>
      </c>
      <c r="D381" s="163">
        <v>1</v>
      </c>
      <c r="E381" s="132">
        <v>30</v>
      </c>
      <c r="F381" s="135">
        <v>45938</v>
      </c>
      <c r="G381" s="152">
        <v>0.375</v>
      </c>
      <c r="H381" s="135">
        <v>45936</v>
      </c>
      <c r="I381" s="152">
        <v>0.52083333333333337</v>
      </c>
      <c r="J381" s="153">
        <f t="shared" si="10"/>
        <v>0</v>
      </c>
      <c r="K381" s="115">
        <v>1</v>
      </c>
      <c r="L381" s="122">
        <v>30</v>
      </c>
      <c r="M381" s="132" t="s">
        <v>447</v>
      </c>
    </row>
    <row r="382" spans="1:13" ht="39.6" x14ac:dyDescent="0.25">
      <c r="A382" s="132" t="s">
        <v>418</v>
      </c>
      <c r="B382" s="122" t="s">
        <v>39</v>
      </c>
      <c r="C382" s="122" t="s">
        <v>40</v>
      </c>
      <c r="D382" s="163">
        <v>1</v>
      </c>
      <c r="E382" s="132">
        <v>30</v>
      </c>
      <c r="F382" s="135">
        <v>45938</v>
      </c>
      <c r="G382" s="152">
        <v>0.375</v>
      </c>
      <c r="H382" s="135">
        <v>45937</v>
      </c>
      <c r="I382" s="152">
        <v>0.45833333333333331</v>
      </c>
      <c r="J382" s="153">
        <f t="shared" si="10"/>
        <v>0</v>
      </c>
      <c r="K382" s="115">
        <v>1</v>
      </c>
      <c r="L382" s="122">
        <v>30</v>
      </c>
      <c r="M382" s="132" t="s">
        <v>448</v>
      </c>
    </row>
    <row r="383" spans="1:13" ht="39.6" x14ac:dyDescent="0.25">
      <c r="A383" s="132" t="s">
        <v>419</v>
      </c>
      <c r="B383" s="122" t="s">
        <v>39</v>
      </c>
      <c r="C383" s="122" t="s">
        <v>40</v>
      </c>
      <c r="D383" s="163">
        <v>1</v>
      </c>
      <c r="E383" s="132">
        <v>30</v>
      </c>
      <c r="F383" s="135">
        <v>45938</v>
      </c>
      <c r="G383" s="152">
        <v>0.375</v>
      </c>
      <c r="H383" s="135">
        <v>45937</v>
      </c>
      <c r="I383" s="152">
        <v>0.47916666666666669</v>
      </c>
      <c r="J383" s="153">
        <f t="shared" si="10"/>
        <v>0</v>
      </c>
      <c r="K383" s="115">
        <v>1</v>
      </c>
      <c r="L383" s="122">
        <v>30</v>
      </c>
      <c r="M383" s="132" t="s">
        <v>449</v>
      </c>
    </row>
    <row r="384" spans="1:13" ht="26.4" x14ac:dyDescent="0.25">
      <c r="A384" s="132" t="s">
        <v>420</v>
      </c>
      <c r="B384" s="122" t="s">
        <v>136</v>
      </c>
      <c r="C384" s="122" t="s">
        <v>34</v>
      </c>
      <c r="D384" s="163">
        <v>1</v>
      </c>
      <c r="E384" s="132">
        <v>30</v>
      </c>
      <c r="F384" s="135">
        <v>45938</v>
      </c>
      <c r="G384" s="152">
        <v>0.375</v>
      </c>
      <c r="H384" s="135">
        <v>45937</v>
      </c>
      <c r="I384" s="152">
        <v>0.375</v>
      </c>
      <c r="J384" s="153">
        <f t="shared" si="10"/>
        <v>0</v>
      </c>
      <c r="K384" s="115">
        <v>1</v>
      </c>
      <c r="L384" s="122">
        <v>30</v>
      </c>
      <c r="M384" s="132" t="s">
        <v>450</v>
      </c>
    </row>
    <row r="385" spans="1:13" ht="26.4" x14ac:dyDescent="0.25">
      <c r="A385" s="132" t="s">
        <v>421</v>
      </c>
      <c r="B385" s="122" t="s">
        <v>21</v>
      </c>
      <c r="C385" s="122" t="s">
        <v>22</v>
      </c>
      <c r="D385" s="163">
        <v>1</v>
      </c>
      <c r="E385" s="132">
        <v>30</v>
      </c>
      <c r="F385" s="135">
        <v>45938</v>
      </c>
      <c r="G385" s="152">
        <v>0.375</v>
      </c>
      <c r="H385" s="135">
        <v>45936</v>
      </c>
      <c r="I385" s="152">
        <v>0.54166666666666663</v>
      </c>
      <c r="J385" s="153">
        <f t="shared" si="10"/>
        <v>0</v>
      </c>
      <c r="K385" s="115">
        <v>1</v>
      </c>
      <c r="L385" s="122">
        <v>30</v>
      </c>
      <c r="M385" s="132" t="s">
        <v>451</v>
      </c>
    </row>
    <row r="386" spans="1:13" ht="26.4" x14ac:dyDescent="0.25">
      <c r="A386" s="132" t="s">
        <v>422</v>
      </c>
      <c r="B386" s="122" t="s">
        <v>42</v>
      </c>
      <c r="C386" s="122" t="s">
        <v>43</v>
      </c>
      <c r="D386" s="163">
        <v>1</v>
      </c>
      <c r="E386" s="132">
        <v>30</v>
      </c>
      <c r="F386" s="135">
        <v>45938</v>
      </c>
      <c r="G386" s="152">
        <v>0.375</v>
      </c>
      <c r="H386" s="135">
        <v>45937</v>
      </c>
      <c r="I386" s="152">
        <v>0.45833333333333331</v>
      </c>
      <c r="J386" s="153">
        <f t="shared" si="10"/>
        <v>0</v>
      </c>
      <c r="K386" s="115">
        <v>1</v>
      </c>
      <c r="L386" s="122">
        <v>30</v>
      </c>
      <c r="M386" s="132" t="s">
        <v>452</v>
      </c>
    </row>
    <row r="387" spans="1:13" ht="39.6" x14ac:dyDescent="0.25">
      <c r="A387" s="132" t="s">
        <v>423</v>
      </c>
      <c r="B387" s="122" t="s">
        <v>42</v>
      </c>
      <c r="C387" s="122" t="s">
        <v>43</v>
      </c>
      <c r="D387" s="163">
        <v>1</v>
      </c>
      <c r="E387" s="132">
        <v>30</v>
      </c>
      <c r="F387" s="135">
        <v>45938</v>
      </c>
      <c r="G387" s="152">
        <v>0.375</v>
      </c>
      <c r="H387" s="135">
        <v>45937</v>
      </c>
      <c r="I387" s="152">
        <v>0.47916666666666669</v>
      </c>
      <c r="J387" s="153">
        <f t="shared" si="10"/>
        <v>0</v>
      </c>
      <c r="K387" s="115">
        <v>1</v>
      </c>
      <c r="L387" s="122">
        <v>30</v>
      </c>
      <c r="M387" s="132" t="s">
        <v>453</v>
      </c>
    </row>
    <row r="388" spans="1:13" ht="52.8" x14ac:dyDescent="0.25">
      <c r="A388" s="132" t="s">
        <v>424</v>
      </c>
      <c r="B388" s="122" t="s">
        <v>42</v>
      </c>
      <c r="C388" s="122" t="s">
        <v>43</v>
      </c>
      <c r="D388" s="163">
        <v>1</v>
      </c>
      <c r="E388" s="132">
        <v>30</v>
      </c>
      <c r="F388" s="135">
        <v>45938</v>
      </c>
      <c r="G388" s="152">
        <v>0.375</v>
      </c>
      <c r="H388" s="135">
        <v>45937</v>
      </c>
      <c r="I388" s="152">
        <v>0.5</v>
      </c>
      <c r="J388" s="153">
        <f t="shared" si="10"/>
        <v>0</v>
      </c>
      <c r="K388" s="115">
        <v>1</v>
      </c>
      <c r="L388" s="122">
        <v>30</v>
      </c>
      <c r="M388" s="132" t="s">
        <v>454</v>
      </c>
    </row>
    <row r="389" spans="1:13" ht="39.6" x14ac:dyDescent="0.25">
      <c r="A389" s="132" t="s">
        <v>425</v>
      </c>
      <c r="B389" s="122" t="s">
        <v>21</v>
      </c>
      <c r="C389" s="122" t="s">
        <v>22</v>
      </c>
      <c r="D389" s="163">
        <v>1</v>
      </c>
      <c r="E389" s="132">
        <v>30</v>
      </c>
      <c r="F389" s="135">
        <v>45938</v>
      </c>
      <c r="G389" s="152">
        <v>0.375</v>
      </c>
      <c r="H389" s="135">
        <v>45936</v>
      </c>
      <c r="I389" s="152">
        <v>0.5625</v>
      </c>
      <c r="J389" s="153">
        <f t="shared" si="10"/>
        <v>0</v>
      </c>
      <c r="K389" s="115">
        <v>1</v>
      </c>
      <c r="L389" s="122">
        <v>30</v>
      </c>
      <c r="M389" s="132" t="s">
        <v>455</v>
      </c>
    </row>
    <row r="390" spans="1:13" ht="39.6" x14ac:dyDescent="0.25">
      <c r="A390" s="132" t="s">
        <v>426</v>
      </c>
      <c r="B390" s="122" t="s">
        <v>39</v>
      </c>
      <c r="C390" s="122" t="s">
        <v>40</v>
      </c>
      <c r="D390" s="163">
        <v>1</v>
      </c>
      <c r="E390" s="132">
        <v>30</v>
      </c>
      <c r="F390" s="135">
        <v>45938</v>
      </c>
      <c r="G390" s="152">
        <v>0.375</v>
      </c>
      <c r="H390" s="135">
        <v>45937</v>
      </c>
      <c r="I390" s="152">
        <v>0.5</v>
      </c>
      <c r="J390" s="153">
        <f t="shared" si="10"/>
        <v>0</v>
      </c>
      <c r="K390" s="115">
        <v>1</v>
      </c>
      <c r="L390" s="122">
        <v>30</v>
      </c>
      <c r="M390" s="132" t="s">
        <v>456</v>
      </c>
    </row>
    <row r="391" spans="1:13" ht="26.4" x14ac:dyDescent="0.25">
      <c r="A391" s="132" t="s">
        <v>427</v>
      </c>
      <c r="B391" s="122" t="s">
        <v>21</v>
      </c>
      <c r="C391" s="122" t="s">
        <v>22</v>
      </c>
      <c r="D391" s="163">
        <v>1</v>
      </c>
      <c r="E391" s="132">
        <v>30</v>
      </c>
      <c r="F391" s="135">
        <v>45938</v>
      </c>
      <c r="G391" s="152">
        <v>0.375</v>
      </c>
      <c r="H391" s="135">
        <v>45936</v>
      </c>
      <c r="I391" s="152">
        <v>0.58333333333333337</v>
      </c>
      <c r="J391" s="153">
        <f t="shared" si="10"/>
        <v>0</v>
      </c>
      <c r="K391" s="115">
        <v>1</v>
      </c>
      <c r="L391" s="122">
        <v>30</v>
      </c>
      <c r="M391" s="132" t="s">
        <v>457</v>
      </c>
    </row>
    <row r="392" spans="1:13" ht="26.4" x14ac:dyDescent="0.25">
      <c r="A392" s="132" t="s">
        <v>428</v>
      </c>
      <c r="B392" s="122" t="s">
        <v>36</v>
      </c>
      <c r="C392" s="122" t="s">
        <v>37</v>
      </c>
      <c r="D392" s="163">
        <v>1</v>
      </c>
      <c r="E392" s="132">
        <v>30</v>
      </c>
      <c r="F392" s="135">
        <v>45938</v>
      </c>
      <c r="G392" s="152">
        <v>0.375</v>
      </c>
      <c r="H392" s="135">
        <v>45937</v>
      </c>
      <c r="I392" s="152">
        <v>0.5</v>
      </c>
      <c r="J392" s="153">
        <f t="shared" si="10"/>
        <v>0</v>
      </c>
      <c r="K392" s="115">
        <v>1</v>
      </c>
      <c r="L392" s="122">
        <v>30</v>
      </c>
      <c r="M392" s="132" t="s">
        <v>53</v>
      </c>
    </row>
    <row r="393" spans="1:13" ht="26.4" x14ac:dyDescent="0.25">
      <c r="A393" s="132" t="s">
        <v>429</v>
      </c>
      <c r="B393" s="122" t="s">
        <v>39</v>
      </c>
      <c r="C393" s="122" t="s">
        <v>40</v>
      </c>
      <c r="D393" s="163">
        <v>1</v>
      </c>
      <c r="E393" s="132">
        <v>30</v>
      </c>
      <c r="F393" s="135">
        <v>45938</v>
      </c>
      <c r="G393" s="152">
        <v>0.375</v>
      </c>
      <c r="H393" s="135">
        <v>45937</v>
      </c>
      <c r="I393" s="152">
        <v>0.52083333333333337</v>
      </c>
      <c r="J393" s="153">
        <f t="shared" si="10"/>
        <v>0</v>
      </c>
      <c r="K393" s="115">
        <v>1</v>
      </c>
      <c r="L393" s="122">
        <v>30</v>
      </c>
      <c r="M393" s="132" t="s">
        <v>53</v>
      </c>
    </row>
    <row r="394" spans="1:13" ht="26.4" x14ac:dyDescent="0.25">
      <c r="A394" s="132" t="s">
        <v>430</v>
      </c>
      <c r="B394" s="122" t="s">
        <v>42</v>
      </c>
      <c r="C394" s="122" t="s">
        <v>43</v>
      </c>
      <c r="D394" s="163">
        <v>1</v>
      </c>
      <c r="E394" s="132">
        <v>30</v>
      </c>
      <c r="F394" s="135">
        <v>45938</v>
      </c>
      <c r="G394" s="152">
        <v>0.375</v>
      </c>
      <c r="H394" s="135">
        <v>45937</v>
      </c>
      <c r="I394" s="152">
        <v>0.52083333333333337</v>
      </c>
      <c r="J394" s="153">
        <f t="shared" si="10"/>
        <v>0</v>
      </c>
      <c r="K394" s="115">
        <v>1</v>
      </c>
      <c r="L394" s="122">
        <v>30</v>
      </c>
      <c r="M394" s="132" t="s">
        <v>460</v>
      </c>
    </row>
    <row r="395" spans="1:13" ht="26.4" x14ac:dyDescent="0.25">
      <c r="A395" s="132" t="s">
        <v>431</v>
      </c>
      <c r="B395" s="122" t="s">
        <v>30</v>
      </c>
      <c r="C395" s="122" t="s">
        <v>31</v>
      </c>
      <c r="D395" s="163">
        <v>1</v>
      </c>
      <c r="E395" s="132">
        <v>30</v>
      </c>
      <c r="F395" s="135">
        <v>45938</v>
      </c>
      <c r="G395" s="152">
        <v>0.375</v>
      </c>
      <c r="H395" s="135">
        <v>45937</v>
      </c>
      <c r="I395" s="152">
        <v>0.5</v>
      </c>
      <c r="J395" s="153">
        <f t="shared" si="10"/>
        <v>0</v>
      </c>
      <c r="K395" s="115">
        <v>1</v>
      </c>
      <c r="L395" s="122">
        <v>30</v>
      </c>
      <c r="M395" s="132" t="s">
        <v>458</v>
      </c>
    </row>
    <row r="396" spans="1:13" ht="26.4" x14ac:dyDescent="0.25">
      <c r="A396" s="132" t="s">
        <v>432</v>
      </c>
      <c r="B396" s="122" t="s">
        <v>136</v>
      </c>
      <c r="C396" s="122" t="s">
        <v>34</v>
      </c>
      <c r="D396" s="163">
        <v>1</v>
      </c>
      <c r="E396" s="132">
        <v>30</v>
      </c>
      <c r="F396" s="135">
        <v>45938</v>
      </c>
      <c r="G396" s="152">
        <v>0.375</v>
      </c>
      <c r="H396" s="135">
        <v>45937</v>
      </c>
      <c r="I396" s="152">
        <v>0.39583333333333331</v>
      </c>
      <c r="J396" s="153">
        <f t="shared" si="10"/>
        <v>0</v>
      </c>
      <c r="K396" s="115">
        <v>1</v>
      </c>
      <c r="L396" s="122">
        <v>30</v>
      </c>
      <c r="M396" s="132" t="s">
        <v>459</v>
      </c>
    </row>
    <row r="397" spans="1:13" ht="26.4" x14ac:dyDescent="0.25">
      <c r="A397" s="132" t="s">
        <v>433</v>
      </c>
      <c r="B397" s="122" t="s">
        <v>21</v>
      </c>
      <c r="C397" s="122" t="s">
        <v>22</v>
      </c>
      <c r="D397" s="163">
        <v>1</v>
      </c>
      <c r="E397" s="132">
        <v>30</v>
      </c>
      <c r="F397" s="135">
        <v>45938</v>
      </c>
      <c r="G397" s="152">
        <v>0.375</v>
      </c>
      <c r="H397" s="135">
        <v>45936</v>
      </c>
      <c r="I397" s="152">
        <v>0.60416666666666663</v>
      </c>
      <c r="J397" s="153">
        <f t="shared" si="10"/>
        <v>0</v>
      </c>
      <c r="K397" s="115">
        <v>1</v>
      </c>
      <c r="L397" s="122">
        <v>30</v>
      </c>
      <c r="M397" s="132" t="s">
        <v>464</v>
      </c>
    </row>
    <row r="398" spans="1:13" ht="26.4" x14ac:dyDescent="0.25">
      <c r="A398" s="132" t="s">
        <v>433</v>
      </c>
      <c r="B398" s="122" t="s">
        <v>30</v>
      </c>
      <c r="C398" s="122" t="s">
        <v>31</v>
      </c>
      <c r="D398" s="163">
        <v>1</v>
      </c>
      <c r="E398" s="132">
        <v>30</v>
      </c>
      <c r="F398" s="135">
        <v>45938</v>
      </c>
      <c r="G398" s="152">
        <v>0.375</v>
      </c>
      <c r="H398" s="135">
        <v>45937</v>
      </c>
      <c r="I398" s="152">
        <v>0.52083333333333337</v>
      </c>
      <c r="J398" s="153">
        <f t="shared" si="10"/>
        <v>0</v>
      </c>
      <c r="K398" s="115">
        <v>1</v>
      </c>
      <c r="L398" s="122">
        <v>30</v>
      </c>
      <c r="M398" s="132" t="s">
        <v>464</v>
      </c>
    </row>
    <row r="399" spans="1:13" ht="26.4" x14ac:dyDescent="0.25">
      <c r="A399" s="132" t="s">
        <v>433</v>
      </c>
      <c r="B399" s="122" t="s">
        <v>136</v>
      </c>
      <c r="C399" s="122" t="s">
        <v>34</v>
      </c>
      <c r="D399" s="163">
        <v>1</v>
      </c>
      <c r="E399" s="132">
        <v>30</v>
      </c>
      <c r="F399" s="135">
        <v>45938</v>
      </c>
      <c r="G399" s="152">
        <v>0.375</v>
      </c>
      <c r="H399" s="135">
        <v>45937</v>
      </c>
      <c r="I399" s="152">
        <v>0.41666666666666669</v>
      </c>
      <c r="J399" s="153">
        <f t="shared" si="10"/>
        <v>0</v>
      </c>
      <c r="K399" s="115">
        <v>1</v>
      </c>
      <c r="L399" s="122">
        <v>30</v>
      </c>
      <c r="M399" s="132" t="s">
        <v>464</v>
      </c>
    </row>
    <row r="400" spans="1:13" ht="26.4" x14ac:dyDescent="0.25">
      <c r="A400" s="132" t="s">
        <v>433</v>
      </c>
      <c r="B400" s="122" t="s">
        <v>42</v>
      </c>
      <c r="C400" s="122" t="s">
        <v>43</v>
      </c>
      <c r="D400" s="163">
        <v>1</v>
      </c>
      <c r="E400" s="132">
        <v>30</v>
      </c>
      <c r="F400" s="135">
        <v>45938</v>
      </c>
      <c r="G400" s="152">
        <v>0.375</v>
      </c>
      <c r="H400" s="135">
        <v>45937</v>
      </c>
      <c r="I400" s="152">
        <v>0.54166666666666663</v>
      </c>
      <c r="J400" s="153">
        <f t="shared" si="10"/>
        <v>0</v>
      </c>
      <c r="K400" s="115">
        <v>1</v>
      </c>
      <c r="L400" s="122">
        <v>30</v>
      </c>
      <c r="M400" s="132" t="s">
        <v>464</v>
      </c>
    </row>
    <row r="401" spans="1:13" ht="26.4" x14ac:dyDescent="0.25">
      <c r="A401" s="132" t="s">
        <v>433</v>
      </c>
      <c r="B401" s="122" t="s">
        <v>39</v>
      </c>
      <c r="C401" s="122" t="s">
        <v>40</v>
      </c>
      <c r="D401" s="163">
        <v>1</v>
      </c>
      <c r="E401" s="132">
        <v>30</v>
      </c>
      <c r="F401" s="135">
        <v>45938</v>
      </c>
      <c r="G401" s="152">
        <v>0.375</v>
      </c>
      <c r="H401" s="135">
        <v>45937</v>
      </c>
      <c r="I401" s="152">
        <v>0.54166666666666663</v>
      </c>
      <c r="J401" s="153">
        <f t="shared" si="10"/>
        <v>0</v>
      </c>
      <c r="K401" s="115">
        <v>1</v>
      </c>
      <c r="L401" s="122">
        <v>30</v>
      </c>
      <c r="M401" s="132" t="s">
        <v>464</v>
      </c>
    </row>
    <row r="402" spans="1:13" ht="26.4" x14ac:dyDescent="0.25">
      <c r="A402" s="132" t="s">
        <v>433</v>
      </c>
      <c r="B402" s="122" t="s">
        <v>36</v>
      </c>
      <c r="C402" s="122" t="s">
        <v>37</v>
      </c>
      <c r="D402" s="163">
        <v>1</v>
      </c>
      <c r="E402" s="132">
        <v>30</v>
      </c>
      <c r="F402" s="135">
        <v>45938</v>
      </c>
      <c r="G402" s="152">
        <v>0.375</v>
      </c>
      <c r="H402" s="135">
        <v>45937</v>
      </c>
      <c r="I402" s="152">
        <v>0.52083333333333337</v>
      </c>
      <c r="J402" s="153">
        <f t="shared" si="10"/>
        <v>0</v>
      </c>
      <c r="K402" s="115">
        <v>1</v>
      </c>
      <c r="L402" s="122">
        <v>30</v>
      </c>
      <c r="M402" s="132" t="s">
        <v>464</v>
      </c>
    </row>
    <row r="403" spans="1:13" ht="52.8" x14ac:dyDescent="0.25">
      <c r="A403" s="132" t="s">
        <v>434</v>
      </c>
      <c r="B403" s="122" t="s">
        <v>21</v>
      </c>
      <c r="C403" s="122" t="s">
        <v>22</v>
      </c>
      <c r="D403" s="163">
        <v>1</v>
      </c>
      <c r="E403" s="132">
        <v>30</v>
      </c>
      <c r="F403" s="135">
        <v>45938</v>
      </c>
      <c r="G403" s="152">
        <v>0.375</v>
      </c>
      <c r="H403" s="135">
        <v>45937</v>
      </c>
      <c r="I403" s="152">
        <v>0.625</v>
      </c>
      <c r="J403" s="153">
        <f t="shared" si="10"/>
        <v>0</v>
      </c>
      <c r="K403" s="115">
        <v>1</v>
      </c>
      <c r="L403" s="122">
        <v>30</v>
      </c>
      <c r="M403" s="132" t="s">
        <v>461</v>
      </c>
    </row>
    <row r="404" spans="1:13" ht="52.8" x14ac:dyDescent="0.25">
      <c r="A404" s="132" t="s">
        <v>434</v>
      </c>
      <c r="B404" s="122" t="s">
        <v>30</v>
      </c>
      <c r="C404" s="122" t="s">
        <v>31</v>
      </c>
      <c r="D404" s="163">
        <v>1</v>
      </c>
      <c r="E404" s="132">
        <v>30</v>
      </c>
      <c r="F404" s="135">
        <v>45938</v>
      </c>
      <c r="G404" s="152">
        <v>0.375</v>
      </c>
      <c r="H404" s="135">
        <v>45937</v>
      </c>
      <c r="I404" s="152">
        <v>0.54166666666666663</v>
      </c>
      <c r="J404" s="153">
        <f t="shared" si="10"/>
        <v>0</v>
      </c>
      <c r="K404" s="115">
        <v>1</v>
      </c>
      <c r="L404" s="122">
        <v>30</v>
      </c>
      <c r="M404" s="132" t="s">
        <v>461</v>
      </c>
    </row>
    <row r="405" spans="1:13" ht="52.8" x14ac:dyDescent="0.25">
      <c r="A405" s="132" t="s">
        <v>434</v>
      </c>
      <c r="B405" s="122" t="s">
        <v>42</v>
      </c>
      <c r="C405" s="122" t="s">
        <v>43</v>
      </c>
      <c r="D405" s="163">
        <v>1</v>
      </c>
      <c r="E405" s="132">
        <v>30</v>
      </c>
      <c r="F405" s="135">
        <v>45938</v>
      </c>
      <c r="G405" s="152">
        <v>0.375</v>
      </c>
      <c r="H405" s="135">
        <v>45937</v>
      </c>
      <c r="I405" s="152">
        <v>0.5625</v>
      </c>
      <c r="J405" s="153">
        <f t="shared" si="10"/>
        <v>0</v>
      </c>
      <c r="K405" s="115">
        <v>1</v>
      </c>
      <c r="L405" s="122">
        <v>30</v>
      </c>
      <c r="M405" s="132" t="s">
        <v>461</v>
      </c>
    </row>
    <row r="406" spans="1:13" ht="52.8" x14ac:dyDescent="0.25">
      <c r="A406" s="132" t="s">
        <v>434</v>
      </c>
      <c r="B406" s="122" t="s">
        <v>136</v>
      </c>
      <c r="C406" s="122" t="s">
        <v>34</v>
      </c>
      <c r="D406" s="163">
        <v>1</v>
      </c>
      <c r="E406" s="132">
        <v>30</v>
      </c>
      <c r="F406" s="135">
        <v>45938</v>
      </c>
      <c r="G406" s="152">
        <v>0.375</v>
      </c>
      <c r="H406" s="135">
        <v>45937</v>
      </c>
      <c r="I406" s="152">
        <v>0.4375</v>
      </c>
      <c r="J406" s="153">
        <f t="shared" si="10"/>
        <v>0</v>
      </c>
      <c r="K406" s="115">
        <v>1</v>
      </c>
      <c r="L406" s="122">
        <v>30</v>
      </c>
      <c r="M406" s="132" t="s">
        <v>461</v>
      </c>
    </row>
    <row r="407" spans="1:13" ht="52.8" x14ac:dyDescent="0.25">
      <c r="A407" s="132" t="s">
        <v>434</v>
      </c>
      <c r="B407" s="122" t="s">
        <v>36</v>
      </c>
      <c r="C407" s="122" t="s">
        <v>37</v>
      </c>
      <c r="D407" s="163">
        <v>1</v>
      </c>
      <c r="E407" s="132">
        <v>30</v>
      </c>
      <c r="F407" s="135">
        <v>45938</v>
      </c>
      <c r="G407" s="152">
        <v>0.375</v>
      </c>
      <c r="H407" s="135">
        <v>45937</v>
      </c>
      <c r="I407" s="152">
        <v>0.54166666666666663</v>
      </c>
      <c r="J407" s="153">
        <f t="shared" si="10"/>
        <v>0</v>
      </c>
      <c r="K407" s="115">
        <v>1</v>
      </c>
      <c r="L407" s="122">
        <v>30</v>
      </c>
      <c r="M407" s="132" t="s">
        <v>461</v>
      </c>
    </row>
    <row r="408" spans="1:13" ht="52.8" x14ac:dyDescent="0.25">
      <c r="A408" s="132" t="s">
        <v>434</v>
      </c>
      <c r="B408" s="122" t="s">
        <v>39</v>
      </c>
      <c r="C408" s="122" t="s">
        <v>40</v>
      </c>
      <c r="D408" s="163">
        <v>1</v>
      </c>
      <c r="E408" s="132">
        <v>30</v>
      </c>
      <c r="F408" s="135">
        <v>45938</v>
      </c>
      <c r="G408" s="152">
        <v>0.375</v>
      </c>
      <c r="H408" s="135">
        <v>45937</v>
      </c>
      <c r="I408" s="152">
        <v>0.5625</v>
      </c>
      <c r="J408" s="153">
        <f t="shared" si="10"/>
        <v>0</v>
      </c>
      <c r="K408" s="115">
        <v>1</v>
      </c>
      <c r="L408" s="122">
        <v>30</v>
      </c>
      <c r="M408" s="132" t="s">
        <v>461</v>
      </c>
    </row>
    <row r="409" spans="1:13" ht="52.8" x14ac:dyDescent="0.25">
      <c r="A409" s="132" t="s">
        <v>435</v>
      </c>
      <c r="B409" s="122" t="s">
        <v>21</v>
      </c>
      <c r="C409" s="122" t="s">
        <v>22</v>
      </c>
      <c r="D409" s="163">
        <v>1</v>
      </c>
      <c r="E409" s="132">
        <v>30</v>
      </c>
      <c r="F409" s="135">
        <v>45938</v>
      </c>
      <c r="G409" s="152">
        <v>0.375</v>
      </c>
      <c r="H409" s="135">
        <v>45937</v>
      </c>
      <c r="I409" s="152">
        <v>0.64583333333333337</v>
      </c>
      <c r="J409" s="153">
        <f t="shared" si="10"/>
        <v>0</v>
      </c>
      <c r="K409" s="115">
        <v>1</v>
      </c>
      <c r="L409" s="122">
        <v>30</v>
      </c>
      <c r="M409" s="132" t="s">
        <v>462</v>
      </c>
    </row>
    <row r="410" spans="1:13" ht="52.8" x14ac:dyDescent="0.25">
      <c r="A410" s="132" t="s">
        <v>435</v>
      </c>
      <c r="B410" s="122" t="s">
        <v>30</v>
      </c>
      <c r="C410" s="122" t="s">
        <v>31</v>
      </c>
      <c r="D410" s="163">
        <v>1</v>
      </c>
      <c r="E410" s="132">
        <v>30</v>
      </c>
      <c r="F410" s="135">
        <v>45938</v>
      </c>
      <c r="G410" s="152">
        <v>0.375</v>
      </c>
      <c r="H410" s="135">
        <v>45937</v>
      </c>
      <c r="I410" s="152">
        <v>0.5625</v>
      </c>
      <c r="J410" s="153">
        <f t="shared" si="10"/>
        <v>0</v>
      </c>
      <c r="K410" s="115">
        <v>1</v>
      </c>
      <c r="L410" s="122">
        <v>30</v>
      </c>
      <c r="M410" s="132" t="s">
        <v>462</v>
      </c>
    </row>
    <row r="411" spans="1:13" ht="52.8" x14ac:dyDescent="0.25">
      <c r="A411" s="132" t="s">
        <v>435</v>
      </c>
      <c r="B411" s="122" t="s">
        <v>39</v>
      </c>
      <c r="C411" s="122" t="s">
        <v>40</v>
      </c>
      <c r="D411" s="163">
        <v>1</v>
      </c>
      <c r="E411" s="132">
        <v>30</v>
      </c>
      <c r="F411" s="135">
        <v>45938</v>
      </c>
      <c r="G411" s="152">
        <v>0.375</v>
      </c>
      <c r="H411" s="135">
        <v>45937</v>
      </c>
      <c r="I411" s="152">
        <v>0.58333333333333337</v>
      </c>
      <c r="J411" s="153">
        <f t="shared" si="10"/>
        <v>0</v>
      </c>
      <c r="K411" s="115">
        <v>1</v>
      </c>
      <c r="L411" s="122">
        <v>30</v>
      </c>
      <c r="M411" s="132" t="s">
        <v>462</v>
      </c>
    </row>
    <row r="412" spans="1:13" ht="52.8" x14ac:dyDescent="0.25">
      <c r="A412" s="132" t="s">
        <v>435</v>
      </c>
      <c r="B412" s="122" t="s">
        <v>42</v>
      </c>
      <c r="C412" s="122" t="s">
        <v>43</v>
      </c>
      <c r="D412" s="163">
        <v>1</v>
      </c>
      <c r="E412" s="132">
        <v>30</v>
      </c>
      <c r="F412" s="135">
        <v>45938</v>
      </c>
      <c r="G412" s="152">
        <v>0.375</v>
      </c>
      <c r="H412" s="135">
        <v>45937</v>
      </c>
      <c r="I412" s="152">
        <v>0.58333333333333337</v>
      </c>
      <c r="J412" s="153">
        <f t="shared" si="10"/>
        <v>0</v>
      </c>
      <c r="K412" s="115">
        <v>1</v>
      </c>
      <c r="L412" s="122">
        <v>30</v>
      </c>
      <c r="M412" s="132" t="s">
        <v>462</v>
      </c>
    </row>
    <row r="413" spans="1:13" ht="52.8" x14ac:dyDescent="0.25">
      <c r="A413" s="132" t="s">
        <v>435</v>
      </c>
      <c r="B413" s="122" t="s">
        <v>36</v>
      </c>
      <c r="C413" s="122" t="s">
        <v>37</v>
      </c>
      <c r="D413" s="163">
        <v>1</v>
      </c>
      <c r="E413" s="132">
        <v>30</v>
      </c>
      <c r="F413" s="135">
        <v>45938</v>
      </c>
      <c r="G413" s="152">
        <v>0.375</v>
      </c>
      <c r="H413" s="135">
        <v>45937</v>
      </c>
      <c r="I413" s="152">
        <v>0.5625</v>
      </c>
      <c r="J413" s="153">
        <f t="shared" si="10"/>
        <v>2</v>
      </c>
      <c r="K413" s="115">
        <v>1</v>
      </c>
      <c r="L413" s="122">
        <v>28</v>
      </c>
      <c r="M413" s="132" t="s">
        <v>462</v>
      </c>
    </row>
    <row r="414" spans="1:13" ht="52.8" x14ac:dyDescent="0.25">
      <c r="A414" s="132" t="s">
        <v>435</v>
      </c>
      <c r="B414" s="122" t="s">
        <v>136</v>
      </c>
      <c r="C414" s="122" t="s">
        <v>34</v>
      </c>
      <c r="D414" s="163">
        <v>1</v>
      </c>
      <c r="E414" s="132">
        <v>30</v>
      </c>
      <c r="F414" s="135">
        <v>45938</v>
      </c>
      <c r="G414" s="152">
        <v>0.375</v>
      </c>
      <c r="H414" s="135">
        <v>45937</v>
      </c>
      <c r="I414" s="152">
        <v>0.45833333333333331</v>
      </c>
      <c r="J414" s="153">
        <f t="shared" si="10"/>
        <v>10</v>
      </c>
      <c r="K414" s="115">
        <v>1</v>
      </c>
      <c r="L414" s="122">
        <v>20</v>
      </c>
      <c r="M414" s="132" t="s">
        <v>462</v>
      </c>
    </row>
    <row r="415" spans="1:13" ht="39.6" x14ac:dyDescent="0.25">
      <c r="A415" s="132" t="s">
        <v>436</v>
      </c>
      <c r="B415" s="122" t="s">
        <v>21</v>
      </c>
      <c r="C415" s="122" t="s">
        <v>22</v>
      </c>
      <c r="D415" s="163">
        <v>1</v>
      </c>
      <c r="E415" s="132">
        <v>30</v>
      </c>
      <c r="F415" s="135">
        <v>45938</v>
      </c>
      <c r="G415" s="152">
        <v>0.375</v>
      </c>
      <c r="H415" s="135">
        <v>45937</v>
      </c>
      <c r="I415" s="152">
        <v>0.6875</v>
      </c>
      <c r="J415" s="153">
        <f t="shared" si="10"/>
        <v>0</v>
      </c>
      <c r="K415" s="115">
        <v>1</v>
      </c>
      <c r="L415" s="122">
        <v>30</v>
      </c>
      <c r="M415" s="132" t="s">
        <v>463</v>
      </c>
    </row>
    <row r="416" spans="1:13" ht="26.4" x14ac:dyDescent="0.25">
      <c r="A416" s="132" t="s">
        <v>468</v>
      </c>
      <c r="B416" s="122" t="s">
        <v>39</v>
      </c>
      <c r="C416" s="122" t="s">
        <v>40</v>
      </c>
      <c r="D416" s="163">
        <v>1</v>
      </c>
      <c r="E416" s="132">
        <v>30</v>
      </c>
      <c r="F416" s="135">
        <v>45938</v>
      </c>
      <c r="G416" s="152">
        <v>0.375</v>
      </c>
      <c r="H416" s="135">
        <v>45937</v>
      </c>
      <c r="I416" s="152">
        <v>0.60416666666666663</v>
      </c>
      <c r="J416" s="153">
        <f t="shared" si="10"/>
        <v>0</v>
      </c>
      <c r="K416" s="115">
        <v>3</v>
      </c>
      <c r="L416" s="122">
        <v>30</v>
      </c>
      <c r="M416" s="132" t="s">
        <v>469</v>
      </c>
    </row>
    <row r="417" spans="1:13" ht="26.4" x14ac:dyDescent="0.25">
      <c r="A417" s="132" t="s">
        <v>437</v>
      </c>
      <c r="B417" s="122" t="s">
        <v>36</v>
      </c>
      <c r="C417" s="122" t="s">
        <v>37</v>
      </c>
      <c r="D417" s="163">
        <v>1</v>
      </c>
      <c r="E417" s="132">
        <v>30</v>
      </c>
      <c r="F417" s="135">
        <v>45938</v>
      </c>
      <c r="G417" s="152">
        <v>0.375</v>
      </c>
      <c r="H417" s="135">
        <v>45937</v>
      </c>
      <c r="I417" s="152">
        <v>0.6875</v>
      </c>
      <c r="J417" s="153">
        <f t="shared" si="10"/>
        <v>0</v>
      </c>
      <c r="K417" s="115">
        <v>1</v>
      </c>
      <c r="L417" s="122">
        <v>30</v>
      </c>
      <c r="M417" s="132" t="s">
        <v>438</v>
      </c>
    </row>
    <row r="418" spans="1:13" ht="26.4" x14ac:dyDescent="0.25">
      <c r="A418" s="134" t="s">
        <v>123</v>
      </c>
      <c r="B418" s="114" t="s">
        <v>36</v>
      </c>
      <c r="C418" s="114" t="s">
        <v>37</v>
      </c>
      <c r="D418" s="132">
        <v>1</v>
      </c>
      <c r="E418" s="132">
        <v>20</v>
      </c>
      <c r="F418" s="60">
        <v>45938</v>
      </c>
      <c r="G418" s="164">
        <v>0.375</v>
      </c>
      <c r="H418" s="60">
        <v>45937</v>
      </c>
      <c r="I418" s="164">
        <v>0.80555555555555558</v>
      </c>
      <c r="J418" s="153">
        <f>E418-L418</f>
        <v>0</v>
      </c>
      <c r="K418" s="115">
        <v>1</v>
      </c>
      <c r="L418" s="149">
        <v>20</v>
      </c>
      <c r="M418" s="165" t="s">
        <v>124</v>
      </c>
    </row>
    <row r="419" spans="1:13" ht="26.4" x14ac:dyDescent="0.25">
      <c r="A419" s="125" t="s">
        <v>123</v>
      </c>
      <c r="B419" s="114" t="s">
        <v>143</v>
      </c>
      <c r="C419" s="114" t="s">
        <v>43</v>
      </c>
      <c r="D419" s="132">
        <v>1</v>
      </c>
      <c r="E419" s="132">
        <v>20</v>
      </c>
      <c r="F419" s="60">
        <v>45938</v>
      </c>
      <c r="G419" s="164">
        <v>0.375</v>
      </c>
      <c r="H419" s="60">
        <v>45937</v>
      </c>
      <c r="I419" s="164">
        <v>0.80555555555555558</v>
      </c>
      <c r="J419" s="153">
        <f t="shared" ref="J419:J440" si="11">E419-L419</f>
        <v>0</v>
      </c>
      <c r="K419" s="115">
        <v>1</v>
      </c>
      <c r="L419" s="149">
        <v>20</v>
      </c>
      <c r="M419" s="165" t="s">
        <v>124</v>
      </c>
    </row>
    <row r="420" spans="1:13" ht="26.4" x14ac:dyDescent="0.25">
      <c r="A420" s="97" t="s">
        <v>175</v>
      </c>
      <c r="B420" s="120" t="s">
        <v>36</v>
      </c>
      <c r="C420" s="120" t="s">
        <v>37</v>
      </c>
      <c r="D420" s="115">
        <v>1</v>
      </c>
      <c r="E420" s="115">
        <v>30</v>
      </c>
      <c r="F420" s="97">
        <v>45938</v>
      </c>
      <c r="G420" s="164">
        <v>0.375</v>
      </c>
      <c r="H420" s="97">
        <v>45937</v>
      </c>
      <c r="I420" s="156">
        <v>0.83333333333333337</v>
      </c>
      <c r="J420" s="115">
        <f t="shared" si="11"/>
        <v>6</v>
      </c>
      <c r="K420" s="148">
        <v>1</v>
      </c>
      <c r="L420" s="159">
        <v>24</v>
      </c>
      <c r="M420" s="162" t="s">
        <v>176</v>
      </c>
    </row>
    <row r="421" spans="1:13" ht="26.4" x14ac:dyDescent="0.25">
      <c r="A421" s="97" t="s">
        <v>177</v>
      </c>
      <c r="B421" s="120" t="s">
        <v>39</v>
      </c>
      <c r="C421" s="120" t="s">
        <v>40</v>
      </c>
      <c r="D421" s="115">
        <v>1</v>
      </c>
      <c r="E421" s="115">
        <v>30</v>
      </c>
      <c r="F421" s="97">
        <v>45938</v>
      </c>
      <c r="G421" s="164">
        <v>0.375</v>
      </c>
      <c r="H421" s="97">
        <v>45937</v>
      </c>
      <c r="I421" s="156">
        <v>0.83333333333333337</v>
      </c>
      <c r="J421" s="115">
        <f t="shared" si="11"/>
        <v>0</v>
      </c>
      <c r="K421" s="148">
        <v>1</v>
      </c>
      <c r="L421" s="159">
        <v>30</v>
      </c>
      <c r="M421" s="162" t="s">
        <v>178</v>
      </c>
    </row>
    <row r="422" spans="1:13" ht="39.6" x14ac:dyDescent="0.25">
      <c r="A422" s="60" t="s">
        <v>179</v>
      </c>
      <c r="B422" s="120" t="s">
        <v>39</v>
      </c>
      <c r="C422" s="120" t="s">
        <v>40</v>
      </c>
      <c r="D422" s="115">
        <v>5</v>
      </c>
      <c r="E422" s="115">
        <v>50</v>
      </c>
      <c r="F422" s="97">
        <v>45938</v>
      </c>
      <c r="G422" s="164">
        <v>0.375</v>
      </c>
      <c r="H422" s="97">
        <v>45937</v>
      </c>
      <c r="I422" s="156">
        <v>0.86805555555555558</v>
      </c>
      <c r="J422" s="115">
        <f t="shared" si="11"/>
        <v>5</v>
      </c>
      <c r="K422" s="148">
        <v>5</v>
      </c>
      <c r="L422" s="159">
        <v>45</v>
      </c>
      <c r="M422" s="162" t="s">
        <v>180</v>
      </c>
    </row>
    <row r="423" spans="1:13" ht="39.6" x14ac:dyDescent="0.25">
      <c r="A423" s="124" t="s">
        <v>146</v>
      </c>
      <c r="B423" s="114" t="s">
        <v>30</v>
      </c>
      <c r="C423" s="114" t="s">
        <v>31</v>
      </c>
      <c r="D423" s="163">
        <v>1</v>
      </c>
      <c r="E423" s="132">
        <v>60</v>
      </c>
      <c r="F423" s="60">
        <v>45938</v>
      </c>
      <c r="G423" s="164">
        <v>0.375</v>
      </c>
      <c r="H423" s="60">
        <v>45937</v>
      </c>
      <c r="I423" s="164">
        <v>0.91666666666666663</v>
      </c>
      <c r="J423" s="153">
        <f t="shared" si="11"/>
        <v>50</v>
      </c>
      <c r="K423" s="115">
        <v>1</v>
      </c>
      <c r="L423" s="149">
        <v>10</v>
      </c>
      <c r="M423" s="162" t="s">
        <v>149</v>
      </c>
    </row>
    <row r="424" spans="1:13" ht="39.6" x14ac:dyDescent="0.25">
      <c r="A424" s="124" t="s">
        <v>146</v>
      </c>
      <c r="B424" s="114" t="s">
        <v>42</v>
      </c>
      <c r="C424" s="114" t="s">
        <v>43</v>
      </c>
      <c r="D424" s="163">
        <v>1</v>
      </c>
      <c r="E424" s="132">
        <v>60</v>
      </c>
      <c r="F424" s="60">
        <v>45938</v>
      </c>
      <c r="G424" s="164">
        <v>0.375</v>
      </c>
      <c r="H424" s="60">
        <v>45937</v>
      </c>
      <c r="I424" s="164">
        <v>0.91666666666666663</v>
      </c>
      <c r="J424" s="153">
        <f t="shared" si="11"/>
        <v>50</v>
      </c>
      <c r="K424" s="115">
        <v>1</v>
      </c>
      <c r="L424" s="149">
        <v>10</v>
      </c>
      <c r="M424" s="162" t="s">
        <v>149</v>
      </c>
    </row>
    <row r="425" spans="1:13" ht="39.6" x14ac:dyDescent="0.25">
      <c r="A425" s="124" t="s">
        <v>146</v>
      </c>
      <c r="B425" s="114" t="s">
        <v>21</v>
      </c>
      <c r="C425" s="114" t="s">
        <v>22</v>
      </c>
      <c r="D425" s="163">
        <v>1</v>
      </c>
      <c r="E425" s="132">
        <v>60</v>
      </c>
      <c r="F425" s="60">
        <v>45938</v>
      </c>
      <c r="G425" s="164">
        <v>0.375</v>
      </c>
      <c r="H425" s="60">
        <v>45937</v>
      </c>
      <c r="I425" s="164">
        <v>0.91666666666666663</v>
      </c>
      <c r="J425" s="153">
        <f t="shared" si="11"/>
        <v>50</v>
      </c>
      <c r="K425" s="115">
        <v>1</v>
      </c>
      <c r="L425" s="149">
        <v>10</v>
      </c>
      <c r="M425" s="162" t="s">
        <v>149</v>
      </c>
    </row>
    <row r="426" spans="1:13" ht="39.6" x14ac:dyDescent="0.25">
      <c r="A426" s="124" t="s">
        <v>146</v>
      </c>
      <c r="B426" s="114" t="s">
        <v>136</v>
      </c>
      <c r="C426" s="114" t="s">
        <v>34</v>
      </c>
      <c r="D426" s="163">
        <v>1</v>
      </c>
      <c r="E426" s="132">
        <v>60</v>
      </c>
      <c r="F426" s="60">
        <v>45938</v>
      </c>
      <c r="G426" s="164">
        <v>0.375</v>
      </c>
      <c r="H426" s="60">
        <v>45937</v>
      </c>
      <c r="I426" s="164">
        <v>0.91666666666666663</v>
      </c>
      <c r="J426" s="153">
        <f t="shared" si="11"/>
        <v>50</v>
      </c>
      <c r="K426" s="115">
        <v>1</v>
      </c>
      <c r="L426" s="149">
        <v>10</v>
      </c>
      <c r="M426" s="162" t="s">
        <v>149</v>
      </c>
    </row>
    <row r="427" spans="1:13" ht="39.6" x14ac:dyDescent="0.25">
      <c r="A427" s="124" t="s">
        <v>146</v>
      </c>
      <c r="B427" s="114" t="s">
        <v>36</v>
      </c>
      <c r="C427" s="114" t="s">
        <v>37</v>
      </c>
      <c r="D427" s="163">
        <v>1</v>
      </c>
      <c r="E427" s="132">
        <v>60</v>
      </c>
      <c r="F427" s="60">
        <v>45938</v>
      </c>
      <c r="G427" s="164">
        <v>0.375</v>
      </c>
      <c r="H427" s="60">
        <v>45937</v>
      </c>
      <c r="I427" s="164">
        <v>0.91666666666666663</v>
      </c>
      <c r="J427" s="153">
        <f t="shared" si="11"/>
        <v>50</v>
      </c>
      <c r="K427" s="115">
        <v>1</v>
      </c>
      <c r="L427" s="149">
        <v>10</v>
      </c>
      <c r="M427" s="162" t="s">
        <v>149</v>
      </c>
    </row>
    <row r="428" spans="1:13" ht="39.6" x14ac:dyDescent="0.25">
      <c r="A428" s="124" t="s">
        <v>146</v>
      </c>
      <c r="B428" s="114" t="s">
        <v>39</v>
      </c>
      <c r="C428" s="114" t="s">
        <v>40</v>
      </c>
      <c r="D428" s="163">
        <v>1</v>
      </c>
      <c r="E428" s="132">
        <v>60</v>
      </c>
      <c r="F428" s="60">
        <v>45938</v>
      </c>
      <c r="G428" s="164">
        <v>0.375</v>
      </c>
      <c r="H428" s="60">
        <v>45937</v>
      </c>
      <c r="I428" s="164">
        <v>0.91666666666666663</v>
      </c>
      <c r="J428" s="153">
        <f t="shared" si="11"/>
        <v>50</v>
      </c>
      <c r="K428" s="115">
        <v>1</v>
      </c>
      <c r="L428" s="149">
        <v>10</v>
      </c>
      <c r="M428" s="162" t="s">
        <v>149</v>
      </c>
    </row>
    <row r="429" spans="1:13" ht="26.4" x14ac:dyDescent="0.25">
      <c r="A429" s="124" t="s">
        <v>52</v>
      </c>
      <c r="B429" s="114" t="s">
        <v>21</v>
      </c>
      <c r="C429" s="114" t="s">
        <v>22</v>
      </c>
      <c r="D429" s="163">
        <v>1</v>
      </c>
      <c r="E429" s="132">
        <v>30</v>
      </c>
      <c r="F429" s="60">
        <v>45938</v>
      </c>
      <c r="G429" s="164">
        <v>0.375</v>
      </c>
      <c r="H429" s="60">
        <v>45937</v>
      </c>
      <c r="I429" s="164">
        <v>0.91666666666666663</v>
      </c>
      <c r="J429" s="153">
        <f t="shared" si="11"/>
        <v>0</v>
      </c>
      <c r="K429" s="115">
        <v>1</v>
      </c>
      <c r="L429" s="149">
        <v>30</v>
      </c>
      <c r="M429" s="162" t="s">
        <v>53</v>
      </c>
    </row>
    <row r="430" spans="1:13" ht="26.4" x14ac:dyDescent="0.25">
      <c r="A430" s="124" t="s">
        <v>153</v>
      </c>
      <c r="B430" s="114" t="s">
        <v>36</v>
      </c>
      <c r="C430" s="114" t="s">
        <v>37</v>
      </c>
      <c r="D430" s="163">
        <v>1</v>
      </c>
      <c r="E430" s="117">
        <v>30</v>
      </c>
      <c r="F430" s="60">
        <v>45938</v>
      </c>
      <c r="G430" s="164">
        <v>0.375</v>
      </c>
      <c r="H430" s="60">
        <v>45937</v>
      </c>
      <c r="I430" s="164">
        <v>0.91666666666666663</v>
      </c>
      <c r="J430" s="153">
        <f t="shared" si="11"/>
        <v>0</v>
      </c>
      <c r="K430" s="115">
        <v>1</v>
      </c>
      <c r="L430" s="149">
        <v>30</v>
      </c>
      <c r="M430" s="162" t="s">
        <v>53</v>
      </c>
    </row>
    <row r="431" spans="1:13" ht="26.4" x14ac:dyDescent="0.25">
      <c r="A431" s="124" t="s">
        <v>79</v>
      </c>
      <c r="B431" s="114" t="s">
        <v>36</v>
      </c>
      <c r="C431" s="114" t="s">
        <v>37</v>
      </c>
      <c r="D431" s="163">
        <v>1</v>
      </c>
      <c r="E431" s="132">
        <v>45</v>
      </c>
      <c r="F431" s="60">
        <v>45938</v>
      </c>
      <c r="G431" s="164">
        <v>0.375</v>
      </c>
      <c r="H431" s="60">
        <v>45937</v>
      </c>
      <c r="I431" s="164">
        <v>0.9375</v>
      </c>
      <c r="J431" s="153">
        <f t="shared" si="11"/>
        <v>-35</v>
      </c>
      <c r="K431" s="115">
        <v>1</v>
      </c>
      <c r="L431" s="149">
        <v>80</v>
      </c>
      <c r="M431" s="162" t="s">
        <v>81</v>
      </c>
    </row>
    <row r="432" spans="1:13" ht="26.4" x14ac:dyDescent="0.25">
      <c r="A432" s="124" t="s">
        <v>85</v>
      </c>
      <c r="B432" s="114" t="s">
        <v>21</v>
      </c>
      <c r="C432" s="114" t="s">
        <v>22</v>
      </c>
      <c r="D432" s="163">
        <v>1</v>
      </c>
      <c r="E432" s="132">
        <v>60</v>
      </c>
      <c r="F432" s="60">
        <v>45938</v>
      </c>
      <c r="G432" s="164">
        <v>0.375</v>
      </c>
      <c r="H432" s="60">
        <v>45937</v>
      </c>
      <c r="I432" s="164">
        <v>0.9375</v>
      </c>
      <c r="J432" s="153">
        <f t="shared" si="11"/>
        <v>10</v>
      </c>
      <c r="K432" s="115">
        <v>1</v>
      </c>
      <c r="L432" s="149">
        <v>50</v>
      </c>
      <c r="M432" s="162" t="s">
        <v>87</v>
      </c>
    </row>
    <row r="433" spans="1:14" x14ac:dyDescent="0.25">
      <c r="A433" s="124" t="s">
        <v>88</v>
      </c>
      <c r="B433" s="114" t="s">
        <v>21</v>
      </c>
      <c r="C433" s="114" t="s">
        <v>22</v>
      </c>
      <c r="D433" s="163">
        <v>1</v>
      </c>
      <c r="E433" s="132">
        <v>55</v>
      </c>
      <c r="F433" s="60">
        <v>45938</v>
      </c>
      <c r="G433" s="164">
        <v>0.375</v>
      </c>
      <c r="H433" s="60">
        <v>45937</v>
      </c>
      <c r="I433" s="164">
        <v>0.9375</v>
      </c>
      <c r="J433" s="153">
        <f t="shared" si="11"/>
        <v>0</v>
      </c>
      <c r="K433" s="115">
        <v>1</v>
      </c>
      <c r="L433" s="149">
        <v>55</v>
      </c>
      <c r="M433" s="162" t="s">
        <v>89</v>
      </c>
    </row>
    <row r="434" spans="1:14" ht="26.4" x14ac:dyDescent="0.25">
      <c r="A434" s="128" t="s">
        <v>131</v>
      </c>
      <c r="B434" s="114" t="s">
        <v>36</v>
      </c>
      <c r="C434" s="114" t="s">
        <v>37</v>
      </c>
      <c r="D434" s="132">
        <v>1</v>
      </c>
      <c r="E434" s="132">
        <v>30</v>
      </c>
      <c r="F434" s="60">
        <v>45938</v>
      </c>
      <c r="G434" s="164">
        <v>0.375</v>
      </c>
      <c r="H434" s="60">
        <v>45937</v>
      </c>
      <c r="I434" s="164">
        <v>0.9375</v>
      </c>
      <c r="J434" s="153">
        <f t="shared" si="11"/>
        <v>-2</v>
      </c>
      <c r="K434" s="115">
        <v>1</v>
      </c>
      <c r="L434" s="149">
        <v>32</v>
      </c>
      <c r="M434" s="162" t="s">
        <v>132</v>
      </c>
    </row>
    <row r="435" spans="1:14" ht="26.4" x14ac:dyDescent="0.25">
      <c r="A435" s="128" t="s">
        <v>131</v>
      </c>
      <c r="B435" s="114" t="s">
        <v>42</v>
      </c>
      <c r="C435" s="114" t="s">
        <v>43</v>
      </c>
      <c r="D435" s="132">
        <v>1</v>
      </c>
      <c r="E435" s="132">
        <v>30</v>
      </c>
      <c r="F435" s="60">
        <v>45938</v>
      </c>
      <c r="G435" s="164">
        <v>0.375</v>
      </c>
      <c r="H435" s="60">
        <v>45937</v>
      </c>
      <c r="I435" s="164">
        <v>0.9375</v>
      </c>
      <c r="J435" s="153">
        <f t="shared" si="11"/>
        <v>-2</v>
      </c>
      <c r="K435" s="115">
        <v>1</v>
      </c>
      <c r="L435" s="149">
        <v>32</v>
      </c>
      <c r="M435" s="162" t="s">
        <v>132</v>
      </c>
    </row>
    <row r="436" spans="1:14" ht="26.4" x14ac:dyDescent="0.25">
      <c r="A436" s="128" t="s">
        <v>131</v>
      </c>
      <c r="B436" s="114" t="s">
        <v>30</v>
      </c>
      <c r="C436" s="114" t="s">
        <v>31</v>
      </c>
      <c r="D436" s="132">
        <v>1</v>
      </c>
      <c r="E436" s="132">
        <v>30</v>
      </c>
      <c r="F436" s="60">
        <v>45938</v>
      </c>
      <c r="G436" s="164">
        <v>0.375</v>
      </c>
      <c r="H436" s="60">
        <v>45937</v>
      </c>
      <c r="I436" s="164">
        <v>0.9375</v>
      </c>
      <c r="J436" s="153">
        <f t="shared" si="11"/>
        <v>-2</v>
      </c>
      <c r="K436" s="115">
        <v>1</v>
      </c>
      <c r="L436" s="149">
        <v>32</v>
      </c>
      <c r="M436" s="162" t="s">
        <v>132</v>
      </c>
    </row>
    <row r="437" spans="1:14" ht="26.4" x14ac:dyDescent="0.25">
      <c r="A437" s="128" t="s">
        <v>131</v>
      </c>
      <c r="B437" s="114" t="s">
        <v>21</v>
      </c>
      <c r="C437" s="114" t="s">
        <v>22</v>
      </c>
      <c r="D437" s="132">
        <v>1</v>
      </c>
      <c r="E437" s="132">
        <v>30</v>
      </c>
      <c r="F437" s="60">
        <v>45938</v>
      </c>
      <c r="G437" s="164">
        <v>0.375</v>
      </c>
      <c r="H437" s="60">
        <v>45937</v>
      </c>
      <c r="I437" s="164">
        <v>0.9375</v>
      </c>
      <c r="J437" s="153">
        <f t="shared" si="11"/>
        <v>-2</v>
      </c>
      <c r="K437" s="115">
        <v>1</v>
      </c>
      <c r="L437" s="149">
        <v>32</v>
      </c>
      <c r="M437" s="162" t="s">
        <v>132</v>
      </c>
    </row>
    <row r="438" spans="1:14" ht="26.4" x14ac:dyDescent="0.25">
      <c r="A438" s="128" t="s">
        <v>131</v>
      </c>
      <c r="B438" s="114" t="s">
        <v>136</v>
      </c>
      <c r="C438" s="114" t="s">
        <v>34</v>
      </c>
      <c r="D438" s="132">
        <v>1</v>
      </c>
      <c r="E438" s="132">
        <v>30</v>
      </c>
      <c r="F438" s="60">
        <v>45938</v>
      </c>
      <c r="G438" s="164">
        <v>0.375</v>
      </c>
      <c r="H438" s="60">
        <v>45937</v>
      </c>
      <c r="I438" s="164">
        <v>0.9375</v>
      </c>
      <c r="J438" s="153">
        <f t="shared" si="11"/>
        <v>-2</v>
      </c>
      <c r="K438" s="115">
        <v>1</v>
      </c>
      <c r="L438" s="149">
        <v>32</v>
      </c>
      <c r="M438" s="162" t="s">
        <v>132</v>
      </c>
    </row>
    <row r="439" spans="1:14" ht="26.4" x14ac:dyDescent="0.25">
      <c r="A439" s="128" t="s">
        <v>131</v>
      </c>
      <c r="B439" s="114" t="s">
        <v>39</v>
      </c>
      <c r="C439" s="114" t="s">
        <v>40</v>
      </c>
      <c r="D439" s="132">
        <v>1</v>
      </c>
      <c r="E439" s="132">
        <v>30</v>
      </c>
      <c r="F439" s="60">
        <v>45938</v>
      </c>
      <c r="G439" s="164">
        <v>0.375</v>
      </c>
      <c r="H439" s="60">
        <v>45937</v>
      </c>
      <c r="I439" s="164">
        <v>0.9375</v>
      </c>
      <c r="J439" s="153">
        <f t="shared" si="11"/>
        <v>-2</v>
      </c>
      <c r="K439" s="115">
        <v>1</v>
      </c>
      <c r="L439" s="149">
        <v>32</v>
      </c>
      <c r="M439" s="162" t="s">
        <v>132</v>
      </c>
    </row>
    <row r="440" spans="1:14" ht="26.4" x14ac:dyDescent="0.25">
      <c r="A440" s="128" t="s">
        <v>133</v>
      </c>
      <c r="B440" s="114" t="s">
        <v>21</v>
      </c>
      <c r="C440" s="114" t="s">
        <v>22</v>
      </c>
      <c r="D440" s="132">
        <v>3</v>
      </c>
      <c r="E440" s="132">
        <v>20</v>
      </c>
      <c r="F440" s="60">
        <v>45938</v>
      </c>
      <c r="G440" s="164">
        <v>0.375</v>
      </c>
      <c r="H440" s="60">
        <v>45938</v>
      </c>
      <c r="I440" s="164">
        <v>0.375</v>
      </c>
      <c r="J440" s="153">
        <f t="shared" si="11"/>
        <v>5</v>
      </c>
      <c r="K440" s="115">
        <v>3</v>
      </c>
      <c r="L440" s="149">
        <v>15</v>
      </c>
      <c r="M440" s="162" t="s">
        <v>134</v>
      </c>
    </row>
    <row r="441" spans="1:14" ht="39.6" x14ac:dyDescent="0.25">
      <c r="A441" s="124" t="s">
        <v>474</v>
      </c>
      <c r="B441" s="114" t="s">
        <v>36</v>
      </c>
      <c r="C441" s="114" t="s">
        <v>37</v>
      </c>
      <c r="D441" s="163">
        <v>1</v>
      </c>
      <c r="E441" s="132">
        <v>30</v>
      </c>
      <c r="F441" s="135">
        <v>45945</v>
      </c>
      <c r="G441" s="152">
        <v>0.375</v>
      </c>
      <c r="H441" s="60">
        <v>45943</v>
      </c>
      <c r="I441" s="164">
        <v>0.79166666666666663</v>
      </c>
      <c r="J441" s="153">
        <f>E441-L441</f>
        <v>0</v>
      </c>
      <c r="K441" s="115">
        <v>1</v>
      </c>
      <c r="L441" s="149">
        <v>30</v>
      </c>
      <c r="M441" s="162" t="s">
        <v>75</v>
      </c>
      <c r="N441" s="117" t="s">
        <v>594</v>
      </c>
    </row>
    <row r="442" spans="1:14" ht="39.6" x14ac:dyDescent="0.25">
      <c r="A442" s="124" t="s">
        <v>474</v>
      </c>
      <c r="B442" s="114" t="s">
        <v>30</v>
      </c>
      <c r="C442" s="114" t="s">
        <v>31</v>
      </c>
      <c r="D442" s="163">
        <v>1</v>
      </c>
      <c r="E442" s="132">
        <v>30</v>
      </c>
      <c r="F442" s="135">
        <v>45945</v>
      </c>
      <c r="G442" s="152">
        <v>0.375</v>
      </c>
      <c r="H442" s="60">
        <v>45943</v>
      </c>
      <c r="I442" s="164">
        <v>0.79166666666666663</v>
      </c>
      <c r="J442" s="153">
        <f>E442-L442</f>
        <v>0</v>
      </c>
      <c r="K442" s="115">
        <v>1</v>
      </c>
      <c r="L442" s="149">
        <v>30</v>
      </c>
      <c r="M442" s="162" t="s">
        <v>475</v>
      </c>
    </row>
    <row r="443" spans="1:14" ht="79.2" x14ac:dyDescent="0.25">
      <c r="A443" s="132" t="s">
        <v>473</v>
      </c>
      <c r="B443" s="122" t="s">
        <v>36</v>
      </c>
      <c r="C443" s="122" t="s">
        <v>37</v>
      </c>
      <c r="D443" s="163">
        <v>1</v>
      </c>
      <c r="E443" s="132">
        <v>30</v>
      </c>
      <c r="F443" s="135">
        <v>45945</v>
      </c>
      <c r="G443" s="152">
        <v>0.375</v>
      </c>
      <c r="H443" s="135">
        <v>45943</v>
      </c>
      <c r="I443" s="152">
        <v>0.41666666666666669</v>
      </c>
      <c r="J443" s="153">
        <f t="shared" ref="J443:J500" si="12">E443-L443</f>
        <v>2</v>
      </c>
      <c r="K443" s="115">
        <v>1</v>
      </c>
      <c r="L443" s="122">
        <v>28</v>
      </c>
      <c r="M443" s="132" t="s">
        <v>476</v>
      </c>
    </row>
    <row r="444" spans="1:14" ht="79.2" x14ac:dyDescent="0.25">
      <c r="A444" s="132" t="s">
        <v>473</v>
      </c>
      <c r="B444" s="122" t="s">
        <v>42</v>
      </c>
      <c r="C444" s="122" t="s">
        <v>43</v>
      </c>
      <c r="D444" s="163">
        <v>1</v>
      </c>
      <c r="E444" s="132">
        <v>30</v>
      </c>
      <c r="F444" s="135">
        <v>45945</v>
      </c>
      <c r="G444" s="152">
        <v>0.375</v>
      </c>
      <c r="H444" s="135">
        <v>45943</v>
      </c>
      <c r="I444" s="152">
        <v>0.41666666666666669</v>
      </c>
      <c r="J444" s="153">
        <f t="shared" si="12"/>
        <v>2</v>
      </c>
      <c r="K444" s="115">
        <v>1</v>
      </c>
      <c r="L444" s="122">
        <v>28</v>
      </c>
      <c r="M444" s="132" t="s">
        <v>476</v>
      </c>
    </row>
    <row r="445" spans="1:14" ht="79.2" x14ac:dyDescent="0.25">
      <c r="A445" s="136" t="s">
        <v>477</v>
      </c>
      <c r="B445" s="122" t="s">
        <v>36</v>
      </c>
      <c r="C445" s="122" t="s">
        <v>37</v>
      </c>
      <c r="D445" s="163">
        <v>1</v>
      </c>
      <c r="E445" s="132">
        <v>30</v>
      </c>
      <c r="F445" s="135">
        <v>45945</v>
      </c>
      <c r="G445" s="152">
        <v>0.375</v>
      </c>
      <c r="H445" s="135">
        <v>45943</v>
      </c>
      <c r="I445" s="152">
        <v>0.4375</v>
      </c>
      <c r="J445" s="153">
        <f t="shared" si="12"/>
        <v>1</v>
      </c>
      <c r="K445" s="115">
        <v>1</v>
      </c>
      <c r="L445" s="122">
        <v>29</v>
      </c>
      <c r="M445" s="132" t="s">
        <v>478</v>
      </c>
    </row>
    <row r="446" spans="1:14" ht="79.2" x14ac:dyDescent="0.25">
      <c r="A446" s="132" t="s">
        <v>477</v>
      </c>
      <c r="B446" s="122" t="s">
        <v>42</v>
      </c>
      <c r="C446" s="122" t="s">
        <v>43</v>
      </c>
      <c r="D446" s="163">
        <v>1</v>
      </c>
      <c r="E446" s="132">
        <v>30</v>
      </c>
      <c r="F446" s="135">
        <v>45945</v>
      </c>
      <c r="G446" s="152">
        <v>0.375</v>
      </c>
      <c r="H446" s="135">
        <v>45943</v>
      </c>
      <c r="I446" s="152">
        <v>0.4375</v>
      </c>
      <c r="J446" s="153">
        <f t="shared" si="12"/>
        <v>1</v>
      </c>
      <c r="K446" s="115">
        <v>1</v>
      </c>
      <c r="L446" s="122">
        <v>29</v>
      </c>
      <c r="M446" s="132" t="s">
        <v>478</v>
      </c>
    </row>
    <row r="447" spans="1:14" ht="66" x14ac:dyDescent="0.25">
      <c r="A447" s="132" t="s">
        <v>479</v>
      </c>
      <c r="B447" s="122" t="s">
        <v>30</v>
      </c>
      <c r="C447" s="122" t="s">
        <v>31</v>
      </c>
      <c r="D447" s="163">
        <v>1</v>
      </c>
      <c r="E447" s="132">
        <v>30</v>
      </c>
      <c r="F447" s="135">
        <v>45945</v>
      </c>
      <c r="G447" s="152">
        <v>0.375</v>
      </c>
      <c r="H447" s="135">
        <v>45943</v>
      </c>
      <c r="I447" s="152">
        <v>0.41666666666666669</v>
      </c>
      <c r="J447" s="153">
        <f t="shared" si="12"/>
        <v>3</v>
      </c>
      <c r="K447" s="115">
        <v>2</v>
      </c>
      <c r="L447" s="122">
        <v>27</v>
      </c>
      <c r="M447" s="132" t="s">
        <v>480</v>
      </c>
    </row>
    <row r="448" spans="1:14" ht="66" x14ac:dyDescent="0.25">
      <c r="A448" s="132" t="s">
        <v>479</v>
      </c>
      <c r="B448" s="122" t="s">
        <v>39</v>
      </c>
      <c r="C448" s="122" t="s">
        <v>40</v>
      </c>
      <c r="D448" s="163">
        <v>1</v>
      </c>
      <c r="E448" s="132">
        <v>30</v>
      </c>
      <c r="F448" s="135">
        <v>45945</v>
      </c>
      <c r="G448" s="152">
        <v>0.375</v>
      </c>
      <c r="H448" s="135">
        <v>45943</v>
      </c>
      <c r="I448" s="152">
        <v>0.41666666666666669</v>
      </c>
      <c r="J448" s="153">
        <f t="shared" si="12"/>
        <v>3</v>
      </c>
      <c r="K448" s="115">
        <v>2</v>
      </c>
      <c r="L448" s="122">
        <v>27</v>
      </c>
      <c r="M448" s="132" t="s">
        <v>480</v>
      </c>
    </row>
    <row r="449" spans="1:13" ht="92.4" x14ac:dyDescent="0.25">
      <c r="A449" s="125" t="s">
        <v>481</v>
      </c>
      <c r="B449" s="122" t="s">
        <v>21</v>
      </c>
      <c r="C449" s="122" t="s">
        <v>22</v>
      </c>
      <c r="D449" s="163">
        <v>1</v>
      </c>
      <c r="E449" s="132">
        <v>30</v>
      </c>
      <c r="F449" s="135">
        <v>45945</v>
      </c>
      <c r="G449" s="152">
        <v>0.375</v>
      </c>
      <c r="H449" s="135">
        <v>45943</v>
      </c>
      <c r="I449" s="152">
        <v>0.41666666666666669</v>
      </c>
      <c r="J449" s="153">
        <f t="shared" si="12"/>
        <v>0</v>
      </c>
      <c r="K449" s="115">
        <v>2</v>
      </c>
      <c r="L449" s="122">
        <v>30</v>
      </c>
      <c r="M449" s="132" t="s">
        <v>482</v>
      </c>
    </row>
    <row r="450" spans="1:13" ht="92.4" x14ac:dyDescent="0.25">
      <c r="A450" s="125" t="s">
        <v>481</v>
      </c>
      <c r="B450" s="122" t="s">
        <v>136</v>
      </c>
      <c r="C450" s="122" t="s">
        <v>34</v>
      </c>
      <c r="D450" s="163">
        <v>1</v>
      </c>
      <c r="E450" s="132">
        <v>30</v>
      </c>
      <c r="F450" s="135">
        <v>45945</v>
      </c>
      <c r="G450" s="152">
        <v>0.375</v>
      </c>
      <c r="H450" s="135">
        <v>45943</v>
      </c>
      <c r="I450" s="152">
        <v>0.41666666666666669</v>
      </c>
      <c r="J450" s="153">
        <f t="shared" si="12"/>
        <v>0</v>
      </c>
      <c r="K450" s="115">
        <v>2</v>
      </c>
      <c r="L450" s="122">
        <v>30</v>
      </c>
      <c r="M450" s="132" t="s">
        <v>482</v>
      </c>
    </row>
    <row r="451" spans="1:13" ht="66" x14ac:dyDescent="0.25">
      <c r="A451" s="125" t="s">
        <v>483</v>
      </c>
      <c r="B451" s="122" t="s">
        <v>21</v>
      </c>
      <c r="C451" s="122" t="s">
        <v>22</v>
      </c>
      <c r="D451" s="163">
        <v>1</v>
      </c>
      <c r="E451" s="132">
        <v>30</v>
      </c>
      <c r="F451" s="135">
        <v>45945</v>
      </c>
      <c r="G451" s="152">
        <v>0.375</v>
      </c>
      <c r="H451" s="135">
        <v>45943</v>
      </c>
      <c r="I451" s="152">
        <v>0.4375</v>
      </c>
      <c r="J451" s="153">
        <f t="shared" si="12"/>
        <v>4</v>
      </c>
      <c r="K451" s="115">
        <v>1</v>
      </c>
      <c r="L451" s="122">
        <v>26</v>
      </c>
      <c r="M451" s="132" t="s">
        <v>484</v>
      </c>
    </row>
    <row r="452" spans="1:13" ht="66" x14ac:dyDescent="0.25">
      <c r="A452" s="130" t="s">
        <v>483</v>
      </c>
      <c r="B452" s="122" t="s">
        <v>136</v>
      </c>
      <c r="C452" s="122" t="s">
        <v>34</v>
      </c>
      <c r="D452" s="163">
        <v>1</v>
      </c>
      <c r="E452" s="132">
        <v>30</v>
      </c>
      <c r="F452" s="135">
        <v>45945</v>
      </c>
      <c r="G452" s="152">
        <v>0.375</v>
      </c>
      <c r="H452" s="135">
        <v>45943</v>
      </c>
      <c r="I452" s="152">
        <v>0.4375</v>
      </c>
      <c r="J452" s="153">
        <f t="shared" si="12"/>
        <v>4</v>
      </c>
      <c r="K452" s="115">
        <v>1</v>
      </c>
      <c r="L452" s="122">
        <v>26</v>
      </c>
      <c r="M452" s="132" t="s">
        <v>484</v>
      </c>
    </row>
    <row r="453" spans="1:13" ht="66" x14ac:dyDescent="0.25">
      <c r="A453" s="132" t="s">
        <v>485</v>
      </c>
      <c r="B453" s="122" t="s">
        <v>21</v>
      </c>
      <c r="C453" s="122" t="s">
        <v>22</v>
      </c>
      <c r="D453" s="163">
        <v>1</v>
      </c>
      <c r="E453" s="132">
        <v>30</v>
      </c>
      <c r="F453" s="135">
        <v>45945</v>
      </c>
      <c r="G453" s="152">
        <v>0.375</v>
      </c>
      <c r="H453" s="135">
        <v>45943</v>
      </c>
      <c r="I453" s="152">
        <v>0.45833333333333331</v>
      </c>
      <c r="J453" s="153">
        <f t="shared" si="12"/>
        <v>0</v>
      </c>
      <c r="K453" s="115">
        <v>1</v>
      </c>
      <c r="L453" s="122">
        <v>30</v>
      </c>
      <c r="M453" s="132" t="s">
        <v>486</v>
      </c>
    </row>
    <row r="454" spans="1:13" ht="66" x14ac:dyDescent="0.25">
      <c r="A454" s="132" t="s">
        <v>485</v>
      </c>
      <c r="B454" s="122" t="s">
        <v>136</v>
      </c>
      <c r="C454" s="122" t="s">
        <v>34</v>
      </c>
      <c r="D454" s="163">
        <v>1</v>
      </c>
      <c r="E454" s="132">
        <v>30</v>
      </c>
      <c r="F454" s="135">
        <v>45945</v>
      </c>
      <c r="G454" s="152">
        <v>0.375</v>
      </c>
      <c r="H454" s="135">
        <v>45943</v>
      </c>
      <c r="I454" s="152">
        <v>0.45833333333333331</v>
      </c>
      <c r="J454" s="153">
        <f t="shared" si="12"/>
        <v>0</v>
      </c>
      <c r="K454" s="115">
        <v>1</v>
      </c>
      <c r="L454" s="122">
        <v>30</v>
      </c>
      <c r="M454" s="132" t="s">
        <v>486</v>
      </c>
    </row>
    <row r="455" spans="1:13" ht="66" x14ac:dyDescent="0.25">
      <c r="A455" s="132" t="s">
        <v>487</v>
      </c>
      <c r="B455" s="122" t="s">
        <v>36</v>
      </c>
      <c r="C455" s="122" t="s">
        <v>37</v>
      </c>
      <c r="D455" s="163">
        <v>1</v>
      </c>
      <c r="E455" s="132">
        <v>30</v>
      </c>
      <c r="F455" s="135">
        <v>45945</v>
      </c>
      <c r="G455" s="152">
        <v>0.375</v>
      </c>
      <c r="H455" s="135">
        <v>45943</v>
      </c>
      <c r="I455" s="152">
        <v>0.45833333333333331</v>
      </c>
      <c r="J455" s="153">
        <f t="shared" si="12"/>
        <v>2</v>
      </c>
      <c r="K455" s="115">
        <v>1</v>
      </c>
      <c r="L455" s="122">
        <v>28</v>
      </c>
      <c r="M455" s="132" t="s">
        <v>488</v>
      </c>
    </row>
    <row r="456" spans="1:13" ht="66" x14ac:dyDescent="0.25">
      <c r="A456" s="132" t="s">
        <v>487</v>
      </c>
      <c r="B456" s="122" t="s">
        <v>42</v>
      </c>
      <c r="C456" s="122" t="s">
        <v>43</v>
      </c>
      <c r="D456" s="163">
        <v>1</v>
      </c>
      <c r="E456" s="132">
        <v>30</v>
      </c>
      <c r="F456" s="135">
        <v>45945</v>
      </c>
      <c r="G456" s="152">
        <v>0.375</v>
      </c>
      <c r="H456" s="135">
        <v>45943</v>
      </c>
      <c r="I456" s="152">
        <v>0.45833333333333331</v>
      </c>
      <c r="J456" s="153">
        <f t="shared" si="12"/>
        <v>2</v>
      </c>
      <c r="K456" s="115">
        <v>1</v>
      </c>
      <c r="L456" s="122">
        <v>28</v>
      </c>
      <c r="M456" s="132" t="s">
        <v>488</v>
      </c>
    </row>
    <row r="457" spans="1:13" ht="52.8" x14ac:dyDescent="0.25">
      <c r="A457" s="132" t="s">
        <v>489</v>
      </c>
      <c r="B457" s="122" t="s">
        <v>36</v>
      </c>
      <c r="C457" s="122" t="s">
        <v>37</v>
      </c>
      <c r="D457" s="163">
        <v>1</v>
      </c>
      <c r="E457" s="132">
        <v>30</v>
      </c>
      <c r="F457" s="135">
        <v>45945</v>
      </c>
      <c r="G457" s="152">
        <v>0.375</v>
      </c>
      <c r="H457" s="135">
        <v>45943</v>
      </c>
      <c r="I457" s="152">
        <v>0.47916666666666669</v>
      </c>
      <c r="J457" s="153">
        <f t="shared" si="12"/>
        <v>2</v>
      </c>
      <c r="K457" s="115">
        <v>1</v>
      </c>
      <c r="L457" s="122">
        <v>28</v>
      </c>
      <c r="M457" s="132" t="s">
        <v>490</v>
      </c>
    </row>
    <row r="458" spans="1:13" ht="52.8" x14ac:dyDescent="0.25">
      <c r="A458" s="132" t="s">
        <v>489</v>
      </c>
      <c r="B458" s="122" t="s">
        <v>42</v>
      </c>
      <c r="C458" s="122" t="s">
        <v>43</v>
      </c>
      <c r="D458" s="163">
        <v>1</v>
      </c>
      <c r="E458" s="132">
        <v>30</v>
      </c>
      <c r="F458" s="135">
        <v>45945</v>
      </c>
      <c r="G458" s="152">
        <v>0.375</v>
      </c>
      <c r="H458" s="135">
        <v>45943</v>
      </c>
      <c r="I458" s="152">
        <v>0.47916666666666669</v>
      </c>
      <c r="J458" s="153">
        <f t="shared" si="12"/>
        <v>2</v>
      </c>
      <c r="K458" s="115">
        <v>1</v>
      </c>
      <c r="L458" s="122">
        <v>28</v>
      </c>
      <c r="M458" s="132" t="s">
        <v>490</v>
      </c>
    </row>
    <row r="459" spans="1:13" ht="79.2" x14ac:dyDescent="0.25">
      <c r="A459" s="132" t="s">
        <v>491</v>
      </c>
      <c r="B459" s="122" t="s">
        <v>21</v>
      </c>
      <c r="C459" s="122" t="s">
        <v>22</v>
      </c>
      <c r="D459" s="163">
        <v>1</v>
      </c>
      <c r="E459" s="132">
        <v>30</v>
      </c>
      <c r="F459" s="135">
        <v>45945</v>
      </c>
      <c r="G459" s="152">
        <v>0.375</v>
      </c>
      <c r="H459" s="135">
        <v>45943</v>
      </c>
      <c r="I459" s="152">
        <v>0.75</v>
      </c>
      <c r="J459" s="153">
        <f t="shared" si="12"/>
        <v>0</v>
      </c>
      <c r="K459" s="115">
        <v>1</v>
      </c>
      <c r="L459" s="122">
        <v>30</v>
      </c>
      <c r="M459" s="132" t="s">
        <v>492</v>
      </c>
    </row>
    <row r="460" spans="1:13" ht="79.2" x14ac:dyDescent="0.25">
      <c r="A460" s="132" t="s">
        <v>491</v>
      </c>
      <c r="B460" s="122" t="s">
        <v>30</v>
      </c>
      <c r="C460" s="122" t="s">
        <v>31</v>
      </c>
      <c r="D460" s="163">
        <v>1</v>
      </c>
      <c r="E460" s="132">
        <v>30</v>
      </c>
      <c r="F460" s="135">
        <v>45945</v>
      </c>
      <c r="G460" s="152">
        <v>0.375</v>
      </c>
      <c r="H460" s="135">
        <v>45943</v>
      </c>
      <c r="I460" s="152">
        <v>0.75</v>
      </c>
      <c r="J460" s="153">
        <f t="shared" si="12"/>
        <v>0</v>
      </c>
      <c r="K460" s="115">
        <v>1</v>
      </c>
      <c r="L460" s="122">
        <v>30</v>
      </c>
      <c r="M460" s="132" t="s">
        <v>492</v>
      </c>
    </row>
    <row r="461" spans="1:13" ht="79.2" x14ac:dyDescent="0.25">
      <c r="A461" s="132" t="s">
        <v>491</v>
      </c>
      <c r="B461" s="122" t="s">
        <v>136</v>
      </c>
      <c r="C461" s="122" t="s">
        <v>34</v>
      </c>
      <c r="D461" s="163">
        <v>1</v>
      </c>
      <c r="E461" s="132">
        <v>30</v>
      </c>
      <c r="F461" s="135">
        <v>45945</v>
      </c>
      <c r="G461" s="152">
        <v>0.375</v>
      </c>
      <c r="H461" s="135">
        <v>45943</v>
      </c>
      <c r="I461" s="152">
        <v>0.75</v>
      </c>
      <c r="J461" s="153">
        <f t="shared" si="12"/>
        <v>0</v>
      </c>
      <c r="K461" s="115">
        <v>1</v>
      </c>
      <c r="L461" s="122">
        <v>30</v>
      </c>
      <c r="M461" s="132" t="s">
        <v>492</v>
      </c>
    </row>
    <row r="462" spans="1:13" ht="79.2" x14ac:dyDescent="0.25">
      <c r="A462" s="132" t="s">
        <v>491</v>
      </c>
      <c r="B462" s="122" t="s">
        <v>39</v>
      </c>
      <c r="C462" s="122" t="s">
        <v>40</v>
      </c>
      <c r="D462" s="163">
        <v>1</v>
      </c>
      <c r="E462" s="132">
        <v>30</v>
      </c>
      <c r="F462" s="135">
        <v>45945</v>
      </c>
      <c r="G462" s="152">
        <v>0.375</v>
      </c>
      <c r="H462" s="135">
        <v>45943</v>
      </c>
      <c r="I462" s="152">
        <v>0.75</v>
      </c>
      <c r="J462" s="153">
        <f t="shared" si="12"/>
        <v>0</v>
      </c>
      <c r="K462" s="115">
        <v>1</v>
      </c>
      <c r="L462" s="122">
        <v>30</v>
      </c>
      <c r="M462" s="132" t="s">
        <v>492</v>
      </c>
    </row>
    <row r="463" spans="1:13" ht="79.2" x14ac:dyDescent="0.25">
      <c r="A463" s="132" t="s">
        <v>491</v>
      </c>
      <c r="B463" s="122" t="s">
        <v>36</v>
      </c>
      <c r="C463" s="122" t="s">
        <v>37</v>
      </c>
      <c r="D463" s="163">
        <v>1</v>
      </c>
      <c r="E463" s="132">
        <v>30</v>
      </c>
      <c r="F463" s="135">
        <v>45945</v>
      </c>
      <c r="G463" s="152">
        <v>0.375</v>
      </c>
      <c r="H463" s="135">
        <v>45943</v>
      </c>
      <c r="I463" s="152">
        <v>0.75</v>
      </c>
      <c r="J463" s="153">
        <f t="shared" si="12"/>
        <v>0</v>
      </c>
      <c r="K463" s="115">
        <v>1</v>
      </c>
      <c r="L463" s="122">
        <v>30</v>
      </c>
      <c r="M463" s="132" t="s">
        <v>492</v>
      </c>
    </row>
    <row r="464" spans="1:13" ht="79.2" x14ac:dyDescent="0.25">
      <c r="A464" s="132" t="s">
        <v>491</v>
      </c>
      <c r="B464" s="122" t="s">
        <v>42</v>
      </c>
      <c r="C464" s="122" t="s">
        <v>43</v>
      </c>
      <c r="D464" s="163">
        <v>1</v>
      </c>
      <c r="E464" s="132">
        <v>30</v>
      </c>
      <c r="F464" s="135">
        <v>45945</v>
      </c>
      <c r="G464" s="152">
        <v>0.375</v>
      </c>
      <c r="H464" s="135">
        <v>45943</v>
      </c>
      <c r="I464" s="152">
        <v>0.75</v>
      </c>
      <c r="J464" s="153">
        <f t="shared" si="12"/>
        <v>0</v>
      </c>
      <c r="K464" s="115">
        <v>1</v>
      </c>
      <c r="L464" s="122">
        <v>30</v>
      </c>
      <c r="M464" s="132" t="s">
        <v>492</v>
      </c>
    </row>
    <row r="465" spans="1:13" ht="79.2" x14ac:dyDescent="0.25">
      <c r="A465" s="132" t="s">
        <v>493</v>
      </c>
      <c r="B465" s="122" t="s">
        <v>21</v>
      </c>
      <c r="C465" s="122" t="s">
        <v>22</v>
      </c>
      <c r="D465" s="163">
        <v>1</v>
      </c>
      <c r="E465" s="132">
        <v>30</v>
      </c>
      <c r="F465" s="135">
        <v>45945</v>
      </c>
      <c r="G465" s="152">
        <v>0.375</v>
      </c>
      <c r="H465" s="135">
        <v>45943</v>
      </c>
      <c r="I465" s="152">
        <v>0.77083333333333337</v>
      </c>
      <c r="J465" s="153">
        <f t="shared" si="12"/>
        <v>2</v>
      </c>
      <c r="K465" s="115">
        <v>2</v>
      </c>
      <c r="L465" s="122">
        <v>28</v>
      </c>
      <c r="M465" s="132" t="s">
        <v>495</v>
      </c>
    </row>
    <row r="466" spans="1:13" ht="79.2" x14ac:dyDescent="0.25">
      <c r="A466" s="132" t="s">
        <v>493</v>
      </c>
      <c r="B466" s="122" t="s">
        <v>30</v>
      </c>
      <c r="C466" s="122" t="s">
        <v>31</v>
      </c>
      <c r="D466" s="163">
        <v>1</v>
      </c>
      <c r="E466" s="132">
        <v>30</v>
      </c>
      <c r="F466" s="135">
        <v>45945</v>
      </c>
      <c r="G466" s="152">
        <v>0.375</v>
      </c>
      <c r="H466" s="135">
        <v>45943</v>
      </c>
      <c r="I466" s="152">
        <v>0.77083333333333337</v>
      </c>
      <c r="J466" s="153">
        <f t="shared" si="12"/>
        <v>2</v>
      </c>
      <c r="K466" s="115">
        <v>2</v>
      </c>
      <c r="L466" s="122">
        <v>28</v>
      </c>
      <c r="M466" s="132" t="s">
        <v>495</v>
      </c>
    </row>
    <row r="467" spans="1:13" ht="79.2" x14ac:dyDescent="0.25">
      <c r="A467" s="132" t="s">
        <v>493</v>
      </c>
      <c r="B467" s="122" t="s">
        <v>136</v>
      </c>
      <c r="C467" s="122" t="s">
        <v>34</v>
      </c>
      <c r="D467" s="163">
        <v>1</v>
      </c>
      <c r="E467" s="132">
        <v>30</v>
      </c>
      <c r="F467" s="135">
        <v>45945</v>
      </c>
      <c r="G467" s="152">
        <v>0.375</v>
      </c>
      <c r="H467" s="135">
        <v>45943</v>
      </c>
      <c r="I467" s="152">
        <v>0.77083333333333337</v>
      </c>
      <c r="J467" s="153">
        <f t="shared" si="12"/>
        <v>2</v>
      </c>
      <c r="K467" s="115">
        <v>2</v>
      </c>
      <c r="L467" s="122">
        <v>28</v>
      </c>
      <c r="M467" s="132" t="s">
        <v>495</v>
      </c>
    </row>
    <row r="468" spans="1:13" ht="79.2" x14ac:dyDescent="0.25">
      <c r="A468" s="132" t="s">
        <v>493</v>
      </c>
      <c r="B468" s="122" t="s">
        <v>39</v>
      </c>
      <c r="C468" s="122" t="s">
        <v>40</v>
      </c>
      <c r="D468" s="163">
        <v>1</v>
      </c>
      <c r="E468" s="132">
        <v>30</v>
      </c>
      <c r="F468" s="135">
        <v>45945</v>
      </c>
      <c r="G468" s="152">
        <v>0.375</v>
      </c>
      <c r="H468" s="135">
        <v>45943</v>
      </c>
      <c r="I468" s="152">
        <v>0.77083333333333337</v>
      </c>
      <c r="J468" s="153">
        <f t="shared" si="12"/>
        <v>2</v>
      </c>
      <c r="K468" s="115">
        <v>2</v>
      </c>
      <c r="L468" s="122">
        <v>28</v>
      </c>
      <c r="M468" s="132" t="s">
        <v>495</v>
      </c>
    </row>
    <row r="469" spans="1:13" ht="79.2" x14ac:dyDescent="0.25">
      <c r="A469" s="132" t="s">
        <v>493</v>
      </c>
      <c r="B469" s="122" t="s">
        <v>36</v>
      </c>
      <c r="C469" s="122" t="s">
        <v>37</v>
      </c>
      <c r="D469" s="163">
        <v>1</v>
      </c>
      <c r="E469" s="132">
        <v>30</v>
      </c>
      <c r="F469" s="135">
        <v>45945</v>
      </c>
      <c r="G469" s="152">
        <v>0.375</v>
      </c>
      <c r="H469" s="135">
        <v>45943</v>
      </c>
      <c r="I469" s="152">
        <v>0.77083333333333337</v>
      </c>
      <c r="J469" s="153">
        <f t="shared" si="12"/>
        <v>2</v>
      </c>
      <c r="K469" s="115">
        <v>2</v>
      </c>
      <c r="L469" s="122">
        <v>28</v>
      </c>
      <c r="M469" s="132" t="s">
        <v>495</v>
      </c>
    </row>
    <row r="470" spans="1:13" ht="79.2" x14ac:dyDescent="0.25">
      <c r="A470" s="132" t="s">
        <v>493</v>
      </c>
      <c r="B470" s="122" t="s">
        <v>42</v>
      </c>
      <c r="C470" s="122" t="s">
        <v>43</v>
      </c>
      <c r="D470" s="163">
        <v>1</v>
      </c>
      <c r="E470" s="132">
        <v>30</v>
      </c>
      <c r="F470" s="135">
        <v>45945</v>
      </c>
      <c r="G470" s="152">
        <v>0.375</v>
      </c>
      <c r="H470" s="135">
        <v>45943</v>
      </c>
      <c r="I470" s="152">
        <v>0.77083333333333337</v>
      </c>
      <c r="J470" s="153">
        <f t="shared" si="12"/>
        <v>2</v>
      </c>
      <c r="K470" s="115">
        <v>2</v>
      </c>
      <c r="L470" s="122">
        <v>28</v>
      </c>
      <c r="M470" s="132" t="s">
        <v>495</v>
      </c>
    </row>
    <row r="471" spans="1:13" ht="66" x14ac:dyDescent="0.25">
      <c r="A471" s="132" t="s">
        <v>496</v>
      </c>
      <c r="B471" s="122" t="s">
        <v>36</v>
      </c>
      <c r="C471" s="122" t="s">
        <v>37</v>
      </c>
      <c r="D471" s="163">
        <v>1</v>
      </c>
      <c r="E471" s="132">
        <v>30</v>
      </c>
      <c r="F471" s="135">
        <v>45945</v>
      </c>
      <c r="G471" s="152">
        <v>0.375</v>
      </c>
      <c r="H471" s="135">
        <v>45943</v>
      </c>
      <c r="I471" s="152">
        <v>0.5</v>
      </c>
      <c r="J471" s="153">
        <f t="shared" si="12"/>
        <v>5</v>
      </c>
      <c r="K471" s="115">
        <v>1</v>
      </c>
      <c r="L471" s="122">
        <v>25</v>
      </c>
      <c r="M471" s="132" t="s">
        <v>497</v>
      </c>
    </row>
    <row r="472" spans="1:13" ht="66" x14ac:dyDescent="0.25">
      <c r="A472" s="132" t="s">
        <v>496</v>
      </c>
      <c r="B472" s="122" t="s">
        <v>42</v>
      </c>
      <c r="C472" s="122" t="s">
        <v>43</v>
      </c>
      <c r="D472" s="163">
        <v>1</v>
      </c>
      <c r="E472" s="132">
        <v>30</v>
      </c>
      <c r="F472" s="135">
        <v>45945</v>
      </c>
      <c r="G472" s="152">
        <v>0.375</v>
      </c>
      <c r="H472" s="135">
        <v>45943</v>
      </c>
      <c r="I472" s="152">
        <v>0.5</v>
      </c>
      <c r="J472" s="153">
        <f t="shared" si="12"/>
        <v>5</v>
      </c>
      <c r="K472" s="115">
        <v>1</v>
      </c>
      <c r="L472" s="122">
        <v>25</v>
      </c>
      <c r="M472" s="132" t="s">
        <v>497</v>
      </c>
    </row>
    <row r="473" spans="1:13" ht="66" x14ac:dyDescent="0.25">
      <c r="A473" s="132" t="s">
        <v>498</v>
      </c>
      <c r="B473" s="122" t="s">
        <v>21</v>
      </c>
      <c r="C473" s="122" t="s">
        <v>43</v>
      </c>
      <c r="D473" s="163">
        <v>1</v>
      </c>
      <c r="E473" s="132">
        <v>30</v>
      </c>
      <c r="F473" s="135">
        <v>45945</v>
      </c>
      <c r="G473" s="152">
        <v>0.375</v>
      </c>
      <c r="H473" s="135">
        <v>45943</v>
      </c>
      <c r="I473" s="152">
        <v>0.79166666666666663</v>
      </c>
      <c r="J473" s="153">
        <f t="shared" si="12"/>
        <v>4</v>
      </c>
      <c r="K473" s="115">
        <v>1</v>
      </c>
      <c r="L473" s="122">
        <v>26</v>
      </c>
      <c r="M473" s="132" t="s">
        <v>499</v>
      </c>
    </row>
    <row r="474" spans="1:13" ht="66" x14ac:dyDescent="0.25">
      <c r="A474" s="132" t="s">
        <v>498</v>
      </c>
      <c r="B474" s="122" t="s">
        <v>30</v>
      </c>
      <c r="C474" s="122" t="s">
        <v>31</v>
      </c>
      <c r="D474" s="163">
        <v>1</v>
      </c>
      <c r="E474" s="132">
        <v>30</v>
      </c>
      <c r="F474" s="135">
        <v>45945</v>
      </c>
      <c r="G474" s="152">
        <v>0.375</v>
      </c>
      <c r="H474" s="135">
        <v>45943</v>
      </c>
      <c r="I474" s="152">
        <v>0.79166666666666663</v>
      </c>
      <c r="J474" s="153">
        <f t="shared" si="12"/>
        <v>4</v>
      </c>
      <c r="K474" s="115">
        <v>1</v>
      </c>
      <c r="L474" s="122">
        <v>26</v>
      </c>
      <c r="M474" s="132" t="s">
        <v>499</v>
      </c>
    </row>
    <row r="475" spans="1:13" ht="66" x14ac:dyDescent="0.25">
      <c r="A475" s="132" t="s">
        <v>498</v>
      </c>
      <c r="B475" s="122" t="s">
        <v>136</v>
      </c>
      <c r="C475" s="122" t="s">
        <v>34</v>
      </c>
      <c r="D475" s="163">
        <v>1</v>
      </c>
      <c r="E475" s="132">
        <v>30</v>
      </c>
      <c r="F475" s="135">
        <v>45945</v>
      </c>
      <c r="G475" s="152">
        <v>0.375</v>
      </c>
      <c r="H475" s="135">
        <v>45943</v>
      </c>
      <c r="I475" s="152">
        <v>0.79166666666666663</v>
      </c>
      <c r="J475" s="153">
        <f t="shared" si="12"/>
        <v>4</v>
      </c>
      <c r="K475" s="115">
        <v>1</v>
      </c>
      <c r="L475" s="122">
        <v>26</v>
      </c>
      <c r="M475" s="132" t="s">
        <v>499</v>
      </c>
    </row>
    <row r="476" spans="1:13" ht="66" x14ac:dyDescent="0.25">
      <c r="A476" s="132" t="s">
        <v>498</v>
      </c>
      <c r="B476" s="122" t="s">
        <v>39</v>
      </c>
      <c r="C476" s="122" t="s">
        <v>40</v>
      </c>
      <c r="D476" s="163">
        <v>1</v>
      </c>
      <c r="E476" s="132">
        <v>30</v>
      </c>
      <c r="F476" s="135">
        <v>45945</v>
      </c>
      <c r="G476" s="152">
        <v>0.375</v>
      </c>
      <c r="H476" s="135">
        <v>45943</v>
      </c>
      <c r="I476" s="152">
        <v>0.79166666666666663</v>
      </c>
      <c r="J476" s="153">
        <f t="shared" si="12"/>
        <v>4</v>
      </c>
      <c r="K476" s="115">
        <v>1</v>
      </c>
      <c r="L476" s="122">
        <v>26</v>
      </c>
      <c r="M476" s="132" t="s">
        <v>499</v>
      </c>
    </row>
    <row r="477" spans="1:13" ht="66" x14ac:dyDescent="0.25">
      <c r="A477" s="132" t="s">
        <v>498</v>
      </c>
      <c r="B477" s="122" t="s">
        <v>36</v>
      </c>
      <c r="C477" s="122" t="s">
        <v>37</v>
      </c>
      <c r="D477" s="163">
        <v>1</v>
      </c>
      <c r="E477" s="132">
        <v>30</v>
      </c>
      <c r="F477" s="135">
        <v>45945</v>
      </c>
      <c r="G477" s="152">
        <v>0.375</v>
      </c>
      <c r="H477" s="135">
        <v>45943</v>
      </c>
      <c r="I477" s="152">
        <v>0.79166666666666663</v>
      </c>
      <c r="J477" s="153">
        <f t="shared" si="12"/>
        <v>4</v>
      </c>
      <c r="K477" s="115">
        <v>1</v>
      </c>
      <c r="L477" s="122">
        <v>26</v>
      </c>
      <c r="M477" s="132" t="s">
        <v>499</v>
      </c>
    </row>
    <row r="478" spans="1:13" ht="66" x14ac:dyDescent="0.25">
      <c r="A478" s="132" t="s">
        <v>498</v>
      </c>
      <c r="B478" s="122" t="s">
        <v>42</v>
      </c>
      <c r="C478" s="122" t="s">
        <v>43</v>
      </c>
      <c r="D478" s="163">
        <v>1</v>
      </c>
      <c r="E478" s="132">
        <v>30</v>
      </c>
      <c r="F478" s="135">
        <v>45945</v>
      </c>
      <c r="G478" s="152">
        <v>0.375</v>
      </c>
      <c r="H478" s="135">
        <v>45943</v>
      </c>
      <c r="I478" s="152">
        <v>0.79166666666666663</v>
      </c>
      <c r="J478" s="153">
        <f t="shared" si="12"/>
        <v>4</v>
      </c>
      <c r="K478" s="115">
        <v>1</v>
      </c>
      <c r="L478" s="122">
        <v>26</v>
      </c>
      <c r="M478" s="132" t="s">
        <v>499</v>
      </c>
    </row>
    <row r="479" spans="1:13" ht="66" x14ac:dyDescent="0.25">
      <c r="A479" s="132" t="s">
        <v>500</v>
      </c>
      <c r="B479" s="122" t="s">
        <v>21</v>
      </c>
      <c r="C479" s="122" t="s">
        <v>22</v>
      </c>
      <c r="D479" s="163">
        <v>1</v>
      </c>
      <c r="E479" s="132">
        <v>30</v>
      </c>
      <c r="F479" s="135">
        <v>45945</v>
      </c>
      <c r="G479" s="152">
        <v>0.375</v>
      </c>
      <c r="H479" s="135">
        <v>45943</v>
      </c>
      <c r="I479" s="152">
        <v>0.79166666666666663</v>
      </c>
      <c r="J479" s="153">
        <f t="shared" si="12"/>
        <v>0</v>
      </c>
      <c r="K479" s="115">
        <v>1</v>
      </c>
      <c r="L479" s="122">
        <v>30</v>
      </c>
      <c r="M479" s="132" t="s">
        <v>501</v>
      </c>
    </row>
    <row r="480" spans="1:13" ht="66" x14ac:dyDescent="0.25">
      <c r="A480" s="132" t="s">
        <v>500</v>
      </c>
      <c r="B480" s="122" t="s">
        <v>30</v>
      </c>
      <c r="C480" s="122" t="s">
        <v>31</v>
      </c>
      <c r="D480" s="163">
        <v>1</v>
      </c>
      <c r="E480" s="132">
        <v>30</v>
      </c>
      <c r="F480" s="135">
        <v>45945</v>
      </c>
      <c r="G480" s="152">
        <v>0.375</v>
      </c>
      <c r="H480" s="135">
        <v>45943</v>
      </c>
      <c r="I480" s="152">
        <v>0.79166666666666663</v>
      </c>
      <c r="J480" s="153">
        <f t="shared" si="12"/>
        <v>0</v>
      </c>
      <c r="K480" s="115">
        <v>1</v>
      </c>
      <c r="L480" s="122">
        <v>30</v>
      </c>
      <c r="M480" s="132" t="s">
        <v>501</v>
      </c>
    </row>
    <row r="481" spans="1:13" ht="66" x14ac:dyDescent="0.25">
      <c r="A481" s="132" t="s">
        <v>500</v>
      </c>
      <c r="B481" s="122" t="s">
        <v>136</v>
      </c>
      <c r="C481" s="122" t="s">
        <v>34</v>
      </c>
      <c r="D481" s="163">
        <v>1</v>
      </c>
      <c r="E481" s="132">
        <v>30</v>
      </c>
      <c r="F481" s="135">
        <v>45945</v>
      </c>
      <c r="G481" s="152">
        <v>0.375</v>
      </c>
      <c r="H481" s="135">
        <v>45943</v>
      </c>
      <c r="I481" s="152">
        <v>0.79166666666666663</v>
      </c>
      <c r="J481" s="153">
        <f t="shared" si="12"/>
        <v>0</v>
      </c>
      <c r="K481" s="115">
        <v>1</v>
      </c>
      <c r="L481" s="122">
        <v>30</v>
      </c>
      <c r="M481" s="132" t="s">
        <v>501</v>
      </c>
    </row>
    <row r="482" spans="1:13" ht="66" x14ac:dyDescent="0.25">
      <c r="A482" s="132" t="s">
        <v>500</v>
      </c>
      <c r="B482" s="122" t="s">
        <v>39</v>
      </c>
      <c r="C482" s="122" t="s">
        <v>40</v>
      </c>
      <c r="D482" s="163">
        <v>1</v>
      </c>
      <c r="E482" s="132">
        <v>30</v>
      </c>
      <c r="F482" s="135">
        <v>45945</v>
      </c>
      <c r="G482" s="152">
        <v>0.375</v>
      </c>
      <c r="H482" s="135">
        <v>45943</v>
      </c>
      <c r="I482" s="152">
        <v>0.79166666666666663</v>
      </c>
      <c r="J482" s="153">
        <f t="shared" si="12"/>
        <v>0</v>
      </c>
      <c r="K482" s="115">
        <v>1</v>
      </c>
      <c r="L482" s="122">
        <v>30</v>
      </c>
      <c r="M482" s="132" t="s">
        <v>501</v>
      </c>
    </row>
    <row r="483" spans="1:13" ht="66" x14ac:dyDescent="0.25">
      <c r="A483" s="132" t="s">
        <v>500</v>
      </c>
      <c r="B483" s="122" t="s">
        <v>36</v>
      </c>
      <c r="C483" s="122" t="s">
        <v>37</v>
      </c>
      <c r="D483" s="163">
        <v>1</v>
      </c>
      <c r="E483" s="132">
        <v>30</v>
      </c>
      <c r="F483" s="135">
        <v>45945</v>
      </c>
      <c r="G483" s="152">
        <v>0.375</v>
      </c>
      <c r="H483" s="135">
        <v>45943</v>
      </c>
      <c r="I483" s="152">
        <v>0.79166666666666663</v>
      </c>
      <c r="J483" s="153">
        <f t="shared" si="12"/>
        <v>0</v>
      </c>
      <c r="K483" s="115">
        <v>1</v>
      </c>
      <c r="L483" s="122">
        <v>30</v>
      </c>
      <c r="M483" s="132" t="s">
        <v>501</v>
      </c>
    </row>
    <row r="484" spans="1:13" ht="66" x14ac:dyDescent="0.25">
      <c r="A484" s="132" t="s">
        <v>500</v>
      </c>
      <c r="B484" s="122" t="s">
        <v>42</v>
      </c>
      <c r="C484" s="122" t="s">
        <v>43</v>
      </c>
      <c r="D484" s="163">
        <v>1</v>
      </c>
      <c r="E484" s="132">
        <v>30</v>
      </c>
      <c r="F484" s="135">
        <v>45945</v>
      </c>
      <c r="G484" s="152">
        <v>0.375</v>
      </c>
      <c r="H484" s="135">
        <v>45943</v>
      </c>
      <c r="I484" s="152">
        <v>0.79166666666666663</v>
      </c>
      <c r="J484" s="153">
        <f t="shared" si="12"/>
        <v>0</v>
      </c>
      <c r="K484" s="115">
        <v>1</v>
      </c>
      <c r="L484" s="122">
        <v>30</v>
      </c>
      <c r="M484" s="132" t="s">
        <v>501</v>
      </c>
    </row>
    <row r="485" spans="1:13" ht="66" x14ac:dyDescent="0.25">
      <c r="A485" s="132" t="s">
        <v>502</v>
      </c>
      <c r="B485" s="122" t="s">
        <v>30</v>
      </c>
      <c r="C485" s="122" t="s">
        <v>31</v>
      </c>
      <c r="D485" s="163">
        <v>1</v>
      </c>
      <c r="E485" s="132">
        <v>30</v>
      </c>
      <c r="F485" s="135">
        <v>45945</v>
      </c>
      <c r="G485" s="152">
        <v>0.375</v>
      </c>
      <c r="H485" s="135">
        <v>45943</v>
      </c>
      <c r="I485" s="152">
        <v>0.4375</v>
      </c>
      <c r="J485" s="153">
        <f t="shared" si="12"/>
        <v>6</v>
      </c>
      <c r="K485" s="115">
        <v>1</v>
      </c>
      <c r="L485" s="122">
        <v>24</v>
      </c>
      <c r="M485" s="132" t="s">
        <v>503</v>
      </c>
    </row>
    <row r="486" spans="1:13" ht="66" x14ac:dyDescent="0.25">
      <c r="A486" s="132" t="s">
        <v>502</v>
      </c>
      <c r="B486" s="122" t="s">
        <v>39</v>
      </c>
      <c r="C486" s="122" t="s">
        <v>40</v>
      </c>
      <c r="D486" s="163">
        <v>1</v>
      </c>
      <c r="E486" s="132">
        <v>30</v>
      </c>
      <c r="F486" s="135">
        <v>45945</v>
      </c>
      <c r="G486" s="152">
        <v>0.375</v>
      </c>
      <c r="H486" s="135">
        <v>45943</v>
      </c>
      <c r="I486" s="152">
        <v>0.4375</v>
      </c>
      <c r="J486" s="153">
        <f t="shared" si="12"/>
        <v>6</v>
      </c>
      <c r="K486" s="115">
        <v>1</v>
      </c>
      <c r="L486" s="122">
        <v>24</v>
      </c>
      <c r="M486" s="132" t="s">
        <v>503</v>
      </c>
    </row>
    <row r="487" spans="1:13" ht="66" x14ac:dyDescent="0.25">
      <c r="A487" s="132" t="s">
        <v>504</v>
      </c>
      <c r="B487" s="122" t="s">
        <v>21</v>
      </c>
      <c r="C487" s="122" t="s">
        <v>22</v>
      </c>
      <c r="D487" s="163">
        <v>1</v>
      </c>
      <c r="E487" s="132">
        <v>30</v>
      </c>
      <c r="F487" s="135">
        <v>45945</v>
      </c>
      <c r="G487" s="152">
        <v>0.375</v>
      </c>
      <c r="H487" s="135">
        <v>45943</v>
      </c>
      <c r="I487" s="152">
        <v>0.8125</v>
      </c>
      <c r="J487" s="153">
        <f t="shared" si="12"/>
        <v>2</v>
      </c>
      <c r="K487" s="115">
        <v>1</v>
      </c>
      <c r="L487" s="122">
        <v>28</v>
      </c>
      <c r="M487" s="132" t="s">
        <v>505</v>
      </c>
    </row>
    <row r="488" spans="1:13" ht="66" x14ac:dyDescent="0.25">
      <c r="A488" s="132" t="s">
        <v>504</v>
      </c>
      <c r="B488" s="122" t="s">
        <v>30</v>
      </c>
      <c r="C488" s="122" t="s">
        <v>31</v>
      </c>
      <c r="D488" s="163">
        <v>1</v>
      </c>
      <c r="E488" s="132">
        <v>30</v>
      </c>
      <c r="F488" s="135">
        <v>45945</v>
      </c>
      <c r="G488" s="152">
        <v>0.375</v>
      </c>
      <c r="H488" s="135">
        <v>45943</v>
      </c>
      <c r="I488" s="152">
        <v>0.8125</v>
      </c>
      <c r="J488" s="153">
        <f t="shared" si="12"/>
        <v>2</v>
      </c>
      <c r="K488" s="115">
        <v>1</v>
      </c>
      <c r="L488" s="122">
        <v>28</v>
      </c>
      <c r="M488" s="132" t="s">
        <v>505</v>
      </c>
    </row>
    <row r="489" spans="1:13" ht="66" x14ac:dyDescent="0.25">
      <c r="A489" s="132" t="s">
        <v>504</v>
      </c>
      <c r="B489" s="122" t="s">
        <v>136</v>
      </c>
      <c r="C489" s="122" t="s">
        <v>34</v>
      </c>
      <c r="D489" s="163">
        <v>1</v>
      </c>
      <c r="E489" s="132">
        <v>30</v>
      </c>
      <c r="F489" s="135">
        <v>45945</v>
      </c>
      <c r="G489" s="152">
        <v>0.375</v>
      </c>
      <c r="H489" s="135">
        <v>45943</v>
      </c>
      <c r="I489" s="152">
        <v>0.8125</v>
      </c>
      <c r="J489" s="153">
        <f t="shared" si="12"/>
        <v>2</v>
      </c>
      <c r="K489" s="115">
        <v>1</v>
      </c>
      <c r="L489" s="122">
        <v>28</v>
      </c>
      <c r="M489" s="132" t="s">
        <v>505</v>
      </c>
    </row>
    <row r="490" spans="1:13" ht="66" x14ac:dyDescent="0.25">
      <c r="A490" s="132" t="s">
        <v>504</v>
      </c>
      <c r="B490" s="122" t="s">
        <v>39</v>
      </c>
      <c r="C490" s="122" t="s">
        <v>40</v>
      </c>
      <c r="D490" s="163">
        <v>1</v>
      </c>
      <c r="E490" s="132">
        <v>30</v>
      </c>
      <c r="F490" s="135">
        <v>45945</v>
      </c>
      <c r="G490" s="152">
        <v>0.375</v>
      </c>
      <c r="H490" s="135">
        <v>45943</v>
      </c>
      <c r="I490" s="152">
        <v>0.8125</v>
      </c>
      <c r="J490" s="153">
        <f t="shared" si="12"/>
        <v>2</v>
      </c>
      <c r="K490" s="115">
        <v>1</v>
      </c>
      <c r="L490" s="122">
        <v>28</v>
      </c>
      <c r="M490" s="132" t="s">
        <v>505</v>
      </c>
    </row>
    <row r="491" spans="1:13" ht="66" x14ac:dyDescent="0.25">
      <c r="A491" s="132" t="s">
        <v>504</v>
      </c>
      <c r="B491" s="122" t="s">
        <v>36</v>
      </c>
      <c r="C491" s="122" t="s">
        <v>37</v>
      </c>
      <c r="D491" s="163">
        <v>1</v>
      </c>
      <c r="E491" s="132">
        <v>30</v>
      </c>
      <c r="F491" s="135">
        <v>45945</v>
      </c>
      <c r="G491" s="152">
        <v>0.375</v>
      </c>
      <c r="H491" s="135">
        <v>45943</v>
      </c>
      <c r="I491" s="152">
        <v>0.8125</v>
      </c>
      <c r="J491" s="153">
        <f t="shared" si="12"/>
        <v>2</v>
      </c>
      <c r="K491" s="115">
        <v>1</v>
      </c>
      <c r="L491" s="122">
        <v>28</v>
      </c>
      <c r="M491" s="132" t="s">
        <v>505</v>
      </c>
    </row>
    <row r="492" spans="1:13" ht="66" x14ac:dyDescent="0.25">
      <c r="A492" s="132" t="s">
        <v>504</v>
      </c>
      <c r="B492" s="122" t="s">
        <v>42</v>
      </c>
      <c r="C492" s="122" t="s">
        <v>43</v>
      </c>
      <c r="D492" s="163">
        <v>1</v>
      </c>
      <c r="E492" s="132">
        <v>30</v>
      </c>
      <c r="F492" s="135">
        <v>45945</v>
      </c>
      <c r="G492" s="152">
        <v>0.375</v>
      </c>
      <c r="H492" s="135">
        <v>45943</v>
      </c>
      <c r="I492" s="152">
        <v>0.8125</v>
      </c>
      <c r="J492" s="153">
        <f t="shared" si="12"/>
        <v>2</v>
      </c>
      <c r="K492" s="115">
        <v>1</v>
      </c>
      <c r="L492" s="122">
        <v>28</v>
      </c>
      <c r="M492" s="132" t="s">
        <v>505</v>
      </c>
    </row>
    <row r="493" spans="1:13" ht="66" x14ac:dyDescent="0.25">
      <c r="A493" s="132" t="s">
        <v>507</v>
      </c>
      <c r="B493" s="122" t="s">
        <v>21</v>
      </c>
      <c r="C493" s="122" t="s">
        <v>22</v>
      </c>
      <c r="D493" s="163">
        <v>1</v>
      </c>
      <c r="E493" s="132">
        <v>30</v>
      </c>
      <c r="F493" s="135">
        <v>45945</v>
      </c>
      <c r="G493" s="152">
        <v>0.375</v>
      </c>
      <c r="H493" s="135">
        <v>45943</v>
      </c>
      <c r="I493" s="152">
        <v>0.8125</v>
      </c>
      <c r="J493" s="153">
        <f t="shared" si="12"/>
        <v>0</v>
      </c>
      <c r="K493" s="115">
        <v>2</v>
      </c>
      <c r="L493" s="122">
        <v>30</v>
      </c>
      <c r="M493" s="132" t="s">
        <v>508</v>
      </c>
    </row>
    <row r="494" spans="1:13" ht="66" x14ac:dyDescent="0.25">
      <c r="A494" s="132" t="s">
        <v>507</v>
      </c>
      <c r="B494" s="122" t="s">
        <v>30</v>
      </c>
      <c r="C494" s="122" t="s">
        <v>31</v>
      </c>
      <c r="D494" s="163">
        <v>1</v>
      </c>
      <c r="E494" s="132">
        <v>30</v>
      </c>
      <c r="F494" s="135">
        <v>45945</v>
      </c>
      <c r="G494" s="152">
        <v>0.375</v>
      </c>
      <c r="H494" s="135">
        <v>45943</v>
      </c>
      <c r="I494" s="152">
        <v>0.8125</v>
      </c>
      <c r="J494" s="153">
        <f t="shared" si="12"/>
        <v>0</v>
      </c>
      <c r="K494" s="115">
        <v>2</v>
      </c>
      <c r="L494" s="122">
        <v>30</v>
      </c>
      <c r="M494" s="132" t="s">
        <v>508</v>
      </c>
    </row>
    <row r="495" spans="1:13" ht="66" x14ac:dyDescent="0.25">
      <c r="A495" s="132" t="s">
        <v>507</v>
      </c>
      <c r="B495" s="122" t="s">
        <v>136</v>
      </c>
      <c r="C495" s="122" t="s">
        <v>34</v>
      </c>
      <c r="D495" s="163">
        <v>1</v>
      </c>
      <c r="E495" s="132">
        <v>30</v>
      </c>
      <c r="F495" s="135">
        <v>45945</v>
      </c>
      <c r="G495" s="152">
        <v>0.375</v>
      </c>
      <c r="H495" s="135">
        <v>45943</v>
      </c>
      <c r="I495" s="152">
        <v>0.8125</v>
      </c>
      <c r="J495" s="153">
        <f t="shared" si="12"/>
        <v>0</v>
      </c>
      <c r="K495" s="115">
        <v>2</v>
      </c>
      <c r="L495" s="122">
        <v>30</v>
      </c>
      <c r="M495" s="132" t="s">
        <v>508</v>
      </c>
    </row>
    <row r="496" spans="1:13" ht="66" x14ac:dyDescent="0.25">
      <c r="A496" s="132" t="s">
        <v>507</v>
      </c>
      <c r="B496" s="122" t="s">
        <v>39</v>
      </c>
      <c r="C496" s="122" t="s">
        <v>40</v>
      </c>
      <c r="D496" s="163">
        <v>1</v>
      </c>
      <c r="E496" s="132">
        <v>30</v>
      </c>
      <c r="F496" s="135">
        <v>45945</v>
      </c>
      <c r="G496" s="152">
        <v>0.375</v>
      </c>
      <c r="H496" s="135">
        <v>45943</v>
      </c>
      <c r="I496" s="152">
        <v>0.8125</v>
      </c>
      <c r="J496" s="153">
        <f t="shared" si="12"/>
        <v>0</v>
      </c>
      <c r="K496" s="115">
        <v>2</v>
      </c>
      <c r="L496" s="122">
        <v>30</v>
      </c>
      <c r="M496" s="132" t="s">
        <v>508</v>
      </c>
    </row>
    <row r="497" spans="1:13" ht="66" x14ac:dyDescent="0.25">
      <c r="A497" s="132" t="s">
        <v>507</v>
      </c>
      <c r="B497" s="122" t="s">
        <v>36</v>
      </c>
      <c r="C497" s="122" t="s">
        <v>37</v>
      </c>
      <c r="D497" s="163">
        <v>1</v>
      </c>
      <c r="E497" s="132">
        <v>30</v>
      </c>
      <c r="F497" s="135">
        <v>45945</v>
      </c>
      <c r="G497" s="152">
        <v>0.375</v>
      </c>
      <c r="H497" s="135">
        <v>45943</v>
      </c>
      <c r="I497" s="152">
        <v>0.8125</v>
      </c>
      <c r="J497" s="153">
        <f t="shared" si="12"/>
        <v>0</v>
      </c>
      <c r="K497" s="115">
        <v>2</v>
      </c>
      <c r="L497" s="122">
        <v>30</v>
      </c>
      <c r="M497" s="132" t="s">
        <v>508</v>
      </c>
    </row>
    <row r="498" spans="1:13" ht="66" x14ac:dyDescent="0.25">
      <c r="A498" s="132" t="s">
        <v>507</v>
      </c>
      <c r="B498" s="122" t="s">
        <v>42</v>
      </c>
      <c r="C498" s="122" t="s">
        <v>43</v>
      </c>
      <c r="D498" s="163">
        <v>1</v>
      </c>
      <c r="E498" s="132">
        <v>30</v>
      </c>
      <c r="F498" s="135">
        <v>45945</v>
      </c>
      <c r="G498" s="152">
        <v>0.375</v>
      </c>
      <c r="H498" s="135">
        <v>45943</v>
      </c>
      <c r="I498" s="152">
        <v>0.8125</v>
      </c>
      <c r="J498" s="153">
        <f t="shared" si="12"/>
        <v>0</v>
      </c>
      <c r="K498" s="115">
        <v>2</v>
      </c>
      <c r="L498" s="122">
        <v>30</v>
      </c>
      <c r="M498" s="132" t="s">
        <v>508</v>
      </c>
    </row>
    <row r="499" spans="1:13" ht="66" x14ac:dyDescent="0.25">
      <c r="A499" s="132" t="s">
        <v>509</v>
      </c>
      <c r="B499" s="122" t="s">
        <v>21</v>
      </c>
      <c r="C499" s="122" t="s">
        <v>22</v>
      </c>
      <c r="D499" s="163">
        <v>1</v>
      </c>
      <c r="E499" s="132">
        <v>30</v>
      </c>
      <c r="F499" s="135">
        <v>45945</v>
      </c>
      <c r="G499" s="152">
        <v>0.375</v>
      </c>
      <c r="H499" s="135">
        <v>45943</v>
      </c>
      <c r="I499" s="152">
        <v>0.8125</v>
      </c>
      <c r="J499" s="153">
        <f t="shared" si="12"/>
        <v>0</v>
      </c>
      <c r="K499" s="115">
        <v>7</v>
      </c>
      <c r="L499" s="122">
        <v>30</v>
      </c>
      <c r="M499" s="132" t="s">
        <v>510</v>
      </c>
    </row>
    <row r="500" spans="1:13" ht="39.6" x14ac:dyDescent="0.25">
      <c r="A500" s="132" t="s">
        <v>506</v>
      </c>
      <c r="B500" s="122" t="s">
        <v>36</v>
      </c>
      <c r="C500" s="122" t="s">
        <v>37</v>
      </c>
      <c r="D500" s="163">
        <v>1</v>
      </c>
      <c r="E500" s="132">
        <v>30</v>
      </c>
      <c r="F500" s="135">
        <v>45938</v>
      </c>
      <c r="G500" s="152">
        <v>0.375</v>
      </c>
      <c r="H500" s="135">
        <v>45943</v>
      </c>
      <c r="I500" s="152">
        <v>0.6875</v>
      </c>
      <c r="J500" s="153">
        <f t="shared" si="12"/>
        <v>0</v>
      </c>
      <c r="K500" s="115">
        <v>1</v>
      </c>
      <c r="L500" s="122">
        <v>30</v>
      </c>
      <c r="M500" s="132" t="s">
        <v>438</v>
      </c>
    </row>
    <row r="501" spans="1:13" ht="26.4" x14ac:dyDescent="0.25">
      <c r="A501" s="134" t="s">
        <v>123</v>
      </c>
      <c r="B501" s="114" t="s">
        <v>36</v>
      </c>
      <c r="C501" s="114" t="s">
        <v>37</v>
      </c>
      <c r="D501" s="132">
        <v>1</v>
      </c>
      <c r="E501" s="132">
        <v>20</v>
      </c>
      <c r="F501" s="60">
        <v>45945</v>
      </c>
      <c r="G501" s="164">
        <v>0.375</v>
      </c>
      <c r="H501" s="60">
        <v>45943</v>
      </c>
      <c r="I501" s="164">
        <v>0.80555555555555558</v>
      </c>
      <c r="J501" s="153">
        <f>E501-L501</f>
        <v>0</v>
      </c>
      <c r="K501" s="115">
        <v>1</v>
      </c>
      <c r="L501" s="149">
        <v>20</v>
      </c>
      <c r="M501" s="165" t="s">
        <v>124</v>
      </c>
    </row>
    <row r="502" spans="1:13" ht="26.4" x14ac:dyDescent="0.25">
      <c r="A502" s="125" t="s">
        <v>123</v>
      </c>
      <c r="B502" s="114" t="s">
        <v>143</v>
      </c>
      <c r="C502" s="114" t="s">
        <v>43</v>
      </c>
      <c r="D502" s="132">
        <v>1</v>
      </c>
      <c r="E502" s="132">
        <v>20</v>
      </c>
      <c r="F502" s="60">
        <v>45945</v>
      </c>
      <c r="G502" s="164">
        <v>0.375</v>
      </c>
      <c r="H502" s="60">
        <v>45943</v>
      </c>
      <c r="I502" s="164">
        <v>0.80555555555555558</v>
      </c>
      <c r="J502" s="153">
        <f t="shared" ref="J502:J523" si="13">E502-L502</f>
        <v>0</v>
      </c>
      <c r="K502" s="115">
        <v>1</v>
      </c>
      <c r="L502" s="149">
        <v>20</v>
      </c>
      <c r="M502" s="165" t="s">
        <v>124</v>
      </c>
    </row>
    <row r="503" spans="1:13" ht="26.4" x14ac:dyDescent="0.25">
      <c r="A503" s="97" t="s">
        <v>175</v>
      </c>
      <c r="B503" s="120" t="s">
        <v>36</v>
      </c>
      <c r="C503" s="120" t="s">
        <v>37</v>
      </c>
      <c r="D503" s="115">
        <v>1</v>
      </c>
      <c r="E503" s="115">
        <v>30</v>
      </c>
      <c r="F503" s="97">
        <v>45945</v>
      </c>
      <c r="G503" s="164">
        <v>0.375</v>
      </c>
      <c r="H503" s="97">
        <v>45943</v>
      </c>
      <c r="I503" s="156">
        <v>0.83333333333333337</v>
      </c>
      <c r="J503" s="115">
        <f t="shared" si="13"/>
        <v>6</v>
      </c>
      <c r="K503" s="148">
        <v>1</v>
      </c>
      <c r="L503" s="159">
        <v>24</v>
      </c>
      <c r="M503" s="162" t="s">
        <v>176</v>
      </c>
    </row>
    <row r="504" spans="1:13" ht="26.4" x14ac:dyDescent="0.25">
      <c r="A504" s="97" t="s">
        <v>177</v>
      </c>
      <c r="B504" s="120" t="s">
        <v>39</v>
      </c>
      <c r="C504" s="120" t="s">
        <v>40</v>
      </c>
      <c r="D504" s="115">
        <v>1</v>
      </c>
      <c r="E504" s="115">
        <v>30</v>
      </c>
      <c r="F504" s="97">
        <v>45945</v>
      </c>
      <c r="G504" s="164">
        <v>0.375</v>
      </c>
      <c r="H504" s="97">
        <v>45943</v>
      </c>
      <c r="I504" s="156">
        <v>0.83333333333333337</v>
      </c>
      <c r="J504" s="115">
        <f t="shared" si="13"/>
        <v>0</v>
      </c>
      <c r="K504" s="148">
        <v>1</v>
      </c>
      <c r="L504" s="159">
        <v>30</v>
      </c>
      <c r="M504" s="162" t="s">
        <v>178</v>
      </c>
    </row>
    <row r="505" spans="1:13" ht="39.6" x14ac:dyDescent="0.25">
      <c r="A505" s="60" t="s">
        <v>179</v>
      </c>
      <c r="B505" s="120" t="s">
        <v>39</v>
      </c>
      <c r="C505" s="120" t="s">
        <v>40</v>
      </c>
      <c r="D505" s="115">
        <v>5</v>
      </c>
      <c r="E505" s="115">
        <v>50</v>
      </c>
      <c r="F505" s="97">
        <v>45945</v>
      </c>
      <c r="G505" s="164">
        <v>0.375</v>
      </c>
      <c r="H505" s="97">
        <v>45943</v>
      </c>
      <c r="I505" s="156">
        <v>0.86805555555555558</v>
      </c>
      <c r="J505" s="115">
        <f t="shared" si="13"/>
        <v>5</v>
      </c>
      <c r="K505" s="148">
        <v>5</v>
      </c>
      <c r="L505" s="159">
        <v>45</v>
      </c>
      <c r="M505" s="162" t="s">
        <v>180</v>
      </c>
    </row>
    <row r="506" spans="1:13" ht="39.6" x14ac:dyDescent="0.25">
      <c r="A506" s="124" t="s">
        <v>146</v>
      </c>
      <c r="B506" s="114" t="s">
        <v>30</v>
      </c>
      <c r="C506" s="114" t="s">
        <v>31</v>
      </c>
      <c r="D506" s="163">
        <v>1</v>
      </c>
      <c r="E506" s="132">
        <v>60</v>
      </c>
      <c r="F506" s="60">
        <v>45945</v>
      </c>
      <c r="G506" s="164">
        <v>0.375</v>
      </c>
      <c r="H506" s="60">
        <v>45943</v>
      </c>
      <c r="I506" s="164">
        <v>0.91666666666666663</v>
      </c>
      <c r="J506" s="153">
        <f t="shared" si="13"/>
        <v>50</v>
      </c>
      <c r="K506" s="115">
        <v>1</v>
      </c>
      <c r="L506" s="149">
        <v>10</v>
      </c>
      <c r="M506" s="162" t="s">
        <v>149</v>
      </c>
    </row>
    <row r="507" spans="1:13" ht="39.6" x14ac:dyDescent="0.25">
      <c r="A507" s="124" t="s">
        <v>146</v>
      </c>
      <c r="B507" s="114" t="s">
        <v>42</v>
      </c>
      <c r="C507" s="114" t="s">
        <v>43</v>
      </c>
      <c r="D507" s="163">
        <v>1</v>
      </c>
      <c r="E507" s="132">
        <v>60</v>
      </c>
      <c r="F507" s="60">
        <v>45945</v>
      </c>
      <c r="G507" s="164">
        <v>0.375</v>
      </c>
      <c r="H507" s="60">
        <v>45943</v>
      </c>
      <c r="I507" s="164">
        <v>0.91666666666666663</v>
      </c>
      <c r="J507" s="153">
        <f t="shared" si="13"/>
        <v>50</v>
      </c>
      <c r="K507" s="115">
        <v>1</v>
      </c>
      <c r="L507" s="149">
        <v>10</v>
      </c>
      <c r="M507" s="162" t="s">
        <v>149</v>
      </c>
    </row>
    <row r="508" spans="1:13" ht="39.6" x14ac:dyDescent="0.25">
      <c r="A508" s="124" t="s">
        <v>146</v>
      </c>
      <c r="B508" s="114" t="s">
        <v>21</v>
      </c>
      <c r="C508" s="114" t="s">
        <v>22</v>
      </c>
      <c r="D508" s="163">
        <v>1</v>
      </c>
      <c r="E508" s="132">
        <v>60</v>
      </c>
      <c r="F508" s="60">
        <v>45945</v>
      </c>
      <c r="G508" s="164">
        <v>0.375</v>
      </c>
      <c r="H508" s="60">
        <v>45943</v>
      </c>
      <c r="I508" s="164">
        <v>0.91666666666666663</v>
      </c>
      <c r="J508" s="153">
        <f t="shared" si="13"/>
        <v>50</v>
      </c>
      <c r="K508" s="115">
        <v>1</v>
      </c>
      <c r="L508" s="149">
        <v>10</v>
      </c>
      <c r="M508" s="162" t="s">
        <v>149</v>
      </c>
    </row>
    <row r="509" spans="1:13" ht="39.6" x14ac:dyDescent="0.25">
      <c r="A509" s="124" t="s">
        <v>146</v>
      </c>
      <c r="B509" s="114" t="s">
        <v>136</v>
      </c>
      <c r="C509" s="114" t="s">
        <v>34</v>
      </c>
      <c r="D509" s="163">
        <v>1</v>
      </c>
      <c r="E509" s="132">
        <v>60</v>
      </c>
      <c r="F509" s="60">
        <v>45945</v>
      </c>
      <c r="G509" s="164">
        <v>0.375</v>
      </c>
      <c r="H509" s="60">
        <v>45943</v>
      </c>
      <c r="I509" s="164">
        <v>0.91666666666666663</v>
      </c>
      <c r="J509" s="153">
        <f t="shared" si="13"/>
        <v>50</v>
      </c>
      <c r="K509" s="115">
        <v>1</v>
      </c>
      <c r="L509" s="149">
        <v>10</v>
      </c>
      <c r="M509" s="162" t="s">
        <v>149</v>
      </c>
    </row>
    <row r="510" spans="1:13" ht="39.6" x14ac:dyDescent="0.25">
      <c r="A510" s="124" t="s">
        <v>146</v>
      </c>
      <c r="B510" s="114" t="s">
        <v>36</v>
      </c>
      <c r="C510" s="114" t="s">
        <v>37</v>
      </c>
      <c r="D510" s="163">
        <v>1</v>
      </c>
      <c r="E510" s="132">
        <v>60</v>
      </c>
      <c r="F510" s="60">
        <v>45945</v>
      </c>
      <c r="G510" s="164">
        <v>0.375</v>
      </c>
      <c r="H510" s="60">
        <v>45943</v>
      </c>
      <c r="I510" s="164">
        <v>0.91666666666666663</v>
      </c>
      <c r="J510" s="153">
        <f t="shared" si="13"/>
        <v>50</v>
      </c>
      <c r="K510" s="115">
        <v>1</v>
      </c>
      <c r="L510" s="149">
        <v>10</v>
      </c>
      <c r="M510" s="162" t="s">
        <v>149</v>
      </c>
    </row>
    <row r="511" spans="1:13" ht="39.6" x14ac:dyDescent="0.25">
      <c r="A511" s="124" t="s">
        <v>146</v>
      </c>
      <c r="B511" s="114" t="s">
        <v>39</v>
      </c>
      <c r="C511" s="114" t="s">
        <v>40</v>
      </c>
      <c r="D511" s="163">
        <v>1</v>
      </c>
      <c r="E511" s="132">
        <v>60</v>
      </c>
      <c r="F511" s="60">
        <v>45945</v>
      </c>
      <c r="G511" s="164">
        <v>0.375</v>
      </c>
      <c r="H511" s="60">
        <v>45943</v>
      </c>
      <c r="I511" s="164">
        <v>0.91666666666666663</v>
      </c>
      <c r="J511" s="153">
        <f t="shared" si="13"/>
        <v>50</v>
      </c>
      <c r="K511" s="115">
        <v>1</v>
      </c>
      <c r="L511" s="149">
        <v>10</v>
      </c>
      <c r="M511" s="162" t="s">
        <v>149</v>
      </c>
    </row>
    <row r="512" spans="1:13" ht="26.4" x14ac:dyDescent="0.25">
      <c r="A512" s="124" t="s">
        <v>52</v>
      </c>
      <c r="B512" s="114" t="s">
        <v>21</v>
      </c>
      <c r="C512" s="114" t="s">
        <v>22</v>
      </c>
      <c r="D512" s="163">
        <v>1</v>
      </c>
      <c r="E512" s="132">
        <v>30</v>
      </c>
      <c r="F512" s="60">
        <v>45945</v>
      </c>
      <c r="G512" s="164">
        <v>0.375</v>
      </c>
      <c r="H512" s="60">
        <v>45943</v>
      </c>
      <c r="I512" s="164">
        <v>0.91666666666666663</v>
      </c>
      <c r="J512" s="153">
        <f t="shared" si="13"/>
        <v>0</v>
      </c>
      <c r="K512" s="115">
        <v>1</v>
      </c>
      <c r="L512" s="149">
        <v>30</v>
      </c>
      <c r="M512" s="162" t="s">
        <v>53</v>
      </c>
    </row>
    <row r="513" spans="1:13" ht="26.4" x14ac:dyDescent="0.25">
      <c r="A513" s="124" t="s">
        <v>153</v>
      </c>
      <c r="B513" s="114" t="s">
        <v>36</v>
      </c>
      <c r="C513" s="114" t="s">
        <v>37</v>
      </c>
      <c r="D513" s="163">
        <v>1</v>
      </c>
      <c r="E513" s="117">
        <v>30</v>
      </c>
      <c r="F513" s="60">
        <v>45945</v>
      </c>
      <c r="G513" s="164">
        <v>0.375</v>
      </c>
      <c r="H513" s="60">
        <v>45943</v>
      </c>
      <c r="I513" s="164">
        <v>0.91666666666666663</v>
      </c>
      <c r="J513" s="153">
        <f t="shared" si="13"/>
        <v>0</v>
      </c>
      <c r="K513" s="115">
        <v>1</v>
      </c>
      <c r="L513" s="149">
        <v>30</v>
      </c>
      <c r="M513" s="162" t="s">
        <v>53</v>
      </c>
    </row>
    <row r="514" spans="1:13" ht="26.4" x14ac:dyDescent="0.25">
      <c r="A514" s="124" t="s">
        <v>79</v>
      </c>
      <c r="B514" s="114" t="s">
        <v>36</v>
      </c>
      <c r="C514" s="114" t="s">
        <v>37</v>
      </c>
      <c r="D514" s="163">
        <v>1</v>
      </c>
      <c r="E514" s="132">
        <v>45</v>
      </c>
      <c r="F514" s="60">
        <v>45945</v>
      </c>
      <c r="G514" s="164">
        <v>0.375</v>
      </c>
      <c r="H514" s="60">
        <v>45943</v>
      </c>
      <c r="I514" s="164">
        <v>0.9375</v>
      </c>
      <c r="J514" s="153">
        <f t="shared" si="13"/>
        <v>-35</v>
      </c>
      <c r="K514" s="115">
        <v>1</v>
      </c>
      <c r="L514" s="149">
        <v>80</v>
      </c>
      <c r="M514" s="162" t="s">
        <v>81</v>
      </c>
    </row>
    <row r="515" spans="1:13" ht="26.4" x14ac:dyDescent="0.25">
      <c r="A515" s="124" t="s">
        <v>85</v>
      </c>
      <c r="B515" s="114" t="s">
        <v>21</v>
      </c>
      <c r="C515" s="114" t="s">
        <v>22</v>
      </c>
      <c r="D515" s="163">
        <v>1</v>
      </c>
      <c r="E515" s="132">
        <v>60</v>
      </c>
      <c r="F515" s="60">
        <v>45945</v>
      </c>
      <c r="G515" s="164">
        <v>0.375</v>
      </c>
      <c r="H515" s="60">
        <v>45943</v>
      </c>
      <c r="I515" s="164">
        <v>0.9375</v>
      </c>
      <c r="J515" s="153">
        <f t="shared" si="13"/>
        <v>10</v>
      </c>
      <c r="K515" s="115">
        <v>1</v>
      </c>
      <c r="L515" s="149">
        <v>50</v>
      </c>
      <c r="M515" s="162" t="s">
        <v>87</v>
      </c>
    </row>
    <row r="516" spans="1:13" x14ac:dyDescent="0.25">
      <c r="A516" s="124" t="s">
        <v>88</v>
      </c>
      <c r="B516" s="114" t="s">
        <v>21</v>
      </c>
      <c r="C516" s="114" t="s">
        <v>22</v>
      </c>
      <c r="D516" s="163">
        <v>1</v>
      </c>
      <c r="E516" s="132">
        <v>55</v>
      </c>
      <c r="F516" s="60">
        <v>45945</v>
      </c>
      <c r="G516" s="164">
        <v>0.375</v>
      </c>
      <c r="H516" s="60">
        <v>45943</v>
      </c>
      <c r="I516" s="164">
        <v>0.9375</v>
      </c>
      <c r="J516" s="153">
        <f t="shared" si="13"/>
        <v>0</v>
      </c>
      <c r="K516" s="115">
        <v>1</v>
      </c>
      <c r="L516" s="149">
        <v>55</v>
      </c>
      <c r="M516" s="162" t="s">
        <v>89</v>
      </c>
    </row>
    <row r="517" spans="1:13" ht="26.4" x14ac:dyDescent="0.25">
      <c r="A517" s="128" t="s">
        <v>131</v>
      </c>
      <c r="B517" s="114" t="s">
        <v>36</v>
      </c>
      <c r="C517" s="114" t="s">
        <v>37</v>
      </c>
      <c r="D517" s="132">
        <v>1</v>
      </c>
      <c r="E517" s="132">
        <v>30</v>
      </c>
      <c r="F517" s="60">
        <v>45945</v>
      </c>
      <c r="G517" s="164">
        <v>0.375</v>
      </c>
      <c r="H517" s="60">
        <v>45943</v>
      </c>
      <c r="I517" s="164">
        <v>0.9375</v>
      </c>
      <c r="J517" s="153">
        <f t="shared" si="13"/>
        <v>-2</v>
      </c>
      <c r="K517" s="115">
        <v>1</v>
      </c>
      <c r="L517" s="149">
        <v>32</v>
      </c>
      <c r="M517" s="162" t="s">
        <v>132</v>
      </c>
    </row>
    <row r="518" spans="1:13" ht="26.4" x14ac:dyDescent="0.25">
      <c r="A518" s="128" t="s">
        <v>131</v>
      </c>
      <c r="B518" s="114" t="s">
        <v>42</v>
      </c>
      <c r="C518" s="114" t="s">
        <v>43</v>
      </c>
      <c r="D518" s="132">
        <v>1</v>
      </c>
      <c r="E518" s="132">
        <v>30</v>
      </c>
      <c r="F518" s="60">
        <v>45945</v>
      </c>
      <c r="G518" s="164">
        <v>0.375</v>
      </c>
      <c r="H518" s="60">
        <v>45943</v>
      </c>
      <c r="I518" s="164">
        <v>0.9375</v>
      </c>
      <c r="J518" s="153">
        <f t="shared" si="13"/>
        <v>-2</v>
      </c>
      <c r="K518" s="115">
        <v>1</v>
      </c>
      <c r="L518" s="149">
        <v>32</v>
      </c>
      <c r="M518" s="162" t="s">
        <v>132</v>
      </c>
    </row>
    <row r="519" spans="1:13" ht="26.4" x14ac:dyDescent="0.25">
      <c r="A519" s="128" t="s">
        <v>131</v>
      </c>
      <c r="B519" s="114" t="s">
        <v>30</v>
      </c>
      <c r="C519" s="114" t="s">
        <v>31</v>
      </c>
      <c r="D519" s="132">
        <v>1</v>
      </c>
      <c r="E519" s="132">
        <v>30</v>
      </c>
      <c r="F519" s="60">
        <v>45945</v>
      </c>
      <c r="G519" s="164">
        <v>0.375</v>
      </c>
      <c r="H519" s="60">
        <v>45943</v>
      </c>
      <c r="I519" s="164">
        <v>0.9375</v>
      </c>
      <c r="J519" s="153">
        <f t="shared" si="13"/>
        <v>-2</v>
      </c>
      <c r="K519" s="115">
        <v>1</v>
      </c>
      <c r="L519" s="149">
        <v>32</v>
      </c>
      <c r="M519" s="162" t="s">
        <v>132</v>
      </c>
    </row>
    <row r="520" spans="1:13" ht="26.4" x14ac:dyDescent="0.25">
      <c r="A520" s="128" t="s">
        <v>131</v>
      </c>
      <c r="B520" s="114" t="s">
        <v>21</v>
      </c>
      <c r="C520" s="114" t="s">
        <v>22</v>
      </c>
      <c r="D520" s="132">
        <v>1</v>
      </c>
      <c r="E520" s="132">
        <v>30</v>
      </c>
      <c r="F520" s="60">
        <v>45945</v>
      </c>
      <c r="G520" s="164">
        <v>0.375</v>
      </c>
      <c r="H520" s="60">
        <v>45943</v>
      </c>
      <c r="I520" s="164">
        <v>0.9375</v>
      </c>
      <c r="J520" s="153">
        <f t="shared" si="13"/>
        <v>-2</v>
      </c>
      <c r="K520" s="115">
        <v>1</v>
      </c>
      <c r="L520" s="149">
        <v>32</v>
      </c>
      <c r="M520" s="162" t="s">
        <v>132</v>
      </c>
    </row>
    <row r="521" spans="1:13" ht="26.4" x14ac:dyDescent="0.25">
      <c r="A521" s="128" t="s">
        <v>131</v>
      </c>
      <c r="B521" s="114" t="s">
        <v>136</v>
      </c>
      <c r="C521" s="114" t="s">
        <v>34</v>
      </c>
      <c r="D521" s="132">
        <v>1</v>
      </c>
      <c r="E521" s="132">
        <v>30</v>
      </c>
      <c r="F521" s="60">
        <v>45945</v>
      </c>
      <c r="G521" s="164">
        <v>0.375</v>
      </c>
      <c r="H521" s="60">
        <v>45943</v>
      </c>
      <c r="I521" s="164">
        <v>0.9375</v>
      </c>
      <c r="J521" s="153">
        <f t="shared" si="13"/>
        <v>-2</v>
      </c>
      <c r="K521" s="115">
        <v>1</v>
      </c>
      <c r="L521" s="149">
        <v>32</v>
      </c>
      <c r="M521" s="162" t="s">
        <v>132</v>
      </c>
    </row>
    <row r="522" spans="1:13" ht="26.4" x14ac:dyDescent="0.25">
      <c r="A522" s="128" t="s">
        <v>131</v>
      </c>
      <c r="B522" s="114" t="s">
        <v>39</v>
      </c>
      <c r="C522" s="114" t="s">
        <v>40</v>
      </c>
      <c r="D522" s="132">
        <v>1</v>
      </c>
      <c r="E522" s="132">
        <v>30</v>
      </c>
      <c r="F522" s="60">
        <v>45945</v>
      </c>
      <c r="G522" s="164">
        <v>0.375</v>
      </c>
      <c r="H522" s="60">
        <v>45943</v>
      </c>
      <c r="I522" s="164">
        <v>0.9375</v>
      </c>
      <c r="J522" s="153">
        <f t="shared" si="13"/>
        <v>-2</v>
      </c>
      <c r="K522" s="115">
        <v>1</v>
      </c>
      <c r="L522" s="149">
        <v>32</v>
      </c>
      <c r="M522" s="162" t="s">
        <v>132</v>
      </c>
    </row>
    <row r="523" spans="1:13" ht="26.4" x14ac:dyDescent="0.25">
      <c r="A523" s="128" t="s">
        <v>133</v>
      </c>
      <c r="B523" s="114" t="s">
        <v>21</v>
      </c>
      <c r="C523" s="114" t="s">
        <v>22</v>
      </c>
      <c r="D523" s="132">
        <v>3</v>
      </c>
      <c r="E523" s="132">
        <v>20</v>
      </c>
      <c r="F523" s="60">
        <v>45945</v>
      </c>
      <c r="G523" s="164">
        <v>0.375</v>
      </c>
      <c r="H523" s="60">
        <v>45945</v>
      </c>
      <c r="I523" s="164">
        <v>0.375</v>
      </c>
      <c r="J523" s="153">
        <f t="shared" si="13"/>
        <v>5</v>
      </c>
      <c r="K523" s="115">
        <v>3</v>
      </c>
      <c r="L523" s="149">
        <v>15</v>
      </c>
      <c r="M523" s="162" t="s">
        <v>134</v>
      </c>
    </row>
    <row r="526" spans="1:13" x14ac:dyDescent="0.25">
      <c r="A526" s="70" t="s">
        <v>210</v>
      </c>
      <c r="B526" t="s">
        <v>215</v>
      </c>
      <c r="C526" t="s">
        <v>214</v>
      </c>
      <c r="D526" t="s">
        <v>212</v>
      </c>
      <c r="E526" t="s">
        <v>213</v>
      </c>
    </row>
    <row r="527" spans="1:13" x14ac:dyDescent="0.25">
      <c r="A527" s="71" t="s">
        <v>36</v>
      </c>
      <c r="B527">
        <v>117</v>
      </c>
      <c r="C527">
        <v>3755</v>
      </c>
      <c r="D527">
        <v>3647</v>
      </c>
      <c r="E527">
        <v>134</v>
      </c>
    </row>
    <row r="528" spans="1:13" x14ac:dyDescent="0.25">
      <c r="A528" s="71" t="s">
        <v>39</v>
      </c>
      <c r="B528">
        <v>112</v>
      </c>
      <c r="C528">
        <v>3160</v>
      </c>
      <c r="D528">
        <v>2645</v>
      </c>
      <c r="E528">
        <v>122</v>
      </c>
    </row>
    <row r="529" spans="1:5" x14ac:dyDescent="0.25">
      <c r="A529" s="71" t="s">
        <v>21</v>
      </c>
      <c r="B529">
        <v>134</v>
      </c>
      <c r="C529">
        <v>4490</v>
      </c>
      <c r="D529">
        <v>3814</v>
      </c>
      <c r="E529">
        <v>152</v>
      </c>
    </row>
    <row r="530" spans="1:5" x14ac:dyDescent="0.25">
      <c r="A530" s="71" t="s">
        <v>136</v>
      </c>
      <c r="B530">
        <v>75</v>
      </c>
      <c r="C530">
        <v>2560</v>
      </c>
      <c r="D530">
        <v>2057</v>
      </c>
      <c r="E530">
        <v>76</v>
      </c>
    </row>
    <row r="531" spans="1:5" x14ac:dyDescent="0.25">
      <c r="A531" s="71" t="s">
        <v>42</v>
      </c>
      <c r="B531">
        <v>84</v>
      </c>
      <c r="C531">
        <v>2685</v>
      </c>
      <c r="D531">
        <v>2436</v>
      </c>
      <c r="E531">
        <v>90</v>
      </c>
    </row>
    <row r="532" spans="1:5" x14ac:dyDescent="0.25">
      <c r="A532" s="71" t="s">
        <v>30</v>
      </c>
      <c r="B532">
        <v>72</v>
      </c>
      <c r="C532">
        <v>2400</v>
      </c>
      <c r="D532">
        <v>2063</v>
      </c>
      <c r="E532">
        <v>80</v>
      </c>
    </row>
    <row r="533" spans="1:5" x14ac:dyDescent="0.25">
      <c r="A533" s="71" t="s">
        <v>211</v>
      </c>
      <c r="B533">
        <v>594</v>
      </c>
      <c r="C533">
        <v>19050</v>
      </c>
      <c r="D533">
        <v>16662</v>
      </c>
      <c r="E533">
        <v>654</v>
      </c>
    </row>
    <row r="534" spans="1:5" x14ac:dyDescent="0.25">
      <c r="A534"/>
      <c r="B534"/>
      <c r="C534"/>
      <c r="D534"/>
      <c r="E534"/>
    </row>
    <row r="535" spans="1:5" x14ac:dyDescent="0.25">
      <c r="A535"/>
      <c r="B535"/>
      <c r="C535"/>
      <c r="D535"/>
      <c r="E535"/>
    </row>
    <row r="536" spans="1:5" x14ac:dyDescent="0.25">
      <c r="A536"/>
      <c r="B536"/>
      <c r="C536"/>
      <c r="D536"/>
      <c r="E536"/>
    </row>
    <row r="537" spans="1:5" x14ac:dyDescent="0.25">
      <c r="A537"/>
      <c r="B537"/>
      <c r="C537"/>
      <c r="D537"/>
      <c r="E537"/>
    </row>
    <row r="538" spans="1:5" x14ac:dyDescent="0.25">
      <c r="A538"/>
      <c r="B538"/>
      <c r="C538"/>
      <c r="D538"/>
      <c r="E538"/>
    </row>
    <row r="539" spans="1:5" x14ac:dyDescent="0.25">
      <c r="A539"/>
      <c r="B539"/>
      <c r="C539"/>
      <c r="D539"/>
      <c r="E539"/>
    </row>
    <row r="540" spans="1:5" x14ac:dyDescent="0.25">
      <c r="A540"/>
      <c r="B540"/>
      <c r="C540"/>
      <c r="D540" s="117"/>
      <c r="E540" s="117"/>
    </row>
    <row r="541" spans="1:5" x14ac:dyDescent="0.25">
      <c r="A541"/>
      <c r="B541"/>
      <c r="C541"/>
      <c r="D541" s="117"/>
      <c r="E541" s="117"/>
    </row>
    <row r="542" spans="1:5" x14ac:dyDescent="0.25">
      <c r="A542"/>
      <c r="B542"/>
      <c r="C542"/>
      <c r="D542" s="117"/>
      <c r="E542" s="117"/>
    </row>
    <row r="543" spans="1:5" x14ac:dyDescent="0.25">
      <c r="A543"/>
      <c r="B543"/>
      <c r="C543"/>
      <c r="D543" s="117"/>
      <c r="E543" s="117"/>
    </row>
    <row r="544" spans="1:5" x14ac:dyDescent="0.25">
      <c r="A544"/>
      <c r="B544"/>
      <c r="C544"/>
      <c r="D544" s="117"/>
      <c r="E544" s="117"/>
    </row>
    <row r="545" spans="1:5" x14ac:dyDescent="0.25">
      <c r="A545"/>
      <c r="B545" s="117"/>
      <c r="C545" s="117"/>
      <c r="D545" s="117"/>
      <c r="E545" s="117"/>
    </row>
    <row r="546" spans="1:5" x14ac:dyDescent="0.25">
      <c r="A546"/>
      <c r="B546" s="117"/>
      <c r="C546" s="117"/>
      <c r="D546" s="117"/>
      <c r="E546" s="117"/>
    </row>
    <row r="547" spans="1:5" x14ac:dyDescent="0.25">
      <c r="A547"/>
      <c r="B547" s="117"/>
      <c r="C547" s="117"/>
      <c r="D547" s="117"/>
      <c r="E547" s="117"/>
    </row>
    <row r="548" spans="1:5" x14ac:dyDescent="0.25">
      <c r="A548"/>
      <c r="B548" s="117"/>
      <c r="C548" s="117"/>
      <c r="D548" s="117"/>
      <c r="E548" s="117"/>
    </row>
    <row r="549" spans="1:5" x14ac:dyDescent="0.25">
      <c r="A549"/>
    </row>
    <row r="550" spans="1:5" x14ac:dyDescent="0.25">
      <c r="A550"/>
    </row>
    <row r="551" spans="1:5" x14ac:dyDescent="0.25">
      <c r="A551"/>
    </row>
    <row r="552" spans="1:5" x14ac:dyDescent="0.25">
      <c r="A552"/>
    </row>
    <row r="553" spans="1:5" x14ac:dyDescent="0.25">
      <c r="A553"/>
    </row>
    <row r="554" spans="1:5" x14ac:dyDescent="0.25">
      <c r="A554"/>
    </row>
    <row r="555" spans="1:5" x14ac:dyDescent="0.25">
      <c r="A555"/>
    </row>
    <row r="556" spans="1:5" x14ac:dyDescent="0.25">
      <c r="A556"/>
    </row>
    <row r="557" spans="1:5" x14ac:dyDescent="0.25">
      <c r="A557"/>
    </row>
    <row r="558" spans="1:5" x14ac:dyDescent="0.25">
      <c r="A558"/>
    </row>
    <row r="559" spans="1:5" x14ac:dyDescent="0.25">
      <c r="A559"/>
    </row>
    <row r="560" spans="1:5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9096-C683-4E76-9830-9A7A11073CCE}">
  <dimension ref="B2:F20"/>
  <sheetViews>
    <sheetView tabSelected="1" workbookViewId="0">
      <selection activeCell="F20" sqref="F20"/>
    </sheetView>
  </sheetViews>
  <sheetFormatPr baseColWidth="10" defaultRowHeight="13.2" x14ac:dyDescent="0.25"/>
  <cols>
    <col min="2" max="2" width="26.109375" bestFit="1" customWidth="1"/>
    <col min="3" max="3" width="34.77734375" customWidth="1"/>
    <col min="4" max="4" width="37.5546875" customWidth="1"/>
    <col min="5" max="5" width="16.33203125" customWidth="1"/>
    <col min="6" max="6" width="27.33203125" style="167" customWidth="1"/>
  </cols>
  <sheetData>
    <row r="2" spans="2:6" x14ac:dyDescent="0.25">
      <c r="B2" t="s">
        <v>597</v>
      </c>
      <c r="C2" t="s">
        <v>598</v>
      </c>
      <c r="D2" t="s">
        <v>599</v>
      </c>
      <c r="E2" t="s">
        <v>600</v>
      </c>
      <c r="F2" s="167" t="s">
        <v>601</v>
      </c>
    </row>
    <row r="3" spans="2:6" x14ac:dyDescent="0.25">
      <c r="B3" t="s">
        <v>511</v>
      </c>
      <c r="C3">
        <v>15</v>
      </c>
      <c r="D3">
        <f>Tabla2[[#This Row],[Total de tarea]]-Tabla2[[#This Row],[Tareas entregadas a tiempo]]</f>
        <v>1</v>
      </c>
      <c r="E3">
        <v>16</v>
      </c>
      <c r="F3" s="167">
        <f>Tabla2[[#This Row],[Tareas entregadas a tiempo]]/Tabla2[[#This Row],[Total de tarea]]</f>
        <v>0.9375</v>
      </c>
    </row>
    <row r="4" spans="2:6" x14ac:dyDescent="0.25">
      <c r="B4" t="s">
        <v>512</v>
      </c>
      <c r="C4">
        <v>14</v>
      </c>
      <c r="D4">
        <f>Tabla2[[#This Row],[Total de tarea]]-Tabla2[[#This Row],[Tareas entregadas a tiempo]]</f>
        <v>0</v>
      </c>
      <c r="E4">
        <v>14</v>
      </c>
      <c r="F4" s="167">
        <f>Tabla2[[#This Row],[Tareas entregadas a tiempo]]/Tabla2[[#This Row],[Total de tarea]]</f>
        <v>1</v>
      </c>
    </row>
    <row r="5" spans="2:6" x14ac:dyDescent="0.25">
      <c r="B5" t="s">
        <v>513</v>
      </c>
      <c r="C5">
        <v>13</v>
      </c>
      <c r="D5">
        <f>Tabla2[[#This Row],[Total de tarea]]-Tabla2[[#This Row],[Tareas entregadas a tiempo]]</f>
        <v>2</v>
      </c>
      <c r="E5">
        <v>15</v>
      </c>
      <c r="F5" s="167">
        <f>Tabla2[[#This Row],[Tareas entregadas a tiempo]]/Tabla2[[#This Row],[Total de tarea]]</f>
        <v>0.8666666666666667</v>
      </c>
    </row>
    <row r="6" spans="2:6" x14ac:dyDescent="0.25">
      <c r="B6" t="s">
        <v>6</v>
      </c>
      <c r="C6">
        <v>14</v>
      </c>
      <c r="D6">
        <f>Tabla2[[#This Row],[Total de tarea]]-Tabla2[[#This Row],[Tareas entregadas a tiempo]]</f>
        <v>1</v>
      </c>
      <c r="E6">
        <v>15</v>
      </c>
      <c r="F6" s="167">
        <f>Tabla2[[#This Row],[Tareas entregadas a tiempo]]/Tabla2[[#This Row],[Total de tarea]]</f>
        <v>0.93333333333333335</v>
      </c>
    </row>
    <row r="7" spans="2:6" x14ac:dyDescent="0.25">
      <c r="B7" t="s">
        <v>602</v>
      </c>
      <c r="C7">
        <v>10</v>
      </c>
      <c r="D7">
        <f>Tabla2[[#This Row],[Total de tarea]]-Tabla2[[#This Row],[Tareas entregadas a tiempo]]</f>
        <v>2</v>
      </c>
      <c r="E7">
        <v>12</v>
      </c>
      <c r="F7" s="167">
        <f>Tabla2[[#This Row],[Tareas entregadas a tiempo]]/Tabla2[[#This Row],[Total de tarea]]</f>
        <v>0.83333333333333337</v>
      </c>
    </row>
    <row r="8" spans="2:6" x14ac:dyDescent="0.25">
      <c r="B8" t="s">
        <v>546</v>
      </c>
      <c r="C8">
        <v>15</v>
      </c>
      <c r="D8">
        <f>Tabla2[[#This Row],[Total de tarea]]-Tabla2[[#This Row],[Tareas entregadas a tiempo]]</f>
        <v>0</v>
      </c>
      <c r="E8">
        <v>15</v>
      </c>
      <c r="F8" s="167">
        <f>Tabla2[[#This Row],[Tareas entregadas a tiempo]]/Tabla2[[#This Row],[Total de tarea]]</f>
        <v>1</v>
      </c>
    </row>
    <row r="9" spans="2:6" x14ac:dyDescent="0.25">
      <c r="B9" t="s">
        <v>552</v>
      </c>
      <c r="C9">
        <v>10</v>
      </c>
      <c r="D9">
        <f>Tabla2[[#This Row],[Total de tarea]]-Tabla2[[#This Row],[Tareas entregadas a tiempo]]</f>
        <v>3</v>
      </c>
      <c r="E9">
        <v>13</v>
      </c>
      <c r="F9" s="167">
        <f>Tabla2[[#This Row],[Tareas entregadas a tiempo]]/Tabla2[[#This Row],[Total de tarea]]</f>
        <v>0.76923076923076927</v>
      </c>
    </row>
    <row r="10" spans="2:6" x14ac:dyDescent="0.25">
      <c r="B10" t="s">
        <v>603</v>
      </c>
      <c r="C10">
        <v>11</v>
      </c>
      <c r="D10">
        <f>Tabla2[[#This Row],[Total de tarea]]-Tabla2[[#This Row],[Tareas entregadas a tiempo]]</f>
        <v>1</v>
      </c>
      <c r="E10">
        <v>12</v>
      </c>
      <c r="F10" s="167">
        <f>Tabla2[[#This Row],[Tareas entregadas a tiempo]]/Tabla2[[#This Row],[Total de tarea]]</f>
        <v>0.91666666666666663</v>
      </c>
    </row>
    <row r="11" spans="2:6" x14ac:dyDescent="0.25">
      <c r="C11">
        <f>SUBTOTAL(109,Tabla2[Tareas entregadas a tiempo])</f>
        <v>102</v>
      </c>
      <c r="D11">
        <f>SUBTOTAL(109,Tabla2[Tareas entregadas con retraso])</f>
        <v>10</v>
      </c>
      <c r="E11">
        <f>SUBTOTAL(109,Tabla2[Total de tarea])</f>
        <v>112</v>
      </c>
      <c r="F11" s="167">
        <f>AVERAGE(Tabla2[Porcentaje de Cumplimiento])</f>
        <v>0.90709134615384612</v>
      </c>
    </row>
    <row r="13" spans="2:6" x14ac:dyDescent="0.25">
      <c r="B13" t="s">
        <v>605</v>
      </c>
      <c r="C13" t="s">
        <v>606</v>
      </c>
      <c r="D13" t="s">
        <v>607</v>
      </c>
      <c r="E13" t="s">
        <v>608</v>
      </c>
      <c r="F13" t="s">
        <v>601</v>
      </c>
    </row>
    <row r="14" spans="2:6" x14ac:dyDescent="0.25">
      <c r="B14" t="s">
        <v>609</v>
      </c>
      <c r="C14">
        <v>62</v>
      </c>
      <c r="D14">
        <f>Tabla4[[#This Row],[Total de Tareas]]-Tabla4[[#This Row],[Tareas entregadas a tiempo (≤100%)]]</f>
        <v>6</v>
      </c>
      <c r="E14">
        <v>68</v>
      </c>
      <c r="F14" s="167">
        <f>Tabla4[[#This Row],[Tareas entregadas a tiempo (≤100%)]]/Tabla4[[#This Row],[Total de Tareas]]</f>
        <v>0.91176470588235292</v>
      </c>
    </row>
    <row r="15" spans="2:6" x14ac:dyDescent="0.25">
      <c r="B15" t="s">
        <v>610</v>
      </c>
      <c r="C15">
        <v>59</v>
      </c>
      <c r="D15">
        <f>Tabla4[[#This Row],[Total de Tareas]]-Tabla4[[#This Row],[Tareas entregadas a tiempo (≤100%)]]</f>
        <v>9</v>
      </c>
      <c r="E15">
        <v>68</v>
      </c>
      <c r="F15" s="167">
        <f>Tabla4[[#This Row],[Tareas entregadas a tiempo (≤100%)]]/Tabla4[[#This Row],[Total de Tareas]]</f>
        <v>0.86764705882352944</v>
      </c>
    </row>
    <row r="16" spans="2:6" x14ac:dyDescent="0.25">
      <c r="B16" t="s">
        <v>611</v>
      </c>
      <c r="C16">
        <v>60</v>
      </c>
      <c r="D16">
        <f>Tabla4[[#This Row],[Total de Tareas]]-Tabla4[[#This Row],[Tareas entregadas a tiempo (≤100%)]]</f>
        <v>4</v>
      </c>
      <c r="E16">
        <v>64</v>
      </c>
      <c r="F16" s="167">
        <f>Tabla4[[#This Row],[Tareas entregadas a tiempo (≤100%)]]/Tabla4[[#This Row],[Total de Tareas]]</f>
        <v>0.9375</v>
      </c>
    </row>
    <row r="17" spans="2:6" x14ac:dyDescent="0.25">
      <c r="B17" t="s">
        <v>612</v>
      </c>
      <c r="C17">
        <v>51</v>
      </c>
      <c r="D17">
        <f>Tabla4[[#This Row],[Total de Tareas]]-Tabla4[[#This Row],[Tareas entregadas a tiempo (≤100%)]]</f>
        <v>3</v>
      </c>
      <c r="E17">
        <v>54</v>
      </c>
      <c r="F17" s="167">
        <f>Tabla4[[#This Row],[Tareas entregadas a tiempo (≤100%)]]/Tabla4[[#This Row],[Total de Tareas]]</f>
        <v>0.94444444444444442</v>
      </c>
    </row>
    <row r="18" spans="2:6" x14ac:dyDescent="0.25">
      <c r="B18" t="s">
        <v>613</v>
      </c>
      <c r="C18">
        <v>49</v>
      </c>
      <c r="D18">
        <f>Tabla4[[#This Row],[Total de Tareas]]-Tabla4[[#This Row],[Tareas entregadas a tiempo (≤100%)]]</f>
        <v>4</v>
      </c>
      <c r="E18">
        <v>53</v>
      </c>
      <c r="F18" s="167">
        <f>Tabla4[[#This Row],[Tareas entregadas a tiempo (≤100%)]]/Tabla4[[#This Row],[Total de Tareas]]</f>
        <v>0.92452830188679247</v>
      </c>
    </row>
    <row r="19" spans="2:6" x14ac:dyDescent="0.25">
      <c r="B19" t="s">
        <v>614</v>
      </c>
      <c r="C19">
        <v>49</v>
      </c>
      <c r="D19">
        <f>Tabla4[[#This Row],[Total de Tareas]]-Tabla4[[#This Row],[Tareas entregadas a tiempo (≤100%)]]</f>
        <v>4</v>
      </c>
      <c r="E19">
        <v>53</v>
      </c>
      <c r="F19" s="167">
        <f>Tabla4[[#This Row],[Tareas entregadas a tiempo (≤100%)]]/Tabla4[[#This Row],[Total de Tareas]]</f>
        <v>0.92452830188679247</v>
      </c>
    </row>
    <row r="20" spans="2:6" x14ac:dyDescent="0.25">
      <c r="C20">
        <f>SUBTOTAL(109,Tabla4[Tareas entregadas a tiempo (≤100%)])</f>
        <v>330</v>
      </c>
      <c r="D20" s="197">
        <f>SUBTOTAL(109,Tabla4[Tareas entregadas con retraso (&gt;100%)])</f>
        <v>30</v>
      </c>
      <c r="E20">
        <f>SUBTOTAL(109,Tabla4[Total de Tareas])</f>
        <v>360</v>
      </c>
      <c r="F20" s="167">
        <f>AVERAGE(Tabla4[Porcentaje de Cumplimiento])</f>
        <v>0.91840213548731864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5CAD-BF79-48C7-A87F-0CA4B46E4408}">
  <dimension ref="B2:F11"/>
  <sheetViews>
    <sheetView workbookViewId="0">
      <selection activeCell="F16" sqref="F16"/>
    </sheetView>
  </sheetViews>
  <sheetFormatPr baseColWidth="10" defaultRowHeight="13.2" x14ac:dyDescent="0.25"/>
  <cols>
    <col min="2" max="2" width="26.109375" bestFit="1" customWidth="1"/>
    <col min="3" max="3" width="27.6640625" bestFit="1" customWidth="1"/>
    <col min="4" max="4" width="30.44140625" bestFit="1" customWidth="1"/>
    <col min="5" max="5" width="15.21875" bestFit="1" customWidth="1"/>
    <col min="6" max="6" width="27.88671875" bestFit="1" customWidth="1"/>
  </cols>
  <sheetData>
    <row r="2" spans="2:6" x14ac:dyDescent="0.25">
      <c r="B2" t="s">
        <v>597</v>
      </c>
      <c r="C2" t="s">
        <v>604</v>
      </c>
      <c r="D2" t="s">
        <v>588</v>
      </c>
      <c r="E2" t="s">
        <v>600</v>
      </c>
      <c r="F2" s="167" t="s">
        <v>601</v>
      </c>
    </row>
    <row r="3" spans="2:6" x14ac:dyDescent="0.25">
      <c r="B3" t="s">
        <v>511</v>
      </c>
      <c r="C3">
        <v>16</v>
      </c>
      <c r="D3">
        <f>Tabla24[[#This Row],[Total de tarea]]-Tabla24[[#This Row],[Tareas Planificadas]]</f>
        <v>0</v>
      </c>
      <c r="E3">
        <v>16</v>
      </c>
      <c r="F3" s="167">
        <f>Tabla24[[#This Row],[Tareas NO planificadas]]/Tabla24[[#This Row],[Total de tarea]]</f>
        <v>0</v>
      </c>
    </row>
    <row r="4" spans="2:6" x14ac:dyDescent="0.25">
      <c r="B4" t="s">
        <v>512</v>
      </c>
      <c r="C4">
        <v>14</v>
      </c>
      <c r="D4">
        <f>Tabla24[[#This Row],[Total de tarea]]-Tabla24[[#This Row],[Tareas Planificadas]]</f>
        <v>0</v>
      </c>
      <c r="E4">
        <v>14</v>
      </c>
      <c r="F4" s="167">
        <f>Tabla24[[#This Row],[Tareas NO planificadas]]/Tabla24[[#This Row],[Total de tarea]]</f>
        <v>0</v>
      </c>
    </row>
    <row r="5" spans="2:6" x14ac:dyDescent="0.25">
      <c r="B5" t="s">
        <v>513</v>
      </c>
      <c r="C5">
        <v>14</v>
      </c>
      <c r="D5">
        <f>Tabla24[[#This Row],[Total de tarea]]-Tabla24[[#This Row],[Tareas Planificadas]]</f>
        <v>1</v>
      </c>
      <c r="E5">
        <v>15</v>
      </c>
      <c r="F5" s="167">
        <f>Tabla24[[#This Row],[Tareas NO planificadas]]/Tabla24[[#This Row],[Total de tarea]]</f>
        <v>6.6666666666666666E-2</v>
      </c>
    </row>
    <row r="6" spans="2:6" x14ac:dyDescent="0.25">
      <c r="B6" t="s">
        <v>6</v>
      </c>
      <c r="C6">
        <v>15</v>
      </c>
      <c r="D6">
        <f>Tabla24[[#This Row],[Total de tarea]]-Tabla24[[#This Row],[Tareas Planificadas]]</f>
        <v>0</v>
      </c>
      <c r="E6">
        <v>15</v>
      </c>
      <c r="F6" s="167">
        <f>Tabla24[[#This Row],[Tareas NO planificadas]]/Tabla24[[#This Row],[Total de tarea]]</f>
        <v>0</v>
      </c>
    </row>
    <row r="7" spans="2:6" x14ac:dyDescent="0.25">
      <c r="B7" t="s">
        <v>602</v>
      </c>
      <c r="C7">
        <v>11</v>
      </c>
      <c r="D7">
        <f>Tabla24[[#This Row],[Total de tarea]]-Tabla24[[#This Row],[Tareas Planificadas]]</f>
        <v>1</v>
      </c>
      <c r="E7">
        <v>12</v>
      </c>
      <c r="F7" s="167">
        <f>Tabla24[[#This Row],[Tareas NO planificadas]]/Tabla24[[#This Row],[Total de tarea]]</f>
        <v>8.3333333333333329E-2</v>
      </c>
    </row>
    <row r="8" spans="2:6" x14ac:dyDescent="0.25">
      <c r="B8" t="s">
        <v>546</v>
      </c>
      <c r="C8">
        <v>10</v>
      </c>
      <c r="D8">
        <f>Tabla24[[#This Row],[Total de tarea]]-Tabla24[[#This Row],[Tareas Planificadas]]</f>
        <v>5</v>
      </c>
      <c r="E8">
        <v>15</v>
      </c>
      <c r="F8" s="167">
        <f>Tabla24[[#This Row],[Tareas NO planificadas]]/Tabla24[[#This Row],[Total de tarea]]</f>
        <v>0.33333333333333331</v>
      </c>
    </row>
    <row r="9" spans="2:6" x14ac:dyDescent="0.25">
      <c r="B9" t="s">
        <v>552</v>
      </c>
      <c r="C9">
        <v>10</v>
      </c>
      <c r="D9">
        <f>Tabla24[[#This Row],[Total de tarea]]-Tabla24[[#This Row],[Tareas Planificadas]]</f>
        <v>3</v>
      </c>
      <c r="E9">
        <v>13</v>
      </c>
      <c r="F9" s="167">
        <f>Tabla24[[#This Row],[Tareas NO planificadas]]/Tabla24[[#This Row],[Total de tarea]]</f>
        <v>0.23076923076923078</v>
      </c>
    </row>
    <row r="10" spans="2:6" x14ac:dyDescent="0.25">
      <c r="B10" t="s">
        <v>603</v>
      </c>
      <c r="C10">
        <v>11</v>
      </c>
      <c r="D10">
        <f>Tabla24[[#This Row],[Total de tarea]]-Tabla24[[#This Row],[Tareas Planificadas]]</f>
        <v>1</v>
      </c>
      <c r="E10">
        <v>12</v>
      </c>
      <c r="F10" s="167">
        <f>Tabla24[[#This Row],[Tareas NO planificadas]]/Tabla24[[#This Row],[Total de tarea]]</f>
        <v>8.3333333333333329E-2</v>
      </c>
    </row>
    <row r="11" spans="2:6" x14ac:dyDescent="0.25">
      <c r="C11">
        <f>SUBTOTAL(109,Tabla24[Tareas Planificadas])</f>
        <v>101</v>
      </c>
      <c r="D11">
        <f>SUBTOTAL(109,Tabla24[Tareas NO planificadas])</f>
        <v>11</v>
      </c>
      <c r="E11">
        <f>SUBTOTAL(109,Tabla24[Total de tarea])</f>
        <v>112</v>
      </c>
      <c r="F11" s="167">
        <f>AVERAGE(Tabla24[Porcentaje de Cumplimiento])</f>
        <v>9.9679487179487172E-2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SEMANAS</vt:lpstr>
      <vt:lpstr>SEMANA 1</vt:lpstr>
      <vt:lpstr>SEMANA 2</vt:lpstr>
      <vt:lpstr>SEMANA 3</vt:lpstr>
      <vt:lpstr>SEMANA 4</vt:lpstr>
      <vt:lpstr>SEMANA 5</vt:lpstr>
      <vt:lpstr>SEMANA 6 y 7</vt:lpstr>
      <vt:lpstr>SEMANA 8</vt:lpstr>
      <vt:lpstr>SEMANA 9</vt:lpstr>
      <vt:lpstr>DATOS 1</vt:lpstr>
      <vt:lpstr>DATOS 2</vt:lpstr>
      <vt:lpstr>DATOS 3</vt:lpstr>
      <vt:lpstr>DATOS 4</vt:lpstr>
      <vt:lpstr>DATOS 5</vt:lpstr>
      <vt:lpstr>DATOS 6 y 7 </vt:lpstr>
      <vt:lpstr>DATOS 8</vt:lpstr>
      <vt:lpstr>DATOS 9</vt:lpstr>
      <vt:lpstr>POSTMORTEM </vt:lpstr>
      <vt:lpstr>CONSOLIDADO</vt:lpstr>
      <vt:lpstr>CUMPLIMIENTO</vt:lpstr>
      <vt:lpstr>TAREAS NO PLANIFICADAS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</dc:creator>
  <cp:keywords/>
  <dc:description/>
  <cp:lastModifiedBy>KERLON ANDREY SANCHEZ GUTIERREZ</cp:lastModifiedBy>
  <cp:revision/>
  <dcterms:created xsi:type="dcterms:W3CDTF">2016-02-05T21:36:42Z</dcterms:created>
  <dcterms:modified xsi:type="dcterms:W3CDTF">2025-10-14T00:16:26Z</dcterms:modified>
  <cp:category/>
  <cp:contentStatus/>
</cp:coreProperties>
</file>