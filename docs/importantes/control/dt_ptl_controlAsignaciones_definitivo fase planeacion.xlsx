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3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7A87DF71-7E60-4CB5-858F-AF2230A4F412}" xr6:coauthVersionLast="47" xr6:coauthVersionMax="47" xr10:uidLastSave="{00000000-0000-0000-0000-000000000000}"/>
  <bookViews>
    <workbookView xWindow="-120" yWindow="-120" windowWidth="20730" windowHeight="11040" firstSheet="3" activeTab="8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SEMANA 4" sheetId="15" r:id="rId5"/>
    <sheet name="DATOS 1" sheetId="9" r:id="rId6"/>
    <sheet name="DATOS 2" sheetId="8" r:id="rId7"/>
    <sheet name="DATOS 3" sheetId="7" r:id="rId8"/>
    <sheet name="DATOS 4" sheetId="14" r:id="rId9"/>
    <sheet name="EDTs" sheetId="19" r:id="rId10"/>
  </sheets>
  <definedNames>
    <definedName name="_xlnm._FilterDatabase" localSheetId="5" hidden="1">'DATOS 1'!$A$7:$L$49</definedName>
    <definedName name="_xlnm._FilterDatabase" localSheetId="6" hidden="1">'DATOS 2'!$A$7:$L$66</definedName>
    <definedName name="_xlnm._FilterDatabase" localSheetId="7" hidden="1">'DATOS 3'!$A$7:$M$60</definedName>
    <definedName name="_xlnm._FilterDatabase" localSheetId="8" hidden="1">'DATOS 4'!$A$7:$M$96</definedName>
    <definedName name="_xlnm._FilterDatabase" localSheetId="9" hidden="1">EDTs!$A$7:$B$108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4" hidden="1">'SEMANA 4'!$A$7:$M$96</definedName>
    <definedName name="_xlnm._FilterDatabase" localSheetId="0" hidden="1">SEMANAS!$A$7:$B$108</definedName>
  </definedNames>
  <calcPr calcId="191028"/>
  <pivotCaches>
    <pivotCache cacheId="0" r:id="rId11"/>
    <pivotCache cacheId="1" r:id="rId12"/>
    <pivotCache cacheId="2" r:id="rId13"/>
    <pivotCache cacheId="32" r:id="rId14"/>
    <pivotCache cacheId="5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9" i="19" l="1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T109" i="19"/>
  <c r="S109" i="19"/>
  <c r="R109" i="19"/>
  <c r="Q109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T123" i="15"/>
  <c r="S123" i="15"/>
  <c r="R123" i="15"/>
  <c r="Q123" i="15"/>
  <c r="J113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0" i="14"/>
  <c r="J11" i="14"/>
  <c r="J12" i="14"/>
  <c r="J13" i="14"/>
  <c r="J9" i="14"/>
  <c r="T123" i="14"/>
  <c r="S123" i="14"/>
  <c r="R123" i="14"/>
  <c r="Q123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8" i="14"/>
  <c r="T109" i="9"/>
  <c r="S109" i="9"/>
  <c r="R109" i="9"/>
  <c r="Q109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A7" i="8"/>
  <c r="A7" i="8" a="1"/>
  <c r="A7" i="4"/>
  <c r="A7" i="4" a="1"/>
  <c r="A7" i="6"/>
  <c r="A7" i="6" a="1"/>
  <c r="A7" i="14"/>
  <c r="A7" i="14" a="1"/>
  <c r="A7" i="19"/>
  <c r="A7" i="19" a="1"/>
  <c r="A7" i="1"/>
  <c r="A7" i="1" a="1"/>
  <c r="A7" i="7"/>
  <c r="A7" i="7" a="1"/>
  <c r="A7" i="15"/>
  <c r="A7" i="15" a="1"/>
  <c r="A7" i="5"/>
  <c r="A7" i="5" a="1"/>
  <c r="A7" i="9"/>
  <c r="A7" i="9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<sst xmlns="http://schemas.openxmlformats.org/spreadsheetml/2006/main" count="4207" uniqueCount="318">
  <si>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</si>
  <si>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</si>
  <si>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</si>
  <si>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</si>
  <si>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</si>
  <si>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</si>
  <si>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</si>
  <si>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</si>
  <si>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</si>
  <si>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</si>
  <si>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</si>
  <si>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</si>
  <si>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</si>
  <si>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</si>
  <si>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</si>
  <si>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</si>
  <si>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</si>
  <si>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</si>
  <si>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</si>
  <si>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</si>
  <si>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</si>
  <si>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</si>
  <si>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</si>
  <si>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</si>
  <si>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</si>
  <si>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</si>
  <si>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</si>
  <si>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</si>
  <si>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</si>
  <si>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</si>
  <si>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</si>
  <si>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</si>
  <si>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</si>
  <si>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</si>
  <si>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</si>
  <si>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</si>
  <si>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</si>
  <si>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</si>
  <si>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</si>
  <si>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</si>
  <si>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</si>
  <si>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</si>
  <si>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</si>
  <si>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</si>
  <si>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</si>
  <si>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</si>
  <si>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</si>
  <si>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</si>
  <si>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</si>
  <si>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</si>
  <si>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</si>
  <si>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</si>
  <si>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</si>
  <si>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</si>
  <si>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</si>
  <si>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</si>
  <si>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</si>
  <si>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</si>
  <si>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</si>
  <si>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</si>
  <si>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</si>
  <si>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</si>
  <si>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</si>
  <si>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</si>
  <si>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</si>
  <si>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</si>
  <si>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</si>
  <si>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</si>
  <si>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</si>
  <si>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</si>
  <si>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</si>
  <si>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</si>
  <si>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</si>
  <si>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</si>
  <si>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</si>
  <si>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</si>
  <si>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</si>
  <si>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</si>
  <si>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</si>
  <si>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</si>
  <si>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</si>
  <si>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</si>
  <si>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</si>
  <si>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</si>
  <si>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</si>
  <si>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</si>
  <si>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</si>
  <si>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</si>
  <si>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</si>
  <si>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</si>
  <si>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</si>
  <si>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</si>
  <si>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</si>
  <si>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</si>
  <si>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</si>
  <si>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</si>
  <si>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</si>
  <si>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</si>
  <si>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</si>
  <si>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</si>
  <si>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</si>
  <si>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</si>
  <si>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</si>
  <si>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</si>
  <si>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</si>
  <si>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</si>
  <si>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</si>
  <si>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</si>
  <si>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</si>
  <si>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</si>
  <si>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</si>
  <si>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</si>
  <si>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</si>
  <si>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</si>
  <si>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</si>
  <si>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</si>
  <si>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</si>
  <si>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</si>
  <si>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</si>
  <si>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</si>
  <si>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</si>
  <si>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</si>
  <si>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</si>
  <si>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</si>
  <si>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</si>
  <si>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</si>
  <si>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</si>
  <si>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</si>
  <si>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</si>
  <si>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</si>
  <si>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</si>
  <si>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</si>
  <si>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</si>
  <si>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</si>
  <si>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</si>
  <si>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</si>
  <si>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</si>
  <si>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</si>
  <si>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</si>
  <si>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</si>
  <si>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</si>
  <si>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</si>
  <si>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</si>
  <si>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</si>
  <si>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</si>
  <si>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</si>
  <si>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</si>
  <si>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</si>
  <si>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</si>
  <si>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</si>
  <si>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</si>
  <si>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</si>
  <si>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</si>
  <si>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</si>
  <si>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</si>
  <si>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</si>
  <si>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</si>
  <si>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</si>
  <si>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</si>
  <si>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</si>
  <si>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</si>
  <si>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</si>
  <si>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</si>
  <si>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</si>
  <si>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</si>
  <si>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</si>
  <si>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</si>
  <si>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</si>
  <si>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</si>
  <si>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</si>
  <si>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</si>
  <si>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</si>
  <si>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</si>
  <si>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</si>
  <si>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</si>
  <si>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</si>
  <si>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</si>
  <si>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</si>
  <si>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</si>
  <si>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</si>
  <si>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</si>
  <si>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</si>
  <si>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</si>
  <si>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</si>
  <si>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</si>
  <si>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</si>
  <si>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</si>
  <si>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</si>
  <si>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</si>
  <si>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</si>
  <si>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</si>
  <si>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</si>
  <si>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</si>
  <si>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</si>
  <si>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</si>
  <si>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</si>
  <si>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</si>
  <si>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</si>
  <si>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</si>
  <si>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</si>
  <si>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</si>
  <si>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</si>
  <si>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</si>
  <si>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</si>
  <si>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</si>
  <si>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</si>
  <si>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</si>
  <si>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</si>
  <si>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</si>
  <si>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</si>
  <si>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</si>
  <si>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</si>
  <si>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</si>
  <si>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</si>
  <si>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</si>
  <si>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</si>
  <si>
    <t>Script de definición de procesos(PLANEACIÓN)</t>
  </si>
  <si>
    <t>Caso 10 Ver Lista de Tareas</t>
  </si>
  <si>
    <t>Caso 13 Filtrar Tareas</t>
  </si>
  <si>
    <t>Caso 1 Crear Tarea</t>
  </si>
  <si>
    <t>Caso 2 Asignar tarea a usuario</t>
  </si>
  <si>
    <t>Caso 3 Cambiar fecha límite de entrega</t>
  </si>
  <si>
    <t>Caso 14 Ver progreso de tarea</t>
  </si>
  <si>
    <t>Caso 15 ver notificaciones</t>
  </si>
  <si>
    <t>Caso 16 Marcar Notificación como leída</t>
  </si>
  <si>
    <t>Caso 4 Regsitrar tiempo a tarea</t>
  </si>
  <si>
    <t>Caso 5 Marcar tarea como completada</t>
  </si>
  <si>
    <t>Caso 6 Crear KPI</t>
  </si>
  <si>
    <t xml:space="preserve">Caso 7 Ver Dashboard del proyecto </t>
  </si>
  <si>
    <t>Caso 8 Generar reporte del progreso</t>
  </si>
  <si>
    <t>Caso 12 Editar tarea</t>
  </si>
  <si>
    <t>Caso 9 Visualizar KPI</t>
  </si>
  <si>
    <t>Caso 17 Ver detalles de tarea</t>
  </si>
  <si>
    <t>caso 11 Asignar tarea a proyecto</t>
  </si>
  <si>
    <t>Caso 18 Eliminar tarea</t>
  </si>
  <si>
    <t>Definir y asegurar la verificación del registro de tareas</t>
  </si>
  <si>
    <t>Crear tarea: Registrar una nueva tarea en el sistema.</t>
  </si>
  <si>
    <t>Asignar tarea a usuario: Designar un responsable para una tarea existente.</t>
  </si>
  <si>
    <t>Cambiar fecha límite de entrega: Modificar la fecha de vencimiento de una tarea.</t>
  </si>
  <si>
    <t>Ver progreso de tarea: Consultar el avance registrado de una tarea específica.</t>
  </si>
  <si>
    <t>Ver Dashboard del proyecto: Visualizar el tablero general del proyecto con avances.</t>
  </si>
  <si>
    <t>Registrar tiempo a tarea: Ingresar el tiempo trabajado en una tarea.</t>
  </si>
  <si>
    <t>Marcar tarea como completada: Cambiar el estado de una tarea a finalizada.</t>
  </si>
  <si>
    <t>Crear KPI: Definir un nuevo indicador de desempeño en el proyecto.</t>
  </si>
  <si>
    <t>Asignar tarea a proyecto: Asociar una tarea a un proyecto específico.</t>
  </si>
  <si>
    <t>Eliminar tarea: Borrar una tarea del sistema.</t>
  </si>
  <si>
    <t>Generar reporte del progreso: Crear un informe con el estado y evolución del proyecto.</t>
  </si>
  <si>
    <t>Visualizar KPI: Consultar los indicadores de desempeño creados en el sistema.</t>
  </si>
  <si>
    <t>Ver detalles de tarea: Mostrar información detallada de una tarea seleccionada.</t>
  </si>
  <si>
    <t>Editar tarea: Modificar datos de una tarea existente.</t>
  </si>
  <si>
    <t>Marcar notificación como leída: Cambiar el estado de una notificación a revisada.</t>
  </si>
  <si>
    <t>Ver notificaciones: Mostrar las alertas y avisos del sistema.</t>
  </si>
  <si>
    <t>Definir 
objetivo y 
alcance</t>
  </si>
  <si>
    <t>Redactar por qué existe el plan, qué cubre y
qué no, y cómo se usará en el proyecto.</t>
  </si>
  <si>
    <t>Identificar roles y recursos</t>
  </si>
  <si>
    <t>Listar responsables (PO/Analista/Calidad/Dev/LP) y herramientas (repo, tablero, plantillas).</t>
  </si>
  <si>
    <t>Configurar repositorio y URL de revisiones</t>
  </si>
  <si>
    <t>Crear/validar la carpeta oficial y su enlace
para revisiones y versiones.</t>
  </si>
  <si>
    <t>Diseñar plantilla de evaluación</t>
  </si>
  <si>
    <t>Construir el checklist con criterios:
completitud, no ambigüedad, consistencia,
trazabilidad, corrección y no redundancia.</t>
  </si>
  <si>
    <t>Capturar y normalizar requerimientos</t>
  </si>
  <si>
    <t>Recoger requerimientos (UC, reglas, calidad)
y asignar ID, nombre claro y formato estándar.</t>
  </si>
  <si>
    <t>Especificar y documentar</t>
  </si>
  <si>
    <t>Redactar cada requerimiento con
descripción, fuente, prioridad y criterios de
aceptación.</t>
  </si>
  <si>
    <t>Revisar e inspeccionar requerimientos</t>
  </si>
  <si>
    <t>Aplicar el checklist; registrar observaciones y
correcciones.</t>
  </si>
  <si>
    <t>Priorizar y aprobar</t>
  </si>
  <si>
    <t>Clasificar (p. ej., MoSCoW) y aprobar para
baseline con el equipo/líder de calidad.</t>
  </si>
  <si>
    <t>Trazabilidad</t>
  </si>
  <si>
    <t>Crear/actualizar matriz Req ↔
UC/Tarea/Prueba/KPI.</t>
  </si>
  <si>
    <t>Control de cambios
(RFC/CCB)</t>
  </si>
  <si>
    <t>Control decambios
(RFC/CCB)</t>
  </si>
  <si>
    <t>Versionado y publicación</t>
  </si>
  <si>
    <t>Definir formato RFC, flujo de aprobación y
registro de impactos.</t>
  </si>
  <si>
    <t>Versionar documentos, guardar en la carpeta
oficial y registrar enlace en maestro de
documentos.</t>
  </si>
  <si>
    <t>Seguimiento y métricas</t>
  </si>
  <si>
    <t>Definir frecuencia de revisión y métricas
mínimas (p. ej., % trazabilidad, % req
aprobados).</t>
  </si>
  <si>
    <t>Definir objetivos y alcance</t>
  </si>
  <si>
    <t>Qué calidad vamos a asegurar (defectos,
métricas, revisiones) y hasta dónde aplica
(por sprint).</t>
  </si>
  <si>
    <t>Establecer políticas de calidad</t>
  </si>
  <si>
    <t>Criterios y reglas: prevención &gt; detección,
severidades/prioridades, “cero críticos al
cierre”, uso de checklist.</t>
  </si>
  <si>
    <t>Configurar recursos y herramientas</t>
  </si>
  <si>
    <t>Repo/carpeta oficial, plantillas, tablero
DashKPI, espacios para evidencias.</t>
  </si>
  <si>
    <t>Definir roles y responsables (RACI)</t>
  </si>
  <si>
    <t>Líder de Calidad, QA, Líder de Desarrollo,
Dev, PO: quién revisa, quién aprueba, quién
corrige.</t>
  </si>
  <si>
    <t>Diseñar métricas de calidad</t>
  </si>
  <si>
    <t>Definir fórmula, umbral, frecuencia, fuente y
responsable (Densidad, DRE, MTTR,
%Revisiones, %DoD).</t>
  </si>
  <si>
    <t>Planear revisiones e inspecciones</t>
  </si>
  <si>
    <t>Calendario y alcance por artefacto; checklist
de revisión; formato de acta.</t>
  </si>
  <si>
    <t>Activar log de defectos y flujo de vida</t>
  </si>
  <si>
    <t>Estados (Abierto→Cerrado), severidades,
SLA por severidad y categorías; reglas de
cierre.</t>
  </si>
  <si>
    <t>Ejecutar revisiones/inspecciones</t>
  </si>
  <si>
    <t>Aplicar checklist en
req/diseño/código/pruebas; registrar
hallazgos y acciones.</t>
  </si>
  <si>
    <t>Recolección de
datos y evidencias</t>
  </si>
  <si>
    <t>Guardar capturas, commits, reportes;
vincular a defectos/métricas.</t>
  </si>
  <si>
    <t>Seguimiento y reportes de calidad</t>
  </si>
  <si>
    <t>Reunión semanal, tablero de KPIs, alertas y
acciones correctivas/preventivas (CAPA).</t>
  </si>
  <si>
    <t>Mejora y cierre por sprint</t>
  </si>
  <si>
    <t>Lecciones aprendidas y ajustes al
plan/métricas; baseline de cierre.</t>
  </si>
  <si>
    <t>Inventario de entregables</t>
  </si>
  <si>
    <t>Listar los entregables del sprint/fase (p. ej.,
Plan de calidad v1.0, Plan de admin de reqs
v1.0, etc.).</t>
  </si>
  <si>
    <t>Descomposición en tareas(WBS)</t>
  </si>
  <si>
    <t>Partir cada entregable en tareas concretas
con nombre y descripción.</t>
  </si>
  <si>
    <t>Secuenciación y
dependencias</t>
  </si>
  <si>
    <t>Ordenar tareas y registrar
predecesoras/sucesoras.</t>
  </si>
  <si>
    <t>Estimación de
esfuerzo</t>
  </si>
  <si>
    <t>Estimar horas por tarea (h-persona).</t>
  </si>
  <si>
    <t>Registrar productividad del recurso (h/día) o
capacidad del equipo.</t>
  </si>
  <si>
    <t>Productividad/capacidad</t>
  </si>
  <si>
    <t>Duración y calendario</t>
  </si>
  <si>
    <t>Calcular duración = esfuerzo/productividad,
fijar inicio/fin en calendario.</t>
  </si>
  <si>
    <t>Asignación de responsables</t>
  </si>
  <si>
    <t>Asignar responsable/rol y estado inicial.</t>
  </si>
  <si>
    <t>Criterios de aceptación y DoD</t>
  </si>
  <si>
    <t>Definir criterios específicos por tarea y DoD
estándar del equipo.</t>
  </si>
  <si>
    <t>Publicación y control</t>
  </si>
  <si>
    <t>Cargar todo al tablero DashKPI/hoja maestra
y versionar.</t>
  </si>
  <si>
    <t>TOTAL DE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</si>
</sst>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8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/>
    <xf numFmtId="14" fontId="0" fillId="0" borderId="1" xfId="0" applyNumberFormat="1" applyBorder="1"/>
    <xf numFmtId="21" fontId="0" fillId="0" borderId="1" xfId="0" applyNumberFormat="1" applyBorder="1"/>
    <xf numFmtId="0" fontId="3" fillId="5" borderId="0" xfId="0" applyFont="1" applyFill="1" applyAlignment="1">
      <alignment vertical="center" wrapText="1"/>
    </xf>
    <xf numFmtId="1" fontId="5" fillId="5" borderId="0" xfId="0" applyNumberFormat="1" applyFont="1" applyFill="1" applyBorder="1" applyAlignment="1">
      <alignment horizontal="center" vertical="center" wrapText="1"/>
    </xf>
    <xf numFmtId="41" fontId="2" fillId="0" borderId="1" xfId="2" applyFont="1" applyFill="1" applyBorder="1" applyAlignment="1">
      <alignment wrapText="1"/>
    </xf>
    <xf numFmtId="0" fontId="2" fillId="0" borderId="1" xfId="0" applyFont="1" applyBorder="1" applyAlignment="1"/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7" borderId="14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165" fontId="0" fillId="0" borderId="1" xfId="0" applyNumberFormat="1" applyBorder="1" applyAlignment="1"/>
    <xf numFmtId="164" fontId="0" fillId="0" borderId="1" xfId="0" applyNumberFormat="1" applyBorder="1" applyAlignment="1"/>
    <xf numFmtId="1" fontId="0" fillId="0" borderId="1" xfId="0" applyNumberFormat="1" applyBorder="1" applyAlignment="1"/>
    <xf numFmtId="0" fontId="2" fillId="0" borderId="0" xfId="0" applyFont="1" applyAlignment="1"/>
    <xf numFmtId="0" fontId="2" fillId="7" borderId="1" xfId="0" applyFont="1" applyFill="1" applyBorder="1" applyAlignment="1">
      <alignment horizontal="justify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0" xfId="0" applyNumberFormat="1"/>
    <xf numFmtId="0" fontId="0" fillId="0" borderId="14" xfId="0" applyBorder="1" applyAlignment="1"/>
    <xf numFmtId="0" fontId="2" fillId="0" borderId="1" xfId="2" applyNumberFormat="1" applyFont="1" applyFill="1" applyBorder="1" applyAlignment="1">
      <alignment wrapText="1"/>
    </xf>
    <xf numFmtId="14" fontId="2" fillId="0" borderId="0" xfId="0" applyNumberFormat="1" applyFont="1" applyAlignment="1"/>
    <xf numFmtId="165" fontId="2" fillId="0" borderId="0" xfId="0" applyNumberFormat="1" applyFont="1" applyAlignment="1"/>
    <xf numFmtId="0" fontId="2" fillId="0" borderId="14" xfId="0" applyFont="1" applyBorder="1" applyAlignment="1"/>
    <xf numFmtId="0" fontId="0" fillId="0" borderId="0" xfId="0" applyAlignment="1"/>
    <xf numFmtId="165" fontId="1" fillId="0" borderId="1" xfId="0" applyNumberFormat="1" applyFont="1" applyBorder="1" applyAlignment="1"/>
    <xf numFmtId="14" fontId="0" fillId="0" borderId="1" xfId="0" applyNumberFormat="1" applyBorder="1" applyAlignment="1"/>
    <xf numFmtId="21" fontId="0" fillId="0" borderId="1" xfId="0" applyNumberFormat="1" applyBorder="1" applyAlignment="1"/>
    <xf numFmtId="1" fontId="5" fillId="0" borderId="2" xfId="0" applyNumberFormat="1" applyFont="1" applyBorder="1" applyAlignment="1">
      <alignment wrapText="1"/>
    </xf>
    <xf numFmtId="1" fontId="5" fillId="3" borderId="2" xfId="0" applyNumberFormat="1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3" borderId="1" xfId="0" applyFont="1" applyFill="1" applyBorder="1" applyAlignment="1"/>
    <xf numFmtId="0" fontId="2" fillId="5" borderId="1" xfId="0" applyFont="1" applyFill="1" applyBorder="1" applyAlignment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/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382-A09D-1597EC57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1'!$A$122:$A$133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1'!$B$122:$B$133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1'!$C$122:$C$133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1'!$D$122:$D$133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1'!$E$122:$E$133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[dt_ptl_controlAsignaciones_definitivo3 (planeación) (version definitiva).xlsb.xlsx]DATOS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1'!$B$51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1'!$B$52:$B$58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1'!$C$51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1'!$C$52:$C$58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1'!$D$51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1'!$D$52:$D$58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1'!$E$51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1'!$E$52:$E$58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[dt_ptl_controlAsignaciones_definitivo3 (planeación) (version definitiva).xlsb.xlsx]DATOS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[dt_ptl_controlAsignaciones_definitivo3 (planeación) (version definitiva).xlsb.xlsx]DATOS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3'!$I$63:$I$69</c:f>
              <c:numCache>
                <c:formatCode>0</c:formatCode>
                <c:ptCount val="6"/>
                <c:pt idx="0">
                  <c:v>329</c:v>
                </c:pt>
                <c:pt idx="1">
                  <c:v>283</c:v>
                </c:pt>
                <c:pt idx="2">
                  <c:v>350</c:v>
                </c:pt>
                <c:pt idx="3">
                  <c:v>183</c:v>
                </c:pt>
                <c:pt idx="4">
                  <c:v>187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3'!$J$63:$J$69</c:f>
              <c:numCache>
                <c:formatCode>0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3'!$K$63:$K$69</c:f>
              <c:numCache>
                <c:formatCode>0</c:formatCode>
                <c:ptCount val="6"/>
                <c:pt idx="0">
                  <c:v>355</c:v>
                </c:pt>
                <c:pt idx="1">
                  <c:v>340</c:v>
                </c:pt>
                <c:pt idx="2">
                  <c:v>435</c:v>
                </c:pt>
                <c:pt idx="3">
                  <c:v>255</c:v>
                </c:pt>
                <c:pt idx="4">
                  <c:v>240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3'!$L$63:$L$69</c:f>
              <c:numCache>
                <c:formatCode>0</c:formatCode>
                <c:ptCount val="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425-AEFF-5CED5AB0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[dt_ptl_controlAsignaciones_definitivo3 (planeación) (version definitiva).xlsb.xlsx]DATOS 4!TablaDinámica4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4'!$B$98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4'!$B$99:$B$105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511-99AF-C6334A112A11}"/>
            </c:ext>
          </c:extLst>
        </c:ser>
        <c:ser>
          <c:idx val="1"/>
          <c:order val="1"/>
          <c:tx>
            <c:strRef>
              <c:f>'DATOS 4'!$C$98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4'!$C$99:$C$105</c:f>
              <c:numCache>
                <c:formatCode>General</c:formatCode>
                <c:ptCount val="6"/>
                <c:pt idx="0">
                  <c:v>550</c:v>
                </c:pt>
                <c:pt idx="1">
                  <c:v>370</c:v>
                </c:pt>
                <c:pt idx="2">
                  <c:v>730</c:v>
                </c:pt>
                <c:pt idx="3">
                  <c:v>565</c:v>
                </c:pt>
                <c:pt idx="4">
                  <c:v>395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511-99AF-C6334A112A11}"/>
            </c:ext>
          </c:extLst>
        </c:ser>
        <c:ser>
          <c:idx val="2"/>
          <c:order val="2"/>
          <c:tx>
            <c:strRef>
              <c:f>'DATOS 4'!$D$98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4'!$D$99:$D$105</c:f>
              <c:numCache>
                <c:formatCode>General</c:formatCode>
                <c:ptCount val="6"/>
                <c:pt idx="0">
                  <c:v>535</c:v>
                </c:pt>
                <c:pt idx="1">
                  <c:v>296</c:v>
                </c:pt>
                <c:pt idx="2">
                  <c:v>555</c:v>
                </c:pt>
                <c:pt idx="3">
                  <c:v>402</c:v>
                </c:pt>
                <c:pt idx="4">
                  <c:v>342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511-99AF-C6334A112A11}"/>
            </c:ext>
          </c:extLst>
        </c:ser>
        <c:ser>
          <c:idx val="3"/>
          <c:order val="3"/>
          <c:tx>
            <c:strRef>
              <c:f>'DATOS 4'!$E$98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4'!$E$99:$E$105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511-99AF-C6334A112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349039"/>
        <c:axId val="272356239"/>
      </c:barChart>
      <c:catAx>
        <c:axId val="2723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56239"/>
        <c:crosses val="autoZero"/>
        <c:auto val="1"/>
        <c:lblAlgn val="ctr"/>
        <c:lblOffset val="100"/>
        <c:noMultiLvlLbl val="0"/>
      </c:catAx>
      <c:valAx>
        <c:axId val="2723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[dt_ptl_controlAsignaciones_definitivo3 (planeación) (version definitiva).xlsb.xlsx]DATOS 4!TablaDinámica5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4'!$B$124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4'!$A$125:$A$131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4'!$B$125:$B$131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56F-BD02-B90AD0152CD2}"/>
            </c:ext>
          </c:extLst>
        </c:ser>
        <c:ser>
          <c:idx val="1"/>
          <c:order val="1"/>
          <c:tx>
            <c:strRef>
              <c:f>'DATOS 4'!$C$124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4'!$A$125:$A$131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4'!$C$125:$C$131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6-456F-BD02-B90AD0152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263455"/>
        <c:axId val="542262495"/>
      </c:barChart>
      <c:catAx>
        <c:axId val="5422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2495"/>
        <c:crosses val="autoZero"/>
        <c:auto val="1"/>
        <c:lblAlgn val="ctr"/>
        <c:lblOffset val="100"/>
        <c:noMultiLvlLbl val="0"/>
      </c:catAx>
      <c:valAx>
        <c:axId val="5422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EDTs!$Q$109:$T$109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4BE-8FEE-3F5FC0F50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[dt_ptl_controlAsignaciones_definitivo3 (planeación) (version definitiva).xlsb.xlsx]EDTs!TablaDinámica10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EDTs!$B$252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EDTs!$B$253:$B$259</c:f>
              <c:numCache>
                <c:formatCode>General</c:formatCode>
                <c:ptCount val="6"/>
                <c:pt idx="0">
                  <c:v>51</c:v>
                </c:pt>
                <c:pt idx="1">
                  <c:v>42</c:v>
                </c:pt>
                <c:pt idx="2">
                  <c:v>60</c:v>
                </c:pt>
                <c:pt idx="3">
                  <c:v>30</c:v>
                </c:pt>
                <c:pt idx="4">
                  <c:v>41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D35-B7E2-C00176936B1F}"/>
            </c:ext>
          </c:extLst>
        </c:ser>
        <c:ser>
          <c:idx val="1"/>
          <c:order val="1"/>
          <c:tx>
            <c:strRef>
              <c:f>EDTs!$C$252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EDTs!$C$253:$C$259</c:f>
              <c:numCache>
                <c:formatCode>General</c:formatCode>
                <c:ptCount val="6"/>
                <c:pt idx="0">
                  <c:v>1535</c:v>
                </c:pt>
                <c:pt idx="1">
                  <c:v>1280</c:v>
                </c:pt>
                <c:pt idx="2">
                  <c:v>2100</c:v>
                </c:pt>
                <c:pt idx="3">
                  <c:v>1080</c:v>
                </c:pt>
                <c:pt idx="4">
                  <c:v>1225</c:v>
                </c:pt>
                <c:pt idx="5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9-4D35-B7E2-C00176936B1F}"/>
            </c:ext>
          </c:extLst>
        </c:ser>
        <c:ser>
          <c:idx val="2"/>
          <c:order val="2"/>
          <c:tx>
            <c:strRef>
              <c:f>EDTs!$D$252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EDTs!$D$253:$D$259</c:f>
              <c:numCache>
                <c:formatCode>General</c:formatCode>
                <c:ptCount val="6"/>
                <c:pt idx="0">
                  <c:v>1501</c:v>
                </c:pt>
                <c:pt idx="1">
                  <c:v>1018</c:v>
                </c:pt>
                <c:pt idx="2">
                  <c:v>1710</c:v>
                </c:pt>
                <c:pt idx="3">
                  <c:v>797</c:v>
                </c:pt>
                <c:pt idx="4">
                  <c:v>1221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9-4D35-B7E2-C00176936B1F}"/>
            </c:ext>
          </c:extLst>
        </c:ser>
        <c:ser>
          <c:idx val="3"/>
          <c:order val="3"/>
          <c:tx>
            <c:strRef>
              <c:f>EDTs!$E$252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EDTs!$E$253:$E$259</c:f>
              <c:numCache>
                <c:formatCode>General</c:formatCode>
                <c:ptCount val="6"/>
                <c:pt idx="0">
                  <c:v>53</c:v>
                </c:pt>
                <c:pt idx="1">
                  <c:v>42</c:v>
                </c:pt>
                <c:pt idx="2">
                  <c:v>62</c:v>
                </c:pt>
                <c:pt idx="3">
                  <c:v>29</c:v>
                </c:pt>
                <c:pt idx="4">
                  <c:v>43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9-4D35-B7E2-C00176936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688111"/>
        <c:axId val="272687631"/>
      </c:barChart>
      <c:catAx>
        <c:axId val="2726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7631"/>
        <c:crosses val="autoZero"/>
        <c:auto val="1"/>
        <c:lblAlgn val="ctr"/>
        <c:lblOffset val="100"/>
        <c:noMultiLvlLbl val="0"/>
      </c:catAx>
      <c:valAx>
        <c:axId val="2726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image" Target="../media/image1.jpe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image" Target="../media/image1.jpeg"/><Relationship Id="rId4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00A50FC-FF30-4E1A-8477-6EA6EEC6C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7510A-0C36-4215-9B7F-63D10053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78</xdr:row>
      <xdr:rowOff>147865</xdr:rowOff>
    </xdr:from>
    <xdr:to>
      <xdr:col>4</xdr:col>
      <xdr:colOff>1134</xdr:colOff>
      <xdr:row>80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87</xdr:row>
      <xdr:rowOff>34018</xdr:rowOff>
    </xdr:from>
    <xdr:to>
      <xdr:col>4</xdr:col>
      <xdr:colOff>-1</xdr:colOff>
      <xdr:row>89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94</xdr:row>
      <xdr:rowOff>147863</xdr:rowOff>
    </xdr:from>
    <xdr:to>
      <xdr:col>3</xdr:col>
      <xdr:colOff>771071</xdr:colOff>
      <xdr:row>95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101</xdr:row>
      <xdr:rowOff>91167</xdr:rowOff>
    </xdr:from>
    <xdr:to>
      <xdr:col>4</xdr:col>
      <xdr:colOff>278947</xdr:colOff>
      <xdr:row>115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134</xdr:row>
      <xdr:rowOff>34471</xdr:rowOff>
    </xdr:from>
    <xdr:to>
      <xdr:col>6</xdr:col>
      <xdr:colOff>34017</xdr:colOff>
      <xdr:row>160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58</xdr:row>
      <xdr:rowOff>113846</xdr:rowOff>
    </xdr:from>
    <xdr:to>
      <xdr:col>5</xdr:col>
      <xdr:colOff>11340</xdr:colOff>
      <xdr:row>71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61</xdr:row>
      <xdr:rowOff>0</xdr:rowOff>
    </xdr:from>
    <xdr:to>
      <xdr:col>6</xdr:col>
      <xdr:colOff>158750</xdr:colOff>
      <xdr:row>70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9C0D65F-0144-494D-9DCB-CE914D1AE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B1637-58D7-4103-8624-18E50F40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238127</xdr:colOff>
      <xdr:row>97</xdr:row>
      <xdr:rowOff>79827</xdr:rowOff>
    </xdr:from>
    <xdr:to>
      <xdr:col>12</xdr:col>
      <xdr:colOff>2313215</xdr:colOff>
      <xdr:row>118</xdr:row>
      <xdr:rowOff>68035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8122BF-9B9A-FFCA-AF2C-DEB0B433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293688</xdr:colOff>
      <xdr:row>123</xdr:row>
      <xdr:rowOff>57150</xdr:rowOff>
    </xdr:from>
    <xdr:to>
      <xdr:col>7</xdr:col>
      <xdr:colOff>579438</xdr:colOff>
      <xdr:row>130</xdr:row>
      <xdr:rowOff>112939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4E10F4-C070-86DA-2BAA-04ADFEF2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3AED270-D993-456D-9B5B-52DF30A70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4F9DD7-C4A2-48D4-88E1-CB63A98C8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260</xdr:row>
      <xdr:rowOff>11793</xdr:rowOff>
    </xdr:from>
    <xdr:to>
      <xdr:col>3</xdr:col>
      <xdr:colOff>1349374</xdr:colOff>
      <xdr:row>284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4DC25A-84DF-8F08-1F9C-B7802CE8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0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49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33245023149" createdVersion="8" refreshedVersion="8" minRefreshableVersion="3" recordCount="89" xr:uid="{62211EED-E4BE-4D27-B64D-D874E04FF633}">
  <cacheSource type="worksheet">
    <worksheetSource ref="B7:L96" sheet="DATOS 4"/>
  </cacheSource>
  <cacheFields count="11">
    <cacheField name="Responsable" numFmtId="0">
      <sharedItems count="7">
        <s v="Santiago Herrada"/>
        <s v="Esteban Prieto"/>
        <s v="Nicolas Cubillos"/>
        <s v="Leidy Giraldo"/>
        <s v="Matias Marín"/>
        <s v="Kerlon Sanchez"/>
        <s v=" Nicolas Cubillos"/>
      </sharedItems>
    </cacheField>
    <cacheField name="Rol que recibe" numFmtId="0">
      <sharedItems count="12">
        <s v="LP"/>
        <s v="LC"/>
        <s v="LS"/>
        <s v="LE"/>
        <s v="LA"/>
        <s v="LD"/>
        <s v=" LP"/>
        <s v="           LS"/>
        <s v="           LE"/>
        <s v="           LA"/>
        <s v="           LC"/>
        <s v="           LD"/>
      </sharedItems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60"/>
    </cacheField>
    <cacheField name="Fecha Acordada Entrega" numFmtId="0">
      <sharedItems containsSemiMixedTypes="0" containsNonDate="0" containsDate="1" containsString="0" minDate="2025-09-09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05T00:00:00" maxDate="2025-09-09T00:00:00"/>
    </cacheField>
    <cacheField name="Hora Entrega" numFmtId="0">
      <sharedItems containsSemiMixedTypes="0" containsNonDate="0" containsDate="1" containsString="0" minDate="1899-12-30T08:3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59440509262" createdVersion="8" refreshedVersion="8" minRefreshableVersion="3" recordCount="242" xr:uid="{CC926FAD-4BEB-4C19-8424-28FE7CAEF93A}">
  <cacheSource type="worksheet">
    <worksheetSource ref="B7:L249" sheet="EDTs"/>
  </cacheSource>
  <cacheFields count="11">
    <cacheField name="Responsable" numFmtId="0">
      <sharedItems count="15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Esteban Prieto"/>
        <s v="Leidy Giraldo "/>
        <s v=" 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120"/>
    </cacheField>
    <cacheField name="Fecha Acordada Entrega" numFmtId="0">
      <sharedItems containsSemiMixedTypes="0" containsNonDate="0" containsDate="1" containsString="0" minDate="2025-08-13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9-09T00:00:00"/>
    </cacheField>
    <cacheField name="Hora Entrega" numFmtId="0">
      <sharedItems containsSemiMixedTypes="0" containsNonDate="0" containsDate="1" containsString="0" minDate="1899-12-30T01:00:00" maxDate="1899-12-30T23:00:00"/>
    </cacheField>
    <cacheField name="Diferencia" numFmtId="0">
      <sharedItems containsSemiMixedTypes="0" containsString="0" containsNumber="1" containsInteger="1" minValue="-90" maxValue="6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1"/>
    <n v="30"/>
    <d v="2025-09-09T00:00:00"/>
    <d v="1899-12-30T09:00:00"/>
    <d v="2025-09-05T00:00:00"/>
    <d v="1899-12-30T11:00:00"/>
    <n v="0"/>
    <n v="1"/>
    <n v="30"/>
  </r>
  <r>
    <x v="1"/>
    <x v="1"/>
    <n v="1"/>
    <n v="30"/>
    <d v="2025-09-09T00:00:00"/>
    <d v="1899-12-30T09:00:00"/>
    <d v="2025-09-05T00:00:00"/>
    <d v="1899-12-30T19:00:00"/>
    <n v="0"/>
    <n v="1"/>
    <n v="30"/>
  </r>
  <r>
    <x v="1"/>
    <x v="1"/>
    <n v="2"/>
    <n v="30"/>
    <d v="2025-09-09T00:00:00"/>
    <d v="1899-12-30T09:00:00"/>
    <d v="2025-09-07T00:00:00"/>
    <d v="1899-12-30T12:30:00"/>
    <n v="0"/>
    <n v="2"/>
    <n v="30"/>
  </r>
  <r>
    <x v="2"/>
    <x v="2"/>
    <n v="2"/>
    <n v="30"/>
    <d v="2025-09-09T00:00:00"/>
    <d v="1899-12-30T09:00:00"/>
    <d v="2025-09-07T00:00:00"/>
    <d v="1899-12-30T13:00:00"/>
    <n v="0"/>
    <n v="2"/>
    <n v="30"/>
  </r>
  <r>
    <x v="1"/>
    <x v="1"/>
    <n v="1"/>
    <n v="30"/>
    <d v="2025-09-09T00:00:00"/>
    <d v="1899-12-30T09:00:00"/>
    <d v="2025-09-07T00:00:00"/>
    <d v="1899-12-30T13:3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2"/>
    <n v="30"/>
  </r>
  <r>
    <x v="2"/>
    <x v="2"/>
    <n v="2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1"/>
    <n v="30"/>
  </r>
  <r>
    <x v="2"/>
    <x v="2"/>
    <n v="2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3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1"/>
    <n v="30"/>
    <d v="2025-09-09T00:00:00"/>
    <d v="1899-12-30T09:00:00"/>
    <d v="2025-09-07T00:00:00"/>
    <d v="1899-12-30T14:00:00"/>
    <n v="0"/>
    <n v="2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-1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0"/>
    <n v="1"/>
    <n v="20"/>
  </r>
  <r>
    <x v="1"/>
    <x v="1"/>
    <n v="1"/>
    <n v="20"/>
    <d v="2025-09-09T00:00:00"/>
    <d v="1899-12-30T09:00:00"/>
    <d v="2025-09-07T00:00:00"/>
    <d v="1899-12-30T14:00:00"/>
    <n v="1"/>
    <n v="2"/>
    <n v="19"/>
  </r>
  <r>
    <x v="2"/>
    <x v="2"/>
    <n v="1"/>
    <n v="20"/>
    <d v="2025-09-09T00:00:00"/>
    <d v="1899-12-30T09:00:00"/>
    <d v="2025-09-07T00:00:00"/>
    <d v="1899-12-30T14:00:00"/>
    <n v="0"/>
    <n v="2"/>
    <n v="20"/>
  </r>
  <r>
    <x v="1"/>
    <x v="1"/>
    <n v="1"/>
    <n v="15"/>
    <d v="2025-09-09T00:00:00"/>
    <d v="1899-12-30T09:00:00"/>
    <d v="2025-09-07T00:00:00"/>
    <d v="1899-12-30T14:00:00"/>
    <n v="5"/>
    <n v="1"/>
    <n v="10"/>
  </r>
  <r>
    <x v="2"/>
    <x v="2"/>
    <n v="1"/>
    <n v="15"/>
    <d v="2025-09-09T00:00:00"/>
    <d v="1899-12-30T09:00:00"/>
    <d v="2025-09-07T00:00:00"/>
    <d v="1899-12-30T14:00:00"/>
    <n v="5"/>
    <n v="1"/>
    <n v="10"/>
  </r>
  <r>
    <x v="1"/>
    <x v="1"/>
    <n v="1"/>
    <n v="20"/>
    <d v="2025-09-09T00:00:00"/>
    <d v="1899-12-30T09:00:00"/>
    <d v="2025-09-07T00:00:00"/>
    <d v="1899-12-30T14:00:00"/>
    <n v="10"/>
    <n v="1"/>
    <n v="10"/>
  </r>
  <r>
    <x v="2"/>
    <x v="2"/>
    <n v="1"/>
    <n v="20"/>
    <d v="2025-09-09T00:00:00"/>
    <d v="1899-12-30T09:00:00"/>
    <d v="2025-09-07T00:00:00"/>
    <d v="1899-12-30T14:00:00"/>
    <n v="10"/>
    <n v="1"/>
    <n v="10"/>
  </r>
  <r>
    <x v="3"/>
    <x v="3"/>
    <n v="1"/>
    <n v="55"/>
    <d v="2025-09-09T00:00:00"/>
    <d v="1899-12-30T09:00:00"/>
    <d v="2025-09-06T00:00:00"/>
    <d v="1899-12-30T08:30:00"/>
    <n v="-5"/>
    <n v="2"/>
    <n v="60"/>
  </r>
  <r>
    <x v="4"/>
    <x v="4"/>
    <n v="1"/>
    <n v="55"/>
    <d v="2025-09-09T00:00:00"/>
    <d v="1899-12-30T09:00:00"/>
    <d v="2025-09-06T00:00:00"/>
    <d v="1899-12-30T09:30:00"/>
    <n v="-5"/>
    <n v="1"/>
    <n v="60"/>
  </r>
  <r>
    <x v="3"/>
    <x v="3"/>
    <n v="1"/>
    <n v="60"/>
    <d v="2025-09-09T00:00:00"/>
    <d v="1899-12-30T09:00:00"/>
    <d v="2025-09-06T00:00:00"/>
    <d v="1899-12-30T10:30:00"/>
    <n v="0"/>
    <n v="3"/>
    <n v="60"/>
  </r>
  <r>
    <x v="4"/>
    <x v="4"/>
    <n v="1"/>
    <n v="60"/>
    <d v="2025-09-09T00:00:00"/>
    <d v="1899-12-30T09:00:00"/>
    <d v="2025-09-06T00:00:00"/>
    <d v="1899-12-30T11:30:00"/>
    <n v="0"/>
    <n v="1"/>
    <n v="60"/>
  </r>
  <r>
    <x v="3"/>
    <x v="3"/>
    <n v="1"/>
    <n v="30"/>
    <d v="2025-09-09T00:00:00"/>
    <d v="1899-12-30T09:00:00"/>
    <d v="2025-09-06T00:00:00"/>
    <d v="1899-12-30T12:00:00"/>
    <n v="0"/>
    <n v="1"/>
    <n v="30"/>
  </r>
  <r>
    <x v="4"/>
    <x v="4"/>
    <n v="1"/>
    <n v="30"/>
    <d v="2025-09-09T00:00:00"/>
    <d v="1899-12-30T09:00:00"/>
    <d v="2025-09-06T00:00:00"/>
    <d v="1899-12-30T12:30:00"/>
    <n v="2"/>
    <n v="1"/>
    <n v="28"/>
  </r>
  <r>
    <x v="3"/>
    <x v="3"/>
    <n v="1"/>
    <n v="30"/>
    <d v="2025-09-09T00:00:00"/>
    <d v="1899-12-30T09:00:00"/>
    <d v="2025-09-06T00:00:00"/>
    <d v="1899-12-30T13:00:00"/>
    <n v="0"/>
    <n v="1"/>
    <n v="30"/>
  </r>
  <r>
    <x v="4"/>
    <x v="4"/>
    <n v="1"/>
    <n v="30"/>
    <d v="2025-09-09T00:00:00"/>
    <d v="1899-12-30T09:00:00"/>
    <d v="2025-09-06T00:00:00"/>
    <d v="1899-12-30T13:30:00"/>
    <n v="1"/>
    <n v="1"/>
    <n v="29"/>
  </r>
  <r>
    <x v="3"/>
    <x v="3"/>
    <n v="1"/>
    <n v="30"/>
    <d v="2025-09-09T00:00:00"/>
    <d v="1899-12-30T09:00:00"/>
    <d v="2025-09-06T00:00:00"/>
    <d v="1899-12-30T14:00:00"/>
    <n v="0"/>
    <n v="1"/>
    <n v="30"/>
  </r>
  <r>
    <x v="4"/>
    <x v="4"/>
    <n v="1"/>
    <n v="30"/>
    <d v="2025-09-09T00:00:00"/>
    <d v="1899-12-30T09:00:00"/>
    <d v="2025-09-06T00:00:00"/>
    <d v="1899-12-30T14:00:00"/>
    <n v="0"/>
    <n v="1"/>
    <n v="30"/>
  </r>
  <r>
    <x v="3"/>
    <x v="3"/>
    <n v="1"/>
    <n v="30"/>
    <d v="2025-09-09T00:00:00"/>
    <d v="1899-12-30T09:00:00"/>
    <d v="2025-09-06T00:00:00"/>
    <d v="1899-12-30T14:30:00"/>
    <n v="0"/>
    <n v="1"/>
    <n v="30"/>
  </r>
  <r>
    <x v="4"/>
    <x v="4"/>
    <n v="1"/>
    <n v="30"/>
    <d v="2025-09-09T00:00:00"/>
    <d v="1899-12-30T09:00:00"/>
    <d v="2025-09-06T00:00:00"/>
    <d v="1899-12-30T14:30:00"/>
    <n v="5"/>
    <n v="1"/>
    <n v="25"/>
  </r>
  <r>
    <x v="3"/>
    <x v="3"/>
    <n v="1"/>
    <n v="30"/>
    <d v="2025-09-09T00:00:00"/>
    <d v="1899-12-30T09:00:00"/>
    <d v="2025-09-06T00:00:00"/>
    <d v="1899-12-30T15:00:00"/>
    <n v="5"/>
    <n v="1"/>
    <n v="25"/>
  </r>
  <r>
    <x v="4"/>
    <x v="4"/>
    <n v="1"/>
    <n v="30"/>
    <d v="2025-09-09T00:00:00"/>
    <d v="1899-12-30T09:00:00"/>
    <d v="2025-09-06T00:00:00"/>
    <d v="1899-12-30T15:00:00"/>
    <n v="0"/>
    <n v="1"/>
    <n v="30"/>
  </r>
  <r>
    <x v="3"/>
    <x v="3"/>
    <n v="1"/>
    <n v="30"/>
    <d v="2025-09-09T00:00:00"/>
    <d v="1899-12-30T09:00:00"/>
    <d v="2025-09-06T00:00:00"/>
    <d v="1899-12-30T15:30:00"/>
    <n v="0"/>
    <n v="1"/>
    <n v="30"/>
  </r>
  <r>
    <x v="4"/>
    <x v="4"/>
    <n v="1"/>
    <n v="30"/>
    <d v="2025-09-09T00:00:00"/>
    <d v="1899-12-30T09:00:00"/>
    <d v="2025-09-06T00:00:00"/>
    <d v="1899-12-30T15:30:00"/>
    <n v="0"/>
    <n v="1"/>
    <n v="30"/>
  </r>
  <r>
    <x v="3"/>
    <x v="3"/>
    <n v="2"/>
    <n v="60"/>
    <d v="2025-09-09T00:00:00"/>
    <d v="1899-12-30T09:00:00"/>
    <d v="2025-09-06T00:00:00"/>
    <d v="1899-12-30T16:00:00"/>
    <n v="35"/>
    <n v="1"/>
    <n v="25"/>
  </r>
  <r>
    <x v="4"/>
    <x v="4"/>
    <n v="2"/>
    <n v="60"/>
    <d v="2025-09-09T00:00:00"/>
    <d v="1899-12-30T09:00:00"/>
    <d v="2025-09-06T00:00:00"/>
    <d v="1899-12-30T16:00:00"/>
    <n v="35"/>
    <n v="1"/>
    <n v="25"/>
  </r>
  <r>
    <x v="3"/>
    <x v="3"/>
    <n v="2"/>
    <n v="60"/>
    <d v="2025-09-09T00:00:00"/>
    <d v="1899-12-30T09:00:00"/>
    <d v="2025-09-06T00:00:00"/>
    <d v="1899-12-30T17:00:00"/>
    <n v="38"/>
    <n v="1"/>
    <n v="22"/>
  </r>
  <r>
    <x v="4"/>
    <x v="4"/>
    <n v="2"/>
    <n v="60"/>
    <d v="2025-09-09T00:00:00"/>
    <d v="1899-12-30T09:00:00"/>
    <d v="2025-09-06T00:00:00"/>
    <d v="1899-12-30T18:00:00"/>
    <n v="38"/>
    <n v="2"/>
    <n v="22"/>
  </r>
  <r>
    <x v="3"/>
    <x v="3"/>
    <n v="2"/>
    <n v="60"/>
    <d v="2025-09-09T00:00:00"/>
    <d v="1899-12-30T09:00:00"/>
    <d v="2025-09-06T00:00:00"/>
    <d v="1899-12-30T19:00:00"/>
    <n v="39"/>
    <n v="2"/>
    <n v="21"/>
  </r>
  <r>
    <x v="4"/>
    <x v="4"/>
    <n v="2"/>
    <n v="60"/>
    <d v="2025-09-09T00:00:00"/>
    <d v="1899-12-30T09:00:00"/>
    <d v="2025-09-06T00:00:00"/>
    <d v="1899-12-30T20:00:00"/>
    <n v="39"/>
    <n v="2"/>
    <n v="21"/>
  </r>
  <r>
    <x v="0"/>
    <x v="0"/>
    <n v="1"/>
    <n v="30"/>
    <d v="2025-09-09T00:00:00"/>
    <d v="1899-12-30T09:00:00"/>
    <d v="2025-09-07T00:00:00"/>
    <d v="1899-12-30T12:00:00"/>
    <n v="0"/>
    <n v="2"/>
    <n v="30"/>
  </r>
  <r>
    <x v="5"/>
    <x v="5"/>
    <n v="1"/>
    <n v="30"/>
    <d v="2025-09-09T00:00:00"/>
    <d v="1899-12-30T09:00:00"/>
    <d v="2025-09-07T00:00:00"/>
    <d v="1899-12-30T12:30:00"/>
    <n v="0"/>
    <n v="2"/>
    <n v="30"/>
  </r>
  <r>
    <x v="0"/>
    <x v="0"/>
    <n v="1"/>
    <n v="30"/>
    <d v="2025-09-09T00:00:00"/>
    <d v="1899-12-30T09:00:00"/>
    <d v="2025-09-07T00:00:00"/>
    <d v="1899-12-30T13:00:00"/>
    <n v="0"/>
    <n v="2"/>
    <n v="30"/>
  </r>
  <r>
    <x v="5"/>
    <x v="5"/>
    <n v="1"/>
    <n v="30"/>
    <d v="2025-09-09T00:00:00"/>
    <d v="1899-12-30T09:00:00"/>
    <d v="2025-09-07T00:00:00"/>
    <d v="1899-12-30T13:30:00"/>
    <n v="0"/>
    <n v="1"/>
    <n v="30"/>
  </r>
  <r>
    <x v="0"/>
    <x v="0"/>
    <n v="1"/>
    <n v="30"/>
    <d v="2025-09-09T00:00:00"/>
    <d v="1899-12-30T09:00:00"/>
    <d v="2025-09-07T00:00:00"/>
    <d v="1899-12-30T14:00:00"/>
    <n v="-5"/>
    <n v="1"/>
    <n v="35"/>
  </r>
  <r>
    <x v="5"/>
    <x v="5"/>
    <n v="1"/>
    <n v="30"/>
    <d v="2025-09-09T00:00:00"/>
    <d v="1899-12-30T09:00:00"/>
    <d v="2025-09-07T00:00:00"/>
    <d v="1899-12-30T14:30:00"/>
    <n v="6"/>
    <n v="1"/>
    <n v="24"/>
  </r>
  <r>
    <x v="0"/>
    <x v="0"/>
    <n v="2"/>
    <n v="20"/>
    <d v="2025-09-09T00:00:00"/>
    <d v="1899-12-30T09:00:00"/>
    <d v="2025-09-07T00:00:00"/>
    <d v="1899-12-30T15:00:00"/>
    <n v="0"/>
    <n v="1"/>
    <n v="20"/>
  </r>
  <r>
    <x v="5"/>
    <x v="5"/>
    <n v="2"/>
    <n v="20"/>
    <d v="2025-09-09T00:00:00"/>
    <d v="1899-12-30T09:00:00"/>
    <d v="2025-09-07T00:00:00"/>
    <d v="1899-12-30T15:20:00"/>
    <n v="0"/>
    <n v="1"/>
    <n v="20"/>
  </r>
  <r>
    <x v="0"/>
    <x v="0"/>
    <n v="1"/>
    <n v="20"/>
    <d v="2025-09-09T00:00:00"/>
    <d v="1899-12-30T09:00:00"/>
    <d v="2025-09-07T00:00:00"/>
    <d v="1899-12-30T15:40:00"/>
    <n v="0"/>
    <n v="1"/>
    <n v="20"/>
  </r>
  <r>
    <x v="5"/>
    <x v="5"/>
    <n v="1"/>
    <n v="20"/>
    <d v="2025-09-09T00:00:00"/>
    <d v="1899-12-30T09:00:00"/>
    <d v="2025-09-07T00:00:00"/>
    <d v="1899-12-30T16:00:00"/>
    <n v="-5"/>
    <n v="1"/>
    <n v="25"/>
  </r>
  <r>
    <x v="0"/>
    <x v="0"/>
    <n v="1"/>
    <n v="20"/>
    <d v="2025-09-09T00:00:00"/>
    <d v="1899-12-30T09:00:00"/>
    <d v="2025-09-07T00:00:00"/>
    <d v="1899-12-30T16:20:00"/>
    <n v="-5"/>
    <n v="1"/>
    <n v="25"/>
  </r>
  <r>
    <x v="5"/>
    <x v="5"/>
    <n v="1"/>
    <n v="20"/>
    <d v="2025-09-09T00:00:00"/>
    <d v="1899-12-30T09:00:00"/>
    <d v="2025-09-07T00:00:00"/>
    <d v="1899-12-30T16:40:00"/>
    <n v="5"/>
    <n v="1"/>
    <n v="15"/>
  </r>
  <r>
    <x v="0"/>
    <x v="0"/>
    <n v="1"/>
    <n v="20"/>
    <d v="2025-09-09T00:00:00"/>
    <d v="1899-12-30T09:00:00"/>
    <d v="2025-09-07T00:00:00"/>
    <d v="1899-12-30T17:00:00"/>
    <n v="10"/>
    <n v="1"/>
    <n v="10"/>
  </r>
  <r>
    <x v="5"/>
    <x v="5"/>
    <n v="1"/>
    <n v="20"/>
    <d v="2025-09-09T00:00:00"/>
    <d v="1899-12-30T09:00:00"/>
    <d v="2025-09-07T00:00:00"/>
    <d v="1899-12-30T17:20:00"/>
    <n v="10"/>
    <n v="1"/>
    <n v="10"/>
  </r>
  <r>
    <x v="0"/>
    <x v="0"/>
    <n v="1"/>
    <n v="20"/>
    <d v="2025-09-09T00:00:00"/>
    <d v="1899-12-30T09:00:00"/>
    <d v="2025-09-07T00:00:00"/>
    <d v="1899-12-30T17:40:00"/>
    <n v="10"/>
    <n v="1"/>
    <n v="10"/>
  </r>
  <r>
    <x v="5"/>
    <x v="5"/>
    <n v="1"/>
    <n v="20"/>
    <d v="2025-09-09T00:00:00"/>
    <d v="1899-12-30T09:00:00"/>
    <d v="2025-09-07T00:00:00"/>
    <d v="1899-12-30T18:00:00"/>
    <n v="5"/>
    <n v="1"/>
    <n v="15"/>
  </r>
  <r>
    <x v="0"/>
    <x v="0"/>
    <n v="1"/>
    <n v="10"/>
    <d v="2025-09-09T00:00:00"/>
    <d v="1899-12-30T09:00:00"/>
    <d v="2025-09-07T00:00:00"/>
    <d v="1899-12-30T18:10:00"/>
    <n v="0"/>
    <n v="1"/>
    <n v="10"/>
  </r>
  <r>
    <x v="5"/>
    <x v="5"/>
    <n v="1"/>
    <n v="10"/>
    <d v="2025-09-09T00:00:00"/>
    <d v="1899-12-30T09:00:00"/>
    <d v="2025-09-07T00:00:00"/>
    <d v="1899-12-30T18:20:00"/>
    <n v="0"/>
    <n v="1"/>
    <n v="10"/>
  </r>
  <r>
    <x v="1"/>
    <x v="1"/>
    <n v="1"/>
    <n v="20"/>
    <d v="2025-09-09T00:00:00"/>
    <d v="1899-12-30T09:00:00"/>
    <d v="2025-09-07T00:00:00"/>
    <d v="1899-12-30T19:20:00"/>
    <n v="0"/>
    <n v="1"/>
    <n v="20"/>
  </r>
  <r>
    <x v="6"/>
    <x v="2"/>
    <n v="1"/>
    <n v="20"/>
    <d v="2025-09-09T00:00:00"/>
    <d v="1899-12-30T09:00:00"/>
    <d v="2025-09-07T00:00:00"/>
    <d v="1899-12-30T19:20:00"/>
    <n v="0"/>
    <n v="1"/>
    <n v="20"/>
  </r>
  <r>
    <x v="1"/>
    <x v="1"/>
    <n v="1"/>
    <n v="30"/>
    <d v="2025-09-09T00:00:00"/>
    <d v="1899-12-30T09:00:00"/>
    <d v="2025-09-07T00:00:00"/>
    <d v="1899-12-30T20:00:00"/>
    <n v="6"/>
    <n v="1"/>
    <n v="24"/>
  </r>
  <r>
    <x v="5"/>
    <x v="5"/>
    <n v="1"/>
    <n v="30"/>
    <d v="2025-09-09T00:00:00"/>
    <d v="1899-12-30T09:00:00"/>
    <d v="2025-09-07T00:00:00"/>
    <d v="1899-12-30T20:00:00"/>
    <n v="0"/>
    <n v="1"/>
    <n v="30"/>
  </r>
  <r>
    <x v="5"/>
    <x v="5"/>
    <n v="5"/>
    <n v="50"/>
    <d v="2025-09-09T00:00:00"/>
    <d v="1899-12-30T09:00:00"/>
    <d v="2025-09-07T00:00:00"/>
    <d v="1899-12-30T20:50:00"/>
    <n v="5"/>
    <n v="5"/>
    <n v="45"/>
  </r>
  <r>
    <x v="0"/>
    <x v="6"/>
    <n v="1"/>
    <n v="60"/>
    <d v="2025-09-09T00:00:00"/>
    <d v="1899-12-30T09:00:00"/>
    <d v="2025-09-07T00:00:00"/>
    <d v="1899-12-30T22:00:00"/>
    <n v="50"/>
    <n v="1"/>
    <n v="10"/>
  </r>
  <r>
    <x v="2"/>
    <x v="7"/>
    <n v="1"/>
    <n v="60"/>
    <d v="2025-09-09T00:00:00"/>
    <d v="1899-12-30T09:00:00"/>
    <d v="2025-09-07T00:00:00"/>
    <d v="1899-12-30T22:00:00"/>
    <n v="50"/>
    <n v="1"/>
    <n v="10"/>
  </r>
  <r>
    <x v="3"/>
    <x v="8"/>
    <n v="1"/>
    <n v="60"/>
    <d v="2025-09-09T00:00:00"/>
    <d v="1899-12-30T09:00:00"/>
    <d v="2025-09-07T00:00:00"/>
    <d v="1899-12-30T22:00:00"/>
    <n v="50"/>
    <n v="1"/>
    <n v="10"/>
  </r>
  <r>
    <x v="4"/>
    <x v="9"/>
    <n v="1"/>
    <n v="60"/>
    <d v="2025-09-09T00:00:00"/>
    <d v="1899-12-30T09:00:00"/>
    <d v="2025-09-07T00:00:00"/>
    <d v="1899-12-30T22:00:00"/>
    <n v="50"/>
    <n v="1"/>
    <n v="10"/>
  </r>
  <r>
    <x v="1"/>
    <x v="10"/>
    <n v="1"/>
    <n v="60"/>
    <d v="2025-09-09T00:00:00"/>
    <d v="1899-12-30T09:00:00"/>
    <d v="2025-09-07T00:00:00"/>
    <d v="1899-12-30T22:00:00"/>
    <n v="50"/>
    <n v="1"/>
    <n v="10"/>
  </r>
  <r>
    <x v="5"/>
    <x v="11"/>
    <n v="1"/>
    <n v="60"/>
    <d v="2025-09-09T00:00:00"/>
    <d v="1899-12-30T09:00:00"/>
    <d v="2025-09-07T00:00:00"/>
    <d v="1899-12-30T22:00:00"/>
    <n v="50"/>
    <n v="1"/>
    <n v="10"/>
  </r>
  <r>
    <x v="3"/>
    <x v="3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45"/>
    <d v="2025-09-09T00:00:00"/>
    <d v="1899-12-30T09:00:00"/>
    <d v="2025-09-07T00:00:00"/>
    <d v="1899-12-30T22:30:00"/>
    <n v="-35"/>
    <n v="1"/>
    <n v="80"/>
  </r>
  <r>
    <x v="3"/>
    <x v="3"/>
    <n v="1"/>
    <n v="60"/>
    <d v="2025-09-09T00:00:00"/>
    <d v="1899-12-30T09:00:00"/>
    <d v="2025-09-07T00:00:00"/>
    <d v="1899-12-30T22:30:00"/>
    <n v="10"/>
    <n v="1"/>
    <n v="50"/>
  </r>
  <r>
    <x v="3"/>
    <x v="3"/>
    <n v="1"/>
    <n v="55"/>
    <d v="2025-09-09T00:00:00"/>
    <d v="1899-12-30T09:00:00"/>
    <d v="2025-09-07T00:00:00"/>
    <d v="1899-12-30T22:30:00"/>
    <n v="0"/>
    <n v="1"/>
    <n v="55"/>
  </r>
  <r>
    <x v="1"/>
    <x v="1"/>
    <n v="1"/>
    <n v="30"/>
    <d v="2025-09-09T00:00:00"/>
    <d v="1899-12-30T09:00:00"/>
    <d v="2025-09-07T00:00:00"/>
    <d v="1899-12-30T22:30:00"/>
    <n v="-2"/>
    <n v="1"/>
    <n v="32"/>
  </r>
  <r>
    <x v="2"/>
    <x v="2"/>
    <n v="1"/>
    <n v="30"/>
    <d v="2025-09-09T00:00:00"/>
    <d v="1899-12-30T09:00:00"/>
    <d v="2025-09-07T00:00:00"/>
    <d v="1899-12-30T22:30:00"/>
    <n v="-2"/>
    <n v="1"/>
    <n v="32"/>
  </r>
  <r>
    <x v="0"/>
    <x v="0"/>
    <n v="1"/>
    <n v="30"/>
    <d v="2025-09-09T00:00:00"/>
    <d v="1899-12-30T09:00:00"/>
    <d v="2025-09-07T00:00:00"/>
    <d v="1899-12-30T22:30:00"/>
    <n v="-2"/>
    <n v="1"/>
    <n v="32"/>
  </r>
  <r>
    <x v="3"/>
    <x v="3"/>
    <n v="1"/>
    <n v="30"/>
    <d v="2025-09-09T00:00:00"/>
    <d v="1899-12-30T09:00:00"/>
    <d v="2025-09-07T00:00:00"/>
    <d v="1899-12-30T22:30:00"/>
    <n v="-2"/>
    <n v="1"/>
    <n v="32"/>
  </r>
  <r>
    <x v="4"/>
    <x v="4"/>
    <n v="1"/>
    <n v="30"/>
    <d v="2025-09-09T00:00:00"/>
    <d v="1899-12-30T09:00:00"/>
    <d v="2025-09-07T00:00:00"/>
    <d v="1899-12-30T22:30:00"/>
    <n v="-2"/>
    <n v="1"/>
    <n v="32"/>
  </r>
  <r>
    <x v="5"/>
    <x v="5"/>
    <n v="1"/>
    <n v="30"/>
    <d v="2025-09-09T00:00:00"/>
    <d v="1899-12-30T09:00:00"/>
    <d v="2025-09-07T00:00:00"/>
    <d v="1899-12-30T22:30:00"/>
    <n v="-2"/>
    <n v="1"/>
    <n v="32"/>
  </r>
  <r>
    <x v="3"/>
    <x v="3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0"/>
    <s v="            LE"/>
    <n v="1"/>
    <n v="120"/>
    <d v="2025-08-13T00:00:00"/>
    <d v="1899-12-30T09:00:00"/>
    <d v="2025-08-10T00:00:00"/>
    <d v="1899-12-30T22:00:00"/>
    <n v="60"/>
    <n v="1"/>
    <n v="60"/>
  </r>
  <r>
    <x v="10"/>
    <s v="            LD"/>
    <n v="1"/>
    <n v="120"/>
    <d v="2025-08-13T00:00:00"/>
    <d v="1899-12-30T09:00:00"/>
    <d v="2025-08-10T00:00:00"/>
    <d v="1899-12-30T22:00:00"/>
    <n v="60"/>
    <n v="1"/>
    <n v="60"/>
  </r>
  <r>
    <x v="7"/>
    <s v="            LP"/>
    <n v="1"/>
    <n v="30"/>
    <d v="2025-08-13T00:00:00"/>
    <d v="1899-12-30T09:00:00"/>
    <d v="2025-08-10T00:00:00"/>
    <d v="1899-12-30T22:00:00"/>
    <n v="-30"/>
    <n v="1"/>
    <n v="60"/>
  </r>
  <r>
    <x v="8"/>
    <s v="            LA"/>
    <n v="1"/>
    <n v="30"/>
    <d v="2025-08-13T00:00:00"/>
    <d v="1899-12-30T09:00:00"/>
    <d v="2025-08-10T00:00:00"/>
    <d v="1899-12-30T21:00:00"/>
    <n v="-30"/>
    <n v="1"/>
    <n v="60"/>
  </r>
  <r>
    <x v="4"/>
    <s v="            LS"/>
    <n v="1"/>
    <n v="30"/>
    <d v="2025-08-13T00:00:00"/>
    <d v="1899-12-30T09:00:00"/>
    <d v="2025-08-10T00:00:00"/>
    <d v="1899-12-30T22:00:00"/>
    <n v="-90"/>
    <n v="1"/>
    <n v="120"/>
  </r>
  <r>
    <x v="9"/>
    <s v="            LC"/>
    <n v="1"/>
    <n v="30"/>
    <d v="2025-08-13T00:00:00"/>
    <d v="1899-12-30T09:00:00"/>
    <d v="2025-08-10T00:00:00"/>
    <d v="1899-12-30T11:10:00"/>
    <n v="5"/>
    <n v="1"/>
    <n v="25"/>
  </r>
  <r>
    <x v="11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  <r>
    <x v="12"/>
    <s v="LE"/>
    <n v="1"/>
    <n v="30"/>
    <d v="2025-08-27T00:00:00"/>
    <d v="1899-12-30T09:00:00"/>
    <d v="2025-08-21T00:00:00"/>
    <d v="1899-12-30T19:30:00"/>
    <n v="5"/>
    <n v="1"/>
    <n v="25"/>
  </r>
  <r>
    <x v="13"/>
    <s v="LA"/>
    <n v="1"/>
    <n v="30"/>
    <d v="2025-08-27T00:00:00"/>
    <d v="1899-12-30T09:00:00"/>
    <d v="2025-08-21T00:00:00"/>
    <d v="1899-12-30T19:30:00"/>
    <n v="5"/>
    <n v="1"/>
    <n v="25"/>
  </r>
  <r>
    <x v="7"/>
    <s v="LP"/>
    <n v="1"/>
    <n v="30"/>
    <d v="2025-08-13T00:00:00"/>
    <d v="1899-12-30T09:00:00"/>
    <d v="2025-08-21T00:00:00"/>
    <d v="1899-12-30T20:00:00"/>
    <n v="0"/>
    <n v="1"/>
    <n v="30"/>
  </r>
  <r>
    <x v="13"/>
    <s v="LA"/>
    <n v="3"/>
    <n v="60"/>
    <d v="2025-08-27T00:00:00"/>
    <d v="1899-12-30T09:00:00"/>
    <d v="2025-08-21T00:00:00"/>
    <d v="1899-12-30T20:30:00"/>
    <n v="0"/>
    <n v="3"/>
    <n v="60"/>
  </r>
  <r>
    <x v="0"/>
    <s v="LE"/>
    <n v="3"/>
    <n v="60"/>
    <d v="2025-08-27T00:00:00"/>
    <d v="1899-12-30T09:00:00"/>
    <d v="2025-08-21T00:00:00"/>
    <d v="1899-12-30T20:30:00"/>
    <n v="0"/>
    <n v="3"/>
    <n v="60"/>
  </r>
  <r>
    <x v="0"/>
    <s v="LE"/>
    <n v="1"/>
    <n v="30"/>
    <d v="2025-08-27T00:00:00"/>
    <d v="1899-12-30T09:00:00"/>
    <d v="2025-08-21T00:00:00"/>
    <d v="1899-12-30T21:00:00"/>
    <n v="0"/>
    <n v="1"/>
    <n v="30"/>
  </r>
  <r>
    <x v="13"/>
    <s v="LA"/>
    <n v="1"/>
    <n v="30"/>
    <d v="2025-08-27T00:00:00"/>
    <d v="1899-12-30T09:00:00"/>
    <d v="2025-08-21T00:00:00"/>
    <d v="1899-12-30T21:00:00"/>
    <n v="0"/>
    <n v="1"/>
    <n v="30"/>
  </r>
  <r>
    <x v="0"/>
    <s v="LE"/>
    <n v="1"/>
    <n v="20"/>
    <d v="2025-08-27T00:00:00"/>
    <d v="1899-12-30T09:00:00"/>
    <d v="2025-08-21T00:00:00"/>
    <d v="1899-12-30T21:20:00"/>
    <n v="0"/>
    <n v="1"/>
    <n v="20"/>
  </r>
  <r>
    <x v="13"/>
    <s v="LA"/>
    <n v="1"/>
    <n v="20"/>
    <d v="2025-08-27T00:00:00"/>
    <d v="1899-12-30T09:00:00"/>
    <d v="2025-08-21T00:00:00"/>
    <d v="1899-12-30T21:20:00"/>
    <n v="0"/>
    <n v="1"/>
    <n v="20"/>
  </r>
  <r>
    <x v="0"/>
    <s v="LE"/>
    <n v="1"/>
    <n v="20"/>
    <d v="2025-08-27T00:00:00"/>
    <d v="1899-12-30T09:00:00"/>
    <d v="2025-08-21T00:00:00"/>
    <d v="1899-12-30T21:40:00"/>
    <n v="2"/>
    <n v="1"/>
    <n v="18"/>
  </r>
  <r>
    <x v="13"/>
    <s v="LA"/>
    <n v="1"/>
    <n v="20"/>
    <d v="2025-08-27T00:00:00"/>
    <d v="1899-12-30T09:00:00"/>
    <d v="2025-08-21T00:00:00"/>
    <d v="1899-12-30T21:40:00"/>
    <n v="2"/>
    <n v="1"/>
    <n v="18"/>
  </r>
  <r>
    <x v="0"/>
    <s v="LE"/>
    <n v="1"/>
    <n v="20"/>
    <d v="2025-08-27T00:00:00"/>
    <d v="1899-12-30T09:00:00"/>
    <d v="2025-08-21T00:00:00"/>
    <d v="1899-12-30T22:00:00"/>
    <n v="1"/>
    <n v="1"/>
    <n v="19"/>
  </r>
  <r>
    <x v="2"/>
    <s v="LA"/>
    <n v="1"/>
    <n v="20"/>
    <d v="2025-08-27T00:00:00"/>
    <d v="1899-12-30T09:00:00"/>
    <d v="2025-08-21T00:00:00"/>
    <d v="1899-12-30T22:00:00"/>
    <n v="1"/>
    <n v="1"/>
    <n v="19"/>
  </r>
  <r>
    <x v="0"/>
    <s v="LE"/>
    <n v="1"/>
    <n v="30"/>
    <d v="2025-08-27T00:00:00"/>
    <d v="1899-12-30T09:00:00"/>
    <d v="2025-08-21T00:00:00"/>
    <d v="1899-12-30T22:30:00"/>
    <n v="5"/>
    <n v="1"/>
    <n v="25"/>
  </r>
  <r>
    <x v="2"/>
    <s v="LA"/>
    <n v="1"/>
    <n v="30"/>
    <d v="2025-08-27T00:00:00"/>
    <d v="1899-12-30T09:00:00"/>
    <d v="2025-08-21T00:00:00"/>
    <d v="1899-12-30T22:30:00"/>
    <n v="5"/>
    <n v="1"/>
    <n v="25"/>
  </r>
  <r>
    <x v="7"/>
    <s v="LP"/>
    <n v="1"/>
    <n v="30"/>
    <d v="2025-08-27T00:00:00"/>
    <d v="1899-12-30T09:00:00"/>
    <d v="2025-08-21T00:00:00"/>
    <d v="1899-12-30T19:30:00"/>
    <n v="6"/>
    <n v="1"/>
    <n v="24"/>
  </r>
  <r>
    <x v="10"/>
    <s v="LD"/>
    <n v="1"/>
    <n v="30"/>
    <d v="2025-08-27T00:00:00"/>
    <d v="1899-12-30T09:00:00"/>
    <d v="2025-08-21T00:00:00"/>
    <d v="1899-12-30T19:30:00"/>
    <n v="6"/>
    <n v="1"/>
    <n v="24"/>
  </r>
  <r>
    <x v="7"/>
    <s v="LP"/>
    <n v="1"/>
    <n v="60"/>
    <d v="2025-08-27T00:00:00"/>
    <d v="1899-12-30T09:00:00"/>
    <d v="2025-08-21T00:00:00"/>
    <d v="1899-12-30T20:30:00"/>
    <n v="15"/>
    <n v="1"/>
    <n v="45"/>
  </r>
  <r>
    <x v="10"/>
    <s v="LD"/>
    <n v="1"/>
    <n v="60"/>
    <d v="2025-08-27T00:00:00"/>
    <d v="1899-12-30T09:00:00"/>
    <d v="2025-08-21T00:00:00"/>
    <d v="1899-12-30T20:30:00"/>
    <n v="15"/>
    <n v="1"/>
    <n v="45"/>
  </r>
  <r>
    <x v="7"/>
    <s v="LP"/>
    <n v="1"/>
    <n v="30"/>
    <d v="2025-08-27T00:00:00"/>
    <d v="1899-12-30T09:00:00"/>
    <d v="2025-08-21T00:00:00"/>
    <d v="1899-12-30T21:00:00"/>
    <n v="10"/>
    <n v="1"/>
    <n v="20"/>
  </r>
  <r>
    <x v="10"/>
    <s v="LD"/>
    <n v="1"/>
    <n v="30"/>
    <d v="2025-08-27T00:00:00"/>
    <d v="1899-12-30T09:00:00"/>
    <d v="2025-08-21T00:00:00"/>
    <d v="1899-12-30T21:00:00"/>
    <n v="10"/>
    <n v="1"/>
    <n v="20"/>
  </r>
  <r>
    <x v="10"/>
    <s v=" LD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2:00:00"/>
    <n v="-2"/>
    <n v="1"/>
    <n v="32"/>
  </r>
  <r>
    <x v="10"/>
    <s v="LD"/>
    <n v="1"/>
    <n v="30"/>
    <d v="2025-08-27T00:00:00"/>
    <d v="1899-12-30T09:00:00"/>
    <d v="2025-08-21T00:00:00"/>
    <d v="1899-12-30T22:00:00"/>
    <n v="-2"/>
    <n v="1"/>
    <n v="32"/>
  </r>
  <r>
    <x v="9"/>
    <s v="LC"/>
    <n v="1"/>
    <n v="20"/>
    <d v="2025-08-27T00:00:00"/>
    <d v="1899-12-30T09:00:00"/>
    <d v="2025-08-21T00:00:00"/>
    <d v="1899-12-30T19:20:00"/>
    <n v="0"/>
    <n v="1"/>
    <n v="20"/>
  </r>
  <r>
    <x v="4"/>
    <s v="LS"/>
    <n v="1"/>
    <n v="20"/>
    <d v="2025-08-27T00:00:00"/>
    <d v="1899-12-30T09:00:00"/>
    <d v="2025-08-21T00:00:00"/>
    <d v="1899-12-30T19:20:00"/>
    <n v="0"/>
    <n v="1"/>
    <n v="20"/>
  </r>
  <r>
    <x v="9"/>
    <s v="LC"/>
    <n v="1"/>
    <n v="20"/>
    <d v="2025-08-27T00:00:00"/>
    <d v="1899-12-30T09:00:00"/>
    <d v="2025-08-21T00:00:00"/>
    <d v="1899-12-30T19:40:00"/>
    <n v="0"/>
    <n v="1"/>
    <n v="20"/>
  </r>
  <r>
    <x v="4"/>
    <s v="LS"/>
    <n v="1"/>
    <n v="20"/>
    <d v="2025-08-27T00:00:00"/>
    <d v="1899-12-30T09:00:00"/>
    <d v="2025-08-21T00:00:00"/>
    <d v="1899-12-30T19:40:00"/>
    <n v="0"/>
    <n v="1"/>
    <n v="20"/>
  </r>
  <r>
    <x v="9"/>
    <s v="LC"/>
    <n v="1"/>
    <n v="20"/>
    <d v="2025-08-27T00:00:00"/>
    <d v="1899-12-30T09:00:00"/>
    <d v="2025-08-21T00:00:00"/>
    <d v="1899-12-30T20:00:00"/>
    <n v="0"/>
    <n v="1"/>
    <n v="20"/>
  </r>
  <r>
    <x v="4"/>
    <s v="LS"/>
    <n v="1"/>
    <n v="20"/>
    <d v="2025-08-27T00:00:00"/>
    <d v="1899-12-30T09:00:00"/>
    <d v="2025-08-21T00:00:00"/>
    <d v="1899-12-30T20:00:00"/>
    <n v="0"/>
    <n v="1"/>
    <n v="20"/>
  </r>
  <r>
    <x v="9"/>
    <s v="LC"/>
    <n v="1"/>
    <n v="20"/>
    <d v="2025-08-27T00:00:00"/>
    <d v="1899-12-30T09:00:00"/>
    <d v="2025-08-21T00:00:00"/>
    <d v="1899-12-30T20:20:00"/>
    <n v="2"/>
    <n v="1"/>
    <n v="18"/>
  </r>
  <r>
    <x v="4"/>
    <s v="LS"/>
    <n v="1"/>
    <n v="20"/>
    <d v="2025-08-27T00:00:00"/>
    <d v="1899-12-30T09:00:00"/>
    <d v="2025-08-21T00:00:00"/>
    <d v="1899-12-30T20:20:00"/>
    <n v="2"/>
    <n v="1"/>
    <n v="18"/>
  </r>
  <r>
    <x v="9"/>
    <s v="LC"/>
    <n v="1"/>
    <n v="20"/>
    <d v="2025-08-27T00:00:00"/>
    <d v="1899-12-30T09:00:00"/>
    <d v="2025-08-21T00:00:00"/>
    <d v="1899-12-30T20:40:00"/>
    <n v="0"/>
    <n v="1"/>
    <n v="20"/>
  </r>
  <r>
    <x v="14"/>
    <s v="LS"/>
    <n v="1"/>
    <n v="20"/>
    <d v="2025-08-27T00:00:00"/>
    <d v="1899-12-30T09:00:00"/>
    <d v="2025-08-21T00:00:00"/>
    <d v="1899-12-30T20:40:00"/>
    <n v="0"/>
    <n v="1"/>
    <n v="20"/>
  </r>
  <r>
    <x v="9"/>
    <s v="LC"/>
    <n v="1"/>
    <n v="20"/>
    <d v="2025-08-27T00:00:00"/>
    <d v="1899-12-30T09:00:00"/>
    <d v="2025-08-21T00:00:00"/>
    <d v="1899-12-30T21:00:00"/>
    <n v="-1"/>
    <n v="1"/>
    <n v="21"/>
  </r>
  <r>
    <x v="4"/>
    <s v="LS"/>
    <n v="1"/>
    <n v="20"/>
    <d v="2025-08-27T00:00:00"/>
    <d v="1899-12-30T09:00:00"/>
    <d v="2025-08-21T00:00:00"/>
    <d v="1899-12-30T21:00:00"/>
    <n v="-1"/>
    <n v="1"/>
    <n v="21"/>
  </r>
  <r>
    <x v="9"/>
    <s v="LC"/>
    <n v="1"/>
    <n v="30"/>
    <d v="2025-08-27T00:00:00"/>
    <d v="1899-12-30T09:00:00"/>
    <d v="2025-08-21T00:00:00"/>
    <d v="1899-12-30T21:30:00"/>
    <n v="5"/>
    <n v="1"/>
    <n v="25"/>
  </r>
  <r>
    <x v="4"/>
    <s v="LS"/>
    <n v="1"/>
    <n v="30"/>
    <d v="2025-08-27T00:00:00"/>
    <d v="1899-12-30T09:00:00"/>
    <d v="2025-08-21T00:00:00"/>
    <d v="1899-12-30T21:30:00"/>
    <n v="5"/>
    <n v="1"/>
    <n v="25"/>
  </r>
  <r>
    <x v="9"/>
    <s v="LC"/>
    <n v="1"/>
    <n v="30"/>
    <d v="2025-08-27T00:00:00"/>
    <d v="1899-12-30T09:00:00"/>
    <d v="2025-08-21T00:00:00"/>
    <d v="1899-12-30T22:00:00"/>
    <n v="10"/>
    <n v="1"/>
    <n v="20"/>
  </r>
  <r>
    <x v="4"/>
    <s v="LS"/>
    <n v="1"/>
    <n v="30"/>
    <d v="2025-08-27T00:00:00"/>
    <d v="1899-12-30T09:00:00"/>
    <d v="2025-08-21T00:00:00"/>
    <d v="1899-12-30T22:00:00"/>
    <n v="10"/>
    <n v="1"/>
    <n v="20"/>
  </r>
  <r>
    <x v="7"/>
    <s v="           LP"/>
    <n v="1"/>
    <n v="60"/>
    <d v="2025-08-27T00:00:00"/>
    <d v="1899-12-30T09:00:00"/>
    <d v="2025-08-21T00:00:00"/>
    <d v="1899-12-30T22:00:00"/>
    <n v="50"/>
    <n v="1"/>
    <n v="10"/>
  </r>
  <r>
    <x v="4"/>
    <s v="           LS"/>
    <n v="1"/>
    <n v="60"/>
    <d v="2025-08-27T00:00:00"/>
    <d v="1899-12-30T09:00:00"/>
    <d v="2025-08-21T00:00:00"/>
    <d v="1899-12-30T22:00:00"/>
    <n v="50"/>
    <n v="1"/>
    <n v="10"/>
  </r>
  <r>
    <x v="0"/>
    <s v="           LE"/>
    <n v="1"/>
    <n v="60"/>
    <d v="2025-08-27T00:00:00"/>
    <d v="1899-12-30T09:00:00"/>
    <d v="2025-08-21T00:00:00"/>
    <d v="1899-12-30T22:00:00"/>
    <n v="50"/>
    <n v="1"/>
    <n v="10"/>
  </r>
  <r>
    <x v="2"/>
    <s v="           LA"/>
    <n v="1"/>
    <n v="60"/>
    <d v="2025-08-27T00:00:00"/>
    <d v="1899-12-30T09:00:00"/>
    <d v="2025-08-21T00:00:00"/>
    <d v="1899-12-30T22:00:00"/>
    <n v="50"/>
    <n v="1"/>
    <n v="10"/>
  </r>
  <r>
    <x v="9"/>
    <s v="           LC"/>
    <n v="1"/>
    <n v="60"/>
    <d v="2025-08-13T00:00:00"/>
    <d v="1899-12-30T09:00:00"/>
    <d v="2025-08-21T00:00:00"/>
    <d v="1899-12-30T22:00:00"/>
    <n v="50"/>
    <n v="1"/>
    <n v="10"/>
  </r>
  <r>
    <x v="10"/>
    <s v="           LD"/>
    <n v="1"/>
    <n v="60"/>
    <d v="2025-08-27T00:00:00"/>
    <d v="1899-12-30T09:00:00"/>
    <d v="2025-08-21T00:00:00"/>
    <d v="1899-12-30T22:00:00"/>
    <n v="50"/>
    <n v="1"/>
    <n v="10"/>
  </r>
  <r>
    <x v="0"/>
    <s v="LE"/>
    <n v="1"/>
    <n v="30"/>
    <d v="2025-08-27T00:00:00"/>
    <d v="1899-12-30T09:00:00"/>
    <d v="2025-08-21T00:00:00"/>
    <d v="1899-12-30T22:00:00"/>
    <n v="0"/>
    <n v="1"/>
    <n v="30"/>
  </r>
  <r>
    <x v="9"/>
    <s v="LC"/>
    <n v="1"/>
    <n v="30"/>
    <d v="2025-08-27T00:00:00"/>
    <d v="1899-12-30T09:00:00"/>
    <d v="2025-08-21T00:00:00"/>
    <d v="1899-12-30T22:00:00"/>
    <n v="0"/>
    <n v="1"/>
    <n v="30"/>
  </r>
  <r>
    <x v="9"/>
    <s v="           LC"/>
    <n v="1"/>
    <n v="45"/>
    <d v="2025-08-27T00:00:00"/>
    <d v="1899-12-30T09:00:00"/>
    <d v="2025-08-21T00:00:00"/>
    <d v="1899-12-30T22:30:00"/>
    <n v="-35"/>
    <n v="1"/>
    <n v="80"/>
  </r>
  <r>
    <x v="0"/>
    <s v="           LE"/>
    <n v="1"/>
    <n v="60"/>
    <d v="2025-08-27T00:00:00"/>
    <d v="1899-12-30T09:00:00"/>
    <d v="2025-08-21T00:00:00"/>
    <d v="1899-12-30T22:30:00"/>
    <n v="10"/>
    <n v="1"/>
    <n v="50"/>
  </r>
  <r>
    <x v="0"/>
    <s v="           LE"/>
    <n v="1"/>
    <n v="55"/>
    <d v="2025-08-27T00:00:00"/>
    <d v="1899-12-30T09:00:00"/>
    <d v="2025-08-21T00:00:00"/>
    <d v="1899-12-30T22:30:00"/>
    <n v="0"/>
    <n v="1"/>
    <n v="55"/>
  </r>
  <r>
    <x v="9"/>
    <s v="LC"/>
    <n v="1"/>
    <n v="30"/>
    <d v="2025-08-27T00:00:00"/>
    <d v="1899-12-30T09:00:00"/>
    <d v="2025-08-25T00:00:00"/>
    <d v="1899-12-30T22:30:00"/>
    <n v="-2"/>
    <n v="1"/>
    <n v="32"/>
  </r>
  <r>
    <x v="4"/>
    <s v="LS"/>
    <n v="1"/>
    <n v="30"/>
    <d v="2025-08-27T00:00:00"/>
    <d v="1899-12-30T09:00:00"/>
    <d v="2025-08-25T00:00:00"/>
    <d v="1899-12-30T22:30:00"/>
    <n v="-2"/>
    <n v="1"/>
    <n v="32"/>
  </r>
  <r>
    <x v="7"/>
    <s v="LP"/>
    <n v="1"/>
    <n v="30"/>
    <d v="2025-08-27T00:00:00"/>
    <d v="1899-12-30T09:00:00"/>
    <d v="2025-08-25T00:00:00"/>
    <d v="1899-12-30T22:30:00"/>
    <n v="-2"/>
    <n v="1"/>
    <n v="32"/>
  </r>
  <r>
    <x v="0"/>
    <s v="LE"/>
    <n v="1"/>
    <n v="30"/>
    <d v="2025-08-27T00:00:00"/>
    <d v="1899-12-30T09:00:00"/>
    <d v="2025-08-25T00:00:00"/>
    <d v="1899-12-30T22:30:00"/>
    <n v="-2"/>
    <n v="1"/>
    <n v="32"/>
  </r>
  <r>
    <x v="2"/>
    <s v="LA"/>
    <n v="1"/>
    <n v="30"/>
    <d v="2025-08-27T00:00:00"/>
    <d v="1899-12-30T09:00:00"/>
    <d v="2025-08-25T00:00:00"/>
    <d v="1899-12-30T22:30:00"/>
    <n v="-2"/>
    <n v="1"/>
    <n v="32"/>
  </r>
  <r>
    <x v="10"/>
    <s v="LD"/>
    <n v="1"/>
    <n v="30"/>
    <d v="2025-08-27T00:00:00"/>
    <d v="1899-12-30T09:00:00"/>
    <d v="2025-08-25T00:00:00"/>
    <d v="1899-12-30T22:30:00"/>
    <n v="-2"/>
    <n v="1"/>
    <n v="32"/>
  </r>
  <r>
    <x v="0"/>
    <s v="LE"/>
    <n v="3"/>
    <n v="20"/>
    <d v="2025-08-27T00:00:00"/>
    <d v="1899-12-30T09:00:00"/>
    <d v="2025-08-26T00:00:00"/>
    <d v="1899-12-30T14:00:00"/>
    <n v="5"/>
    <n v="3"/>
    <n v="15"/>
  </r>
  <r>
    <x v="7"/>
    <s v="LP"/>
    <n v="2"/>
    <n v="50"/>
    <d v="2025-09-03T00:00:00"/>
    <d v="1899-12-30T09:00:00"/>
    <d v="2025-09-02T00:00:00"/>
    <d v="1899-12-30T04:00:00"/>
    <n v="0"/>
    <n v="1"/>
    <n v="50"/>
  </r>
  <r>
    <x v="10"/>
    <s v="LD"/>
    <n v="2"/>
    <n v="50"/>
    <d v="2025-09-03T00:00:00"/>
    <d v="1899-12-30T09:00:00"/>
    <d v="2025-09-02T00:00:00"/>
    <d v="1899-12-30T04:00:00"/>
    <n v="0"/>
    <n v="1"/>
    <n v="50"/>
  </r>
  <r>
    <x v="0"/>
    <s v="LE"/>
    <n v="2"/>
    <n v="50"/>
    <d v="2025-09-03T00:00:00"/>
    <d v="1899-12-30T09:00:00"/>
    <d v="2025-09-02T00:00:00"/>
    <d v="1899-12-30T04:00:00"/>
    <n v="0"/>
    <n v="1"/>
    <n v="50"/>
  </r>
  <r>
    <x v="2"/>
    <s v="LA"/>
    <n v="2"/>
    <n v="50"/>
    <d v="2025-09-03T00:00:00"/>
    <d v="1899-12-30T09:00:00"/>
    <d v="2025-09-02T00:00:00"/>
    <d v="1899-12-30T04:00:00"/>
    <n v="0"/>
    <n v="1"/>
    <n v="50"/>
  </r>
  <r>
    <x v="9"/>
    <s v="LC"/>
    <n v="2"/>
    <n v="50"/>
    <d v="2025-09-03T00:00:00"/>
    <d v="1899-12-30T09:00:00"/>
    <d v="2025-09-02T00:00:00"/>
    <d v="1899-12-30T04:00:00"/>
    <n v="0"/>
    <n v="1"/>
    <n v="50"/>
  </r>
  <r>
    <x v="4"/>
    <s v="LS"/>
    <n v="2"/>
    <n v="50"/>
    <d v="2025-09-03T00:00:00"/>
    <d v="1899-12-30T09:00:00"/>
    <d v="2025-09-02T00:00:00"/>
    <d v="1899-12-30T04:00:00"/>
    <n v="0"/>
    <n v="1"/>
    <n v="50"/>
  </r>
  <r>
    <x v="7"/>
    <s v="LP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20"/>
    <d v="2025-09-03T00:00:00"/>
    <d v="1899-12-30T09:00:00"/>
    <d v="2025-09-02T00:00:00"/>
    <d v="1899-12-30T19:20:00"/>
    <n v="0"/>
    <n v="1"/>
    <n v="20"/>
  </r>
  <r>
    <x v="14"/>
    <s v="LS"/>
    <n v="1"/>
    <n v="20"/>
    <d v="2025-09-03T00:00:00"/>
    <d v="1899-12-30T09:00:00"/>
    <d v="2025-09-02T00:00:00"/>
    <d v="1899-12-30T19:20:00"/>
    <n v="0"/>
    <n v="1"/>
    <n v="20"/>
  </r>
  <r>
    <x v="10"/>
    <s v="LD"/>
    <n v="1"/>
    <n v="30"/>
    <d v="2025-09-03T00:00:00"/>
    <d v="1899-12-30T09:00:00"/>
    <d v="2025-09-02T00:00:00"/>
    <d v="1899-12-30T19:30:00"/>
    <n v="2"/>
    <n v="2"/>
    <n v="28"/>
  </r>
  <r>
    <x v="0"/>
    <s v="LE"/>
    <n v="1"/>
    <n v="30"/>
    <d v="2025-09-03T00:00:00"/>
    <d v="1899-12-30T09:00:00"/>
    <d v="2025-09-02T00:00:00"/>
    <d v="1899-12-30T19:30:00"/>
    <n v="0"/>
    <n v="2"/>
    <n v="30"/>
  </r>
  <r>
    <x v="7"/>
    <s v="LP"/>
    <n v="1"/>
    <n v="30"/>
    <d v="2025-09-03T00:00:00"/>
    <d v="1899-12-30T09:00:00"/>
    <d v="2025-09-02T00:00:00"/>
    <d v="1899-12-30T19:30:00"/>
    <n v="3"/>
    <n v="1"/>
    <n v="27"/>
  </r>
  <r>
    <x v="7"/>
    <s v="LP"/>
    <n v="1"/>
    <n v="30"/>
    <d v="2025-09-03T00:00:00"/>
    <d v="1899-12-30T09:00:00"/>
    <d v="2025-09-02T00:00:00"/>
    <d v="1899-12-30T20:00:00"/>
    <n v="2"/>
    <n v="1"/>
    <n v="28"/>
  </r>
  <r>
    <x v="7"/>
    <s v="LP"/>
    <n v="1"/>
    <n v="30"/>
    <d v="2025-09-03T00:00:00"/>
    <d v="1899-12-30T09:00:00"/>
    <d v="2025-09-02T00:00:00"/>
    <d v="1899-12-30T20:30:00"/>
    <n v="10"/>
    <n v="2"/>
    <n v="20"/>
  </r>
  <r>
    <x v="4"/>
    <s v="LS"/>
    <n v="1"/>
    <n v="30"/>
    <d v="2025-09-03T00:00:00"/>
    <d v="1899-12-30T09:00:00"/>
    <d v="2025-08-31T00:00:00"/>
    <d v="1899-12-30T19:00:00"/>
    <n v="5"/>
    <n v="2"/>
    <n v="25"/>
  </r>
  <r>
    <x v="2"/>
    <s v="LA"/>
    <n v="1"/>
    <n v="30"/>
    <d v="2025-09-03T00:00:00"/>
    <d v="1899-12-30T09:00:00"/>
    <d v="2025-08-31T00:00:00"/>
    <d v="1899-12-30T19:00:00"/>
    <n v="4"/>
    <n v="1"/>
    <n v="26"/>
  </r>
  <r>
    <x v="9"/>
    <s v="LC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30"/>
    <d v="2025-09-03T00:00:00"/>
    <d v="1899-12-30T09:00:00"/>
    <d v="2025-08-30T00:00:00"/>
    <d v="1899-12-30T19:30:00"/>
    <n v="2"/>
    <n v="1"/>
    <n v="28"/>
  </r>
  <r>
    <x v="9"/>
    <s v="LC"/>
    <n v="1"/>
    <n v="30"/>
    <d v="2025-09-03T00:00:00"/>
    <d v="1899-12-30T09:00:00"/>
    <d v="2025-08-30T00:00:00"/>
    <d v="1899-12-30T20:00:00"/>
    <n v="6"/>
    <n v="1"/>
    <n v="24"/>
  </r>
  <r>
    <x v="10"/>
    <s v="LD"/>
    <n v="1"/>
    <n v="30"/>
    <d v="2025-09-03T00:00:00"/>
    <d v="1899-12-30T09:00:00"/>
    <d v="2025-09-02T00:00:00"/>
    <d v="1899-12-30T20:00:00"/>
    <n v="0"/>
    <n v="1"/>
    <n v="30"/>
  </r>
  <r>
    <x v="10"/>
    <s v="LD"/>
    <n v="5"/>
    <n v="50"/>
    <d v="2025-09-03T00:00:00"/>
    <d v="1899-12-30T09:00:00"/>
    <d v="2025-09-02T00:00:00"/>
    <d v="1899-12-30T20:50:00"/>
    <n v="5"/>
    <n v="5"/>
    <n v="45"/>
  </r>
  <r>
    <x v="2"/>
    <s v="LA"/>
    <n v="1"/>
    <n v="30"/>
    <d v="2025-09-03T00:00:00"/>
    <d v="1899-12-30T09:00:00"/>
    <d v="2025-08-31T00:00:00"/>
    <d v="1899-12-30T19:30:00"/>
    <n v="8"/>
    <n v="1"/>
    <n v="22"/>
  </r>
  <r>
    <x v="0"/>
    <s v="LE"/>
    <n v="1"/>
    <n v="30"/>
    <d v="2025-09-03T00:00:00"/>
    <d v="1899-12-30T09:00:00"/>
    <d v="2025-09-02T00:00:00"/>
    <d v="1899-12-30T20:00:00"/>
    <n v="7"/>
    <n v="1"/>
    <n v="23"/>
  </r>
  <r>
    <x v="0"/>
    <s v="LE"/>
    <n v="1"/>
    <n v="40"/>
    <d v="2025-09-03T00:00:00"/>
    <d v="1899-12-30T09:00:00"/>
    <d v="2025-09-02T00:00:00"/>
    <d v="1899-12-30T20:40:00"/>
    <n v="9"/>
    <n v="2"/>
    <n v="31"/>
  </r>
  <r>
    <x v="2"/>
    <s v="LA"/>
    <n v="1"/>
    <n v="25"/>
    <d v="2025-09-03T00:00:00"/>
    <d v="1899-12-30T09:00:00"/>
    <d v="2025-08-31T00:00:00"/>
    <d v="1899-12-30T19:55:00"/>
    <n v="5"/>
    <n v="2"/>
    <n v="20"/>
  </r>
  <r>
    <x v="4"/>
    <s v="LS"/>
    <n v="1"/>
    <n v="20"/>
    <d v="2025-09-03T00:00:00"/>
    <d v="1899-12-30T09:00:00"/>
    <d v="2025-08-31T00:00:00"/>
    <d v="1899-12-30T19:20:00"/>
    <n v="0"/>
    <n v="1"/>
    <n v="20"/>
  </r>
  <r>
    <x v="4"/>
    <s v="LS"/>
    <n v="1"/>
    <n v="20"/>
    <d v="2025-09-03T00:00:00"/>
    <d v="1899-12-30T09:00:00"/>
    <d v="2025-08-31T00:00:00"/>
    <d v="1899-12-30T19:40:00"/>
    <n v="0"/>
    <n v="1"/>
    <n v="20"/>
  </r>
  <r>
    <x v="7"/>
    <s v="LP"/>
    <n v="1"/>
    <n v="30"/>
    <d v="2025-09-03T00:00:00"/>
    <d v="1899-12-30T09:00:00"/>
    <d v="2025-09-02T00:00:00"/>
    <d v="1899-12-30T21:00:00"/>
    <n v="5"/>
    <n v="1"/>
    <n v="25"/>
  </r>
  <r>
    <x v="4"/>
    <s v="LS"/>
    <n v="1"/>
    <n v="30"/>
    <d v="2025-09-03T00:00:00"/>
    <d v="1899-12-30T09:00:00"/>
    <d v="2025-08-31T00:00:00"/>
    <d v="1899-12-30T20:10:00"/>
    <n v="0"/>
    <n v="1"/>
    <n v="30"/>
  </r>
  <r>
    <x v="9"/>
    <s v="LC"/>
    <n v="1"/>
    <n v="30"/>
    <d v="2025-09-03T00:00:00"/>
    <d v="1899-12-30T09:00:00"/>
    <d v="2025-08-30T00:00:00"/>
    <d v="1899-12-30T20:30:00"/>
    <n v="5"/>
    <n v="1"/>
    <n v="25"/>
  </r>
  <r>
    <x v="0"/>
    <s v="LE"/>
    <n v="1"/>
    <n v="30"/>
    <d v="2025-09-03T00:00:00"/>
    <d v="1899-12-30T09:00:00"/>
    <d v="2025-09-02T00:00:00"/>
    <d v="1899-12-30T21:10:00"/>
    <n v="6"/>
    <n v="1"/>
    <n v="24"/>
  </r>
  <r>
    <x v="2"/>
    <s v="LA"/>
    <n v="1"/>
    <n v="30"/>
    <d v="2025-09-03T00:00:00"/>
    <d v="1899-12-30T09:00:00"/>
    <d v="2025-08-31T00:00:00"/>
    <d v="1899-12-30T20:25:00"/>
    <n v="7"/>
    <n v="1"/>
    <n v="23"/>
  </r>
  <r>
    <x v="10"/>
    <s v="LD"/>
    <n v="1"/>
    <n v="30"/>
    <d v="2025-09-03T00:00:00"/>
    <d v="1899-12-30T09:00:00"/>
    <d v="2025-09-02T00:00:00"/>
    <d v="1899-12-30T21:20:00"/>
    <n v="4"/>
    <n v="1"/>
    <n v="26"/>
  </r>
  <r>
    <x v="10"/>
    <s v="LD"/>
    <n v="1"/>
    <n v="60"/>
    <d v="2025-09-03T00:00:00"/>
    <d v="1899-12-30T09:00:00"/>
    <d v="2025-09-02T00:00:00"/>
    <d v="1899-12-30T22:20:00"/>
    <n v="-2"/>
    <n v="1"/>
    <n v="62"/>
  </r>
  <r>
    <x v="7"/>
    <s v="           LP"/>
    <n v="1"/>
    <n v="60"/>
    <d v="2025-09-03T00:00:00"/>
    <d v="1899-12-30T09:00:00"/>
    <d v="2025-09-02T00:00:00"/>
    <d v="1899-12-30T22:00:00"/>
    <n v="50"/>
    <n v="1"/>
    <n v="10"/>
  </r>
  <r>
    <x v="4"/>
    <s v="           LS"/>
    <n v="1"/>
    <n v="60"/>
    <d v="2025-09-03T00:00:00"/>
    <d v="1899-12-30T09:00:00"/>
    <d v="2025-09-02T00:00:00"/>
    <d v="1899-12-30T22:00:00"/>
    <n v="50"/>
    <n v="1"/>
    <n v="10"/>
  </r>
  <r>
    <x v="0"/>
    <s v="           LE"/>
    <n v="1"/>
    <n v="60"/>
    <d v="2025-09-03T00:00:00"/>
    <d v="1899-12-30T09:00:00"/>
    <d v="2025-09-02T00:00:00"/>
    <d v="1899-12-30T22:00:00"/>
    <n v="50"/>
    <n v="1"/>
    <n v="10"/>
  </r>
  <r>
    <x v="2"/>
    <s v="           LA"/>
    <n v="1"/>
    <n v="60"/>
    <d v="2025-09-03T00:00:00"/>
    <d v="1899-12-30T09:00:00"/>
    <d v="2025-09-02T00:00:00"/>
    <d v="1899-12-30T22:00:00"/>
    <n v="50"/>
    <n v="1"/>
    <n v="10"/>
  </r>
  <r>
    <x v="9"/>
    <s v="           LC"/>
    <n v="1"/>
    <n v="60"/>
    <d v="2025-09-03T00:00:00"/>
    <d v="1899-12-30T09:00:00"/>
    <d v="2025-09-02T00:00:00"/>
    <d v="1899-12-30T22:00:00"/>
    <n v="50"/>
    <n v="1"/>
    <n v="10"/>
  </r>
  <r>
    <x v="10"/>
    <s v="           LD"/>
    <n v="1"/>
    <n v="60"/>
    <d v="2025-09-03T00:00:00"/>
    <d v="1899-12-30T09:00:00"/>
    <d v="2025-09-02T00:00:00"/>
    <d v="1899-12-30T22:00:00"/>
    <n v="50"/>
    <n v="1"/>
    <n v="10"/>
  </r>
  <r>
    <x v="0"/>
    <s v="LE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45"/>
    <d v="2025-09-03T00:00:00"/>
    <d v="1899-12-30T09:00:00"/>
    <d v="2025-09-02T00:00:00"/>
    <d v="1899-12-30T22:30:00"/>
    <n v="-35"/>
    <n v="1"/>
    <n v="80"/>
  </r>
  <r>
    <x v="0"/>
    <s v="LE"/>
    <n v="1"/>
    <n v="60"/>
    <d v="2025-09-03T00:00:00"/>
    <d v="1899-12-30T09:00:00"/>
    <d v="2025-09-02T00:00:00"/>
    <d v="1899-12-30T22:30:00"/>
    <n v="10"/>
    <n v="1"/>
    <n v="50"/>
  </r>
  <r>
    <x v="0"/>
    <s v="LE"/>
    <n v="1"/>
    <n v="55"/>
    <d v="2025-09-03T00:00:00"/>
    <d v="1899-12-30T09:00:00"/>
    <d v="2025-09-02T00:00:00"/>
    <d v="1899-12-30T22:30:00"/>
    <n v="0"/>
    <n v="1"/>
    <n v="55"/>
  </r>
  <r>
    <x v="9"/>
    <s v="LC"/>
    <n v="1"/>
    <n v="30"/>
    <d v="2025-09-03T00:00:00"/>
    <d v="1899-12-30T09:00:00"/>
    <d v="2025-09-02T00:00:00"/>
    <d v="1899-12-30T22:30:00"/>
    <n v="-2"/>
    <n v="1"/>
    <n v="32"/>
  </r>
  <r>
    <x v="4"/>
    <s v="LS"/>
    <n v="1"/>
    <n v="30"/>
    <d v="2025-09-03T00:00:00"/>
    <d v="1899-12-30T09:00:00"/>
    <d v="2025-09-02T00:00:00"/>
    <d v="1899-12-30T22:30:00"/>
    <n v="-2"/>
    <n v="1"/>
    <n v="32"/>
  </r>
  <r>
    <x v="7"/>
    <s v="LP"/>
    <n v="1"/>
    <n v="30"/>
    <d v="2025-09-03T00:00:00"/>
    <d v="1899-12-30T09:00:00"/>
    <d v="2025-09-02T00:00:00"/>
    <d v="1899-12-30T22:30:00"/>
    <n v="-2"/>
    <n v="1"/>
    <n v="32"/>
  </r>
  <r>
    <x v="0"/>
    <s v="LE"/>
    <n v="1"/>
    <n v="30"/>
    <d v="2025-09-03T00:00:00"/>
    <d v="1899-12-30T09:00:00"/>
    <d v="2025-09-02T00:00:00"/>
    <d v="1899-12-30T22:30:00"/>
    <n v="-2"/>
    <n v="1"/>
    <n v="32"/>
  </r>
  <r>
    <x v="2"/>
    <s v="LA"/>
    <n v="1"/>
    <n v="30"/>
    <d v="2025-09-03T00:00:00"/>
    <d v="1899-12-30T09:00:00"/>
    <d v="2025-09-02T00:00:00"/>
    <d v="1899-12-30T22:30:00"/>
    <n v="-2"/>
    <n v="1"/>
    <n v="32"/>
  </r>
  <r>
    <x v="10"/>
    <s v="LD"/>
    <n v="1"/>
    <n v="30"/>
    <d v="2025-09-03T00:00:00"/>
    <d v="1899-12-30T09:00:00"/>
    <d v="2025-09-02T00:00:00"/>
    <d v="1899-12-30T22:30:00"/>
    <n v="-2"/>
    <n v="1"/>
    <n v="32"/>
  </r>
  <r>
    <x v="0"/>
    <s v="LE"/>
    <n v="3"/>
    <n v="20"/>
    <d v="2025-09-03T00:00:00"/>
    <d v="1899-12-30T09:00:00"/>
    <d v="2025-09-02T00:00:00"/>
    <d v="1899-12-30T14:00:00"/>
    <n v="5"/>
    <n v="3"/>
    <n v="15"/>
  </r>
  <r>
    <x v="7"/>
    <s v="LP"/>
    <n v="1"/>
    <n v="30"/>
    <d v="2025-09-09T00:00:00"/>
    <d v="1899-12-30T09:00:00"/>
    <d v="2025-09-05T00:00:00"/>
    <d v="1899-12-30T11:00:00"/>
    <n v="0"/>
    <n v="1"/>
    <n v="30"/>
  </r>
  <r>
    <x v="9"/>
    <s v="LC"/>
    <n v="1"/>
    <n v="30"/>
    <d v="2025-09-09T00:00:00"/>
    <d v="1899-12-30T09:00:00"/>
    <d v="2025-09-05T00:00:00"/>
    <d v="1899-12-30T19:00:00"/>
    <n v="0"/>
    <n v="1"/>
    <n v="30"/>
  </r>
  <r>
    <x v="9"/>
    <s v="LC"/>
    <n v="2"/>
    <n v="30"/>
    <d v="2025-09-09T00:00:00"/>
    <d v="1899-12-30T09:00:00"/>
    <d v="2025-09-07T00:00:00"/>
    <d v="1899-12-30T12:30:00"/>
    <n v="0"/>
    <n v="2"/>
    <n v="30"/>
  </r>
  <r>
    <x v="4"/>
    <s v="LS"/>
    <n v="2"/>
    <n v="30"/>
    <d v="2025-09-09T00:00:00"/>
    <d v="1899-12-30T09:00:00"/>
    <d v="2025-09-07T00:00:00"/>
    <d v="1899-12-30T13:00:00"/>
    <n v="0"/>
    <n v="2"/>
    <n v="30"/>
  </r>
  <r>
    <x v="9"/>
    <s v="LC"/>
    <n v="1"/>
    <n v="30"/>
    <d v="2025-09-09T00:00:00"/>
    <d v="1899-12-30T09:00:00"/>
    <d v="2025-09-07T00:00:00"/>
    <d v="1899-12-30T13:3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2"/>
    <n v="30"/>
  </r>
  <r>
    <x v="4"/>
    <s v="LS"/>
    <n v="2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1"/>
    <n v="30"/>
  </r>
  <r>
    <x v="4"/>
    <s v="LS"/>
    <n v="2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3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1"/>
    <n v="30"/>
    <d v="2025-09-09T00:00:00"/>
    <d v="1899-12-30T09:00:00"/>
    <d v="2025-09-07T00:00:00"/>
    <d v="1899-12-30T14:00:00"/>
    <n v="0"/>
    <n v="2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-1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0"/>
    <n v="1"/>
    <n v="20"/>
  </r>
  <r>
    <x v="9"/>
    <s v="LC"/>
    <n v="1"/>
    <n v="20"/>
    <d v="2025-09-09T00:00:00"/>
    <d v="1899-12-30T09:00:00"/>
    <d v="2025-09-07T00:00:00"/>
    <d v="1899-12-30T14:00:00"/>
    <n v="1"/>
    <n v="2"/>
    <n v="19"/>
  </r>
  <r>
    <x v="4"/>
    <s v="LS"/>
    <n v="1"/>
    <n v="20"/>
    <d v="2025-09-09T00:00:00"/>
    <d v="1899-12-30T09:00:00"/>
    <d v="2025-09-07T00:00:00"/>
    <d v="1899-12-30T14:00:00"/>
    <n v="0"/>
    <n v="2"/>
    <n v="20"/>
  </r>
  <r>
    <x v="9"/>
    <s v="LC"/>
    <n v="1"/>
    <n v="15"/>
    <d v="2025-09-09T00:00:00"/>
    <d v="1899-12-30T09:00:00"/>
    <d v="2025-09-07T00:00:00"/>
    <d v="1899-12-30T14:00:00"/>
    <n v="5"/>
    <n v="1"/>
    <n v="10"/>
  </r>
  <r>
    <x v="4"/>
    <s v="LS"/>
    <n v="1"/>
    <n v="15"/>
    <d v="2025-09-09T00:00:00"/>
    <d v="1899-12-30T09:00:00"/>
    <d v="2025-09-07T00:00:00"/>
    <d v="1899-12-30T14:00:00"/>
    <n v="5"/>
    <n v="1"/>
    <n v="10"/>
  </r>
  <r>
    <x v="9"/>
    <s v="LC"/>
    <n v="1"/>
    <n v="20"/>
    <d v="2025-09-09T00:00:00"/>
    <d v="1899-12-30T09:00:00"/>
    <d v="2025-09-07T00:00:00"/>
    <d v="1899-12-30T14:00:00"/>
    <n v="10"/>
    <n v="1"/>
    <n v="10"/>
  </r>
  <r>
    <x v="4"/>
    <s v="LS"/>
    <n v="1"/>
    <n v="20"/>
    <d v="2025-09-09T00:00:00"/>
    <d v="1899-12-30T09:00:00"/>
    <d v="2025-09-07T00:00:00"/>
    <d v="1899-12-30T14:00:00"/>
    <n v="10"/>
    <n v="1"/>
    <n v="10"/>
  </r>
  <r>
    <x v="0"/>
    <s v="LE"/>
    <n v="1"/>
    <n v="55"/>
    <d v="2025-09-09T00:00:00"/>
    <d v="1899-12-30T09:00:00"/>
    <d v="2025-09-06T00:00:00"/>
    <d v="1899-12-30T08:30:00"/>
    <n v="-5"/>
    <n v="2"/>
    <n v="60"/>
  </r>
  <r>
    <x v="2"/>
    <s v="LA"/>
    <n v="1"/>
    <n v="55"/>
    <d v="2025-09-09T00:00:00"/>
    <d v="1899-12-30T09:00:00"/>
    <d v="2025-09-06T00:00:00"/>
    <d v="1899-12-30T09:30:00"/>
    <n v="-5"/>
    <n v="1"/>
    <n v="60"/>
  </r>
  <r>
    <x v="0"/>
    <s v="LE"/>
    <n v="1"/>
    <n v="60"/>
    <d v="2025-09-09T00:00:00"/>
    <d v="1899-12-30T09:00:00"/>
    <d v="2025-09-06T00:00:00"/>
    <d v="1899-12-30T10:30:00"/>
    <n v="0"/>
    <n v="3"/>
    <n v="60"/>
  </r>
  <r>
    <x v="2"/>
    <s v="LA"/>
    <n v="1"/>
    <n v="60"/>
    <d v="2025-09-09T00:00:00"/>
    <d v="1899-12-30T09:00:00"/>
    <d v="2025-09-06T00:00:00"/>
    <d v="1899-12-30T11:30:00"/>
    <n v="0"/>
    <n v="1"/>
    <n v="60"/>
  </r>
  <r>
    <x v="0"/>
    <s v="LE"/>
    <n v="1"/>
    <n v="30"/>
    <d v="2025-09-09T00:00:00"/>
    <d v="1899-12-30T09:00:00"/>
    <d v="2025-09-06T00:00:00"/>
    <d v="1899-12-30T12:00:00"/>
    <n v="0"/>
    <n v="1"/>
    <n v="30"/>
  </r>
  <r>
    <x v="2"/>
    <s v="LA"/>
    <n v="1"/>
    <n v="30"/>
    <d v="2025-09-09T00:00:00"/>
    <d v="1899-12-30T09:00:00"/>
    <d v="2025-09-06T00:00:00"/>
    <d v="1899-12-30T12:30:00"/>
    <n v="2"/>
    <n v="1"/>
    <n v="28"/>
  </r>
  <r>
    <x v="0"/>
    <s v="LE"/>
    <n v="1"/>
    <n v="30"/>
    <d v="2025-09-09T00:00:00"/>
    <d v="1899-12-30T09:00:00"/>
    <d v="2025-09-06T00:00:00"/>
    <d v="1899-12-30T13:00:00"/>
    <n v="0"/>
    <n v="1"/>
    <n v="30"/>
  </r>
  <r>
    <x v="2"/>
    <s v="LA"/>
    <n v="1"/>
    <n v="30"/>
    <d v="2025-09-09T00:00:00"/>
    <d v="1899-12-30T09:00:00"/>
    <d v="2025-09-06T00:00:00"/>
    <d v="1899-12-30T13:30:00"/>
    <n v="1"/>
    <n v="1"/>
    <n v="29"/>
  </r>
  <r>
    <x v="0"/>
    <s v="LE"/>
    <n v="1"/>
    <n v="30"/>
    <d v="2025-09-09T00:00:00"/>
    <d v="1899-12-30T09:00:00"/>
    <d v="2025-09-06T00:00:00"/>
    <d v="1899-12-30T14:00:00"/>
    <n v="0"/>
    <n v="1"/>
    <n v="30"/>
  </r>
  <r>
    <x v="2"/>
    <s v="LA"/>
    <n v="1"/>
    <n v="30"/>
    <d v="2025-09-09T00:00:00"/>
    <d v="1899-12-30T09:00:00"/>
    <d v="2025-09-06T00:00:00"/>
    <d v="1899-12-30T14:00:00"/>
    <n v="0"/>
    <n v="1"/>
    <n v="30"/>
  </r>
  <r>
    <x v="0"/>
    <s v="LE"/>
    <n v="1"/>
    <n v="30"/>
    <d v="2025-09-09T00:00:00"/>
    <d v="1899-12-30T09:00:00"/>
    <d v="2025-09-06T00:00:00"/>
    <d v="1899-12-30T14:30:00"/>
    <n v="0"/>
    <n v="1"/>
    <n v="30"/>
  </r>
  <r>
    <x v="2"/>
    <s v="LA"/>
    <n v="1"/>
    <n v="30"/>
    <d v="2025-09-09T00:00:00"/>
    <d v="1899-12-30T09:00:00"/>
    <d v="2025-09-06T00:00:00"/>
    <d v="1899-12-30T14:30:00"/>
    <n v="5"/>
    <n v="1"/>
    <n v="25"/>
  </r>
  <r>
    <x v="0"/>
    <s v="LE"/>
    <n v="1"/>
    <n v="30"/>
    <d v="2025-09-09T00:00:00"/>
    <d v="1899-12-30T09:00:00"/>
    <d v="2025-09-06T00:00:00"/>
    <d v="1899-12-30T15:00:00"/>
    <n v="5"/>
    <n v="1"/>
    <n v="25"/>
  </r>
  <r>
    <x v="2"/>
    <s v="LA"/>
    <n v="1"/>
    <n v="30"/>
    <d v="2025-09-09T00:00:00"/>
    <d v="1899-12-30T09:00:00"/>
    <d v="2025-09-06T00:00:00"/>
    <d v="1899-12-30T15:00:00"/>
    <n v="0"/>
    <n v="1"/>
    <n v="30"/>
  </r>
  <r>
    <x v="0"/>
    <s v="LE"/>
    <n v="1"/>
    <n v="30"/>
    <d v="2025-09-09T00:00:00"/>
    <d v="1899-12-30T09:00:00"/>
    <d v="2025-09-06T00:00:00"/>
    <d v="1899-12-30T15:30:00"/>
    <n v="0"/>
    <n v="1"/>
    <n v="30"/>
  </r>
  <r>
    <x v="2"/>
    <s v="LA"/>
    <n v="1"/>
    <n v="30"/>
    <d v="2025-09-09T00:00:00"/>
    <d v="1899-12-30T09:00:00"/>
    <d v="2025-09-06T00:00:00"/>
    <d v="1899-12-30T15:30:00"/>
    <n v="0"/>
    <n v="1"/>
    <n v="30"/>
  </r>
  <r>
    <x v="0"/>
    <s v="LE"/>
    <n v="2"/>
    <n v="60"/>
    <d v="2025-09-09T00:00:00"/>
    <d v="1899-12-30T09:00:00"/>
    <d v="2025-09-06T00:00:00"/>
    <d v="1899-12-30T16:00:00"/>
    <n v="35"/>
    <n v="1"/>
    <n v="25"/>
  </r>
  <r>
    <x v="2"/>
    <s v="LA"/>
    <n v="2"/>
    <n v="60"/>
    <d v="2025-09-09T00:00:00"/>
    <d v="1899-12-30T09:00:00"/>
    <d v="2025-09-06T00:00:00"/>
    <d v="1899-12-30T16:00:00"/>
    <n v="35"/>
    <n v="1"/>
    <n v="25"/>
  </r>
  <r>
    <x v="0"/>
    <s v="LE"/>
    <n v="2"/>
    <n v="60"/>
    <d v="2025-09-09T00:00:00"/>
    <d v="1899-12-30T09:00:00"/>
    <d v="2025-09-06T00:00:00"/>
    <d v="1899-12-30T17:00:00"/>
    <n v="38"/>
    <n v="1"/>
    <n v="22"/>
  </r>
  <r>
    <x v="2"/>
    <s v="LA"/>
    <n v="2"/>
    <n v="60"/>
    <d v="2025-09-09T00:00:00"/>
    <d v="1899-12-30T09:00:00"/>
    <d v="2025-09-06T00:00:00"/>
    <d v="1899-12-30T18:00:00"/>
    <n v="38"/>
    <n v="2"/>
    <n v="22"/>
  </r>
  <r>
    <x v="0"/>
    <s v="LE"/>
    <n v="2"/>
    <n v="60"/>
    <d v="2025-09-09T00:00:00"/>
    <d v="1899-12-30T09:00:00"/>
    <d v="2025-09-06T00:00:00"/>
    <d v="1899-12-30T19:00:00"/>
    <n v="39"/>
    <n v="2"/>
    <n v="21"/>
  </r>
  <r>
    <x v="2"/>
    <s v="LA"/>
    <n v="2"/>
    <n v="60"/>
    <d v="2025-09-09T00:00:00"/>
    <d v="1899-12-30T09:00:00"/>
    <d v="2025-09-06T00:00:00"/>
    <d v="1899-12-30T20:00:00"/>
    <n v="39"/>
    <n v="2"/>
    <n v="21"/>
  </r>
  <r>
    <x v="7"/>
    <s v="LP"/>
    <n v="1"/>
    <n v="30"/>
    <d v="2025-09-09T00:00:00"/>
    <d v="1899-12-30T09:00:00"/>
    <d v="2025-09-07T00:00:00"/>
    <d v="1899-12-30T12:00:00"/>
    <n v="0"/>
    <n v="2"/>
    <n v="30"/>
  </r>
  <r>
    <x v="10"/>
    <s v="LD"/>
    <n v="1"/>
    <n v="30"/>
    <d v="2025-09-09T00:00:00"/>
    <d v="1899-12-30T09:00:00"/>
    <d v="2025-09-07T00:00:00"/>
    <d v="1899-12-30T12:30:00"/>
    <n v="0"/>
    <n v="2"/>
    <n v="30"/>
  </r>
  <r>
    <x v="7"/>
    <s v="LP"/>
    <n v="1"/>
    <n v="30"/>
    <d v="2025-09-09T00:00:00"/>
    <d v="1899-12-30T09:00:00"/>
    <d v="2025-09-07T00:00:00"/>
    <d v="1899-12-30T13:00:00"/>
    <n v="0"/>
    <n v="2"/>
    <n v="30"/>
  </r>
  <r>
    <x v="10"/>
    <s v="LD"/>
    <n v="1"/>
    <n v="30"/>
    <d v="2025-09-09T00:00:00"/>
    <d v="1899-12-30T09:00:00"/>
    <d v="2025-09-07T00:00:00"/>
    <d v="1899-12-30T13:30:00"/>
    <n v="0"/>
    <n v="1"/>
    <n v="30"/>
  </r>
  <r>
    <x v="7"/>
    <s v="LP"/>
    <n v="1"/>
    <n v="30"/>
    <d v="2025-09-09T00:00:00"/>
    <d v="1899-12-30T09:00:00"/>
    <d v="2025-09-07T00:00:00"/>
    <d v="1899-12-30T14:00:00"/>
    <n v="-5"/>
    <n v="1"/>
    <n v="35"/>
  </r>
  <r>
    <x v="10"/>
    <s v="LD"/>
    <n v="1"/>
    <n v="30"/>
    <d v="2025-09-09T00:00:00"/>
    <d v="1899-12-30T09:00:00"/>
    <d v="2025-09-07T00:00:00"/>
    <d v="1899-12-30T14:30:00"/>
    <n v="6"/>
    <n v="1"/>
    <n v="24"/>
  </r>
  <r>
    <x v="7"/>
    <s v="LP"/>
    <n v="2"/>
    <n v="20"/>
    <d v="2025-09-09T00:00:00"/>
    <d v="1899-12-30T09:00:00"/>
    <d v="2025-09-07T00:00:00"/>
    <d v="1899-12-30T15:00:00"/>
    <n v="0"/>
    <n v="1"/>
    <n v="20"/>
  </r>
  <r>
    <x v="10"/>
    <s v="LD"/>
    <n v="2"/>
    <n v="20"/>
    <d v="2025-09-09T00:00:00"/>
    <d v="1899-12-30T09:00:00"/>
    <d v="2025-09-07T00:00:00"/>
    <d v="1899-12-30T15:20:00"/>
    <n v="0"/>
    <n v="1"/>
    <n v="20"/>
  </r>
  <r>
    <x v="7"/>
    <s v="LP"/>
    <n v="1"/>
    <n v="20"/>
    <d v="2025-09-09T00:00:00"/>
    <d v="1899-12-30T09:00:00"/>
    <d v="2025-09-07T00:00:00"/>
    <d v="1899-12-30T15:40:00"/>
    <n v="0"/>
    <n v="1"/>
    <n v="20"/>
  </r>
  <r>
    <x v="10"/>
    <s v="LD"/>
    <n v="1"/>
    <n v="20"/>
    <d v="2025-09-09T00:00:00"/>
    <d v="1899-12-30T09:00:00"/>
    <d v="2025-09-07T00:00:00"/>
    <d v="1899-12-30T16:00:00"/>
    <n v="-5"/>
    <n v="1"/>
    <n v="25"/>
  </r>
  <r>
    <x v="7"/>
    <s v="LP"/>
    <n v="1"/>
    <n v="20"/>
    <d v="2025-09-09T00:00:00"/>
    <d v="1899-12-30T09:00:00"/>
    <d v="2025-09-07T00:00:00"/>
    <d v="1899-12-30T16:20:00"/>
    <n v="-5"/>
    <n v="1"/>
    <n v="25"/>
  </r>
  <r>
    <x v="10"/>
    <s v="LD"/>
    <n v="1"/>
    <n v="20"/>
    <d v="2025-09-09T00:00:00"/>
    <d v="1899-12-30T09:00:00"/>
    <d v="2025-09-07T00:00:00"/>
    <d v="1899-12-30T16:40:00"/>
    <n v="5"/>
    <n v="1"/>
    <n v="15"/>
  </r>
  <r>
    <x v="7"/>
    <s v="LP"/>
    <n v="1"/>
    <n v="20"/>
    <d v="2025-09-09T00:00:00"/>
    <d v="1899-12-30T09:00:00"/>
    <d v="2025-09-07T00:00:00"/>
    <d v="1899-12-30T17:00:00"/>
    <n v="10"/>
    <n v="1"/>
    <n v="10"/>
  </r>
  <r>
    <x v="10"/>
    <s v="LD"/>
    <n v="1"/>
    <n v="20"/>
    <d v="2025-09-09T00:00:00"/>
    <d v="1899-12-30T09:00:00"/>
    <d v="2025-09-07T00:00:00"/>
    <d v="1899-12-30T17:20:00"/>
    <n v="10"/>
    <n v="1"/>
    <n v="10"/>
  </r>
  <r>
    <x v="7"/>
    <s v="LP"/>
    <n v="1"/>
    <n v="20"/>
    <d v="2025-09-09T00:00:00"/>
    <d v="1899-12-30T09:00:00"/>
    <d v="2025-09-07T00:00:00"/>
    <d v="1899-12-30T17:40:00"/>
    <n v="10"/>
    <n v="1"/>
    <n v="10"/>
  </r>
  <r>
    <x v="10"/>
    <s v="LD"/>
    <n v="1"/>
    <n v="20"/>
    <d v="2025-09-09T00:00:00"/>
    <d v="1899-12-30T09:00:00"/>
    <d v="2025-09-07T00:00:00"/>
    <d v="1899-12-30T18:00:00"/>
    <n v="5"/>
    <n v="1"/>
    <n v="15"/>
  </r>
  <r>
    <x v="7"/>
    <s v="LP"/>
    <n v="1"/>
    <n v="10"/>
    <d v="2025-09-09T00:00:00"/>
    <d v="1899-12-30T09:00:00"/>
    <d v="2025-09-07T00:00:00"/>
    <d v="1899-12-30T18:10:00"/>
    <n v="0"/>
    <n v="1"/>
    <n v="10"/>
  </r>
  <r>
    <x v="10"/>
    <s v="LD"/>
    <n v="1"/>
    <n v="10"/>
    <d v="2025-09-09T00:00:00"/>
    <d v="1899-12-30T09:00:00"/>
    <d v="2025-09-07T00:00:00"/>
    <d v="1899-12-30T18:20:00"/>
    <n v="0"/>
    <n v="1"/>
    <n v="10"/>
  </r>
  <r>
    <x v="9"/>
    <s v="LC"/>
    <n v="1"/>
    <n v="20"/>
    <d v="2025-09-09T00:00:00"/>
    <d v="1899-12-30T09:00:00"/>
    <d v="2025-09-07T00:00:00"/>
    <d v="1899-12-30T19:20:00"/>
    <n v="0"/>
    <n v="1"/>
    <n v="20"/>
  </r>
  <r>
    <x v="14"/>
    <s v="LS"/>
    <n v="1"/>
    <n v="20"/>
    <d v="2025-09-09T00:00:00"/>
    <d v="1899-12-30T09:00:00"/>
    <d v="2025-09-07T00:00:00"/>
    <d v="1899-12-30T19:20:00"/>
    <n v="0"/>
    <n v="1"/>
    <n v="20"/>
  </r>
  <r>
    <x v="9"/>
    <s v="LC"/>
    <n v="1"/>
    <n v="30"/>
    <d v="2025-09-09T00:00:00"/>
    <d v="1899-12-30T09:00:00"/>
    <d v="2025-09-07T00:00:00"/>
    <d v="1899-12-30T20:00:00"/>
    <n v="6"/>
    <n v="1"/>
    <n v="24"/>
  </r>
  <r>
    <x v="10"/>
    <s v="LD"/>
    <n v="1"/>
    <n v="30"/>
    <d v="2025-09-09T00:00:00"/>
    <d v="1899-12-30T09:00:00"/>
    <d v="2025-09-07T00:00:00"/>
    <d v="1899-12-30T20:00:00"/>
    <n v="0"/>
    <n v="1"/>
    <n v="30"/>
  </r>
  <r>
    <x v="10"/>
    <s v="LD"/>
    <n v="5"/>
    <n v="50"/>
    <d v="2025-09-09T00:00:00"/>
    <d v="1899-12-30T09:00:00"/>
    <d v="2025-09-07T00:00:00"/>
    <d v="1899-12-30T20:50:00"/>
    <n v="5"/>
    <n v="5"/>
    <n v="45"/>
  </r>
  <r>
    <x v="7"/>
    <s v=" LP"/>
    <n v="1"/>
    <n v="60"/>
    <d v="2025-09-09T00:00:00"/>
    <d v="1899-12-30T09:00:00"/>
    <d v="2025-09-07T00:00:00"/>
    <d v="1899-12-30T22:00:00"/>
    <n v="50"/>
    <n v="1"/>
    <n v="10"/>
  </r>
  <r>
    <x v="4"/>
    <s v="           LS"/>
    <n v="1"/>
    <n v="60"/>
    <d v="2025-09-09T00:00:00"/>
    <d v="1899-12-30T09:00:00"/>
    <d v="2025-09-07T00:00:00"/>
    <d v="1899-12-30T22:00:00"/>
    <n v="50"/>
    <n v="1"/>
    <n v="10"/>
  </r>
  <r>
    <x v="0"/>
    <s v="           LE"/>
    <n v="1"/>
    <n v="60"/>
    <d v="2025-09-09T00:00:00"/>
    <d v="1899-12-30T09:00:00"/>
    <d v="2025-09-07T00:00:00"/>
    <d v="1899-12-30T22:00:00"/>
    <n v="50"/>
    <n v="1"/>
    <n v="10"/>
  </r>
  <r>
    <x v="2"/>
    <s v="           LA"/>
    <n v="1"/>
    <n v="60"/>
    <d v="2025-09-09T00:00:00"/>
    <d v="1899-12-30T09:00:00"/>
    <d v="2025-09-07T00:00:00"/>
    <d v="1899-12-30T22:00:00"/>
    <n v="50"/>
    <n v="1"/>
    <n v="10"/>
  </r>
  <r>
    <x v="9"/>
    <s v="           LC"/>
    <n v="1"/>
    <n v="60"/>
    <d v="2025-09-09T00:00:00"/>
    <d v="1899-12-30T09:00:00"/>
    <d v="2025-09-07T00:00:00"/>
    <d v="1899-12-30T22:00:00"/>
    <n v="50"/>
    <n v="1"/>
    <n v="10"/>
  </r>
  <r>
    <x v="10"/>
    <s v="           LD"/>
    <n v="1"/>
    <n v="60"/>
    <d v="2025-09-09T00:00:00"/>
    <d v="1899-12-30T09:00:00"/>
    <d v="2025-09-07T00:00:00"/>
    <d v="1899-12-30T22:00:00"/>
    <n v="50"/>
    <n v="1"/>
    <n v="10"/>
  </r>
  <r>
    <x v="0"/>
    <s v="LE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45"/>
    <d v="2025-09-09T00:00:00"/>
    <d v="1899-12-30T09:00:00"/>
    <d v="2025-09-07T00:00:00"/>
    <d v="1899-12-30T22:30:00"/>
    <n v="-35"/>
    <n v="1"/>
    <n v="80"/>
  </r>
  <r>
    <x v="0"/>
    <s v="LE"/>
    <n v="1"/>
    <n v="60"/>
    <d v="2025-09-09T00:00:00"/>
    <d v="1899-12-30T09:00:00"/>
    <d v="2025-09-07T00:00:00"/>
    <d v="1899-12-30T22:30:00"/>
    <n v="10"/>
    <n v="1"/>
    <n v="50"/>
  </r>
  <r>
    <x v="0"/>
    <s v="LE"/>
    <n v="1"/>
    <n v="55"/>
    <d v="2025-09-09T00:00:00"/>
    <d v="1899-12-30T09:00:00"/>
    <d v="2025-09-07T00:00:00"/>
    <d v="1899-12-30T22:30:00"/>
    <n v="0"/>
    <n v="1"/>
    <n v="55"/>
  </r>
  <r>
    <x v="9"/>
    <s v="LC"/>
    <n v="1"/>
    <n v="30"/>
    <d v="2025-09-09T00:00:00"/>
    <d v="1899-12-30T09:00:00"/>
    <d v="2025-09-07T00:00:00"/>
    <d v="1899-12-30T22:30:00"/>
    <n v="-2"/>
    <n v="1"/>
    <n v="32"/>
  </r>
  <r>
    <x v="4"/>
    <s v="LS"/>
    <n v="1"/>
    <n v="30"/>
    <d v="2025-09-09T00:00:00"/>
    <d v="1899-12-30T09:00:00"/>
    <d v="2025-09-07T00:00:00"/>
    <d v="1899-12-30T22:30:00"/>
    <n v="-2"/>
    <n v="1"/>
    <n v="32"/>
  </r>
  <r>
    <x v="7"/>
    <s v="LP"/>
    <n v="1"/>
    <n v="30"/>
    <d v="2025-09-09T00:00:00"/>
    <d v="1899-12-30T09:00:00"/>
    <d v="2025-09-07T00:00:00"/>
    <d v="1899-12-30T22:30:00"/>
    <n v="-2"/>
    <n v="1"/>
    <n v="32"/>
  </r>
  <r>
    <x v="0"/>
    <s v="LE"/>
    <n v="1"/>
    <n v="30"/>
    <d v="2025-09-09T00:00:00"/>
    <d v="1899-12-30T09:00:00"/>
    <d v="2025-09-07T00:00:00"/>
    <d v="1899-12-30T22:30:00"/>
    <n v="-2"/>
    <n v="1"/>
    <n v="32"/>
  </r>
  <r>
    <x v="2"/>
    <s v="LA"/>
    <n v="1"/>
    <n v="30"/>
    <d v="2025-09-09T00:00:00"/>
    <d v="1899-12-30T09:00:00"/>
    <d v="2025-09-07T00:00:00"/>
    <d v="1899-12-30T22:30:00"/>
    <n v="-2"/>
    <n v="1"/>
    <n v="32"/>
  </r>
  <r>
    <x v="10"/>
    <s v="LD"/>
    <n v="1"/>
    <n v="30"/>
    <d v="2025-09-09T00:00:00"/>
    <d v="1899-12-30T09:00:00"/>
    <d v="2025-09-07T00:00:00"/>
    <d v="1899-12-30T22:30:00"/>
    <n v="-2"/>
    <n v="1"/>
    <n v="32"/>
  </r>
  <r>
    <x v="0"/>
    <s v="LE"/>
    <n v="3"/>
    <n v="20"/>
    <d v="2025-09-09T00:00:00"/>
    <d v="1899-12-30T09:00:00"/>
    <d v="2025-09-08T00:00:00"/>
    <d v="1899-12-30T09:00:00"/>
    <n v="5"/>
    <n v="3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1:E58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2:L69" firstHeaderRow="0" firstDataRow="1" firstDataCol="1"/>
  <pivotFields count="11">
    <pivotField axis="axisRow" showAll="0">
      <items count="9">
        <item h="1" x="6"/>
        <item h="1"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0A1-2856-4491-B323-4EF9C610AC28}" name="TablaDinámica5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4:C131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>
      <items count="13">
        <item x="9"/>
        <item x="10"/>
        <item x="11"/>
        <item x="8"/>
        <item x="7"/>
        <item x="6"/>
        <item x="4"/>
        <item x="1"/>
        <item x="5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real" fld="9" baseField="0" baseItem="0"/>
    <dataField name="Suma de Tamaño estimado (hojas, secciones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96F5-D416-457F-8C05-025C06B0CA26}" name="TablaDinámica4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8:E105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2A9EE-695C-4EFA-9370-E6D350C5129C}" name="TablaDinámica10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52:E259" firstHeaderRow="0" firstDataRow="1" firstDataCol="1"/>
  <pivotFields count="11">
    <pivotField axis="axisRow" showAll="0">
      <items count="16">
        <item h="1" x="6"/>
        <item h="1" x="11"/>
        <item h="1" x="3"/>
        <item h="1" x="5"/>
        <item h="1" x="13"/>
        <item h="1" x="14"/>
        <item h="1" x="1"/>
        <item x="9"/>
        <item x="10"/>
        <item x="0"/>
        <item h="1" x="12"/>
        <item h="1" x="8"/>
        <item x="2"/>
        <item x="4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7"/>
    </i>
    <i>
      <x v="8"/>
    </i>
    <i>
      <x v="9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267"/>
  <sheetViews>
    <sheetView topLeftCell="A241" zoomScale="84" zoomScaleNormal="76" workbookViewId="0">
      <selection activeCell="A255" sqref="A25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3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7"/>
      <c r="M1" s="88"/>
    </row>
    <row r="2" spans="1:20" ht="20.25" customHeight="1" x14ac:dyDescent="0.2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9"/>
      <c r="M2" s="90"/>
    </row>
    <row r="3" spans="1:20" ht="12.75" customHeight="1" x14ac:dyDescent="0.2">
      <c r="A3" s="91" t="s">
        <v>1</v>
      </c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5" t="s">
        <v>3</v>
      </c>
      <c r="M3" s="96"/>
    </row>
    <row r="4" spans="1:20" ht="13.5" thickBot="1" x14ac:dyDescent="0.25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9" t="s">
        <v>6</v>
      </c>
      <c r="C6" s="79"/>
      <c r="D6" s="79"/>
      <c r="E6" s="79"/>
      <c r="F6" s="79"/>
      <c r="G6" s="79"/>
      <c r="H6" s="80" t="s">
        <v>7</v>
      </c>
      <c r="I6" s="81"/>
      <c r="J6" s="81"/>
      <c r="K6" s="81"/>
      <c r="L6" s="82"/>
      <c r="M6" s="25"/>
    </row>
    <row r="7" spans="1:20" s="14" customFormat="1" ht="49.5" customHeight="1" x14ac:dyDescent="0.2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4" x14ac:dyDescent="0.2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4" x14ac:dyDescent="0.2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4" x14ac:dyDescent="0.2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8.25" x14ac:dyDescent="0.2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5.5" x14ac:dyDescent="0.2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5.5" x14ac:dyDescent="0.2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5.5" x14ac:dyDescent="0.2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5.5" x14ac:dyDescent="0.2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5.5" x14ac:dyDescent="0.2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1" si="4">E141-L141</f>
        <v>4</v>
      </c>
      <c r="K141" s="50">
        <v>1</v>
      </c>
      <c r="L141" s="51">
        <v>26</v>
      </c>
      <c r="M141" s="52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36" x14ac:dyDescent="0.2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36" x14ac:dyDescent="0.2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36" x14ac:dyDescent="0.2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36" x14ac:dyDescent="0.2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36" x14ac:dyDescent="0.2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36" x14ac:dyDescent="0.2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4" x14ac:dyDescent="0.2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4" x14ac:dyDescent="0.2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4" x14ac:dyDescent="0.2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4" x14ac:dyDescent="0.2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4" x14ac:dyDescent="0.2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4" x14ac:dyDescent="0.2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4" x14ac:dyDescent="0.2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4" x14ac:dyDescent="0.2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61" spans="1:13" ht="36" x14ac:dyDescent="0.2">
      <c r="A161" s="118" t="s">
        <v>144</v>
      </c>
      <c r="B161" s="109" t="s">
        <v>30</v>
      </c>
      <c r="C161" s="110" t="s">
        <v>31</v>
      </c>
      <c r="D161" s="103">
        <v>1</v>
      </c>
      <c r="E161" s="104">
        <v>30</v>
      </c>
      <c r="F161" s="105">
        <v>45909</v>
      </c>
      <c r="G161" s="106">
        <v>0.375</v>
      </c>
      <c r="H161" s="105">
        <v>45905</v>
      </c>
      <c r="I161" s="106">
        <v>0.45833333333333331</v>
      </c>
      <c r="J161" s="107">
        <f t="shared" si="4"/>
        <v>0</v>
      </c>
      <c r="K161" s="104">
        <v>1</v>
      </c>
      <c r="L161" s="108">
        <v>30</v>
      </c>
      <c r="M161" s="111" t="s">
        <v>156</v>
      </c>
    </row>
    <row r="162" spans="1:13" ht="24" x14ac:dyDescent="0.2">
      <c r="A162" s="23" t="s">
        <v>216</v>
      </c>
      <c r="B162" s="105" t="s">
        <v>36</v>
      </c>
      <c r="C162" s="105" t="s">
        <v>37</v>
      </c>
      <c r="D162" s="103">
        <v>1</v>
      </c>
      <c r="E162" s="49">
        <v>30</v>
      </c>
      <c r="F162" s="105">
        <v>45909</v>
      </c>
      <c r="G162" s="106">
        <v>0.375</v>
      </c>
      <c r="H162" s="105">
        <v>45905</v>
      </c>
      <c r="I162" s="106">
        <v>0.79166666666666663</v>
      </c>
      <c r="J162" s="107">
        <f>E162-L162</f>
        <v>0</v>
      </c>
      <c r="K162" s="104">
        <v>1</v>
      </c>
      <c r="L162" s="108">
        <v>30</v>
      </c>
      <c r="M162" s="111" t="s">
        <v>75</v>
      </c>
    </row>
    <row r="163" spans="1:13" ht="25.5" x14ac:dyDescent="0.2">
      <c r="A163" s="98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99">
        <v>45909</v>
      </c>
      <c r="G163" s="100">
        <v>0.375</v>
      </c>
      <c r="H163" s="99">
        <v>45907</v>
      </c>
      <c r="I163" s="100">
        <v>0.52083333333333337</v>
      </c>
      <c r="J163" s="107">
        <f>E163-L163</f>
        <v>0</v>
      </c>
      <c r="K163" s="53">
        <v>2</v>
      </c>
      <c r="L163" s="53">
        <v>30</v>
      </c>
      <c r="M163" s="97" t="s">
        <v>253</v>
      </c>
    </row>
    <row r="164" spans="1:13" ht="25.5" x14ac:dyDescent="0.2">
      <c r="A164" s="98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99">
        <v>45909</v>
      </c>
      <c r="G164" s="100">
        <v>0.375</v>
      </c>
      <c r="H164" s="99">
        <v>45907</v>
      </c>
      <c r="I164" s="100">
        <v>0.54166666666666663</v>
      </c>
      <c r="J164" s="107">
        <f t="shared" ref="J164:J227" si="5">E164-L164</f>
        <v>0</v>
      </c>
      <c r="K164" s="53">
        <v>2</v>
      </c>
      <c r="L164" s="53">
        <v>30</v>
      </c>
      <c r="M164" s="97" t="s">
        <v>253</v>
      </c>
    </row>
    <row r="165" spans="1:13" ht="25.5" x14ac:dyDescent="0.2">
      <c r="A165" s="98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99">
        <v>45909</v>
      </c>
      <c r="G165" s="100">
        <v>0.375</v>
      </c>
      <c r="H165" s="99">
        <v>45907</v>
      </c>
      <c r="I165" s="100">
        <v>0.5625</v>
      </c>
      <c r="J165" s="107">
        <f t="shared" si="5"/>
        <v>0</v>
      </c>
      <c r="K165" s="53">
        <v>1</v>
      </c>
      <c r="L165" s="53">
        <v>30</v>
      </c>
      <c r="M165" s="97" t="s">
        <v>255</v>
      </c>
    </row>
    <row r="166" spans="1:13" ht="25.5" x14ac:dyDescent="0.2">
      <c r="A166" s="97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99">
        <v>45909</v>
      </c>
      <c r="G166" s="100">
        <v>0.375</v>
      </c>
      <c r="H166" s="99">
        <v>45907</v>
      </c>
      <c r="I166" s="100">
        <v>0.58333333333333337</v>
      </c>
      <c r="J166" s="107">
        <f t="shared" si="5"/>
        <v>0</v>
      </c>
      <c r="K166" s="53">
        <v>2</v>
      </c>
      <c r="L166" s="53">
        <v>30</v>
      </c>
      <c r="M166" s="97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99">
        <v>45909</v>
      </c>
      <c r="G167" s="100">
        <v>0.375</v>
      </c>
      <c r="H167" s="99">
        <v>45907</v>
      </c>
      <c r="I167" s="100">
        <v>0.58333333333333337</v>
      </c>
      <c r="J167" s="53">
        <f t="shared" si="5"/>
        <v>0</v>
      </c>
      <c r="K167" s="53">
        <v>2</v>
      </c>
      <c r="L167" s="53">
        <v>30</v>
      </c>
      <c r="M167" s="97" t="s">
        <v>257</v>
      </c>
    </row>
    <row r="168" spans="1:13" ht="25.5" x14ac:dyDescent="0.2">
      <c r="A168" s="97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99">
        <v>45909</v>
      </c>
      <c r="G168" s="100">
        <v>0.375</v>
      </c>
      <c r="H168" s="99">
        <v>45907</v>
      </c>
      <c r="I168" s="100">
        <v>0.58333333333333337</v>
      </c>
      <c r="J168" s="53">
        <f t="shared" si="5"/>
        <v>0</v>
      </c>
      <c r="K168" s="53">
        <v>2</v>
      </c>
      <c r="L168" s="53">
        <v>30</v>
      </c>
      <c r="M168" s="97" t="s">
        <v>257</v>
      </c>
    </row>
    <row r="169" spans="1:13" ht="38.25" x14ac:dyDescent="0.2">
      <c r="A169" s="97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99">
        <v>45909</v>
      </c>
      <c r="G169" s="100">
        <v>0.375</v>
      </c>
      <c r="H169" s="99">
        <v>45907</v>
      </c>
      <c r="I169" s="100">
        <v>0.58333333333333337</v>
      </c>
      <c r="J169" s="53">
        <f t="shared" si="5"/>
        <v>0</v>
      </c>
      <c r="K169" s="53">
        <v>1</v>
      </c>
      <c r="L169" s="53">
        <v>30</v>
      </c>
      <c r="M169" s="97" t="s">
        <v>259</v>
      </c>
    </row>
    <row r="170" spans="1:13" ht="38.25" x14ac:dyDescent="0.2">
      <c r="A170" s="97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99">
        <v>45909</v>
      </c>
      <c r="G170" s="100">
        <v>0.375</v>
      </c>
      <c r="H170" s="99">
        <v>45907</v>
      </c>
      <c r="I170" s="100">
        <v>0.58333333333333337</v>
      </c>
      <c r="J170" s="53">
        <f t="shared" si="5"/>
        <v>0</v>
      </c>
      <c r="K170" s="53">
        <v>1</v>
      </c>
      <c r="L170" s="53">
        <v>30</v>
      </c>
      <c r="M170" s="97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99">
        <v>45909</v>
      </c>
      <c r="G171" s="100">
        <v>0.375</v>
      </c>
      <c r="H171" s="99">
        <v>45907</v>
      </c>
      <c r="I171" s="100">
        <v>0.58333333333333337</v>
      </c>
      <c r="J171" s="53">
        <f t="shared" si="5"/>
        <v>0</v>
      </c>
      <c r="K171" s="53">
        <v>3</v>
      </c>
      <c r="L171" s="53">
        <v>30</v>
      </c>
      <c r="M171" s="97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99">
        <v>45909</v>
      </c>
      <c r="G172" s="100">
        <v>0.375</v>
      </c>
      <c r="H172" s="99">
        <v>45907</v>
      </c>
      <c r="I172" s="100">
        <v>0.58333333333333337</v>
      </c>
      <c r="J172" s="53">
        <f t="shared" si="5"/>
        <v>0</v>
      </c>
      <c r="K172" s="53">
        <v>2</v>
      </c>
      <c r="L172" s="53">
        <v>30</v>
      </c>
      <c r="M172" s="97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99">
        <v>45909</v>
      </c>
      <c r="G173" s="100">
        <v>0.375</v>
      </c>
      <c r="H173" s="99">
        <v>45907</v>
      </c>
      <c r="I173" s="100">
        <v>0.58333333333333337</v>
      </c>
      <c r="J173" s="53">
        <f t="shared" si="5"/>
        <v>0</v>
      </c>
      <c r="K173" s="53">
        <v>2</v>
      </c>
      <c r="L173" s="53">
        <v>30</v>
      </c>
      <c r="M173" s="97" t="s">
        <v>263</v>
      </c>
    </row>
    <row r="174" spans="1:13" ht="38.25" x14ac:dyDescent="0.2">
      <c r="A174" s="97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99">
        <v>45909</v>
      </c>
      <c r="G174" s="100">
        <v>0.375</v>
      </c>
      <c r="H174" s="99">
        <v>45907</v>
      </c>
      <c r="I174" s="100">
        <v>0.58333333333333337</v>
      </c>
      <c r="J174" s="53">
        <f t="shared" si="5"/>
        <v>0</v>
      </c>
      <c r="K174" s="53">
        <v>1</v>
      </c>
      <c r="L174" s="53">
        <v>30</v>
      </c>
      <c r="M174" s="97" t="s">
        <v>263</v>
      </c>
    </row>
    <row r="175" spans="1:13" ht="25.5" x14ac:dyDescent="0.2">
      <c r="A175" s="97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99">
        <v>45909</v>
      </c>
      <c r="G175" s="100">
        <v>0.375</v>
      </c>
      <c r="H175" s="99">
        <v>45907</v>
      </c>
      <c r="I175" s="100">
        <v>0.58333333333333337</v>
      </c>
      <c r="J175" s="53">
        <f t="shared" si="5"/>
        <v>0</v>
      </c>
      <c r="K175" s="53">
        <v>1</v>
      </c>
      <c r="L175" s="53">
        <v>30</v>
      </c>
      <c r="M175" s="97" t="s">
        <v>265</v>
      </c>
    </row>
    <row r="176" spans="1:13" ht="25.5" x14ac:dyDescent="0.2">
      <c r="A176" s="97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99">
        <v>45909</v>
      </c>
      <c r="G176" s="100">
        <v>0.375</v>
      </c>
      <c r="H176" s="99">
        <v>45907</v>
      </c>
      <c r="I176" s="100">
        <v>0.58333333333333337</v>
      </c>
      <c r="J176" s="53">
        <f t="shared" si="5"/>
        <v>0</v>
      </c>
      <c r="K176" s="53">
        <v>1</v>
      </c>
      <c r="L176" s="53">
        <v>30</v>
      </c>
      <c r="M176" s="97" t="s">
        <v>265</v>
      </c>
    </row>
    <row r="177" spans="1:13" ht="25.5" x14ac:dyDescent="0.2">
      <c r="A177" s="97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99">
        <v>45909</v>
      </c>
      <c r="G177" s="100">
        <v>0.375</v>
      </c>
      <c r="H177" s="99">
        <v>45907</v>
      </c>
      <c r="I177" s="100">
        <v>0.58333333333333337</v>
      </c>
      <c r="J177" s="53">
        <f t="shared" si="5"/>
        <v>-10</v>
      </c>
      <c r="K177" s="53">
        <v>1</v>
      </c>
      <c r="L177" s="53">
        <v>30</v>
      </c>
      <c r="M177" s="97" t="s">
        <v>267</v>
      </c>
    </row>
    <row r="178" spans="1:13" ht="25.5" x14ac:dyDescent="0.2">
      <c r="A178" s="97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99">
        <v>45909</v>
      </c>
      <c r="G178" s="100">
        <v>0.375</v>
      </c>
      <c r="H178" s="99">
        <v>45907</v>
      </c>
      <c r="I178" s="100">
        <v>0.58333333333333337</v>
      </c>
      <c r="J178" s="53">
        <f t="shared" si="5"/>
        <v>-10</v>
      </c>
      <c r="K178" s="53">
        <v>1</v>
      </c>
      <c r="L178" s="53">
        <v>30</v>
      </c>
      <c r="M178" s="97" t="s">
        <v>267</v>
      </c>
    </row>
    <row r="179" spans="1:13" ht="25.5" x14ac:dyDescent="0.2">
      <c r="A179" s="97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99">
        <v>45909</v>
      </c>
      <c r="G179" s="100">
        <v>0.375</v>
      </c>
      <c r="H179" s="99">
        <v>45907</v>
      </c>
      <c r="I179" s="100">
        <v>0.58333333333333337</v>
      </c>
      <c r="J179" s="53">
        <f t="shared" si="5"/>
        <v>-10</v>
      </c>
      <c r="K179" s="53">
        <v>1</v>
      </c>
      <c r="L179" s="53">
        <v>30</v>
      </c>
      <c r="M179" s="97" t="s">
        <v>269</v>
      </c>
    </row>
    <row r="180" spans="1:13" ht="25.5" x14ac:dyDescent="0.2">
      <c r="A180" s="97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99">
        <v>45909</v>
      </c>
      <c r="G180" s="100">
        <v>0.375</v>
      </c>
      <c r="H180" s="99">
        <v>45907</v>
      </c>
      <c r="I180" s="100">
        <v>0.58333333333333337</v>
      </c>
      <c r="J180" s="53">
        <f t="shared" si="5"/>
        <v>0</v>
      </c>
      <c r="K180" s="53">
        <v>1</v>
      </c>
      <c r="L180" s="53">
        <v>20</v>
      </c>
      <c r="M180" s="97" t="s">
        <v>269</v>
      </c>
    </row>
    <row r="181" spans="1:13" ht="25.5" x14ac:dyDescent="0.2">
      <c r="A181" s="97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99">
        <v>45909</v>
      </c>
      <c r="G181" s="100">
        <v>0.375</v>
      </c>
      <c r="H181" s="99">
        <v>45907</v>
      </c>
      <c r="I181" s="100">
        <v>0.58333333333333337</v>
      </c>
      <c r="J181" s="53">
        <f t="shared" si="5"/>
        <v>1</v>
      </c>
      <c r="K181" s="53">
        <v>2</v>
      </c>
      <c r="L181" s="53">
        <v>19</v>
      </c>
      <c r="M181" s="97" t="s">
        <v>273</v>
      </c>
    </row>
    <row r="182" spans="1:13" ht="25.5" x14ac:dyDescent="0.2">
      <c r="A182" s="97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99">
        <v>45909</v>
      </c>
      <c r="G182" s="100">
        <v>0.375</v>
      </c>
      <c r="H182" s="99">
        <v>45907</v>
      </c>
      <c r="I182" s="100">
        <v>0.58333333333333337</v>
      </c>
      <c r="J182" s="53">
        <f t="shared" si="5"/>
        <v>0</v>
      </c>
      <c r="K182" s="53">
        <v>2</v>
      </c>
      <c r="L182" s="53">
        <v>20</v>
      </c>
      <c r="M182" s="97" t="s">
        <v>273</v>
      </c>
    </row>
    <row r="183" spans="1:13" ht="38.25" x14ac:dyDescent="0.2">
      <c r="A183" s="97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99">
        <v>45909</v>
      </c>
      <c r="G183" s="100">
        <v>0.375</v>
      </c>
      <c r="H183" s="99">
        <v>45907</v>
      </c>
      <c r="I183" s="100">
        <v>0.58333333333333337</v>
      </c>
      <c r="J183" s="53">
        <f t="shared" si="5"/>
        <v>5</v>
      </c>
      <c r="K183" s="53">
        <v>1</v>
      </c>
      <c r="L183" s="53">
        <v>10</v>
      </c>
      <c r="M183" s="97" t="s">
        <v>274</v>
      </c>
    </row>
    <row r="184" spans="1:13" ht="38.25" x14ac:dyDescent="0.2">
      <c r="A184" s="97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99">
        <v>45909</v>
      </c>
      <c r="G184" s="100">
        <v>0.375</v>
      </c>
      <c r="H184" s="99">
        <v>45907</v>
      </c>
      <c r="I184" s="100">
        <v>0.58333333333333337</v>
      </c>
      <c r="J184" s="53">
        <f t="shared" si="5"/>
        <v>5</v>
      </c>
      <c r="K184" s="53">
        <v>1</v>
      </c>
      <c r="L184" s="53">
        <v>10</v>
      </c>
      <c r="M184" s="97" t="s">
        <v>274</v>
      </c>
    </row>
    <row r="185" spans="1:13" ht="38.25" x14ac:dyDescent="0.2">
      <c r="A185" s="97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99">
        <v>45909</v>
      </c>
      <c r="G185" s="100">
        <v>0.375</v>
      </c>
      <c r="H185" s="99">
        <v>45907</v>
      </c>
      <c r="I185" s="100">
        <v>0.58333333333333337</v>
      </c>
      <c r="J185" s="53">
        <f t="shared" si="5"/>
        <v>10</v>
      </c>
      <c r="K185" s="53">
        <v>1</v>
      </c>
      <c r="L185" s="53">
        <v>10</v>
      </c>
      <c r="M185" s="97" t="s">
        <v>276</v>
      </c>
    </row>
    <row r="186" spans="1:13" ht="38.25" x14ac:dyDescent="0.2">
      <c r="A186" s="97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99">
        <v>45909</v>
      </c>
      <c r="G186" s="100">
        <v>0.375</v>
      </c>
      <c r="H186" s="99">
        <v>45907</v>
      </c>
      <c r="I186" s="100">
        <v>0.58333333333333337</v>
      </c>
      <c r="J186" s="53">
        <f t="shared" si="5"/>
        <v>10</v>
      </c>
      <c r="K186" s="53">
        <v>1</v>
      </c>
      <c r="L186" s="53">
        <v>10</v>
      </c>
      <c r="M186" s="97" t="s">
        <v>276</v>
      </c>
    </row>
    <row r="187" spans="1:13" ht="38.25" x14ac:dyDescent="0.2">
      <c r="A187" s="97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99">
        <v>45909</v>
      </c>
      <c r="G187" s="100">
        <v>0.375</v>
      </c>
      <c r="H187" s="99">
        <v>45906</v>
      </c>
      <c r="I187" s="100">
        <v>0.35416666666666669</v>
      </c>
      <c r="J187" s="53">
        <f t="shared" si="5"/>
        <v>-5</v>
      </c>
      <c r="K187" s="53">
        <v>2</v>
      </c>
      <c r="L187" s="53">
        <v>60</v>
      </c>
      <c r="M187" s="97" t="s">
        <v>278</v>
      </c>
    </row>
    <row r="188" spans="1:13" ht="38.25" x14ac:dyDescent="0.2">
      <c r="A188" s="97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99">
        <v>45909</v>
      </c>
      <c r="G188" s="100">
        <v>0.375</v>
      </c>
      <c r="H188" s="99">
        <v>45906</v>
      </c>
      <c r="I188" s="100">
        <v>0.39583333333333298</v>
      </c>
      <c r="J188" s="53">
        <f t="shared" si="5"/>
        <v>-5</v>
      </c>
      <c r="K188" s="53">
        <v>1</v>
      </c>
      <c r="L188" s="53">
        <v>60</v>
      </c>
      <c r="M188" s="97" t="s">
        <v>278</v>
      </c>
    </row>
    <row r="189" spans="1:13" ht="38.25" x14ac:dyDescent="0.2">
      <c r="A189" s="97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99">
        <v>45909</v>
      </c>
      <c r="G189" s="100">
        <v>0.375</v>
      </c>
      <c r="H189" s="99">
        <v>45906</v>
      </c>
      <c r="I189" s="100">
        <v>0.4375</v>
      </c>
      <c r="J189" s="53">
        <f t="shared" si="5"/>
        <v>0</v>
      </c>
      <c r="K189" s="53">
        <v>3</v>
      </c>
      <c r="L189" s="53">
        <v>60</v>
      </c>
      <c r="M189" s="97" t="s">
        <v>280</v>
      </c>
    </row>
    <row r="190" spans="1:13" ht="38.25" x14ac:dyDescent="0.2">
      <c r="A190" s="97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99">
        <v>45909</v>
      </c>
      <c r="G190" s="100">
        <v>0.375</v>
      </c>
      <c r="H190" s="99">
        <v>45906</v>
      </c>
      <c r="I190" s="100">
        <v>0.47916666666666702</v>
      </c>
      <c r="J190" s="53">
        <f t="shared" si="5"/>
        <v>0</v>
      </c>
      <c r="K190" s="53">
        <v>1</v>
      </c>
      <c r="L190" s="53">
        <v>60</v>
      </c>
      <c r="M190" s="97" t="s">
        <v>280</v>
      </c>
    </row>
    <row r="191" spans="1:13" ht="25.5" x14ac:dyDescent="0.2">
      <c r="A191" s="97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99">
        <v>45909</v>
      </c>
      <c r="G191" s="100">
        <v>0.375</v>
      </c>
      <c r="H191" s="99">
        <v>45906</v>
      </c>
      <c r="I191" s="100">
        <v>0.5</v>
      </c>
      <c r="J191" s="53">
        <f t="shared" si="5"/>
        <v>0</v>
      </c>
      <c r="K191" s="53">
        <v>1</v>
      </c>
      <c r="L191" s="53">
        <v>30</v>
      </c>
      <c r="M191" s="97" t="s">
        <v>282</v>
      </c>
    </row>
    <row r="192" spans="1:13" ht="25.5" x14ac:dyDescent="0.2">
      <c r="A192" s="97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99">
        <v>45909</v>
      </c>
      <c r="G192" s="100">
        <v>0.375</v>
      </c>
      <c r="H192" s="99">
        <v>45906</v>
      </c>
      <c r="I192" s="100">
        <v>0.52083333333333337</v>
      </c>
      <c r="J192" s="53">
        <f t="shared" si="5"/>
        <v>2</v>
      </c>
      <c r="K192" s="53">
        <v>1</v>
      </c>
      <c r="L192" s="53">
        <v>28</v>
      </c>
      <c r="M192" s="97" t="s">
        <v>282</v>
      </c>
    </row>
    <row r="193" spans="1:13" ht="38.25" x14ac:dyDescent="0.2">
      <c r="A193" s="97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99">
        <v>45909</v>
      </c>
      <c r="G193" s="100">
        <v>0.375</v>
      </c>
      <c r="H193" s="99">
        <v>45906</v>
      </c>
      <c r="I193" s="100">
        <v>0.54166666666666663</v>
      </c>
      <c r="J193" s="53">
        <f t="shared" si="5"/>
        <v>0</v>
      </c>
      <c r="K193" s="53">
        <v>1</v>
      </c>
      <c r="L193" s="53">
        <v>30</v>
      </c>
      <c r="M193" s="97" t="s">
        <v>284</v>
      </c>
    </row>
    <row r="194" spans="1:13" ht="38.25" x14ac:dyDescent="0.2">
      <c r="A194" s="97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99">
        <v>45909</v>
      </c>
      <c r="G194" s="100">
        <v>0.375</v>
      </c>
      <c r="H194" s="99">
        <v>45906</v>
      </c>
      <c r="I194" s="100">
        <v>0.5625</v>
      </c>
      <c r="J194" s="53">
        <f t="shared" si="5"/>
        <v>1</v>
      </c>
      <c r="K194" s="53">
        <v>1</v>
      </c>
      <c r="L194" s="53">
        <v>29</v>
      </c>
      <c r="M194" s="97" t="s">
        <v>284</v>
      </c>
    </row>
    <row r="195" spans="1:13" ht="38.25" x14ac:dyDescent="0.2">
      <c r="A195" s="97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99">
        <v>45909</v>
      </c>
      <c r="G195" s="100">
        <v>0.375</v>
      </c>
      <c r="H195" s="99">
        <v>45906</v>
      </c>
      <c r="I195" s="100">
        <v>0.58333333333333337</v>
      </c>
      <c r="J195" s="53">
        <f t="shared" si="5"/>
        <v>0</v>
      </c>
      <c r="K195" s="53">
        <v>1</v>
      </c>
      <c r="L195" s="53">
        <v>30</v>
      </c>
      <c r="M195" s="97" t="s">
        <v>286</v>
      </c>
    </row>
    <row r="196" spans="1:13" ht="38.25" x14ac:dyDescent="0.2">
      <c r="A196" s="97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99">
        <v>45909</v>
      </c>
      <c r="G196" s="100">
        <v>0.375</v>
      </c>
      <c r="H196" s="99">
        <v>45906</v>
      </c>
      <c r="I196" s="100">
        <v>0.58333333333333337</v>
      </c>
      <c r="J196" s="53">
        <f t="shared" si="5"/>
        <v>0</v>
      </c>
      <c r="K196" s="53">
        <v>1</v>
      </c>
      <c r="L196" s="53">
        <v>30</v>
      </c>
      <c r="M196" s="97" t="s">
        <v>286</v>
      </c>
    </row>
    <row r="197" spans="1:13" ht="25.5" x14ac:dyDescent="0.2">
      <c r="A197" s="97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99">
        <v>45909</v>
      </c>
      <c r="G197" s="100">
        <v>0.375</v>
      </c>
      <c r="H197" s="99">
        <v>45906</v>
      </c>
      <c r="I197" s="100">
        <v>0.60416666666666663</v>
      </c>
      <c r="J197" s="53">
        <f t="shared" si="5"/>
        <v>0</v>
      </c>
      <c r="K197" s="53">
        <v>1</v>
      </c>
      <c r="L197" s="53">
        <v>30</v>
      </c>
      <c r="M197" s="97" t="s">
        <v>288</v>
      </c>
    </row>
    <row r="198" spans="1:13" ht="25.5" x14ac:dyDescent="0.2">
      <c r="A198" s="97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99">
        <v>45909</v>
      </c>
      <c r="G198" s="100">
        <v>0.375</v>
      </c>
      <c r="H198" s="99">
        <v>45906</v>
      </c>
      <c r="I198" s="100">
        <v>0.60416666666666663</v>
      </c>
      <c r="J198" s="53">
        <f t="shared" si="5"/>
        <v>5</v>
      </c>
      <c r="K198" s="53">
        <v>1</v>
      </c>
      <c r="L198" s="53">
        <v>25</v>
      </c>
      <c r="M198" s="97" t="s">
        <v>288</v>
      </c>
    </row>
    <row r="199" spans="1:13" ht="38.25" x14ac:dyDescent="0.2">
      <c r="A199" s="97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99">
        <v>45909</v>
      </c>
      <c r="G199" s="100">
        <v>0.375</v>
      </c>
      <c r="H199" s="99">
        <v>45906</v>
      </c>
      <c r="I199" s="100">
        <v>0.625</v>
      </c>
      <c r="J199" s="53">
        <f t="shared" si="5"/>
        <v>5</v>
      </c>
      <c r="K199" s="53">
        <v>1</v>
      </c>
      <c r="L199" s="53">
        <v>25</v>
      </c>
      <c r="M199" s="97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99">
        <v>45909</v>
      </c>
      <c r="G200" s="100">
        <v>0.375</v>
      </c>
      <c r="H200" s="99">
        <v>45906</v>
      </c>
      <c r="I200" s="100">
        <v>0.625</v>
      </c>
      <c r="J200" s="53">
        <f t="shared" si="5"/>
        <v>0</v>
      </c>
      <c r="K200" s="53">
        <v>1</v>
      </c>
      <c r="L200" s="53">
        <v>30</v>
      </c>
      <c r="M200" s="97" t="s">
        <v>290</v>
      </c>
    </row>
    <row r="201" spans="1:13" ht="38.25" x14ac:dyDescent="0.2">
      <c r="A201" s="97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99">
        <v>45909</v>
      </c>
      <c r="G201" s="100">
        <v>0.375</v>
      </c>
      <c r="H201" s="99">
        <v>45906</v>
      </c>
      <c r="I201" s="100">
        <v>0.64583333333333337</v>
      </c>
      <c r="J201" s="53">
        <f t="shared" si="5"/>
        <v>0</v>
      </c>
      <c r="K201" s="53">
        <v>1</v>
      </c>
      <c r="L201" s="53">
        <v>30</v>
      </c>
      <c r="M201" s="97" t="s">
        <v>292</v>
      </c>
    </row>
    <row r="202" spans="1:13" ht="38.25" x14ac:dyDescent="0.2">
      <c r="A202" s="97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99">
        <v>45909</v>
      </c>
      <c r="G202" s="100">
        <v>0.375</v>
      </c>
      <c r="H202" s="99">
        <v>45906</v>
      </c>
      <c r="I202" s="100">
        <v>0.64583333333333337</v>
      </c>
      <c r="J202" s="53">
        <f t="shared" si="5"/>
        <v>0</v>
      </c>
      <c r="K202" s="53">
        <v>1</v>
      </c>
      <c r="L202" s="53">
        <v>30</v>
      </c>
      <c r="M202" s="97" t="s">
        <v>292</v>
      </c>
    </row>
    <row r="203" spans="1:13" ht="25.5" x14ac:dyDescent="0.2">
      <c r="A203" s="97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99">
        <v>45909</v>
      </c>
      <c r="G203" s="100">
        <v>0.375</v>
      </c>
      <c r="H203" s="99">
        <v>45906</v>
      </c>
      <c r="I203" s="100">
        <v>0.66666666666666663</v>
      </c>
      <c r="J203" s="53">
        <f t="shared" si="5"/>
        <v>35</v>
      </c>
      <c r="K203" s="53">
        <v>1</v>
      </c>
      <c r="L203" s="53">
        <v>25</v>
      </c>
      <c r="M203" s="97" t="s">
        <v>294</v>
      </c>
    </row>
    <row r="204" spans="1:13" ht="25.5" x14ac:dyDescent="0.2">
      <c r="A204" s="97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99">
        <v>45909</v>
      </c>
      <c r="G204" s="100">
        <v>0.375</v>
      </c>
      <c r="H204" s="99">
        <v>45906</v>
      </c>
      <c r="I204" s="100">
        <v>0.66666666666666663</v>
      </c>
      <c r="J204" s="53">
        <f t="shared" si="5"/>
        <v>35</v>
      </c>
      <c r="K204" s="53">
        <v>1</v>
      </c>
      <c r="L204" s="53">
        <v>25</v>
      </c>
      <c r="M204" s="97" t="s">
        <v>294</v>
      </c>
    </row>
    <row r="205" spans="1:13" ht="25.5" x14ac:dyDescent="0.2">
      <c r="A205" s="97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99">
        <v>45909</v>
      </c>
      <c r="G205" s="100">
        <v>0.375</v>
      </c>
      <c r="H205" s="99">
        <v>45906</v>
      </c>
      <c r="I205" s="100">
        <v>0.70833333333333337</v>
      </c>
      <c r="J205" s="53">
        <f t="shared" si="5"/>
        <v>38</v>
      </c>
      <c r="K205" s="53">
        <v>1</v>
      </c>
      <c r="L205" s="53">
        <v>22</v>
      </c>
      <c r="M205" s="97" t="s">
        <v>296</v>
      </c>
    </row>
    <row r="206" spans="1:13" ht="25.5" x14ac:dyDescent="0.2">
      <c r="A206" s="97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99">
        <v>45909</v>
      </c>
      <c r="G206" s="100">
        <v>0.375</v>
      </c>
      <c r="H206" s="99">
        <v>45906</v>
      </c>
      <c r="I206" s="100">
        <v>0.75</v>
      </c>
      <c r="J206" s="53">
        <f t="shared" si="5"/>
        <v>38</v>
      </c>
      <c r="K206" s="53">
        <v>2</v>
      </c>
      <c r="L206" s="53">
        <v>22</v>
      </c>
      <c r="M206" s="97" t="s">
        <v>296</v>
      </c>
    </row>
    <row r="207" spans="1:13" ht="25.5" x14ac:dyDescent="0.2">
      <c r="A207" s="97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99">
        <v>45909</v>
      </c>
      <c r="G207" s="100">
        <v>0.375</v>
      </c>
      <c r="H207" s="99">
        <v>45906</v>
      </c>
      <c r="I207" s="100">
        <v>0.79166666666666696</v>
      </c>
      <c r="J207" s="53">
        <f t="shared" si="5"/>
        <v>39</v>
      </c>
      <c r="K207" s="53">
        <v>2</v>
      </c>
      <c r="L207" s="53">
        <v>21</v>
      </c>
      <c r="M207" s="97" t="s">
        <v>298</v>
      </c>
    </row>
    <row r="208" spans="1:13" ht="25.5" x14ac:dyDescent="0.2">
      <c r="A208" s="97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99">
        <v>45909</v>
      </c>
      <c r="G208" s="100">
        <v>0.375</v>
      </c>
      <c r="H208" s="99">
        <v>45906</v>
      </c>
      <c r="I208" s="100">
        <v>0.83333333333333304</v>
      </c>
      <c r="J208" s="53">
        <f t="shared" si="5"/>
        <v>39</v>
      </c>
      <c r="K208" s="53">
        <v>2</v>
      </c>
      <c r="L208" s="53">
        <v>21</v>
      </c>
      <c r="M208" s="97" t="s">
        <v>298</v>
      </c>
    </row>
    <row r="209" spans="1:13" ht="38.25" x14ac:dyDescent="0.2">
      <c r="A209" s="97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99">
        <v>45909</v>
      </c>
      <c r="G209" s="100">
        <v>0.375</v>
      </c>
      <c r="H209" s="99">
        <v>45907</v>
      </c>
      <c r="I209" s="100">
        <v>0.5</v>
      </c>
      <c r="J209" s="53">
        <f t="shared" si="5"/>
        <v>0</v>
      </c>
      <c r="K209" s="53">
        <v>2</v>
      </c>
      <c r="L209" s="53">
        <v>30</v>
      </c>
      <c r="M209" s="97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99">
        <v>45909</v>
      </c>
      <c r="G210" s="100">
        <v>0.375</v>
      </c>
      <c r="H210" s="99">
        <v>45907</v>
      </c>
      <c r="I210" s="100">
        <v>0.52083333333333337</v>
      </c>
      <c r="J210" s="53">
        <f t="shared" si="5"/>
        <v>0</v>
      </c>
      <c r="K210" s="53">
        <v>2</v>
      </c>
      <c r="L210" s="53">
        <v>30</v>
      </c>
      <c r="M210" s="97" t="s">
        <v>300</v>
      </c>
    </row>
    <row r="211" spans="1:13" ht="25.5" x14ac:dyDescent="0.2">
      <c r="A211" s="97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99">
        <v>45909</v>
      </c>
      <c r="G211" s="100">
        <v>0.375</v>
      </c>
      <c r="H211" s="99">
        <v>45907</v>
      </c>
      <c r="I211" s="100">
        <v>0.54166666666666663</v>
      </c>
      <c r="J211" s="53">
        <f t="shared" si="5"/>
        <v>0</v>
      </c>
      <c r="K211" s="53">
        <v>2</v>
      </c>
      <c r="L211" s="53">
        <v>30</v>
      </c>
      <c r="M211" s="97" t="s">
        <v>302</v>
      </c>
    </row>
    <row r="212" spans="1:13" ht="25.5" x14ac:dyDescent="0.2">
      <c r="A212" s="97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99">
        <v>45909</v>
      </c>
      <c r="G212" s="100">
        <v>0.375</v>
      </c>
      <c r="H212" s="99">
        <v>45907</v>
      </c>
      <c r="I212" s="100">
        <v>0.5625</v>
      </c>
      <c r="J212" s="53">
        <f t="shared" si="5"/>
        <v>0</v>
      </c>
      <c r="K212" s="53">
        <v>1</v>
      </c>
      <c r="L212" s="53">
        <v>30</v>
      </c>
      <c r="M212" s="97" t="s">
        <v>302</v>
      </c>
    </row>
    <row r="213" spans="1:13" ht="25.5" x14ac:dyDescent="0.2">
      <c r="A213" s="97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99">
        <v>45909</v>
      </c>
      <c r="G213" s="100">
        <v>0.375</v>
      </c>
      <c r="H213" s="99">
        <v>45907</v>
      </c>
      <c r="I213" s="100">
        <v>0.58333333333333337</v>
      </c>
      <c r="J213" s="53">
        <f t="shared" si="5"/>
        <v>-5</v>
      </c>
      <c r="K213" s="53">
        <v>1</v>
      </c>
      <c r="L213" s="53">
        <v>35</v>
      </c>
      <c r="M213" s="97" t="s">
        <v>304</v>
      </c>
    </row>
    <row r="214" spans="1:13" ht="25.5" x14ac:dyDescent="0.2">
      <c r="A214" s="97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99">
        <v>45909</v>
      </c>
      <c r="G214" s="100">
        <v>0.375</v>
      </c>
      <c r="H214" s="99">
        <v>45907</v>
      </c>
      <c r="I214" s="100">
        <v>0.60416666666666663</v>
      </c>
      <c r="J214" s="53">
        <f t="shared" si="5"/>
        <v>6</v>
      </c>
      <c r="K214" s="53">
        <v>1</v>
      </c>
      <c r="L214" s="53">
        <v>24</v>
      </c>
      <c r="M214" s="97" t="s">
        <v>304</v>
      </c>
    </row>
    <row r="215" spans="1:13" ht="25.5" x14ac:dyDescent="0.2">
      <c r="A215" s="97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99">
        <v>45909</v>
      </c>
      <c r="G215" s="100">
        <v>0.375</v>
      </c>
      <c r="H215" s="99">
        <v>45907</v>
      </c>
      <c r="I215" s="100">
        <v>0.625</v>
      </c>
      <c r="J215" s="53">
        <f t="shared" si="5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97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99">
        <v>45909</v>
      </c>
      <c r="G216" s="100">
        <v>0.375</v>
      </c>
      <c r="H216" s="99">
        <v>45907</v>
      </c>
      <c r="I216" s="100">
        <v>0.63888888888888884</v>
      </c>
      <c r="J216" s="53">
        <f t="shared" si="5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97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99">
        <v>45909</v>
      </c>
      <c r="G217" s="100">
        <v>0.375</v>
      </c>
      <c r="H217" s="99">
        <v>45907</v>
      </c>
      <c r="I217" s="100">
        <v>0.65277777777777779</v>
      </c>
      <c r="J217" s="53">
        <f t="shared" si="5"/>
        <v>0</v>
      </c>
      <c r="K217" s="53">
        <v>1</v>
      </c>
      <c r="L217" s="53">
        <v>20</v>
      </c>
      <c r="M217" s="97" t="s">
        <v>307</v>
      </c>
    </row>
    <row r="218" spans="1:13" ht="25.5" x14ac:dyDescent="0.2">
      <c r="A218" s="97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99">
        <v>45909</v>
      </c>
      <c r="G218" s="100">
        <v>0.375</v>
      </c>
      <c r="H218" s="99">
        <v>45907</v>
      </c>
      <c r="I218" s="100">
        <v>0.66666666666666663</v>
      </c>
      <c r="J218" s="53">
        <f t="shared" si="5"/>
        <v>-5</v>
      </c>
      <c r="K218" s="53">
        <v>1</v>
      </c>
      <c r="L218" s="53">
        <v>25</v>
      </c>
      <c r="M218" s="97" t="s">
        <v>307</v>
      </c>
    </row>
    <row r="219" spans="1:13" ht="25.5" x14ac:dyDescent="0.2">
      <c r="A219" s="97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99">
        <v>45909</v>
      </c>
      <c r="G219" s="100">
        <v>0.375</v>
      </c>
      <c r="H219" s="99">
        <v>45907</v>
      </c>
      <c r="I219" s="100">
        <v>0.68055555555555558</v>
      </c>
      <c r="J219" s="53">
        <f t="shared" si="5"/>
        <v>-5</v>
      </c>
      <c r="K219" s="53">
        <v>1</v>
      </c>
      <c r="L219" s="53">
        <v>25</v>
      </c>
      <c r="M219" s="97" t="s">
        <v>310</v>
      </c>
    </row>
    <row r="220" spans="1:13" ht="25.5" x14ac:dyDescent="0.2">
      <c r="A220" s="97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99">
        <v>45909</v>
      </c>
      <c r="G220" s="100">
        <v>0.375</v>
      </c>
      <c r="H220" s="99">
        <v>45907</v>
      </c>
      <c r="I220" s="100">
        <v>0.69444444444444442</v>
      </c>
      <c r="J220" s="53">
        <f t="shared" si="5"/>
        <v>5</v>
      </c>
      <c r="K220" s="53">
        <v>1</v>
      </c>
      <c r="L220" s="53">
        <v>15</v>
      </c>
      <c r="M220" s="97" t="s">
        <v>310</v>
      </c>
    </row>
    <row r="221" spans="1:13" x14ac:dyDescent="0.2">
      <c r="A221" s="97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99">
        <v>45909</v>
      </c>
      <c r="G221" s="100">
        <v>0.375</v>
      </c>
      <c r="H221" s="99">
        <v>45907</v>
      </c>
      <c r="I221" s="100">
        <v>0.70833333333333337</v>
      </c>
      <c r="J221" s="53">
        <f t="shared" si="5"/>
        <v>10</v>
      </c>
      <c r="K221" s="53">
        <v>1</v>
      </c>
      <c r="L221" s="53">
        <v>10</v>
      </c>
      <c r="M221" s="53" t="s">
        <v>312</v>
      </c>
    </row>
    <row r="222" spans="1:13" x14ac:dyDescent="0.2">
      <c r="A222" s="97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99">
        <v>45909</v>
      </c>
      <c r="G222" s="100">
        <v>0.375</v>
      </c>
      <c r="H222" s="99">
        <v>45907</v>
      </c>
      <c r="I222" s="100">
        <v>0.72222222222222221</v>
      </c>
      <c r="J222" s="53">
        <f t="shared" si="5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97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99">
        <v>45909</v>
      </c>
      <c r="G223" s="100">
        <v>0.375</v>
      </c>
      <c r="H223" s="99">
        <v>45907</v>
      </c>
      <c r="I223" s="100">
        <v>0.73611111111111116</v>
      </c>
      <c r="J223" s="53">
        <f t="shared" si="5"/>
        <v>10</v>
      </c>
      <c r="K223" s="53">
        <v>1</v>
      </c>
      <c r="L223" s="53">
        <v>10</v>
      </c>
      <c r="M223" s="97" t="s">
        <v>314</v>
      </c>
    </row>
    <row r="224" spans="1:13" ht="25.5" x14ac:dyDescent="0.2">
      <c r="A224" s="97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99">
        <v>45909</v>
      </c>
      <c r="G224" s="100">
        <v>0.375</v>
      </c>
      <c r="H224" s="99">
        <v>45907</v>
      </c>
      <c r="I224" s="100">
        <v>0.75</v>
      </c>
      <c r="J224" s="53">
        <f t="shared" si="5"/>
        <v>5</v>
      </c>
      <c r="K224" s="53">
        <v>1</v>
      </c>
      <c r="L224" s="53">
        <v>15</v>
      </c>
      <c r="M224" s="97" t="s">
        <v>314</v>
      </c>
    </row>
    <row r="225" spans="1:13" ht="25.5" x14ac:dyDescent="0.2">
      <c r="A225" s="97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99">
        <v>45909</v>
      </c>
      <c r="G225" s="100">
        <v>0.375</v>
      </c>
      <c r="H225" s="99">
        <v>45907</v>
      </c>
      <c r="I225" s="100">
        <v>0.75694444444444442</v>
      </c>
      <c r="J225" s="53">
        <f t="shared" si="5"/>
        <v>0</v>
      </c>
      <c r="K225" s="53">
        <v>1</v>
      </c>
      <c r="L225" s="53">
        <v>10</v>
      </c>
      <c r="M225" s="97" t="s">
        <v>316</v>
      </c>
    </row>
    <row r="226" spans="1:13" ht="25.5" x14ac:dyDescent="0.2">
      <c r="A226" s="97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99">
        <v>45909</v>
      </c>
      <c r="G226" s="100">
        <v>0.375</v>
      </c>
      <c r="H226" s="99">
        <v>45907</v>
      </c>
      <c r="I226" s="100">
        <v>0.76388888888888884</v>
      </c>
      <c r="J226" s="53">
        <f t="shared" si="5"/>
        <v>0</v>
      </c>
      <c r="K226" s="53">
        <v>1</v>
      </c>
      <c r="L226" s="53">
        <v>10</v>
      </c>
      <c r="M226" s="97" t="s">
        <v>316</v>
      </c>
    </row>
    <row r="227" spans="1:13" ht="24" x14ac:dyDescent="0.2">
      <c r="A227" s="112" t="s">
        <v>123</v>
      </c>
      <c r="B227" s="105" t="s">
        <v>36</v>
      </c>
      <c r="C227" s="105" t="s">
        <v>37</v>
      </c>
      <c r="D227" s="49">
        <v>1</v>
      </c>
      <c r="E227" s="49">
        <v>20</v>
      </c>
      <c r="F227" s="105">
        <v>45909</v>
      </c>
      <c r="G227" s="106">
        <v>0.375</v>
      </c>
      <c r="H227" s="105">
        <v>45907</v>
      </c>
      <c r="I227" s="106">
        <v>0.80555555555555558</v>
      </c>
      <c r="J227" s="107">
        <f t="shared" si="5"/>
        <v>0</v>
      </c>
      <c r="K227" s="104">
        <v>1</v>
      </c>
      <c r="L227" s="108">
        <v>20</v>
      </c>
      <c r="M227" s="113" t="s">
        <v>124</v>
      </c>
    </row>
    <row r="228" spans="1:13" ht="24" x14ac:dyDescent="0.2">
      <c r="A228" s="38" t="s">
        <v>123</v>
      </c>
      <c r="B228" s="105" t="s">
        <v>143</v>
      </c>
      <c r="C228" s="105" t="s">
        <v>43</v>
      </c>
      <c r="D228" s="49">
        <v>1</v>
      </c>
      <c r="E228" s="49">
        <v>20</v>
      </c>
      <c r="F228" s="105">
        <v>45909</v>
      </c>
      <c r="G228" s="106">
        <v>0.375</v>
      </c>
      <c r="H228" s="105">
        <v>45907</v>
      </c>
      <c r="I228" s="106">
        <v>0.80555555555555558</v>
      </c>
      <c r="J228" s="107">
        <f t="shared" ref="J228:J249" si="6">E228-L228</f>
        <v>0</v>
      </c>
      <c r="K228" s="104">
        <v>1</v>
      </c>
      <c r="L228" s="108">
        <v>20</v>
      </c>
      <c r="M228" s="113" t="s">
        <v>124</v>
      </c>
    </row>
    <row r="229" spans="1:13" ht="25.5" x14ac:dyDescent="0.2">
      <c r="A229" s="114" t="s">
        <v>175</v>
      </c>
      <c r="B229" s="114" t="s">
        <v>36</v>
      </c>
      <c r="C229" s="114" t="s">
        <v>37</v>
      </c>
      <c r="D229" s="98">
        <v>1</v>
      </c>
      <c r="E229" s="98">
        <v>30</v>
      </c>
      <c r="F229" s="114">
        <v>45909</v>
      </c>
      <c r="G229" s="106">
        <v>0.375</v>
      </c>
      <c r="H229" s="114">
        <v>45907</v>
      </c>
      <c r="I229" s="115">
        <v>0.83333333333333337</v>
      </c>
      <c r="J229" s="98">
        <f t="shared" si="6"/>
        <v>6</v>
      </c>
      <c r="K229" s="116">
        <v>1</v>
      </c>
      <c r="L229" s="68">
        <v>24</v>
      </c>
      <c r="M229" s="52" t="s">
        <v>176</v>
      </c>
    </row>
    <row r="230" spans="1:13" ht="25.5" x14ac:dyDescent="0.2">
      <c r="A230" s="114" t="s">
        <v>177</v>
      </c>
      <c r="B230" s="114" t="s">
        <v>39</v>
      </c>
      <c r="C230" s="114" t="s">
        <v>40</v>
      </c>
      <c r="D230" s="98">
        <v>1</v>
      </c>
      <c r="E230" s="98">
        <v>30</v>
      </c>
      <c r="F230" s="114">
        <v>45909</v>
      </c>
      <c r="G230" s="106">
        <v>0.375</v>
      </c>
      <c r="H230" s="114">
        <v>45907</v>
      </c>
      <c r="I230" s="115">
        <v>0.83333333333333337</v>
      </c>
      <c r="J230" s="98">
        <f t="shared" si="6"/>
        <v>0</v>
      </c>
      <c r="K230" s="116">
        <v>1</v>
      </c>
      <c r="L230" s="68">
        <v>30</v>
      </c>
      <c r="M230" s="52" t="s">
        <v>178</v>
      </c>
    </row>
    <row r="231" spans="1:13" ht="38.25" x14ac:dyDescent="0.2">
      <c r="A231" s="61" t="s">
        <v>179</v>
      </c>
      <c r="B231" s="114" t="s">
        <v>39</v>
      </c>
      <c r="C231" s="114" t="s">
        <v>40</v>
      </c>
      <c r="D231" s="98">
        <v>5</v>
      </c>
      <c r="E231" s="98">
        <v>50</v>
      </c>
      <c r="F231" s="114">
        <v>45909</v>
      </c>
      <c r="G231" s="106">
        <v>0.375</v>
      </c>
      <c r="H231" s="114">
        <v>45907</v>
      </c>
      <c r="I231" s="115">
        <v>0.86805555555555558</v>
      </c>
      <c r="J231" s="98">
        <f t="shared" si="6"/>
        <v>5</v>
      </c>
      <c r="K231" s="116">
        <v>5</v>
      </c>
      <c r="L231" s="68">
        <v>45</v>
      </c>
      <c r="M231" s="52" t="s">
        <v>180</v>
      </c>
    </row>
    <row r="232" spans="1:13" ht="36" x14ac:dyDescent="0.2">
      <c r="A232" s="23" t="s">
        <v>146</v>
      </c>
      <c r="B232" s="105" t="s">
        <v>30</v>
      </c>
      <c r="C232" s="110" t="s">
        <v>207</v>
      </c>
      <c r="D232" s="103">
        <v>1</v>
      </c>
      <c r="E232" s="49">
        <v>60</v>
      </c>
      <c r="F232" s="105">
        <v>45909</v>
      </c>
      <c r="G232" s="106">
        <v>0.375</v>
      </c>
      <c r="H232" s="105">
        <v>45907</v>
      </c>
      <c r="I232" s="106">
        <v>0.91666666666666663</v>
      </c>
      <c r="J232" s="107">
        <f t="shared" si="6"/>
        <v>50</v>
      </c>
      <c r="K232" s="104">
        <v>1</v>
      </c>
      <c r="L232" s="108">
        <v>10</v>
      </c>
      <c r="M232" s="111" t="s">
        <v>149</v>
      </c>
    </row>
    <row r="233" spans="1:13" ht="36" x14ac:dyDescent="0.2">
      <c r="A233" s="23" t="s">
        <v>146</v>
      </c>
      <c r="B233" s="105" t="s">
        <v>42</v>
      </c>
      <c r="C233" s="105" t="s">
        <v>77</v>
      </c>
      <c r="D233" s="103">
        <v>1</v>
      </c>
      <c r="E233" s="49">
        <v>60</v>
      </c>
      <c r="F233" s="105">
        <v>45909</v>
      </c>
      <c r="G233" s="106">
        <v>0.375</v>
      </c>
      <c r="H233" s="105">
        <v>45907</v>
      </c>
      <c r="I233" s="106">
        <v>0.91666666666666663</v>
      </c>
      <c r="J233" s="107">
        <f t="shared" si="6"/>
        <v>50</v>
      </c>
      <c r="K233" s="104">
        <v>1</v>
      </c>
      <c r="L233" s="108">
        <v>10</v>
      </c>
      <c r="M233" s="111" t="s">
        <v>149</v>
      </c>
    </row>
    <row r="234" spans="1:13" ht="36" x14ac:dyDescent="0.2">
      <c r="A234" s="23" t="s">
        <v>146</v>
      </c>
      <c r="B234" s="105" t="s">
        <v>21</v>
      </c>
      <c r="C234" s="105" t="s">
        <v>86</v>
      </c>
      <c r="D234" s="103">
        <v>1</v>
      </c>
      <c r="E234" s="49">
        <v>60</v>
      </c>
      <c r="F234" s="105">
        <v>45909</v>
      </c>
      <c r="G234" s="106">
        <v>0.375</v>
      </c>
      <c r="H234" s="105">
        <v>45907</v>
      </c>
      <c r="I234" s="106">
        <v>0.91666666666666663</v>
      </c>
      <c r="J234" s="107">
        <f t="shared" si="6"/>
        <v>50</v>
      </c>
      <c r="K234" s="104">
        <v>1</v>
      </c>
      <c r="L234" s="108">
        <v>10</v>
      </c>
      <c r="M234" s="111" t="s">
        <v>149</v>
      </c>
    </row>
    <row r="235" spans="1:13" ht="36" x14ac:dyDescent="0.2">
      <c r="A235" s="23" t="s">
        <v>146</v>
      </c>
      <c r="B235" s="105" t="s">
        <v>136</v>
      </c>
      <c r="C235" s="105" t="s">
        <v>151</v>
      </c>
      <c r="D235" s="103">
        <v>1</v>
      </c>
      <c r="E235" s="49">
        <v>60</v>
      </c>
      <c r="F235" s="105">
        <v>45909</v>
      </c>
      <c r="G235" s="106">
        <v>0.375</v>
      </c>
      <c r="H235" s="105">
        <v>45907</v>
      </c>
      <c r="I235" s="106">
        <v>0.91666666666666663</v>
      </c>
      <c r="J235" s="107">
        <f t="shared" si="6"/>
        <v>50</v>
      </c>
      <c r="K235" s="104">
        <v>1</v>
      </c>
      <c r="L235" s="108">
        <v>10</v>
      </c>
      <c r="M235" s="111" t="s">
        <v>149</v>
      </c>
    </row>
    <row r="236" spans="1:13" ht="36" x14ac:dyDescent="0.2">
      <c r="A236" s="23" t="s">
        <v>146</v>
      </c>
      <c r="B236" s="105" t="s">
        <v>36</v>
      </c>
      <c r="C236" s="105" t="s">
        <v>80</v>
      </c>
      <c r="D236" s="103">
        <v>1</v>
      </c>
      <c r="E236" s="49">
        <v>60</v>
      </c>
      <c r="F236" s="105">
        <v>45909</v>
      </c>
      <c r="G236" s="106">
        <v>0.375</v>
      </c>
      <c r="H236" s="105">
        <v>45907</v>
      </c>
      <c r="I236" s="106">
        <v>0.91666666666666663</v>
      </c>
      <c r="J236" s="107">
        <f t="shared" si="6"/>
        <v>50</v>
      </c>
      <c r="K236" s="104">
        <v>1</v>
      </c>
      <c r="L236" s="108">
        <v>10</v>
      </c>
      <c r="M236" s="111" t="s">
        <v>149</v>
      </c>
    </row>
    <row r="237" spans="1:13" ht="36" x14ac:dyDescent="0.2">
      <c r="A237" s="23" t="s">
        <v>146</v>
      </c>
      <c r="B237" s="105" t="s">
        <v>39</v>
      </c>
      <c r="C237" s="105" t="s">
        <v>150</v>
      </c>
      <c r="D237" s="103">
        <v>1</v>
      </c>
      <c r="E237" s="49">
        <v>60</v>
      </c>
      <c r="F237" s="105">
        <v>45909</v>
      </c>
      <c r="G237" s="106">
        <v>0.375</v>
      </c>
      <c r="H237" s="105">
        <v>45907</v>
      </c>
      <c r="I237" s="106">
        <v>0.91666666666666663</v>
      </c>
      <c r="J237" s="107">
        <f t="shared" si="6"/>
        <v>50</v>
      </c>
      <c r="K237" s="104">
        <v>1</v>
      </c>
      <c r="L237" s="108">
        <v>10</v>
      </c>
      <c r="M237" s="111" t="s">
        <v>149</v>
      </c>
    </row>
    <row r="238" spans="1:13" x14ac:dyDescent="0.2">
      <c r="A238" s="23" t="s">
        <v>52</v>
      </c>
      <c r="B238" s="109" t="s">
        <v>21</v>
      </c>
      <c r="C238" s="110" t="s">
        <v>22</v>
      </c>
      <c r="D238" s="103">
        <v>1</v>
      </c>
      <c r="E238" s="49">
        <v>30</v>
      </c>
      <c r="F238" s="105">
        <v>45909</v>
      </c>
      <c r="G238" s="106">
        <v>0.375</v>
      </c>
      <c r="H238" s="105">
        <v>45907</v>
      </c>
      <c r="I238" s="106">
        <v>0.91666666666666663</v>
      </c>
      <c r="J238" s="107">
        <f t="shared" si="6"/>
        <v>0</v>
      </c>
      <c r="K238" s="104">
        <v>1</v>
      </c>
      <c r="L238" s="108">
        <v>30</v>
      </c>
      <c r="M238" s="111" t="s">
        <v>53</v>
      </c>
    </row>
    <row r="239" spans="1:13" x14ac:dyDescent="0.2">
      <c r="A239" s="23" t="s">
        <v>153</v>
      </c>
      <c r="B239" s="109" t="s">
        <v>36</v>
      </c>
      <c r="C239" s="110" t="s">
        <v>37</v>
      </c>
      <c r="D239" s="103">
        <v>1</v>
      </c>
      <c r="E239" s="117">
        <v>30</v>
      </c>
      <c r="F239" s="105">
        <v>45909</v>
      </c>
      <c r="G239" s="106">
        <v>0.375</v>
      </c>
      <c r="H239" s="105">
        <v>45907</v>
      </c>
      <c r="I239" s="106">
        <v>0.91666666666666663</v>
      </c>
      <c r="J239" s="107">
        <f t="shared" si="6"/>
        <v>0</v>
      </c>
      <c r="K239" s="104">
        <v>1</v>
      </c>
      <c r="L239" s="108">
        <v>30</v>
      </c>
      <c r="M239" s="111" t="s">
        <v>53</v>
      </c>
    </row>
    <row r="240" spans="1:13" ht="24" x14ac:dyDescent="0.2">
      <c r="A240" s="23" t="s">
        <v>79</v>
      </c>
      <c r="B240" s="105" t="s">
        <v>36</v>
      </c>
      <c r="C240" s="110" t="s">
        <v>37</v>
      </c>
      <c r="D240" s="103">
        <v>1</v>
      </c>
      <c r="E240" s="49">
        <v>45</v>
      </c>
      <c r="F240" s="105">
        <v>45909</v>
      </c>
      <c r="G240" s="106">
        <v>0.375</v>
      </c>
      <c r="H240" s="105">
        <v>45907</v>
      </c>
      <c r="I240" s="106">
        <v>0.9375</v>
      </c>
      <c r="J240" s="107">
        <f t="shared" si="6"/>
        <v>-35</v>
      </c>
      <c r="K240" s="104">
        <v>1</v>
      </c>
      <c r="L240" s="108">
        <v>80</v>
      </c>
      <c r="M240" s="111" t="s">
        <v>81</v>
      </c>
    </row>
    <row r="241" spans="1:13" x14ac:dyDescent="0.2">
      <c r="A241" s="23" t="s">
        <v>85</v>
      </c>
      <c r="B241" s="105" t="s">
        <v>21</v>
      </c>
      <c r="C241" s="110" t="s">
        <v>22</v>
      </c>
      <c r="D241" s="103">
        <v>1</v>
      </c>
      <c r="E241" s="49">
        <v>60</v>
      </c>
      <c r="F241" s="105">
        <v>45909</v>
      </c>
      <c r="G241" s="106">
        <v>0.375</v>
      </c>
      <c r="H241" s="105">
        <v>45907</v>
      </c>
      <c r="I241" s="106">
        <v>0.9375</v>
      </c>
      <c r="J241" s="107">
        <f t="shared" si="6"/>
        <v>10</v>
      </c>
      <c r="K241" s="104">
        <v>1</v>
      </c>
      <c r="L241" s="108">
        <v>50</v>
      </c>
      <c r="M241" s="111" t="s">
        <v>87</v>
      </c>
    </row>
    <row r="242" spans="1:13" x14ac:dyDescent="0.2">
      <c r="A242" s="23" t="s">
        <v>88</v>
      </c>
      <c r="B242" s="105" t="s">
        <v>21</v>
      </c>
      <c r="C242" s="105" t="s">
        <v>22</v>
      </c>
      <c r="D242" s="103">
        <v>1</v>
      </c>
      <c r="E242" s="49">
        <v>55</v>
      </c>
      <c r="F242" s="105">
        <v>45909</v>
      </c>
      <c r="G242" s="106">
        <v>0.375</v>
      </c>
      <c r="H242" s="105">
        <v>45907</v>
      </c>
      <c r="I242" s="106">
        <v>0.9375</v>
      </c>
      <c r="J242" s="107">
        <f t="shared" si="6"/>
        <v>0</v>
      </c>
      <c r="K242" s="104">
        <v>1</v>
      </c>
      <c r="L242" s="108">
        <v>55</v>
      </c>
      <c r="M242" s="111" t="s">
        <v>89</v>
      </c>
    </row>
    <row r="243" spans="1:13" ht="24" x14ac:dyDescent="0.2">
      <c r="A243" s="33" t="s">
        <v>131</v>
      </c>
      <c r="B243" s="105" t="s">
        <v>36</v>
      </c>
      <c r="C243" s="105" t="s">
        <v>37</v>
      </c>
      <c r="D243" s="49">
        <v>1</v>
      </c>
      <c r="E243" s="49">
        <v>30</v>
      </c>
      <c r="F243" s="105">
        <v>45909</v>
      </c>
      <c r="G243" s="106">
        <v>0.375</v>
      </c>
      <c r="H243" s="105">
        <v>45907</v>
      </c>
      <c r="I243" s="106">
        <v>0.9375</v>
      </c>
      <c r="J243" s="107">
        <f t="shared" si="6"/>
        <v>-2</v>
      </c>
      <c r="K243" s="104">
        <v>1</v>
      </c>
      <c r="L243" s="108">
        <v>32</v>
      </c>
      <c r="M243" s="111" t="s">
        <v>132</v>
      </c>
    </row>
    <row r="244" spans="1:13" ht="24" x14ac:dyDescent="0.2">
      <c r="A244" s="33" t="s">
        <v>131</v>
      </c>
      <c r="B244" s="105" t="s">
        <v>42</v>
      </c>
      <c r="C244" s="105" t="s">
        <v>43</v>
      </c>
      <c r="D244" s="49">
        <v>1</v>
      </c>
      <c r="E244" s="49">
        <v>30</v>
      </c>
      <c r="F244" s="105">
        <v>45909</v>
      </c>
      <c r="G244" s="106">
        <v>0.375</v>
      </c>
      <c r="H244" s="105">
        <v>45907</v>
      </c>
      <c r="I244" s="106">
        <v>0.9375</v>
      </c>
      <c r="J244" s="107">
        <f t="shared" si="6"/>
        <v>-2</v>
      </c>
      <c r="K244" s="104">
        <v>1</v>
      </c>
      <c r="L244" s="108">
        <v>32</v>
      </c>
      <c r="M244" s="111" t="s">
        <v>132</v>
      </c>
    </row>
    <row r="245" spans="1:13" ht="24" x14ac:dyDescent="0.2">
      <c r="A245" s="33" t="s">
        <v>131</v>
      </c>
      <c r="B245" s="105" t="s">
        <v>30</v>
      </c>
      <c r="C245" s="105" t="s">
        <v>31</v>
      </c>
      <c r="D245" s="49">
        <v>1</v>
      </c>
      <c r="E245" s="49">
        <v>30</v>
      </c>
      <c r="F245" s="105">
        <v>45909</v>
      </c>
      <c r="G245" s="106">
        <v>0.375</v>
      </c>
      <c r="H245" s="105">
        <v>45907</v>
      </c>
      <c r="I245" s="106">
        <v>0.9375</v>
      </c>
      <c r="J245" s="107">
        <f t="shared" si="6"/>
        <v>-2</v>
      </c>
      <c r="K245" s="104">
        <v>1</v>
      </c>
      <c r="L245" s="108">
        <v>32</v>
      </c>
      <c r="M245" s="111" t="s">
        <v>132</v>
      </c>
    </row>
    <row r="246" spans="1:13" ht="24" x14ac:dyDescent="0.2">
      <c r="A246" s="33" t="s">
        <v>131</v>
      </c>
      <c r="B246" s="105" t="s">
        <v>21</v>
      </c>
      <c r="C246" s="105" t="s">
        <v>22</v>
      </c>
      <c r="D246" s="49">
        <v>1</v>
      </c>
      <c r="E246" s="49">
        <v>30</v>
      </c>
      <c r="F246" s="105">
        <v>45909</v>
      </c>
      <c r="G246" s="106">
        <v>0.375</v>
      </c>
      <c r="H246" s="105">
        <v>45907</v>
      </c>
      <c r="I246" s="106">
        <v>0.9375</v>
      </c>
      <c r="J246" s="107">
        <f t="shared" si="6"/>
        <v>-2</v>
      </c>
      <c r="K246" s="104">
        <v>1</v>
      </c>
      <c r="L246" s="108">
        <v>32</v>
      </c>
      <c r="M246" s="111" t="s">
        <v>132</v>
      </c>
    </row>
    <row r="247" spans="1:13" ht="24" x14ac:dyDescent="0.2">
      <c r="A247" s="33" t="s">
        <v>131</v>
      </c>
      <c r="B247" s="105" t="s">
        <v>136</v>
      </c>
      <c r="C247" s="105" t="s">
        <v>34</v>
      </c>
      <c r="D247" s="49">
        <v>1</v>
      </c>
      <c r="E247" s="49">
        <v>30</v>
      </c>
      <c r="F247" s="105">
        <v>45909</v>
      </c>
      <c r="G247" s="106">
        <v>0.375</v>
      </c>
      <c r="H247" s="105">
        <v>45907</v>
      </c>
      <c r="I247" s="106">
        <v>0.9375</v>
      </c>
      <c r="J247" s="107">
        <f t="shared" si="6"/>
        <v>-2</v>
      </c>
      <c r="K247" s="104">
        <v>1</v>
      </c>
      <c r="L247" s="108">
        <v>32</v>
      </c>
      <c r="M247" s="111" t="s">
        <v>132</v>
      </c>
    </row>
    <row r="248" spans="1:13" ht="24" x14ac:dyDescent="0.2">
      <c r="A248" s="33" t="s">
        <v>131</v>
      </c>
      <c r="B248" s="105" t="s">
        <v>39</v>
      </c>
      <c r="C248" s="105" t="s">
        <v>40</v>
      </c>
      <c r="D248" s="49">
        <v>1</v>
      </c>
      <c r="E248" s="49">
        <v>30</v>
      </c>
      <c r="F248" s="105">
        <v>45909</v>
      </c>
      <c r="G248" s="106">
        <v>0.375</v>
      </c>
      <c r="H248" s="105">
        <v>45907</v>
      </c>
      <c r="I248" s="106">
        <v>0.9375</v>
      </c>
      <c r="J248" s="107">
        <f t="shared" si="6"/>
        <v>-2</v>
      </c>
      <c r="K248" s="104">
        <v>1</v>
      </c>
      <c r="L248" s="108">
        <v>32</v>
      </c>
      <c r="M248" s="111" t="s">
        <v>132</v>
      </c>
    </row>
    <row r="249" spans="1:13" ht="24" x14ac:dyDescent="0.2">
      <c r="A249" s="33" t="s">
        <v>133</v>
      </c>
      <c r="B249" s="105" t="s">
        <v>21</v>
      </c>
      <c r="C249" s="105" t="s">
        <v>22</v>
      </c>
      <c r="D249" s="49">
        <v>3</v>
      </c>
      <c r="E249" s="49">
        <v>20</v>
      </c>
      <c r="F249" s="105">
        <v>45909</v>
      </c>
      <c r="G249" s="106">
        <v>0.375</v>
      </c>
      <c r="H249" s="105">
        <v>45908</v>
      </c>
      <c r="I249" s="106">
        <v>0.375</v>
      </c>
      <c r="J249" s="107">
        <f t="shared" si="6"/>
        <v>5</v>
      </c>
      <c r="K249" s="104">
        <v>3</v>
      </c>
      <c r="L249" s="108">
        <v>15</v>
      </c>
      <c r="M249" s="111" t="s">
        <v>134</v>
      </c>
    </row>
    <row r="265" customFormat="1" x14ac:dyDescent="0.2"/>
    <row r="266" customFormat="1" x14ac:dyDescent="0.2"/>
    <row r="267" customForma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2" zoomScale="84" zoomScaleNormal="76" workbookViewId="0">
      <selection activeCell="F9" sqref="F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3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7"/>
      <c r="M1" s="88"/>
    </row>
    <row r="2" spans="1:20" ht="20.25" customHeight="1" x14ac:dyDescent="0.2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9"/>
      <c r="M2" s="90"/>
    </row>
    <row r="3" spans="1:20" ht="12.75" customHeight="1" x14ac:dyDescent="0.2">
      <c r="A3" s="91" t="s">
        <v>1</v>
      </c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5" t="s">
        <v>3</v>
      </c>
      <c r="M3" s="96"/>
    </row>
    <row r="4" spans="1:20" ht="13.5" thickBot="1" x14ac:dyDescent="0.25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9" t="s">
        <v>6</v>
      </c>
      <c r="C6" s="79"/>
      <c r="D6" s="79"/>
      <c r="E6" s="79"/>
      <c r="F6" s="79"/>
      <c r="G6" s="79"/>
      <c r="H6" s="80" t="s">
        <v>7</v>
      </c>
      <c r="I6" s="81"/>
      <c r="J6" s="81"/>
      <c r="K6" s="81"/>
      <c r="L6" s="82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Q79" s="29">
        <v>1</v>
      </c>
      <c r="R79" s="29">
        <v>20</v>
      </c>
      <c r="S79" s="8">
        <v>1</v>
      </c>
      <c r="T79" s="7">
        <v>20</v>
      </c>
    </row>
    <row r="80" spans="1:20" x14ac:dyDescent="0.2">
      <c r="Q80" s="29">
        <v>1</v>
      </c>
      <c r="R80" s="29">
        <v>20</v>
      </c>
      <c r="S80" s="8">
        <v>1</v>
      </c>
      <c r="T80" s="7">
        <v>20</v>
      </c>
    </row>
    <row r="81" spans="17:20" x14ac:dyDescent="0.2">
      <c r="Q81" s="29">
        <v>1</v>
      </c>
      <c r="R81" s="29">
        <v>20</v>
      </c>
      <c r="S81" s="8">
        <v>1</v>
      </c>
      <c r="T81" s="7">
        <v>18</v>
      </c>
    </row>
    <row r="82" spans="17:20" x14ac:dyDescent="0.2">
      <c r="Q82" s="29">
        <v>1</v>
      </c>
      <c r="R82" s="29">
        <v>20</v>
      </c>
      <c r="S82" s="8">
        <v>1</v>
      </c>
      <c r="T82" s="7">
        <v>18</v>
      </c>
    </row>
    <row r="83" spans="17:20" x14ac:dyDescent="0.2">
      <c r="Q83" s="29">
        <v>1</v>
      </c>
      <c r="R83" s="29">
        <v>20</v>
      </c>
      <c r="S83" s="8">
        <v>1</v>
      </c>
      <c r="T83" s="7">
        <v>20</v>
      </c>
    </row>
    <row r="84" spans="17:20" x14ac:dyDescent="0.2">
      <c r="Q84" s="29">
        <v>1</v>
      </c>
      <c r="R84" s="29">
        <v>20</v>
      </c>
      <c r="S84" s="8">
        <v>1</v>
      </c>
      <c r="T84" s="7">
        <v>20</v>
      </c>
    </row>
    <row r="85" spans="17:20" x14ac:dyDescent="0.2">
      <c r="Q85" s="29">
        <v>1</v>
      </c>
      <c r="R85" s="29">
        <v>20</v>
      </c>
      <c r="S85" s="8">
        <v>1</v>
      </c>
      <c r="T85" s="7">
        <v>21</v>
      </c>
    </row>
    <row r="86" spans="17:20" x14ac:dyDescent="0.2">
      <c r="Q86" s="29">
        <v>1</v>
      </c>
      <c r="R86" s="29">
        <v>20</v>
      </c>
      <c r="S86" s="8">
        <v>1</v>
      </c>
      <c r="T86" s="7">
        <v>21</v>
      </c>
    </row>
    <row r="87" spans="17:20" x14ac:dyDescent="0.2">
      <c r="Q87" s="29">
        <v>1</v>
      </c>
      <c r="R87" s="29">
        <v>30</v>
      </c>
      <c r="S87" s="8">
        <v>1</v>
      </c>
      <c r="T87" s="7">
        <v>25</v>
      </c>
    </row>
    <row r="88" spans="17:20" x14ac:dyDescent="0.2">
      <c r="Q88" s="29">
        <v>1</v>
      </c>
      <c r="R88" s="29">
        <v>30</v>
      </c>
      <c r="S88" s="8">
        <v>1</v>
      </c>
      <c r="T88" s="7">
        <v>25</v>
      </c>
    </row>
    <row r="89" spans="17:20" x14ac:dyDescent="0.2">
      <c r="Q89" s="29">
        <v>1</v>
      </c>
      <c r="R89" s="29">
        <v>30</v>
      </c>
      <c r="S89" s="8">
        <v>1</v>
      </c>
      <c r="T89" s="7">
        <v>20</v>
      </c>
    </row>
    <row r="90" spans="17:20" x14ac:dyDescent="0.2">
      <c r="Q90" s="29">
        <v>1</v>
      </c>
      <c r="R90" s="29">
        <v>30</v>
      </c>
      <c r="S90" s="8">
        <v>1</v>
      </c>
      <c r="T90" s="7">
        <v>20</v>
      </c>
    </row>
    <row r="91" spans="17:20" x14ac:dyDescent="0.2">
      <c r="Q91" s="20">
        <v>1</v>
      </c>
      <c r="R91" s="29">
        <v>60</v>
      </c>
      <c r="S91" s="8">
        <v>1</v>
      </c>
      <c r="T91" s="7">
        <v>10</v>
      </c>
    </row>
    <row r="92" spans="17:20" x14ac:dyDescent="0.2">
      <c r="Q92" s="20">
        <v>1</v>
      </c>
      <c r="R92" s="29">
        <v>60</v>
      </c>
      <c r="S92" s="8">
        <v>1</v>
      </c>
      <c r="T92" s="7">
        <v>10</v>
      </c>
    </row>
    <row r="93" spans="17:20" x14ac:dyDescent="0.2">
      <c r="Q93" s="20">
        <v>1</v>
      </c>
      <c r="R93" s="29">
        <v>60</v>
      </c>
      <c r="S93" s="8">
        <v>1</v>
      </c>
      <c r="T93" s="7">
        <v>10</v>
      </c>
    </row>
    <row r="94" spans="17:20" x14ac:dyDescent="0.2">
      <c r="Q94" s="20">
        <v>1</v>
      </c>
      <c r="R94" s="29">
        <v>60</v>
      </c>
      <c r="S94" s="8">
        <v>1</v>
      </c>
      <c r="T94" s="7">
        <v>10</v>
      </c>
    </row>
    <row r="95" spans="17:20" x14ac:dyDescent="0.2">
      <c r="Q95" s="20">
        <v>1</v>
      </c>
      <c r="R95" s="29">
        <v>60</v>
      </c>
      <c r="S95" s="8">
        <v>1</v>
      </c>
      <c r="T95" s="7">
        <v>10</v>
      </c>
    </row>
    <row r="96" spans="17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topLeftCell="E8" zoomScale="84" zoomScaleNormal="76" workbookViewId="0">
      <selection activeCell="K75" sqref="K7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3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7"/>
      <c r="M1" s="88"/>
    </row>
    <row r="2" spans="1:20" ht="20.25" customHeight="1" x14ac:dyDescent="0.2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9"/>
      <c r="M2" s="90"/>
    </row>
    <row r="3" spans="1:20" ht="12.75" customHeight="1" x14ac:dyDescent="0.2">
      <c r="A3" s="91" t="s">
        <v>1</v>
      </c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5" t="s">
        <v>3</v>
      </c>
      <c r="M3" s="96"/>
    </row>
    <row r="4" spans="1:20" ht="13.5" thickBot="1" x14ac:dyDescent="0.25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9" t="s">
        <v>6</v>
      </c>
      <c r="C6" s="79"/>
      <c r="D6" s="79"/>
      <c r="E6" s="79"/>
      <c r="F6" s="79"/>
      <c r="G6" s="79"/>
      <c r="H6" s="80" t="s">
        <v>7</v>
      </c>
      <c r="I6" s="81"/>
      <c r="J6" s="81"/>
      <c r="K6" s="81"/>
      <c r="L6" s="82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/>
    <row r="68" spans="1:20" s="5" customFormat="1" ht="37.5" customHeight="1" x14ac:dyDescent="0.2"/>
    <row r="69" spans="1:20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"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Q95" s="20">
        <v>1</v>
      </c>
      <c r="R95" s="29">
        <v>60</v>
      </c>
      <c r="S95" s="8">
        <v>1</v>
      </c>
      <c r="T95" s="7">
        <v>10</v>
      </c>
    </row>
    <row r="96" spans="1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ht="36" x14ac:dyDescent="0.2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43" zoomScale="84" zoomScaleNormal="84" workbookViewId="0">
      <selection activeCell="O22" sqref="O2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3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7"/>
      <c r="M1" s="88"/>
    </row>
    <row r="2" spans="1:20" ht="20.25" customHeight="1" x14ac:dyDescent="0.2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9"/>
      <c r="M2" s="90"/>
    </row>
    <row r="3" spans="1:20" ht="12.75" customHeight="1" x14ac:dyDescent="0.2">
      <c r="A3" s="91" t="s">
        <v>1</v>
      </c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5" t="s">
        <v>3</v>
      </c>
      <c r="M3" s="96"/>
    </row>
    <row r="4" spans="1:20" ht="13.5" thickBot="1" x14ac:dyDescent="0.25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9" t="s">
        <v>6</v>
      </c>
      <c r="C6" s="79"/>
      <c r="D6" s="79"/>
      <c r="E6" s="79"/>
      <c r="F6" s="79"/>
      <c r="G6" s="79"/>
      <c r="H6" s="80" t="s">
        <v>7</v>
      </c>
      <c r="I6" s="81"/>
      <c r="J6" s="81"/>
      <c r="K6" s="81"/>
      <c r="L6" s="82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42" customHeight="1" x14ac:dyDescent="0.2">
      <c r="A20" s="60" t="s">
        <v>219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26.25" customHeight="1" x14ac:dyDescent="0.2">
      <c r="A25" s="13" t="s">
        <v>225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27" customHeight="1" x14ac:dyDescent="0.2">
      <c r="A26" s="13" t="s">
        <v>226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6" x14ac:dyDescent="0.2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">
      <c r="A78" s="23" t="s">
        <v>82</v>
      </c>
    </row>
    <row r="97" spans="1:20" ht="30" customHeight="1" x14ac:dyDescent="0.2"/>
    <row r="98" spans="1:20" ht="23.25" customHeight="1" x14ac:dyDescent="0.2"/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5876-5662-4198-9D28-C7F3B9127FCE}">
  <dimension ref="A1:T129"/>
  <sheetViews>
    <sheetView topLeftCell="A80" zoomScale="84" zoomScaleNormal="76" workbookViewId="0">
      <selection activeCell="G53" sqref="G53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3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7"/>
      <c r="M1" s="88"/>
    </row>
    <row r="2" spans="1:20" ht="20.25" customHeight="1" x14ac:dyDescent="0.2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9"/>
      <c r="M2" s="90"/>
    </row>
    <row r="3" spans="1:20" ht="12.75" customHeight="1" x14ac:dyDescent="0.2">
      <c r="A3" s="91" t="s">
        <v>1</v>
      </c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5" t="s">
        <v>3</v>
      </c>
      <c r="M3" s="96"/>
    </row>
    <row r="4" spans="1:20" ht="13.5" thickBot="1" x14ac:dyDescent="0.25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9" t="s">
        <v>6</v>
      </c>
      <c r="C6" s="79"/>
      <c r="D6" s="79"/>
      <c r="E6" s="79"/>
      <c r="F6" s="79"/>
      <c r="G6" s="79"/>
      <c r="H6" s="80" t="s">
        <v>7</v>
      </c>
      <c r="I6" s="81"/>
      <c r="J6" s="81"/>
      <c r="K6" s="81"/>
      <c r="L6" s="82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101" customFormat="1" ht="49.5" customHeight="1" x14ac:dyDescent="0.2">
      <c r="A8" s="23" t="s">
        <v>144</v>
      </c>
      <c r="B8" s="109" t="s">
        <v>30</v>
      </c>
      <c r="C8" s="110" t="s">
        <v>31</v>
      </c>
      <c r="D8" s="103">
        <v>1</v>
      </c>
      <c r="E8" s="104">
        <v>30</v>
      </c>
      <c r="F8" s="105">
        <v>45909</v>
      </c>
      <c r="G8" s="106">
        <v>0.375</v>
      </c>
      <c r="H8" s="105">
        <v>45905</v>
      </c>
      <c r="I8" s="106">
        <v>0.45833333333333331</v>
      </c>
      <c r="J8" s="107">
        <f t="shared" ref="J8:J9" si="0">E8-L8</f>
        <v>0</v>
      </c>
      <c r="K8" s="104">
        <v>1</v>
      </c>
      <c r="L8" s="108">
        <v>30</v>
      </c>
      <c r="M8" s="111" t="s">
        <v>156</v>
      </c>
      <c r="Q8" s="102"/>
      <c r="R8" s="102"/>
      <c r="S8" s="102"/>
      <c r="T8" s="102"/>
    </row>
    <row r="9" spans="1:20" s="5" customFormat="1" ht="40.5" customHeight="1" x14ac:dyDescent="0.2">
      <c r="A9" s="23" t="s">
        <v>216</v>
      </c>
      <c r="B9" s="105" t="s">
        <v>36</v>
      </c>
      <c r="C9" s="105" t="s">
        <v>37</v>
      </c>
      <c r="D9" s="103">
        <v>1</v>
      </c>
      <c r="E9" s="49">
        <v>30</v>
      </c>
      <c r="F9" s="105">
        <v>45909</v>
      </c>
      <c r="G9" s="106">
        <v>0.375</v>
      </c>
      <c r="H9" s="105">
        <v>45905</v>
      </c>
      <c r="I9" s="106">
        <v>0.79166666666666663</v>
      </c>
      <c r="J9" s="107">
        <f>E9-L9</f>
        <v>0</v>
      </c>
      <c r="K9" s="104">
        <v>1</v>
      </c>
      <c r="L9" s="108">
        <v>30</v>
      </c>
      <c r="M9" s="111" t="s">
        <v>75</v>
      </c>
      <c r="O9" s="5" t="s">
        <v>155</v>
      </c>
    </row>
    <row r="10" spans="1:20" s="5" customFormat="1" ht="39" customHeight="1" x14ac:dyDescent="0.2">
      <c r="A10" s="98" t="s">
        <v>252</v>
      </c>
      <c r="B10" s="53" t="s">
        <v>36</v>
      </c>
      <c r="C10" s="53" t="s">
        <v>37</v>
      </c>
      <c r="D10" s="53">
        <v>2</v>
      </c>
      <c r="E10" s="53">
        <v>30</v>
      </c>
      <c r="F10" s="99">
        <v>45909</v>
      </c>
      <c r="G10" s="100">
        <v>0.375</v>
      </c>
      <c r="H10" s="99">
        <v>45907</v>
      </c>
      <c r="I10" s="100">
        <v>0.52083333333333337</v>
      </c>
      <c r="J10" s="107">
        <f>E10-L10</f>
        <v>0</v>
      </c>
      <c r="K10" s="53">
        <v>2</v>
      </c>
      <c r="L10" s="53">
        <v>30</v>
      </c>
      <c r="M10" s="97" t="s">
        <v>253</v>
      </c>
    </row>
    <row r="11" spans="1:20" s="5" customFormat="1" ht="43.5" customHeight="1" x14ac:dyDescent="0.2">
      <c r="A11" s="98" t="s">
        <v>252</v>
      </c>
      <c r="B11" s="53" t="s">
        <v>42</v>
      </c>
      <c r="C11" s="53" t="s">
        <v>43</v>
      </c>
      <c r="D11" s="53">
        <v>2</v>
      </c>
      <c r="E11" s="53">
        <v>30</v>
      </c>
      <c r="F11" s="99">
        <v>45909</v>
      </c>
      <c r="G11" s="100">
        <v>0.375</v>
      </c>
      <c r="H11" s="99">
        <v>45907</v>
      </c>
      <c r="I11" s="100">
        <v>0.54166666666666663</v>
      </c>
      <c r="J11" s="107">
        <f t="shared" ref="J11:J74" si="1">E11-L11</f>
        <v>0</v>
      </c>
      <c r="K11" s="53">
        <v>2</v>
      </c>
      <c r="L11" s="53">
        <v>30</v>
      </c>
      <c r="M11" s="97" t="s">
        <v>253</v>
      </c>
    </row>
    <row r="12" spans="1:20" s="5" customFormat="1" ht="35.1" customHeight="1" x14ac:dyDescent="0.2">
      <c r="A12" s="98" t="s">
        <v>254</v>
      </c>
      <c r="B12" s="53" t="s">
        <v>36</v>
      </c>
      <c r="C12" s="53" t="s">
        <v>37</v>
      </c>
      <c r="D12" s="53">
        <v>1</v>
      </c>
      <c r="E12" s="53">
        <v>30</v>
      </c>
      <c r="F12" s="99">
        <v>45909</v>
      </c>
      <c r="G12" s="100">
        <v>0.375</v>
      </c>
      <c r="H12" s="99">
        <v>45907</v>
      </c>
      <c r="I12" s="100">
        <v>0.5625</v>
      </c>
      <c r="J12" s="107">
        <f t="shared" si="1"/>
        <v>0</v>
      </c>
      <c r="K12" s="53">
        <v>1</v>
      </c>
      <c r="L12" s="53">
        <v>30</v>
      </c>
      <c r="M12" s="97" t="s">
        <v>255</v>
      </c>
    </row>
    <row r="13" spans="1:20" s="5" customFormat="1" ht="35.1" customHeight="1" x14ac:dyDescent="0.2">
      <c r="A13" s="97" t="s">
        <v>254</v>
      </c>
      <c r="B13" s="53" t="s">
        <v>42</v>
      </c>
      <c r="C13" s="53" t="s">
        <v>43</v>
      </c>
      <c r="D13" s="53">
        <v>1</v>
      </c>
      <c r="E13" s="53">
        <v>30</v>
      </c>
      <c r="F13" s="99">
        <v>45909</v>
      </c>
      <c r="G13" s="100">
        <v>0.375</v>
      </c>
      <c r="H13" s="99">
        <v>45907</v>
      </c>
      <c r="I13" s="100">
        <v>0.58333333333333337</v>
      </c>
      <c r="J13" s="107">
        <f t="shared" si="1"/>
        <v>0</v>
      </c>
      <c r="K13" s="53">
        <v>2</v>
      </c>
      <c r="L13" s="53">
        <v>30</v>
      </c>
      <c r="M13" s="97" t="s">
        <v>255</v>
      </c>
    </row>
    <row r="14" spans="1:20" s="5" customFormat="1" ht="35.1" customHeight="1" x14ac:dyDescent="0.2">
      <c r="A14" s="53" t="s">
        <v>256</v>
      </c>
      <c r="B14" s="53" t="s">
        <v>36</v>
      </c>
      <c r="C14" s="53" t="s">
        <v>37</v>
      </c>
      <c r="D14" s="53">
        <v>2</v>
      </c>
      <c r="E14" s="53">
        <v>30</v>
      </c>
      <c r="F14" s="99">
        <v>45909</v>
      </c>
      <c r="G14" s="100">
        <v>0.375</v>
      </c>
      <c r="H14" s="99">
        <v>45907</v>
      </c>
      <c r="I14" s="100">
        <v>0.58333333333333337</v>
      </c>
      <c r="J14" s="53">
        <f t="shared" si="1"/>
        <v>0</v>
      </c>
      <c r="K14" s="53">
        <v>2</v>
      </c>
      <c r="L14" s="53">
        <v>30</v>
      </c>
      <c r="M14" s="97" t="s">
        <v>257</v>
      </c>
    </row>
    <row r="15" spans="1:20" s="5" customFormat="1" ht="35.1" customHeight="1" x14ac:dyDescent="0.2">
      <c r="A15" s="97" t="s">
        <v>256</v>
      </c>
      <c r="B15" s="53" t="s">
        <v>42</v>
      </c>
      <c r="C15" s="53" t="s">
        <v>43</v>
      </c>
      <c r="D15" s="53">
        <v>2</v>
      </c>
      <c r="E15" s="53">
        <v>30</v>
      </c>
      <c r="F15" s="99">
        <v>45909</v>
      </c>
      <c r="G15" s="100">
        <v>0.375</v>
      </c>
      <c r="H15" s="99">
        <v>45907</v>
      </c>
      <c r="I15" s="100">
        <v>0.58333333333333337</v>
      </c>
      <c r="J15" s="53">
        <f t="shared" si="1"/>
        <v>0</v>
      </c>
      <c r="K15" s="53">
        <v>2</v>
      </c>
      <c r="L15" s="53">
        <v>30</v>
      </c>
      <c r="M15" s="97" t="s">
        <v>257</v>
      </c>
    </row>
    <row r="16" spans="1:20" s="5" customFormat="1" ht="38.450000000000003" customHeight="1" x14ac:dyDescent="0.2">
      <c r="A16" s="97" t="s">
        <v>258</v>
      </c>
      <c r="B16" s="53" t="s">
        <v>36</v>
      </c>
      <c r="C16" s="53" t="s">
        <v>37</v>
      </c>
      <c r="D16" s="53">
        <v>2</v>
      </c>
      <c r="E16" s="53">
        <v>30</v>
      </c>
      <c r="F16" s="99">
        <v>45909</v>
      </c>
      <c r="G16" s="100">
        <v>0.375</v>
      </c>
      <c r="H16" s="99">
        <v>45907</v>
      </c>
      <c r="I16" s="100">
        <v>0.58333333333333337</v>
      </c>
      <c r="J16" s="53">
        <f t="shared" si="1"/>
        <v>0</v>
      </c>
      <c r="K16" s="53">
        <v>1</v>
      </c>
      <c r="L16" s="53">
        <v>30</v>
      </c>
      <c r="M16" s="97" t="s">
        <v>259</v>
      </c>
    </row>
    <row r="17" spans="1:13" s="5" customFormat="1" ht="30.75" customHeight="1" x14ac:dyDescent="0.2">
      <c r="A17" s="97" t="s">
        <v>258</v>
      </c>
      <c r="B17" s="53" t="s">
        <v>42</v>
      </c>
      <c r="C17" s="53" t="s">
        <v>43</v>
      </c>
      <c r="D17" s="53">
        <v>2</v>
      </c>
      <c r="E17" s="53">
        <v>30</v>
      </c>
      <c r="F17" s="99">
        <v>45909</v>
      </c>
      <c r="G17" s="100">
        <v>0.375</v>
      </c>
      <c r="H17" s="99">
        <v>45907</v>
      </c>
      <c r="I17" s="100">
        <v>0.58333333333333337</v>
      </c>
      <c r="J17" s="53">
        <f t="shared" si="1"/>
        <v>0</v>
      </c>
      <c r="K17" s="53">
        <v>1</v>
      </c>
      <c r="L17" s="53">
        <v>30</v>
      </c>
      <c r="M17" s="97" t="s">
        <v>259</v>
      </c>
    </row>
    <row r="18" spans="1:13" s="5" customFormat="1" ht="27" customHeight="1" x14ac:dyDescent="0.2">
      <c r="A18" s="53" t="s">
        <v>260</v>
      </c>
      <c r="B18" s="53" t="s">
        <v>36</v>
      </c>
      <c r="C18" s="53" t="s">
        <v>37</v>
      </c>
      <c r="D18" s="53">
        <v>1</v>
      </c>
      <c r="E18" s="53">
        <v>30</v>
      </c>
      <c r="F18" s="99">
        <v>45909</v>
      </c>
      <c r="G18" s="100">
        <v>0.375</v>
      </c>
      <c r="H18" s="99">
        <v>45907</v>
      </c>
      <c r="I18" s="100">
        <v>0.58333333333333337</v>
      </c>
      <c r="J18" s="53">
        <f t="shared" si="1"/>
        <v>0</v>
      </c>
      <c r="K18" s="53">
        <v>3</v>
      </c>
      <c r="L18" s="53">
        <v>30</v>
      </c>
      <c r="M18" s="97" t="s">
        <v>261</v>
      </c>
    </row>
    <row r="19" spans="1:13" s="5" customFormat="1" ht="38.25" customHeight="1" x14ac:dyDescent="0.2">
      <c r="A19" s="53" t="s">
        <v>260</v>
      </c>
      <c r="B19" s="53" t="s">
        <v>42</v>
      </c>
      <c r="C19" s="53" t="s">
        <v>43</v>
      </c>
      <c r="D19" s="53">
        <v>1</v>
      </c>
      <c r="E19" s="53">
        <v>30</v>
      </c>
      <c r="F19" s="99">
        <v>45909</v>
      </c>
      <c r="G19" s="100">
        <v>0.375</v>
      </c>
      <c r="H19" s="99">
        <v>45907</v>
      </c>
      <c r="I19" s="100">
        <v>0.58333333333333337</v>
      </c>
      <c r="J19" s="53">
        <f t="shared" si="1"/>
        <v>0</v>
      </c>
      <c r="K19" s="53">
        <v>2</v>
      </c>
      <c r="L19" s="53">
        <v>30</v>
      </c>
      <c r="M19" s="97" t="s">
        <v>261</v>
      </c>
    </row>
    <row r="20" spans="1:13" s="5" customFormat="1" ht="40.5" customHeight="1" x14ac:dyDescent="0.2">
      <c r="A20" s="53" t="s">
        <v>262</v>
      </c>
      <c r="B20" s="53" t="s">
        <v>36</v>
      </c>
      <c r="C20" s="53" t="s">
        <v>37</v>
      </c>
      <c r="D20" s="53">
        <v>1</v>
      </c>
      <c r="E20" s="53">
        <v>30</v>
      </c>
      <c r="F20" s="99">
        <v>45909</v>
      </c>
      <c r="G20" s="100">
        <v>0.375</v>
      </c>
      <c r="H20" s="99">
        <v>45907</v>
      </c>
      <c r="I20" s="100">
        <v>0.58333333333333337</v>
      </c>
      <c r="J20" s="53">
        <f t="shared" si="1"/>
        <v>0</v>
      </c>
      <c r="K20" s="53">
        <v>2</v>
      </c>
      <c r="L20" s="53">
        <v>30</v>
      </c>
      <c r="M20" s="97" t="s">
        <v>263</v>
      </c>
    </row>
    <row r="21" spans="1:13" s="5" customFormat="1" ht="27" customHeight="1" x14ac:dyDescent="0.2">
      <c r="A21" s="97" t="s">
        <v>262</v>
      </c>
      <c r="B21" s="53" t="s">
        <v>42</v>
      </c>
      <c r="C21" s="53" t="s">
        <v>43</v>
      </c>
      <c r="D21" s="53">
        <v>1</v>
      </c>
      <c r="E21" s="53">
        <v>30</v>
      </c>
      <c r="F21" s="99">
        <v>45909</v>
      </c>
      <c r="G21" s="100">
        <v>0.375</v>
      </c>
      <c r="H21" s="99">
        <v>45907</v>
      </c>
      <c r="I21" s="100">
        <v>0.58333333333333337</v>
      </c>
      <c r="J21" s="53">
        <f t="shared" si="1"/>
        <v>0</v>
      </c>
      <c r="K21" s="53">
        <v>1</v>
      </c>
      <c r="L21" s="53">
        <v>30</v>
      </c>
      <c r="M21" s="97" t="s">
        <v>263</v>
      </c>
    </row>
    <row r="22" spans="1:13" s="5" customFormat="1" ht="27" customHeight="1" x14ac:dyDescent="0.2">
      <c r="A22" s="97" t="s">
        <v>264</v>
      </c>
      <c r="B22" s="53" t="s">
        <v>36</v>
      </c>
      <c r="C22" s="53" t="s">
        <v>37</v>
      </c>
      <c r="D22" s="53">
        <v>1</v>
      </c>
      <c r="E22" s="53">
        <v>30</v>
      </c>
      <c r="F22" s="99">
        <v>45909</v>
      </c>
      <c r="G22" s="100">
        <v>0.375</v>
      </c>
      <c r="H22" s="99">
        <v>45907</v>
      </c>
      <c r="I22" s="100">
        <v>0.58333333333333337</v>
      </c>
      <c r="J22" s="53">
        <f t="shared" si="1"/>
        <v>0</v>
      </c>
      <c r="K22" s="53">
        <v>1</v>
      </c>
      <c r="L22" s="53">
        <v>30</v>
      </c>
      <c r="M22" s="97" t="s">
        <v>265</v>
      </c>
    </row>
    <row r="23" spans="1:13" s="5" customFormat="1" ht="27" customHeight="1" x14ac:dyDescent="0.2">
      <c r="A23" s="97" t="s">
        <v>264</v>
      </c>
      <c r="B23" s="53" t="s">
        <v>42</v>
      </c>
      <c r="C23" s="53" t="s">
        <v>43</v>
      </c>
      <c r="D23" s="53">
        <v>1</v>
      </c>
      <c r="E23" s="53">
        <v>30</v>
      </c>
      <c r="F23" s="99">
        <v>45909</v>
      </c>
      <c r="G23" s="100">
        <v>0.375</v>
      </c>
      <c r="H23" s="99">
        <v>45907</v>
      </c>
      <c r="I23" s="100">
        <v>0.58333333333333337</v>
      </c>
      <c r="J23" s="53">
        <f t="shared" si="1"/>
        <v>0</v>
      </c>
      <c r="K23" s="53">
        <v>1</v>
      </c>
      <c r="L23" s="53">
        <v>30</v>
      </c>
      <c r="M23" s="97" t="s">
        <v>265</v>
      </c>
    </row>
    <row r="24" spans="1:13" s="5" customFormat="1" ht="27" customHeight="1" x14ac:dyDescent="0.2">
      <c r="A24" s="97" t="s">
        <v>266</v>
      </c>
      <c r="B24" s="53" t="s">
        <v>36</v>
      </c>
      <c r="C24" s="53" t="s">
        <v>37</v>
      </c>
      <c r="D24" s="53">
        <v>1</v>
      </c>
      <c r="E24" s="53">
        <v>20</v>
      </c>
      <c r="F24" s="99">
        <v>45909</v>
      </c>
      <c r="G24" s="100">
        <v>0.375</v>
      </c>
      <c r="H24" s="99">
        <v>45907</v>
      </c>
      <c r="I24" s="100">
        <v>0.58333333333333337</v>
      </c>
      <c r="J24" s="53">
        <f t="shared" si="1"/>
        <v>-10</v>
      </c>
      <c r="K24" s="53">
        <v>1</v>
      </c>
      <c r="L24" s="53">
        <v>30</v>
      </c>
      <c r="M24" s="97" t="s">
        <v>267</v>
      </c>
    </row>
    <row r="25" spans="1:13" s="5" customFormat="1" ht="27" customHeight="1" x14ac:dyDescent="0.2">
      <c r="A25" s="97" t="s">
        <v>266</v>
      </c>
      <c r="B25" s="53" t="s">
        <v>42</v>
      </c>
      <c r="C25" s="53" t="s">
        <v>43</v>
      </c>
      <c r="D25" s="53">
        <v>1</v>
      </c>
      <c r="E25" s="53">
        <v>20</v>
      </c>
      <c r="F25" s="99">
        <v>45909</v>
      </c>
      <c r="G25" s="100">
        <v>0.375</v>
      </c>
      <c r="H25" s="99">
        <v>45907</v>
      </c>
      <c r="I25" s="100">
        <v>0.58333333333333337</v>
      </c>
      <c r="J25" s="53">
        <f t="shared" si="1"/>
        <v>-10</v>
      </c>
      <c r="K25" s="53">
        <v>1</v>
      </c>
      <c r="L25" s="53">
        <v>30</v>
      </c>
      <c r="M25" s="97" t="s">
        <v>267</v>
      </c>
    </row>
    <row r="26" spans="1:13" s="5" customFormat="1" ht="27" customHeight="1" x14ac:dyDescent="0.2">
      <c r="A26" s="97" t="s">
        <v>268</v>
      </c>
      <c r="B26" s="53" t="s">
        <v>36</v>
      </c>
      <c r="C26" s="53" t="s">
        <v>37</v>
      </c>
      <c r="D26" s="53">
        <v>1</v>
      </c>
      <c r="E26" s="53">
        <v>20</v>
      </c>
      <c r="F26" s="99">
        <v>45909</v>
      </c>
      <c r="G26" s="100">
        <v>0.375</v>
      </c>
      <c r="H26" s="99">
        <v>45907</v>
      </c>
      <c r="I26" s="100">
        <v>0.58333333333333337</v>
      </c>
      <c r="J26" s="53">
        <f t="shared" si="1"/>
        <v>-10</v>
      </c>
      <c r="K26" s="53">
        <v>1</v>
      </c>
      <c r="L26" s="53">
        <v>30</v>
      </c>
      <c r="M26" s="97" t="s">
        <v>269</v>
      </c>
    </row>
    <row r="27" spans="1:13" s="5" customFormat="1" ht="27" customHeight="1" x14ac:dyDescent="0.2">
      <c r="A27" s="97" t="s">
        <v>268</v>
      </c>
      <c r="B27" s="53" t="s">
        <v>42</v>
      </c>
      <c r="C27" s="53" t="s">
        <v>43</v>
      </c>
      <c r="D27" s="53">
        <v>1</v>
      </c>
      <c r="E27" s="53">
        <v>20</v>
      </c>
      <c r="F27" s="99">
        <v>45909</v>
      </c>
      <c r="G27" s="100">
        <v>0.375</v>
      </c>
      <c r="H27" s="99">
        <v>45907</v>
      </c>
      <c r="I27" s="100">
        <v>0.58333333333333337</v>
      </c>
      <c r="J27" s="53">
        <f t="shared" si="1"/>
        <v>0</v>
      </c>
      <c r="K27" s="53">
        <v>1</v>
      </c>
      <c r="L27" s="53">
        <v>20</v>
      </c>
      <c r="M27" s="97" t="s">
        <v>269</v>
      </c>
    </row>
    <row r="28" spans="1:13" s="5" customFormat="1" ht="27" customHeight="1" x14ac:dyDescent="0.2">
      <c r="A28" s="97" t="s">
        <v>270</v>
      </c>
      <c r="B28" s="53" t="s">
        <v>36</v>
      </c>
      <c r="C28" s="53" t="s">
        <v>37</v>
      </c>
      <c r="D28" s="53">
        <v>1</v>
      </c>
      <c r="E28" s="53">
        <v>20</v>
      </c>
      <c r="F28" s="99">
        <v>45909</v>
      </c>
      <c r="G28" s="100">
        <v>0.375</v>
      </c>
      <c r="H28" s="99">
        <v>45907</v>
      </c>
      <c r="I28" s="100">
        <v>0.58333333333333337</v>
      </c>
      <c r="J28" s="53">
        <f t="shared" si="1"/>
        <v>1</v>
      </c>
      <c r="K28" s="53">
        <v>2</v>
      </c>
      <c r="L28" s="53">
        <v>19</v>
      </c>
      <c r="M28" s="97" t="s">
        <v>273</v>
      </c>
    </row>
    <row r="29" spans="1:13" s="5" customFormat="1" ht="36.75" customHeight="1" x14ac:dyDescent="0.2">
      <c r="A29" s="97" t="s">
        <v>271</v>
      </c>
      <c r="B29" s="53" t="s">
        <v>42</v>
      </c>
      <c r="C29" s="53" t="s">
        <v>43</v>
      </c>
      <c r="D29" s="53">
        <v>1</v>
      </c>
      <c r="E29" s="53">
        <v>20</v>
      </c>
      <c r="F29" s="99">
        <v>45909</v>
      </c>
      <c r="G29" s="100">
        <v>0.375</v>
      </c>
      <c r="H29" s="99">
        <v>45907</v>
      </c>
      <c r="I29" s="100">
        <v>0.58333333333333337</v>
      </c>
      <c r="J29" s="53">
        <f t="shared" si="1"/>
        <v>0</v>
      </c>
      <c r="K29" s="53">
        <v>2</v>
      </c>
      <c r="L29" s="53">
        <v>20</v>
      </c>
      <c r="M29" s="97" t="s">
        <v>273</v>
      </c>
    </row>
    <row r="30" spans="1:13" s="5" customFormat="1" ht="37.5" customHeight="1" x14ac:dyDescent="0.2">
      <c r="A30" s="97" t="s">
        <v>272</v>
      </c>
      <c r="B30" s="53" t="s">
        <v>36</v>
      </c>
      <c r="C30" s="53" t="s">
        <v>37</v>
      </c>
      <c r="D30" s="53">
        <v>1</v>
      </c>
      <c r="E30" s="53">
        <v>15</v>
      </c>
      <c r="F30" s="99">
        <v>45909</v>
      </c>
      <c r="G30" s="100">
        <v>0.375</v>
      </c>
      <c r="H30" s="99">
        <v>45907</v>
      </c>
      <c r="I30" s="100">
        <v>0.58333333333333337</v>
      </c>
      <c r="J30" s="53">
        <f t="shared" si="1"/>
        <v>5</v>
      </c>
      <c r="K30" s="53">
        <v>1</v>
      </c>
      <c r="L30" s="53">
        <v>10</v>
      </c>
      <c r="M30" s="97" t="s">
        <v>274</v>
      </c>
    </row>
    <row r="31" spans="1:13" s="5" customFormat="1" ht="38.25" customHeight="1" x14ac:dyDescent="0.2">
      <c r="A31" s="97" t="s">
        <v>272</v>
      </c>
      <c r="B31" s="53" t="s">
        <v>42</v>
      </c>
      <c r="C31" s="53" t="s">
        <v>43</v>
      </c>
      <c r="D31" s="53">
        <v>1</v>
      </c>
      <c r="E31" s="53">
        <v>15</v>
      </c>
      <c r="F31" s="99">
        <v>45909</v>
      </c>
      <c r="G31" s="100">
        <v>0.375</v>
      </c>
      <c r="H31" s="99">
        <v>45907</v>
      </c>
      <c r="I31" s="100">
        <v>0.58333333333333337</v>
      </c>
      <c r="J31" s="53">
        <f t="shared" si="1"/>
        <v>5</v>
      </c>
      <c r="K31" s="53">
        <v>1</v>
      </c>
      <c r="L31" s="53">
        <v>10</v>
      </c>
      <c r="M31" s="97" t="s">
        <v>274</v>
      </c>
    </row>
    <row r="32" spans="1:13" s="5" customFormat="1" ht="36.75" customHeight="1" x14ac:dyDescent="0.2">
      <c r="A32" s="97" t="s">
        <v>275</v>
      </c>
      <c r="B32" s="53" t="s">
        <v>36</v>
      </c>
      <c r="C32" s="53" t="s">
        <v>37</v>
      </c>
      <c r="D32" s="53">
        <v>1</v>
      </c>
      <c r="E32" s="53">
        <v>20</v>
      </c>
      <c r="F32" s="99">
        <v>45909</v>
      </c>
      <c r="G32" s="100">
        <v>0.375</v>
      </c>
      <c r="H32" s="99">
        <v>45907</v>
      </c>
      <c r="I32" s="100">
        <v>0.58333333333333337</v>
      </c>
      <c r="J32" s="53">
        <f t="shared" si="1"/>
        <v>10</v>
      </c>
      <c r="K32" s="53">
        <v>1</v>
      </c>
      <c r="L32" s="53">
        <v>10</v>
      </c>
      <c r="M32" s="97" t="s">
        <v>276</v>
      </c>
    </row>
    <row r="33" spans="1:13" s="5" customFormat="1" ht="42" customHeight="1" x14ac:dyDescent="0.2">
      <c r="A33" s="97" t="s">
        <v>275</v>
      </c>
      <c r="B33" s="53" t="s">
        <v>42</v>
      </c>
      <c r="C33" s="53" t="s">
        <v>43</v>
      </c>
      <c r="D33" s="53">
        <v>1</v>
      </c>
      <c r="E33" s="53">
        <v>20</v>
      </c>
      <c r="F33" s="99">
        <v>45909</v>
      </c>
      <c r="G33" s="100">
        <v>0.375</v>
      </c>
      <c r="H33" s="99">
        <v>45907</v>
      </c>
      <c r="I33" s="100">
        <v>0.58333333333333337</v>
      </c>
      <c r="J33" s="53">
        <f t="shared" si="1"/>
        <v>10</v>
      </c>
      <c r="K33" s="53">
        <v>1</v>
      </c>
      <c r="L33" s="53">
        <v>10</v>
      </c>
      <c r="M33" s="97" t="s">
        <v>276</v>
      </c>
    </row>
    <row r="34" spans="1:13" s="5" customFormat="1" ht="39" customHeight="1" x14ac:dyDescent="0.2">
      <c r="A34" s="97" t="s">
        <v>277</v>
      </c>
      <c r="B34" s="53" t="s">
        <v>21</v>
      </c>
      <c r="C34" s="53" t="s">
        <v>22</v>
      </c>
      <c r="D34" s="53">
        <v>1</v>
      </c>
      <c r="E34" s="53">
        <v>55</v>
      </c>
      <c r="F34" s="99">
        <v>45909</v>
      </c>
      <c r="G34" s="100">
        <v>0.375</v>
      </c>
      <c r="H34" s="99">
        <v>45906</v>
      </c>
      <c r="I34" s="100">
        <v>0.35416666666666669</v>
      </c>
      <c r="J34" s="53">
        <f t="shared" si="1"/>
        <v>-5</v>
      </c>
      <c r="K34" s="53">
        <v>2</v>
      </c>
      <c r="L34" s="53">
        <v>60</v>
      </c>
      <c r="M34" s="97" t="s">
        <v>278</v>
      </c>
    </row>
    <row r="35" spans="1:13" s="5" customFormat="1" ht="42" customHeight="1" x14ac:dyDescent="0.2">
      <c r="A35" s="97" t="s">
        <v>277</v>
      </c>
      <c r="B35" s="53" t="s">
        <v>136</v>
      </c>
      <c r="C35" s="53" t="s">
        <v>34</v>
      </c>
      <c r="D35" s="53">
        <v>1</v>
      </c>
      <c r="E35" s="53">
        <v>55</v>
      </c>
      <c r="F35" s="99">
        <v>45909</v>
      </c>
      <c r="G35" s="100">
        <v>0.375</v>
      </c>
      <c r="H35" s="99">
        <v>45906</v>
      </c>
      <c r="I35" s="100">
        <v>0.39583333333333298</v>
      </c>
      <c r="J35" s="53">
        <f t="shared" si="1"/>
        <v>-5</v>
      </c>
      <c r="K35" s="53">
        <v>1</v>
      </c>
      <c r="L35" s="53">
        <v>60</v>
      </c>
      <c r="M35" s="97" t="s">
        <v>278</v>
      </c>
    </row>
    <row r="36" spans="1:13" s="5" customFormat="1" ht="47.25" customHeight="1" x14ac:dyDescent="0.2">
      <c r="A36" s="97" t="s">
        <v>279</v>
      </c>
      <c r="B36" s="53" t="s">
        <v>21</v>
      </c>
      <c r="C36" s="53" t="s">
        <v>22</v>
      </c>
      <c r="D36" s="53">
        <v>1</v>
      </c>
      <c r="E36" s="53">
        <v>60</v>
      </c>
      <c r="F36" s="99">
        <v>45909</v>
      </c>
      <c r="G36" s="100">
        <v>0.375</v>
      </c>
      <c r="H36" s="99">
        <v>45906</v>
      </c>
      <c r="I36" s="100">
        <v>0.4375</v>
      </c>
      <c r="J36" s="53">
        <f t="shared" si="1"/>
        <v>0</v>
      </c>
      <c r="K36" s="53">
        <v>3</v>
      </c>
      <c r="L36" s="53">
        <v>60</v>
      </c>
      <c r="M36" s="97" t="s">
        <v>280</v>
      </c>
    </row>
    <row r="37" spans="1:13" s="5" customFormat="1" ht="33.950000000000003" customHeight="1" x14ac:dyDescent="0.2">
      <c r="A37" s="97" t="s">
        <v>279</v>
      </c>
      <c r="B37" s="53" t="s">
        <v>136</v>
      </c>
      <c r="C37" s="53" t="s">
        <v>34</v>
      </c>
      <c r="D37" s="53">
        <v>1</v>
      </c>
      <c r="E37" s="53">
        <v>60</v>
      </c>
      <c r="F37" s="99">
        <v>45909</v>
      </c>
      <c r="G37" s="100">
        <v>0.375</v>
      </c>
      <c r="H37" s="99">
        <v>45906</v>
      </c>
      <c r="I37" s="100">
        <v>0.47916666666666702</v>
      </c>
      <c r="J37" s="53">
        <f t="shared" si="1"/>
        <v>0</v>
      </c>
      <c r="K37" s="53">
        <v>1</v>
      </c>
      <c r="L37" s="53">
        <v>60</v>
      </c>
      <c r="M37" s="97" t="s">
        <v>280</v>
      </c>
    </row>
    <row r="38" spans="1:13" s="5" customFormat="1" ht="28.5" customHeight="1" x14ac:dyDescent="0.2">
      <c r="A38" s="97" t="s">
        <v>281</v>
      </c>
      <c r="B38" s="53" t="s">
        <v>21</v>
      </c>
      <c r="C38" s="53" t="s">
        <v>22</v>
      </c>
      <c r="D38" s="53">
        <v>1</v>
      </c>
      <c r="E38" s="53">
        <v>30</v>
      </c>
      <c r="F38" s="99">
        <v>45909</v>
      </c>
      <c r="G38" s="100">
        <v>0.375</v>
      </c>
      <c r="H38" s="99">
        <v>45906</v>
      </c>
      <c r="I38" s="100">
        <v>0.5</v>
      </c>
      <c r="J38" s="53">
        <f t="shared" si="1"/>
        <v>0</v>
      </c>
      <c r="K38" s="53">
        <v>1</v>
      </c>
      <c r="L38" s="53">
        <v>30</v>
      </c>
      <c r="M38" s="97" t="s">
        <v>282</v>
      </c>
    </row>
    <row r="39" spans="1:13" s="5" customFormat="1" ht="39" customHeight="1" x14ac:dyDescent="0.2">
      <c r="A39" s="97" t="s">
        <v>281</v>
      </c>
      <c r="B39" s="53" t="s">
        <v>136</v>
      </c>
      <c r="C39" s="53" t="s">
        <v>34</v>
      </c>
      <c r="D39" s="53">
        <v>1</v>
      </c>
      <c r="E39" s="53">
        <v>30</v>
      </c>
      <c r="F39" s="99">
        <v>45909</v>
      </c>
      <c r="G39" s="100">
        <v>0.375</v>
      </c>
      <c r="H39" s="99">
        <v>45906</v>
      </c>
      <c r="I39" s="100">
        <v>0.52083333333333337</v>
      </c>
      <c r="J39" s="53">
        <f t="shared" si="1"/>
        <v>2</v>
      </c>
      <c r="K39" s="53">
        <v>1</v>
      </c>
      <c r="L39" s="53">
        <v>28</v>
      </c>
      <c r="M39" s="97" t="s">
        <v>282</v>
      </c>
    </row>
    <row r="40" spans="1:13" s="5" customFormat="1" ht="38.25" customHeight="1" x14ac:dyDescent="0.2">
      <c r="A40" s="97" t="s">
        <v>283</v>
      </c>
      <c r="B40" s="53" t="s">
        <v>21</v>
      </c>
      <c r="C40" s="53" t="s">
        <v>22</v>
      </c>
      <c r="D40" s="53">
        <v>1</v>
      </c>
      <c r="E40" s="53">
        <v>30</v>
      </c>
      <c r="F40" s="99">
        <v>45909</v>
      </c>
      <c r="G40" s="100">
        <v>0.375</v>
      </c>
      <c r="H40" s="99">
        <v>45906</v>
      </c>
      <c r="I40" s="100">
        <v>0.54166666666666663</v>
      </c>
      <c r="J40" s="53">
        <f t="shared" si="1"/>
        <v>0</v>
      </c>
      <c r="K40" s="53">
        <v>1</v>
      </c>
      <c r="L40" s="53">
        <v>30</v>
      </c>
      <c r="M40" s="97" t="s">
        <v>284</v>
      </c>
    </row>
    <row r="41" spans="1:13" s="5" customFormat="1" ht="38.25" customHeight="1" x14ac:dyDescent="0.2">
      <c r="A41" s="97" t="s">
        <v>283</v>
      </c>
      <c r="B41" s="53" t="s">
        <v>136</v>
      </c>
      <c r="C41" s="53" t="s">
        <v>34</v>
      </c>
      <c r="D41" s="53">
        <v>1</v>
      </c>
      <c r="E41" s="53">
        <v>30</v>
      </c>
      <c r="F41" s="99">
        <v>45909</v>
      </c>
      <c r="G41" s="100">
        <v>0.375</v>
      </c>
      <c r="H41" s="99">
        <v>45906</v>
      </c>
      <c r="I41" s="100">
        <v>0.5625</v>
      </c>
      <c r="J41" s="53">
        <f t="shared" si="1"/>
        <v>1</v>
      </c>
      <c r="K41" s="53">
        <v>1</v>
      </c>
      <c r="L41" s="53">
        <v>29</v>
      </c>
      <c r="M41" s="97" t="s">
        <v>284</v>
      </c>
    </row>
    <row r="42" spans="1:13" s="5" customFormat="1" ht="42" customHeight="1" x14ac:dyDescent="0.2">
      <c r="A42" s="97" t="s">
        <v>285</v>
      </c>
      <c r="B42" s="53" t="s">
        <v>21</v>
      </c>
      <c r="C42" s="53" t="s">
        <v>22</v>
      </c>
      <c r="D42" s="53">
        <v>1</v>
      </c>
      <c r="E42" s="53">
        <v>30</v>
      </c>
      <c r="F42" s="99">
        <v>45909</v>
      </c>
      <c r="G42" s="100">
        <v>0.375</v>
      </c>
      <c r="H42" s="99">
        <v>45906</v>
      </c>
      <c r="I42" s="100">
        <v>0.58333333333333337</v>
      </c>
      <c r="J42" s="53">
        <f t="shared" si="1"/>
        <v>0</v>
      </c>
      <c r="K42" s="53">
        <v>1</v>
      </c>
      <c r="L42" s="53">
        <v>30</v>
      </c>
      <c r="M42" s="97" t="s">
        <v>286</v>
      </c>
    </row>
    <row r="43" spans="1:13" s="5" customFormat="1" ht="32.450000000000003" customHeight="1" x14ac:dyDescent="0.2">
      <c r="A43" s="97" t="s">
        <v>285</v>
      </c>
      <c r="B43" s="53" t="s">
        <v>136</v>
      </c>
      <c r="C43" s="53" t="s">
        <v>34</v>
      </c>
      <c r="D43" s="53">
        <v>1</v>
      </c>
      <c r="E43" s="53">
        <v>30</v>
      </c>
      <c r="F43" s="99">
        <v>45909</v>
      </c>
      <c r="G43" s="100">
        <v>0.375</v>
      </c>
      <c r="H43" s="99">
        <v>45906</v>
      </c>
      <c r="I43" s="100">
        <v>0.58333333333333337</v>
      </c>
      <c r="J43" s="53">
        <f t="shared" si="1"/>
        <v>0</v>
      </c>
      <c r="K43" s="53">
        <v>1</v>
      </c>
      <c r="L43" s="53">
        <v>30</v>
      </c>
      <c r="M43" s="97" t="s">
        <v>286</v>
      </c>
    </row>
    <row r="44" spans="1:13" ht="35.25" customHeight="1" x14ac:dyDescent="0.2">
      <c r="A44" s="97" t="s">
        <v>287</v>
      </c>
      <c r="B44" s="53" t="s">
        <v>21</v>
      </c>
      <c r="C44" s="53" t="s">
        <v>22</v>
      </c>
      <c r="D44" s="53">
        <v>1</v>
      </c>
      <c r="E44" s="53">
        <v>30</v>
      </c>
      <c r="F44" s="99">
        <v>45909</v>
      </c>
      <c r="G44" s="100">
        <v>0.375</v>
      </c>
      <c r="H44" s="99">
        <v>45906</v>
      </c>
      <c r="I44" s="100">
        <v>0.60416666666666663</v>
      </c>
      <c r="J44" s="53">
        <f t="shared" si="1"/>
        <v>0</v>
      </c>
      <c r="K44" s="53">
        <v>1</v>
      </c>
      <c r="L44" s="53">
        <v>30</v>
      </c>
      <c r="M44" s="97" t="s">
        <v>288</v>
      </c>
    </row>
    <row r="45" spans="1:13" s="5" customFormat="1" ht="47.1" customHeight="1" x14ac:dyDescent="0.2">
      <c r="A45" s="97" t="s">
        <v>287</v>
      </c>
      <c r="B45" s="53" t="s">
        <v>136</v>
      </c>
      <c r="C45" s="53" t="s">
        <v>34</v>
      </c>
      <c r="D45" s="53">
        <v>1</v>
      </c>
      <c r="E45" s="53">
        <v>30</v>
      </c>
      <c r="F45" s="99">
        <v>45909</v>
      </c>
      <c r="G45" s="100">
        <v>0.375</v>
      </c>
      <c r="H45" s="99">
        <v>45906</v>
      </c>
      <c r="I45" s="100">
        <v>0.60416666666666663</v>
      </c>
      <c r="J45" s="53">
        <f t="shared" si="1"/>
        <v>5</v>
      </c>
      <c r="K45" s="53">
        <v>1</v>
      </c>
      <c r="L45" s="53">
        <v>25</v>
      </c>
      <c r="M45" s="97" t="s">
        <v>288</v>
      </c>
    </row>
    <row r="46" spans="1:13" s="5" customFormat="1" ht="43.5" customHeight="1" x14ac:dyDescent="0.2">
      <c r="A46" s="97" t="s">
        <v>289</v>
      </c>
      <c r="B46" s="53" t="s">
        <v>21</v>
      </c>
      <c r="C46" s="53" t="s">
        <v>22</v>
      </c>
      <c r="D46" s="53">
        <v>1</v>
      </c>
      <c r="E46" s="53">
        <v>30</v>
      </c>
      <c r="F46" s="99">
        <v>45909</v>
      </c>
      <c r="G46" s="100">
        <v>0.375</v>
      </c>
      <c r="H46" s="99">
        <v>45906</v>
      </c>
      <c r="I46" s="100">
        <v>0.625</v>
      </c>
      <c r="J46" s="53">
        <f t="shared" si="1"/>
        <v>5</v>
      </c>
      <c r="K46" s="53">
        <v>1</v>
      </c>
      <c r="L46" s="53">
        <v>25</v>
      </c>
      <c r="M46" s="97" t="s">
        <v>290</v>
      </c>
    </row>
    <row r="47" spans="1:13" s="5" customFormat="1" ht="42.75" customHeight="1" x14ac:dyDescent="0.2">
      <c r="A47" s="53" t="s">
        <v>289</v>
      </c>
      <c r="B47" s="53" t="s">
        <v>136</v>
      </c>
      <c r="C47" s="53" t="s">
        <v>34</v>
      </c>
      <c r="D47" s="53">
        <v>1</v>
      </c>
      <c r="E47" s="53">
        <v>30</v>
      </c>
      <c r="F47" s="99">
        <v>45909</v>
      </c>
      <c r="G47" s="100">
        <v>0.375</v>
      </c>
      <c r="H47" s="99">
        <v>45906</v>
      </c>
      <c r="I47" s="100">
        <v>0.625</v>
      </c>
      <c r="J47" s="53">
        <f t="shared" si="1"/>
        <v>0</v>
      </c>
      <c r="K47" s="53">
        <v>1</v>
      </c>
      <c r="L47" s="53">
        <v>30</v>
      </c>
      <c r="M47" s="97" t="s">
        <v>290</v>
      </c>
    </row>
    <row r="48" spans="1:13" s="5" customFormat="1" ht="39" customHeight="1" x14ac:dyDescent="0.2">
      <c r="A48" s="97" t="s">
        <v>291</v>
      </c>
      <c r="B48" s="53" t="s">
        <v>21</v>
      </c>
      <c r="C48" s="53" t="s">
        <v>22</v>
      </c>
      <c r="D48" s="53">
        <v>1</v>
      </c>
      <c r="E48" s="53">
        <v>30</v>
      </c>
      <c r="F48" s="99">
        <v>45909</v>
      </c>
      <c r="G48" s="100">
        <v>0.375</v>
      </c>
      <c r="H48" s="99">
        <v>45906</v>
      </c>
      <c r="I48" s="100">
        <v>0.64583333333333337</v>
      </c>
      <c r="J48" s="53">
        <f t="shared" si="1"/>
        <v>0</v>
      </c>
      <c r="K48" s="53">
        <v>1</v>
      </c>
      <c r="L48" s="53">
        <v>30</v>
      </c>
      <c r="M48" s="97" t="s">
        <v>292</v>
      </c>
    </row>
    <row r="49" spans="1:13" s="5" customFormat="1" ht="29.25" customHeight="1" x14ac:dyDescent="0.2">
      <c r="A49" s="97" t="s">
        <v>291</v>
      </c>
      <c r="B49" s="53" t="s">
        <v>136</v>
      </c>
      <c r="C49" s="53" t="s">
        <v>34</v>
      </c>
      <c r="D49" s="53">
        <v>1</v>
      </c>
      <c r="E49" s="53">
        <v>30</v>
      </c>
      <c r="F49" s="99">
        <v>45909</v>
      </c>
      <c r="G49" s="100">
        <v>0.375</v>
      </c>
      <c r="H49" s="99">
        <v>45906</v>
      </c>
      <c r="I49" s="100">
        <v>0.64583333333333337</v>
      </c>
      <c r="J49" s="53">
        <f t="shared" si="1"/>
        <v>0</v>
      </c>
      <c r="K49" s="53">
        <v>1</v>
      </c>
      <c r="L49" s="53">
        <v>30</v>
      </c>
      <c r="M49" s="97" t="s">
        <v>292</v>
      </c>
    </row>
    <row r="50" spans="1:13" s="5" customFormat="1" ht="31.5" customHeight="1" x14ac:dyDescent="0.2">
      <c r="A50" s="97" t="s">
        <v>293</v>
      </c>
      <c r="B50" s="53" t="s">
        <v>21</v>
      </c>
      <c r="C50" s="53" t="s">
        <v>22</v>
      </c>
      <c r="D50" s="53">
        <v>2</v>
      </c>
      <c r="E50" s="53">
        <v>60</v>
      </c>
      <c r="F50" s="99">
        <v>45909</v>
      </c>
      <c r="G50" s="100">
        <v>0.375</v>
      </c>
      <c r="H50" s="99">
        <v>45906</v>
      </c>
      <c r="I50" s="100">
        <v>0.66666666666666663</v>
      </c>
      <c r="J50" s="53">
        <f t="shared" si="1"/>
        <v>35</v>
      </c>
      <c r="K50" s="53">
        <v>1</v>
      </c>
      <c r="L50" s="53">
        <v>25</v>
      </c>
      <c r="M50" s="97" t="s">
        <v>294</v>
      </c>
    </row>
    <row r="51" spans="1:13" s="5" customFormat="1" ht="26.45" customHeight="1" x14ac:dyDescent="0.2">
      <c r="A51" s="97" t="s">
        <v>293</v>
      </c>
      <c r="B51" s="53" t="s">
        <v>136</v>
      </c>
      <c r="C51" s="53" t="s">
        <v>34</v>
      </c>
      <c r="D51" s="53">
        <v>2</v>
      </c>
      <c r="E51" s="53">
        <v>60</v>
      </c>
      <c r="F51" s="99">
        <v>45909</v>
      </c>
      <c r="G51" s="100">
        <v>0.375</v>
      </c>
      <c r="H51" s="99">
        <v>45906</v>
      </c>
      <c r="I51" s="100">
        <v>0.66666666666666663</v>
      </c>
      <c r="J51" s="53">
        <f t="shared" si="1"/>
        <v>35</v>
      </c>
      <c r="K51" s="53">
        <v>1</v>
      </c>
      <c r="L51" s="53">
        <v>25</v>
      </c>
      <c r="M51" s="97" t="s">
        <v>294</v>
      </c>
    </row>
    <row r="52" spans="1:13" s="5" customFormat="1" ht="29.1" customHeight="1" x14ac:dyDescent="0.2">
      <c r="A52" s="97" t="s">
        <v>295</v>
      </c>
      <c r="B52" s="53" t="s">
        <v>21</v>
      </c>
      <c r="C52" s="53" t="s">
        <v>22</v>
      </c>
      <c r="D52" s="53">
        <v>2</v>
      </c>
      <c r="E52" s="53">
        <v>60</v>
      </c>
      <c r="F52" s="99">
        <v>45909</v>
      </c>
      <c r="G52" s="100">
        <v>0.375</v>
      </c>
      <c r="H52" s="99">
        <v>45906</v>
      </c>
      <c r="I52" s="100">
        <v>0.70833333333333337</v>
      </c>
      <c r="J52" s="53">
        <f t="shared" si="1"/>
        <v>38</v>
      </c>
      <c r="K52" s="53">
        <v>1</v>
      </c>
      <c r="L52" s="53">
        <v>22</v>
      </c>
      <c r="M52" s="97" t="s">
        <v>296</v>
      </c>
    </row>
    <row r="53" spans="1:13" s="5" customFormat="1" ht="31.5" customHeight="1" x14ac:dyDescent="0.2">
      <c r="A53" s="97" t="s">
        <v>295</v>
      </c>
      <c r="B53" s="53" t="s">
        <v>136</v>
      </c>
      <c r="C53" s="53" t="s">
        <v>34</v>
      </c>
      <c r="D53" s="53">
        <v>2</v>
      </c>
      <c r="E53" s="53">
        <v>60</v>
      </c>
      <c r="F53" s="99">
        <v>45909</v>
      </c>
      <c r="G53" s="100">
        <v>0.375</v>
      </c>
      <c r="H53" s="99">
        <v>45906</v>
      </c>
      <c r="I53" s="100">
        <v>0.75</v>
      </c>
      <c r="J53" s="53">
        <f t="shared" si="1"/>
        <v>38</v>
      </c>
      <c r="K53" s="53">
        <v>2</v>
      </c>
      <c r="L53" s="53">
        <v>22</v>
      </c>
      <c r="M53" s="97" t="s">
        <v>296</v>
      </c>
    </row>
    <row r="54" spans="1:13" s="5" customFormat="1" ht="26.1" customHeight="1" x14ac:dyDescent="0.2">
      <c r="A54" s="97" t="s">
        <v>297</v>
      </c>
      <c r="B54" s="53" t="s">
        <v>21</v>
      </c>
      <c r="C54" s="53" t="s">
        <v>22</v>
      </c>
      <c r="D54" s="53">
        <v>2</v>
      </c>
      <c r="E54" s="53">
        <v>60</v>
      </c>
      <c r="F54" s="99">
        <v>45909</v>
      </c>
      <c r="G54" s="100">
        <v>0.375</v>
      </c>
      <c r="H54" s="99">
        <v>45906</v>
      </c>
      <c r="I54" s="100">
        <v>0.79166666666666696</v>
      </c>
      <c r="J54" s="53">
        <f t="shared" si="1"/>
        <v>39</v>
      </c>
      <c r="K54" s="53">
        <v>2</v>
      </c>
      <c r="L54" s="53">
        <v>21</v>
      </c>
      <c r="M54" s="97" t="s">
        <v>298</v>
      </c>
    </row>
    <row r="55" spans="1:13" s="5" customFormat="1" ht="39" customHeight="1" x14ac:dyDescent="0.2">
      <c r="A55" s="97" t="s">
        <v>297</v>
      </c>
      <c r="B55" s="53" t="s">
        <v>136</v>
      </c>
      <c r="C55" s="53" t="s">
        <v>34</v>
      </c>
      <c r="D55" s="53">
        <v>2</v>
      </c>
      <c r="E55" s="53">
        <v>60</v>
      </c>
      <c r="F55" s="99">
        <v>45909</v>
      </c>
      <c r="G55" s="100">
        <v>0.375</v>
      </c>
      <c r="H55" s="99">
        <v>45906</v>
      </c>
      <c r="I55" s="100">
        <v>0.83333333333333304</v>
      </c>
      <c r="J55" s="53">
        <f t="shared" si="1"/>
        <v>39</v>
      </c>
      <c r="K55" s="53">
        <v>2</v>
      </c>
      <c r="L55" s="53">
        <v>21</v>
      </c>
      <c r="M55" s="97" t="s">
        <v>298</v>
      </c>
    </row>
    <row r="56" spans="1:13" s="5" customFormat="1" ht="40.5" customHeight="1" x14ac:dyDescent="0.2">
      <c r="A56" s="97" t="s">
        <v>299</v>
      </c>
      <c r="B56" s="53" t="s">
        <v>30</v>
      </c>
      <c r="C56" s="53" t="s">
        <v>31</v>
      </c>
      <c r="D56" s="53">
        <v>1</v>
      </c>
      <c r="E56" s="53">
        <v>30</v>
      </c>
      <c r="F56" s="99">
        <v>45909</v>
      </c>
      <c r="G56" s="100">
        <v>0.375</v>
      </c>
      <c r="H56" s="99">
        <v>45907</v>
      </c>
      <c r="I56" s="100">
        <v>0.5</v>
      </c>
      <c r="J56" s="53">
        <f t="shared" si="1"/>
        <v>0</v>
      </c>
      <c r="K56" s="53">
        <v>2</v>
      </c>
      <c r="L56" s="53">
        <v>30</v>
      </c>
      <c r="M56" s="97" t="s">
        <v>300</v>
      </c>
    </row>
    <row r="57" spans="1:13" s="5" customFormat="1" ht="40.5" customHeight="1" x14ac:dyDescent="0.2">
      <c r="A57" s="53" t="s">
        <v>299</v>
      </c>
      <c r="B57" s="53" t="s">
        <v>39</v>
      </c>
      <c r="C57" s="53" t="s">
        <v>40</v>
      </c>
      <c r="D57" s="53">
        <v>1</v>
      </c>
      <c r="E57" s="53">
        <v>30</v>
      </c>
      <c r="F57" s="99">
        <v>45909</v>
      </c>
      <c r="G57" s="100">
        <v>0.375</v>
      </c>
      <c r="H57" s="99">
        <v>45907</v>
      </c>
      <c r="I57" s="100">
        <v>0.52083333333333337</v>
      </c>
      <c r="J57" s="53">
        <f t="shared" si="1"/>
        <v>0</v>
      </c>
      <c r="K57" s="53">
        <v>2</v>
      </c>
      <c r="L57" s="53">
        <v>30</v>
      </c>
      <c r="M57" s="97" t="s">
        <v>300</v>
      </c>
    </row>
    <row r="58" spans="1:13" s="5" customFormat="1" ht="38.25" customHeight="1" x14ac:dyDescent="0.2">
      <c r="A58" s="97" t="s">
        <v>301</v>
      </c>
      <c r="B58" s="53" t="s">
        <v>30</v>
      </c>
      <c r="C58" s="53" t="s">
        <v>31</v>
      </c>
      <c r="D58" s="53">
        <v>1</v>
      </c>
      <c r="E58" s="53">
        <v>30</v>
      </c>
      <c r="F58" s="99">
        <v>45909</v>
      </c>
      <c r="G58" s="100">
        <v>0.375</v>
      </c>
      <c r="H58" s="99">
        <v>45907</v>
      </c>
      <c r="I58" s="100">
        <v>0.54166666666666663</v>
      </c>
      <c r="J58" s="53">
        <f t="shared" si="1"/>
        <v>0</v>
      </c>
      <c r="K58" s="53">
        <v>2</v>
      </c>
      <c r="L58" s="53">
        <v>30</v>
      </c>
      <c r="M58" s="97" t="s">
        <v>302</v>
      </c>
    </row>
    <row r="59" spans="1:13" s="5" customFormat="1" ht="38.25" customHeight="1" x14ac:dyDescent="0.2">
      <c r="A59" s="97" t="s">
        <v>301</v>
      </c>
      <c r="B59" s="53" t="s">
        <v>39</v>
      </c>
      <c r="C59" s="53" t="s">
        <v>40</v>
      </c>
      <c r="D59" s="53">
        <v>1</v>
      </c>
      <c r="E59" s="53">
        <v>30</v>
      </c>
      <c r="F59" s="99">
        <v>45909</v>
      </c>
      <c r="G59" s="100">
        <v>0.375</v>
      </c>
      <c r="H59" s="99">
        <v>45907</v>
      </c>
      <c r="I59" s="100">
        <v>0.5625</v>
      </c>
      <c r="J59" s="53">
        <f t="shared" si="1"/>
        <v>0</v>
      </c>
      <c r="K59" s="53">
        <v>1</v>
      </c>
      <c r="L59" s="53">
        <v>30</v>
      </c>
      <c r="M59" s="97" t="s">
        <v>302</v>
      </c>
    </row>
    <row r="60" spans="1:13" s="5" customFormat="1" ht="27" customHeight="1" x14ac:dyDescent="0.2">
      <c r="A60" s="97" t="s">
        <v>303</v>
      </c>
      <c r="B60" s="53" t="s">
        <v>30</v>
      </c>
      <c r="C60" s="53" t="s">
        <v>31</v>
      </c>
      <c r="D60" s="53">
        <v>1</v>
      </c>
      <c r="E60" s="53">
        <v>30</v>
      </c>
      <c r="F60" s="99">
        <v>45909</v>
      </c>
      <c r="G60" s="100">
        <v>0.375</v>
      </c>
      <c r="H60" s="99">
        <v>45907</v>
      </c>
      <c r="I60" s="100">
        <v>0.58333333333333337</v>
      </c>
      <c r="J60" s="53">
        <f t="shared" si="1"/>
        <v>-5</v>
      </c>
      <c r="K60" s="53">
        <v>1</v>
      </c>
      <c r="L60" s="53">
        <v>35</v>
      </c>
      <c r="M60" s="97" t="s">
        <v>304</v>
      </c>
    </row>
    <row r="61" spans="1:13" s="5" customFormat="1" ht="33" customHeight="1" x14ac:dyDescent="0.2">
      <c r="A61" s="97" t="s">
        <v>303</v>
      </c>
      <c r="B61" s="53" t="s">
        <v>39</v>
      </c>
      <c r="C61" s="53" t="s">
        <v>40</v>
      </c>
      <c r="D61" s="53">
        <v>1</v>
      </c>
      <c r="E61" s="53">
        <v>30</v>
      </c>
      <c r="F61" s="99">
        <v>45909</v>
      </c>
      <c r="G61" s="100">
        <v>0.375</v>
      </c>
      <c r="H61" s="99">
        <v>45907</v>
      </c>
      <c r="I61" s="100">
        <v>0.60416666666666663</v>
      </c>
      <c r="J61" s="53">
        <f t="shared" si="1"/>
        <v>6</v>
      </c>
      <c r="K61" s="53">
        <v>1</v>
      </c>
      <c r="L61" s="53">
        <v>24</v>
      </c>
      <c r="M61" s="97" t="s">
        <v>304</v>
      </c>
    </row>
    <row r="62" spans="1:13" s="5" customFormat="1" ht="33.75" customHeight="1" x14ac:dyDescent="0.2">
      <c r="A62" s="97" t="s">
        <v>305</v>
      </c>
      <c r="B62" s="53" t="s">
        <v>30</v>
      </c>
      <c r="C62" s="53" t="s">
        <v>31</v>
      </c>
      <c r="D62" s="53">
        <v>2</v>
      </c>
      <c r="E62" s="53">
        <v>20</v>
      </c>
      <c r="F62" s="99">
        <v>45909</v>
      </c>
      <c r="G62" s="100">
        <v>0.375</v>
      </c>
      <c r="H62" s="99">
        <v>45907</v>
      </c>
      <c r="I62" s="100">
        <v>0.625</v>
      </c>
      <c r="J62" s="53">
        <f t="shared" si="1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97" t="s">
        <v>305</v>
      </c>
      <c r="B63" s="53" t="s">
        <v>39</v>
      </c>
      <c r="C63" s="53" t="s">
        <v>40</v>
      </c>
      <c r="D63" s="53">
        <v>2</v>
      </c>
      <c r="E63" s="53">
        <v>20</v>
      </c>
      <c r="F63" s="99">
        <v>45909</v>
      </c>
      <c r="G63" s="100">
        <v>0.375</v>
      </c>
      <c r="H63" s="99">
        <v>45907</v>
      </c>
      <c r="I63" s="100">
        <v>0.63888888888888884</v>
      </c>
      <c r="J63" s="53">
        <f t="shared" si="1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97" t="s">
        <v>308</v>
      </c>
      <c r="B64" s="53" t="s">
        <v>30</v>
      </c>
      <c r="C64" s="53" t="s">
        <v>31</v>
      </c>
      <c r="D64" s="53">
        <v>1</v>
      </c>
      <c r="E64" s="53">
        <v>20</v>
      </c>
      <c r="F64" s="99">
        <v>45909</v>
      </c>
      <c r="G64" s="100">
        <v>0.375</v>
      </c>
      <c r="H64" s="99">
        <v>45907</v>
      </c>
      <c r="I64" s="100">
        <v>0.65277777777777779</v>
      </c>
      <c r="J64" s="53">
        <f t="shared" si="1"/>
        <v>0</v>
      </c>
      <c r="K64" s="53">
        <v>1</v>
      </c>
      <c r="L64" s="53">
        <v>20</v>
      </c>
      <c r="M64" s="97" t="s">
        <v>307</v>
      </c>
    </row>
    <row r="65" spans="1:13" s="5" customFormat="1" ht="24.95" customHeight="1" x14ac:dyDescent="0.2">
      <c r="A65" s="97" t="s">
        <v>308</v>
      </c>
      <c r="B65" s="53" t="s">
        <v>39</v>
      </c>
      <c r="C65" s="53" t="s">
        <v>40</v>
      </c>
      <c r="D65" s="53">
        <v>1</v>
      </c>
      <c r="E65" s="53">
        <v>20</v>
      </c>
      <c r="F65" s="99">
        <v>45909</v>
      </c>
      <c r="G65" s="100">
        <v>0.375</v>
      </c>
      <c r="H65" s="99">
        <v>45907</v>
      </c>
      <c r="I65" s="100">
        <v>0.66666666666666663</v>
      </c>
      <c r="J65" s="53">
        <f t="shared" si="1"/>
        <v>-5</v>
      </c>
      <c r="K65" s="53">
        <v>1</v>
      </c>
      <c r="L65" s="53">
        <v>25</v>
      </c>
      <c r="M65" s="97" t="s">
        <v>307</v>
      </c>
    </row>
    <row r="66" spans="1:13" s="5" customFormat="1" ht="28.5" customHeight="1" x14ac:dyDescent="0.2">
      <c r="A66" s="97" t="s">
        <v>309</v>
      </c>
      <c r="B66" s="53" t="s">
        <v>30</v>
      </c>
      <c r="C66" s="53" t="s">
        <v>31</v>
      </c>
      <c r="D66" s="53">
        <v>1</v>
      </c>
      <c r="E66" s="53">
        <v>20</v>
      </c>
      <c r="F66" s="99">
        <v>45909</v>
      </c>
      <c r="G66" s="100">
        <v>0.375</v>
      </c>
      <c r="H66" s="99">
        <v>45907</v>
      </c>
      <c r="I66" s="100">
        <v>0.68055555555555558</v>
      </c>
      <c r="J66" s="53">
        <f t="shared" si="1"/>
        <v>-5</v>
      </c>
      <c r="K66" s="53">
        <v>1</v>
      </c>
      <c r="L66" s="53">
        <v>25</v>
      </c>
      <c r="M66" s="97" t="s">
        <v>310</v>
      </c>
    </row>
    <row r="67" spans="1:13" s="5" customFormat="1" ht="35.450000000000003" customHeight="1" x14ac:dyDescent="0.2">
      <c r="A67" s="97" t="s">
        <v>309</v>
      </c>
      <c r="B67" s="53" t="s">
        <v>39</v>
      </c>
      <c r="C67" s="53" t="s">
        <v>40</v>
      </c>
      <c r="D67" s="53">
        <v>1</v>
      </c>
      <c r="E67" s="53">
        <v>20</v>
      </c>
      <c r="F67" s="99">
        <v>45909</v>
      </c>
      <c r="G67" s="100">
        <v>0.375</v>
      </c>
      <c r="H67" s="99">
        <v>45907</v>
      </c>
      <c r="I67" s="100">
        <v>0.69444444444444442</v>
      </c>
      <c r="J67" s="53">
        <f t="shared" si="1"/>
        <v>5</v>
      </c>
      <c r="K67" s="53">
        <v>1</v>
      </c>
      <c r="L67" s="53">
        <v>15</v>
      </c>
      <c r="M67" s="97" t="s">
        <v>310</v>
      </c>
    </row>
    <row r="68" spans="1:13" s="5" customFormat="1" ht="36.6" customHeight="1" x14ac:dyDescent="0.2">
      <c r="A68" s="97" t="s">
        <v>311</v>
      </c>
      <c r="B68" s="53" t="s">
        <v>30</v>
      </c>
      <c r="C68" s="53" t="s">
        <v>31</v>
      </c>
      <c r="D68" s="53">
        <v>1</v>
      </c>
      <c r="E68" s="53">
        <v>20</v>
      </c>
      <c r="F68" s="99">
        <v>45909</v>
      </c>
      <c r="G68" s="100">
        <v>0.375</v>
      </c>
      <c r="H68" s="99">
        <v>45907</v>
      </c>
      <c r="I68" s="100">
        <v>0.70833333333333337</v>
      </c>
      <c r="J68" s="53">
        <f t="shared" si="1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97" t="s">
        <v>311</v>
      </c>
      <c r="B69" s="53" t="s">
        <v>39</v>
      </c>
      <c r="C69" s="53" t="s">
        <v>40</v>
      </c>
      <c r="D69" s="53">
        <v>1</v>
      </c>
      <c r="E69" s="53">
        <v>20</v>
      </c>
      <c r="F69" s="99">
        <v>45909</v>
      </c>
      <c r="G69" s="100">
        <v>0.375</v>
      </c>
      <c r="H69" s="99">
        <v>45907</v>
      </c>
      <c r="I69" s="100">
        <v>0.72222222222222221</v>
      </c>
      <c r="J69" s="53">
        <f t="shared" si="1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97" t="s">
        <v>313</v>
      </c>
      <c r="B70" s="53" t="s">
        <v>30</v>
      </c>
      <c r="C70" s="53" t="s">
        <v>31</v>
      </c>
      <c r="D70" s="53">
        <v>1</v>
      </c>
      <c r="E70" s="53">
        <v>20</v>
      </c>
      <c r="F70" s="99">
        <v>45909</v>
      </c>
      <c r="G70" s="100">
        <v>0.375</v>
      </c>
      <c r="H70" s="99">
        <v>45907</v>
      </c>
      <c r="I70" s="100">
        <v>0.73611111111111116</v>
      </c>
      <c r="J70" s="53">
        <f t="shared" si="1"/>
        <v>10</v>
      </c>
      <c r="K70" s="53">
        <v>1</v>
      </c>
      <c r="L70" s="53">
        <v>10</v>
      </c>
      <c r="M70" s="97" t="s">
        <v>314</v>
      </c>
    </row>
    <row r="71" spans="1:13" s="5" customFormat="1" ht="35.450000000000003" customHeight="1" x14ac:dyDescent="0.2">
      <c r="A71" s="97" t="s">
        <v>313</v>
      </c>
      <c r="B71" s="53" t="s">
        <v>39</v>
      </c>
      <c r="C71" s="53" t="s">
        <v>40</v>
      </c>
      <c r="D71" s="53">
        <v>1</v>
      </c>
      <c r="E71" s="53">
        <v>20</v>
      </c>
      <c r="F71" s="99">
        <v>45909</v>
      </c>
      <c r="G71" s="100">
        <v>0.375</v>
      </c>
      <c r="H71" s="99">
        <v>45907</v>
      </c>
      <c r="I71" s="100">
        <v>0.75</v>
      </c>
      <c r="J71" s="53">
        <f t="shared" si="1"/>
        <v>5</v>
      </c>
      <c r="K71" s="53">
        <v>1</v>
      </c>
      <c r="L71" s="53">
        <v>15</v>
      </c>
      <c r="M71" s="97" t="s">
        <v>314</v>
      </c>
    </row>
    <row r="72" spans="1:13" s="5" customFormat="1" ht="35.450000000000003" customHeight="1" x14ac:dyDescent="0.2">
      <c r="A72" s="97" t="s">
        <v>315</v>
      </c>
      <c r="B72" s="53" t="s">
        <v>30</v>
      </c>
      <c r="C72" s="53" t="s">
        <v>31</v>
      </c>
      <c r="D72" s="53">
        <v>1</v>
      </c>
      <c r="E72" s="53">
        <v>10</v>
      </c>
      <c r="F72" s="99">
        <v>45909</v>
      </c>
      <c r="G72" s="100">
        <v>0.375</v>
      </c>
      <c r="H72" s="99">
        <v>45907</v>
      </c>
      <c r="I72" s="100">
        <v>0.75694444444444442</v>
      </c>
      <c r="J72" s="53">
        <f t="shared" si="1"/>
        <v>0</v>
      </c>
      <c r="K72" s="53">
        <v>1</v>
      </c>
      <c r="L72" s="53">
        <v>10</v>
      </c>
      <c r="M72" s="97" t="s">
        <v>316</v>
      </c>
    </row>
    <row r="73" spans="1:13" s="5" customFormat="1" ht="35.450000000000003" customHeight="1" x14ac:dyDescent="0.2">
      <c r="A73" s="97" t="s">
        <v>315</v>
      </c>
      <c r="B73" s="53" t="s">
        <v>39</v>
      </c>
      <c r="C73" s="53" t="s">
        <v>40</v>
      </c>
      <c r="D73" s="53">
        <v>1</v>
      </c>
      <c r="E73" s="53">
        <v>10</v>
      </c>
      <c r="F73" s="99">
        <v>45909</v>
      </c>
      <c r="G73" s="100">
        <v>0.375</v>
      </c>
      <c r="H73" s="99">
        <v>45907</v>
      </c>
      <c r="I73" s="100">
        <v>0.76388888888888884</v>
      </c>
      <c r="J73" s="53">
        <f t="shared" si="1"/>
        <v>0</v>
      </c>
      <c r="K73" s="53">
        <v>1</v>
      </c>
      <c r="L73" s="53">
        <v>10</v>
      </c>
      <c r="M73" s="97" t="s">
        <v>316</v>
      </c>
    </row>
    <row r="74" spans="1:13" s="5" customFormat="1" ht="35.450000000000003" customHeight="1" x14ac:dyDescent="0.2">
      <c r="A74" s="112" t="s">
        <v>123</v>
      </c>
      <c r="B74" s="105" t="s">
        <v>36</v>
      </c>
      <c r="C74" s="105" t="s">
        <v>37</v>
      </c>
      <c r="D74" s="49">
        <v>1</v>
      </c>
      <c r="E74" s="49">
        <v>20</v>
      </c>
      <c r="F74" s="105">
        <v>45909</v>
      </c>
      <c r="G74" s="106">
        <v>0.375</v>
      </c>
      <c r="H74" s="105">
        <v>45907</v>
      </c>
      <c r="I74" s="106">
        <v>0.80555555555555558</v>
      </c>
      <c r="J74" s="107">
        <f t="shared" si="1"/>
        <v>0</v>
      </c>
      <c r="K74" s="104">
        <v>1</v>
      </c>
      <c r="L74" s="108">
        <v>20</v>
      </c>
      <c r="M74" s="113" t="s">
        <v>124</v>
      </c>
    </row>
    <row r="75" spans="1:13" s="5" customFormat="1" ht="35.450000000000003" customHeight="1" x14ac:dyDescent="0.2">
      <c r="A75" s="38" t="s">
        <v>123</v>
      </c>
      <c r="B75" s="105" t="s">
        <v>143</v>
      </c>
      <c r="C75" s="105" t="s">
        <v>43</v>
      </c>
      <c r="D75" s="49">
        <v>1</v>
      </c>
      <c r="E75" s="49">
        <v>20</v>
      </c>
      <c r="F75" s="105">
        <v>45909</v>
      </c>
      <c r="G75" s="106">
        <v>0.375</v>
      </c>
      <c r="H75" s="105">
        <v>45907</v>
      </c>
      <c r="I75" s="106">
        <v>0.80555555555555558</v>
      </c>
      <c r="J75" s="107">
        <f t="shared" ref="J75:J97" si="2">E75-L75</f>
        <v>0</v>
      </c>
      <c r="K75" s="104">
        <v>1</v>
      </c>
      <c r="L75" s="108">
        <v>20</v>
      </c>
      <c r="M75" s="113" t="s">
        <v>124</v>
      </c>
    </row>
    <row r="76" spans="1:13" s="5" customFormat="1" ht="35.450000000000003" customHeight="1" x14ac:dyDescent="0.2">
      <c r="A76" s="114" t="s">
        <v>175</v>
      </c>
      <c r="B76" s="114" t="s">
        <v>36</v>
      </c>
      <c r="C76" s="114" t="s">
        <v>37</v>
      </c>
      <c r="D76" s="98">
        <v>1</v>
      </c>
      <c r="E76" s="98">
        <v>30</v>
      </c>
      <c r="F76" s="114">
        <v>45909</v>
      </c>
      <c r="G76" s="106">
        <v>0.375</v>
      </c>
      <c r="H76" s="114">
        <v>45907</v>
      </c>
      <c r="I76" s="115">
        <v>0.83333333333333337</v>
      </c>
      <c r="J76" s="98">
        <f t="shared" si="2"/>
        <v>6</v>
      </c>
      <c r="K76" s="116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14" t="s">
        <v>177</v>
      </c>
      <c r="B77" s="114" t="s">
        <v>39</v>
      </c>
      <c r="C77" s="114" t="s">
        <v>40</v>
      </c>
      <c r="D77" s="98">
        <v>1</v>
      </c>
      <c r="E77" s="98">
        <v>30</v>
      </c>
      <c r="F77" s="114">
        <v>45909</v>
      </c>
      <c r="G77" s="106">
        <v>0.375</v>
      </c>
      <c r="H77" s="114">
        <v>45907</v>
      </c>
      <c r="I77" s="115">
        <v>0.83333333333333337</v>
      </c>
      <c r="J77" s="98">
        <f t="shared" si="2"/>
        <v>0</v>
      </c>
      <c r="K77" s="116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114" t="s">
        <v>39</v>
      </c>
      <c r="C78" s="114" t="s">
        <v>40</v>
      </c>
      <c r="D78" s="98">
        <v>5</v>
      </c>
      <c r="E78" s="98">
        <v>50</v>
      </c>
      <c r="F78" s="114">
        <v>45909</v>
      </c>
      <c r="G78" s="106">
        <v>0.375</v>
      </c>
      <c r="H78" s="114">
        <v>45907</v>
      </c>
      <c r="I78" s="115">
        <v>0.86805555555555558</v>
      </c>
      <c r="J78" s="98">
        <f t="shared" si="2"/>
        <v>5</v>
      </c>
      <c r="K78" s="116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105" t="s">
        <v>30</v>
      </c>
      <c r="C79" s="110" t="s">
        <v>207</v>
      </c>
      <c r="D79" s="103">
        <v>1</v>
      </c>
      <c r="E79" s="49">
        <v>60</v>
      </c>
      <c r="F79" s="105">
        <v>45909</v>
      </c>
      <c r="G79" s="106">
        <v>0.375</v>
      </c>
      <c r="H79" s="105">
        <v>45907</v>
      </c>
      <c r="I79" s="106">
        <v>0.91666666666666663</v>
      </c>
      <c r="J79" s="107">
        <f t="shared" si="2"/>
        <v>50</v>
      </c>
      <c r="K79" s="104">
        <v>1</v>
      </c>
      <c r="L79" s="108">
        <v>10</v>
      </c>
      <c r="M79" s="111" t="s">
        <v>149</v>
      </c>
    </row>
    <row r="80" spans="1:13" s="5" customFormat="1" ht="35.450000000000003" customHeight="1" x14ac:dyDescent="0.2">
      <c r="A80" s="23" t="s">
        <v>146</v>
      </c>
      <c r="B80" s="105" t="s">
        <v>42</v>
      </c>
      <c r="C80" s="105" t="s">
        <v>77</v>
      </c>
      <c r="D80" s="103">
        <v>1</v>
      </c>
      <c r="E80" s="49">
        <v>60</v>
      </c>
      <c r="F80" s="105">
        <v>45909</v>
      </c>
      <c r="G80" s="106">
        <v>0.375</v>
      </c>
      <c r="H80" s="105">
        <v>45907</v>
      </c>
      <c r="I80" s="106">
        <v>0.91666666666666663</v>
      </c>
      <c r="J80" s="107">
        <f t="shared" si="2"/>
        <v>50</v>
      </c>
      <c r="K80" s="104">
        <v>1</v>
      </c>
      <c r="L80" s="108">
        <v>10</v>
      </c>
      <c r="M80" s="111" t="s">
        <v>149</v>
      </c>
    </row>
    <row r="81" spans="1:13" s="5" customFormat="1" ht="35.450000000000003" customHeight="1" x14ac:dyDescent="0.2">
      <c r="A81" s="23" t="s">
        <v>146</v>
      </c>
      <c r="B81" s="105" t="s">
        <v>21</v>
      </c>
      <c r="C81" s="105" t="s">
        <v>86</v>
      </c>
      <c r="D81" s="103">
        <v>1</v>
      </c>
      <c r="E81" s="49">
        <v>60</v>
      </c>
      <c r="F81" s="105">
        <v>45909</v>
      </c>
      <c r="G81" s="106">
        <v>0.375</v>
      </c>
      <c r="H81" s="105">
        <v>45907</v>
      </c>
      <c r="I81" s="106">
        <v>0.91666666666666663</v>
      </c>
      <c r="J81" s="107">
        <f t="shared" si="2"/>
        <v>50</v>
      </c>
      <c r="K81" s="104">
        <v>1</v>
      </c>
      <c r="L81" s="108">
        <v>10</v>
      </c>
      <c r="M81" s="111" t="s">
        <v>149</v>
      </c>
    </row>
    <row r="82" spans="1:13" s="5" customFormat="1" ht="37.5" customHeight="1" x14ac:dyDescent="0.2">
      <c r="A82" s="23" t="s">
        <v>146</v>
      </c>
      <c r="B82" s="105" t="s">
        <v>136</v>
      </c>
      <c r="C82" s="105" t="s">
        <v>151</v>
      </c>
      <c r="D82" s="103">
        <v>1</v>
      </c>
      <c r="E82" s="49">
        <v>60</v>
      </c>
      <c r="F82" s="105">
        <v>45909</v>
      </c>
      <c r="G82" s="106">
        <v>0.375</v>
      </c>
      <c r="H82" s="105">
        <v>45907</v>
      </c>
      <c r="I82" s="106">
        <v>0.91666666666666663</v>
      </c>
      <c r="J82" s="107">
        <f t="shared" si="2"/>
        <v>50</v>
      </c>
      <c r="K82" s="104">
        <v>1</v>
      </c>
      <c r="L82" s="108">
        <v>10</v>
      </c>
      <c r="M82" s="111" t="s">
        <v>149</v>
      </c>
    </row>
    <row r="83" spans="1:13" ht="36" x14ac:dyDescent="0.2">
      <c r="A83" s="23" t="s">
        <v>146</v>
      </c>
      <c r="B83" s="105" t="s">
        <v>36</v>
      </c>
      <c r="C83" s="105" t="s">
        <v>80</v>
      </c>
      <c r="D83" s="103">
        <v>1</v>
      </c>
      <c r="E83" s="49">
        <v>60</v>
      </c>
      <c r="F83" s="105">
        <v>45909</v>
      </c>
      <c r="G83" s="106">
        <v>0.375</v>
      </c>
      <c r="H83" s="105">
        <v>45907</v>
      </c>
      <c r="I83" s="106">
        <v>0.91666666666666663</v>
      </c>
      <c r="J83" s="107">
        <f t="shared" si="2"/>
        <v>50</v>
      </c>
      <c r="K83" s="104">
        <v>1</v>
      </c>
      <c r="L83" s="108">
        <v>10</v>
      </c>
      <c r="M83" s="111" t="s">
        <v>149</v>
      </c>
    </row>
    <row r="84" spans="1:13" ht="36" x14ac:dyDescent="0.2">
      <c r="A84" s="23" t="s">
        <v>146</v>
      </c>
      <c r="B84" s="105" t="s">
        <v>39</v>
      </c>
      <c r="C84" s="105" t="s">
        <v>150</v>
      </c>
      <c r="D84" s="103">
        <v>1</v>
      </c>
      <c r="E84" s="49">
        <v>60</v>
      </c>
      <c r="F84" s="105">
        <v>45909</v>
      </c>
      <c r="G84" s="106">
        <v>0.375</v>
      </c>
      <c r="H84" s="105">
        <v>45907</v>
      </c>
      <c r="I84" s="106">
        <v>0.91666666666666663</v>
      </c>
      <c r="J84" s="107">
        <f t="shared" si="2"/>
        <v>50</v>
      </c>
      <c r="K84" s="104">
        <v>1</v>
      </c>
      <c r="L84" s="108">
        <v>10</v>
      </c>
      <c r="M84" s="111" t="s">
        <v>149</v>
      </c>
    </row>
    <row r="85" spans="1:13" x14ac:dyDescent="0.2">
      <c r="A85" s="23" t="s">
        <v>52</v>
      </c>
      <c r="B85" s="109" t="s">
        <v>21</v>
      </c>
      <c r="C85" s="110" t="s">
        <v>22</v>
      </c>
      <c r="D85" s="103">
        <v>1</v>
      </c>
      <c r="E85" s="49">
        <v>30</v>
      </c>
      <c r="F85" s="105">
        <v>45909</v>
      </c>
      <c r="G85" s="106">
        <v>0.375</v>
      </c>
      <c r="H85" s="105">
        <v>45907</v>
      </c>
      <c r="I85" s="106">
        <v>0.91666666666666663</v>
      </c>
      <c r="J85" s="107">
        <f t="shared" si="2"/>
        <v>0</v>
      </c>
      <c r="K85" s="104">
        <v>1</v>
      </c>
      <c r="L85" s="108">
        <v>30</v>
      </c>
      <c r="M85" s="111" t="s">
        <v>53</v>
      </c>
    </row>
    <row r="86" spans="1:13" x14ac:dyDescent="0.2">
      <c r="A86" s="23" t="s">
        <v>153</v>
      </c>
      <c r="B86" s="109" t="s">
        <v>36</v>
      </c>
      <c r="C86" s="110" t="s">
        <v>37</v>
      </c>
      <c r="D86" s="103">
        <v>1</v>
      </c>
      <c r="E86" s="117">
        <v>30</v>
      </c>
      <c r="F86" s="105">
        <v>45909</v>
      </c>
      <c r="G86" s="106">
        <v>0.375</v>
      </c>
      <c r="H86" s="105">
        <v>45907</v>
      </c>
      <c r="I86" s="106">
        <v>0.91666666666666663</v>
      </c>
      <c r="J86" s="107">
        <f t="shared" si="2"/>
        <v>0</v>
      </c>
      <c r="K86" s="104">
        <v>1</v>
      </c>
      <c r="L86" s="108">
        <v>30</v>
      </c>
      <c r="M86" s="111" t="s">
        <v>53</v>
      </c>
    </row>
    <row r="87" spans="1:13" ht="24" x14ac:dyDescent="0.2">
      <c r="A87" s="23" t="s">
        <v>79</v>
      </c>
      <c r="B87" s="105" t="s">
        <v>36</v>
      </c>
      <c r="C87" s="110" t="s">
        <v>37</v>
      </c>
      <c r="D87" s="103">
        <v>1</v>
      </c>
      <c r="E87" s="49">
        <v>45</v>
      </c>
      <c r="F87" s="105">
        <v>45909</v>
      </c>
      <c r="G87" s="106">
        <v>0.375</v>
      </c>
      <c r="H87" s="105">
        <v>45907</v>
      </c>
      <c r="I87" s="106">
        <v>0.9375</v>
      </c>
      <c r="J87" s="107">
        <f t="shared" si="2"/>
        <v>-35</v>
      </c>
      <c r="K87" s="104">
        <v>1</v>
      </c>
      <c r="L87" s="108">
        <v>80</v>
      </c>
      <c r="M87" s="111" t="s">
        <v>81</v>
      </c>
    </row>
    <row r="88" spans="1:13" x14ac:dyDescent="0.2">
      <c r="A88" s="23" t="s">
        <v>85</v>
      </c>
      <c r="B88" s="105" t="s">
        <v>21</v>
      </c>
      <c r="C88" s="110" t="s">
        <v>22</v>
      </c>
      <c r="D88" s="103">
        <v>1</v>
      </c>
      <c r="E88" s="49">
        <v>60</v>
      </c>
      <c r="F88" s="105">
        <v>45909</v>
      </c>
      <c r="G88" s="106">
        <v>0.375</v>
      </c>
      <c r="H88" s="105">
        <v>45907</v>
      </c>
      <c r="I88" s="106">
        <v>0.9375</v>
      </c>
      <c r="J88" s="107">
        <f t="shared" si="2"/>
        <v>10</v>
      </c>
      <c r="K88" s="104">
        <v>1</v>
      </c>
      <c r="L88" s="108">
        <v>50</v>
      </c>
      <c r="M88" s="111" t="s">
        <v>87</v>
      </c>
    </row>
    <row r="89" spans="1:13" x14ac:dyDescent="0.2">
      <c r="A89" s="23" t="s">
        <v>88</v>
      </c>
      <c r="B89" s="105" t="s">
        <v>21</v>
      </c>
      <c r="C89" s="105" t="s">
        <v>22</v>
      </c>
      <c r="D89" s="103">
        <v>1</v>
      </c>
      <c r="E89" s="49">
        <v>55</v>
      </c>
      <c r="F89" s="105">
        <v>45909</v>
      </c>
      <c r="G89" s="106">
        <v>0.375</v>
      </c>
      <c r="H89" s="105">
        <v>45907</v>
      </c>
      <c r="I89" s="106">
        <v>0.9375</v>
      </c>
      <c r="J89" s="107">
        <f t="shared" si="2"/>
        <v>0</v>
      </c>
      <c r="K89" s="104">
        <v>1</v>
      </c>
      <c r="L89" s="108">
        <v>55</v>
      </c>
      <c r="M89" s="111" t="s">
        <v>89</v>
      </c>
    </row>
    <row r="90" spans="1:13" ht="24" x14ac:dyDescent="0.2">
      <c r="A90" s="33" t="s">
        <v>131</v>
      </c>
      <c r="B90" s="105" t="s">
        <v>36</v>
      </c>
      <c r="C90" s="105" t="s">
        <v>37</v>
      </c>
      <c r="D90" s="49">
        <v>1</v>
      </c>
      <c r="E90" s="49">
        <v>30</v>
      </c>
      <c r="F90" s="105">
        <v>45909</v>
      </c>
      <c r="G90" s="106">
        <v>0.375</v>
      </c>
      <c r="H90" s="105">
        <v>45907</v>
      </c>
      <c r="I90" s="106">
        <v>0.9375</v>
      </c>
      <c r="J90" s="107">
        <f t="shared" si="2"/>
        <v>-2</v>
      </c>
      <c r="K90" s="104">
        <v>1</v>
      </c>
      <c r="L90" s="108">
        <v>32</v>
      </c>
      <c r="M90" s="111" t="s">
        <v>132</v>
      </c>
    </row>
    <row r="91" spans="1:13" ht="24" x14ac:dyDescent="0.2">
      <c r="A91" s="33" t="s">
        <v>131</v>
      </c>
      <c r="B91" s="105" t="s">
        <v>42</v>
      </c>
      <c r="C91" s="105" t="s">
        <v>43</v>
      </c>
      <c r="D91" s="49">
        <v>1</v>
      </c>
      <c r="E91" s="49">
        <v>30</v>
      </c>
      <c r="F91" s="105">
        <v>45909</v>
      </c>
      <c r="G91" s="106">
        <v>0.375</v>
      </c>
      <c r="H91" s="105">
        <v>45907</v>
      </c>
      <c r="I91" s="106">
        <v>0.9375</v>
      </c>
      <c r="J91" s="107">
        <f t="shared" si="2"/>
        <v>-2</v>
      </c>
      <c r="K91" s="104">
        <v>1</v>
      </c>
      <c r="L91" s="108">
        <v>32</v>
      </c>
      <c r="M91" s="111" t="s">
        <v>132</v>
      </c>
    </row>
    <row r="92" spans="1:13" ht="24" x14ac:dyDescent="0.2">
      <c r="A92" s="33" t="s">
        <v>131</v>
      </c>
      <c r="B92" s="105" t="s">
        <v>30</v>
      </c>
      <c r="C92" s="105" t="s">
        <v>31</v>
      </c>
      <c r="D92" s="49">
        <v>1</v>
      </c>
      <c r="E92" s="49">
        <v>30</v>
      </c>
      <c r="F92" s="105">
        <v>45909</v>
      </c>
      <c r="G92" s="106">
        <v>0.375</v>
      </c>
      <c r="H92" s="105">
        <v>45907</v>
      </c>
      <c r="I92" s="106">
        <v>0.9375</v>
      </c>
      <c r="J92" s="107">
        <f t="shared" si="2"/>
        <v>-2</v>
      </c>
      <c r="K92" s="104">
        <v>1</v>
      </c>
      <c r="L92" s="108">
        <v>32</v>
      </c>
      <c r="M92" s="111" t="s">
        <v>132</v>
      </c>
    </row>
    <row r="93" spans="1:13" ht="24" x14ac:dyDescent="0.2">
      <c r="A93" s="33" t="s">
        <v>131</v>
      </c>
      <c r="B93" s="105" t="s">
        <v>21</v>
      </c>
      <c r="C93" s="105" t="s">
        <v>22</v>
      </c>
      <c r="D93" s="49">
        <v>1</v>
      </c>
      <c r="E93" s="49">
        <v>30</v>
      </c>
      <c r="F93" s="105">
        <v>45909</v>
      </c>
      <c r="G93" s="106">
        <v>0.375</v>
      </c>
      <c r="H93" s="105">
        <v>45907</v>
      </c>
      <c r="I93" s="106">
        <v>0.9375</v>
      </c>
      <c r="J93" s="107">
        <f t="shared" si="2"/>
        <v>-2</v>
      </c>
      <c r="K93" s="104">
        <v>1</v>
      </c>
      <c r="L93" s="108">
        <v>32</v>
      </c>
      <c r="M93" s="111" t="s">
        <v>132</v>
      </c>
    </row>
    <row r="94" spans="1:13" ht="24" x14ac:dyDescent="0.2">
      <c r="A94" s="33" t="s">
        <v>131</v>
      </c>
      <c r="B94" s="105" t="s">
        <v>136</v>
      </c>
      <c r="C94" s="105" t="s">
        <v>34</v>
      </c>
      <c r="D94" s="49">
        <v>1</v>
      </c>
      <c r="E94" s="49">
        <v>30</v>
      </c>
      <c r="F94" s="105">
        <v>45909</v>
      </c>
      <c r="G94" s="106">
        <v>0.375</v>
      </c>
      <c r="H94" s="105">
        <v>45907</v>
      </c>
      <c r="I94" s="106">
        <v>0.9375</v>
      </c>
      <c r="J94" s="107">
        <f t="shared" si="2"/>
        <v>-2</v>
      </c>
      <c r="K94" s="104">
        <v>1</v>
      </c>
      <c r="L94" s="108">
        <v>32</v>
      </c>
      <c r="M94" s="111" t="s">
        <v>132</v>
      </c>
    </row>
    <row r="95" spans="1:13" ht="24" x14ac:dyDescent="0.2">
      <c r="A95" s="33" t="s">
        <v>131</v>
      </c>
      <c r="B95" s="105" t="s">
        <v>39</v>
      </c>
      <c r="C95" s="105" t="s">
        <v>40</v>
      </c>
      <c r="D95" s="49">
        <v>1</v>
      </c>
      <c r="E95" s="49">
        <v>30</v>
      </c>
      <c r="F95" s="105">
        <v>45909</v>
      </c>
      <c r="G95" s="106">
        <v>0.375</v>
      </c>
      <c r="H95" s="105">
        <v>45907</v>
      </c>
      <c r="I95" s="106">
        <v>0.9375</v>
      </c>
      <c r="J95" s="107">
        <f t="shared" si="2"/>
        <v>-2</v>
      </c>
      <c r="K95" s="104">
        <v>1</v>
      </c>
      <c r="L95" s="108">
        <v>32</v>
      </c>
      <c r="M95" s="111" t="s">
        <v>132</v>
      </c>
    </row>
    <row r="96" spans="1:13" ht="24" x14ac:dyDescent="0.2">
      <c r="A96" s="33" t="s">
        <v>133</v>
      </c>
      <c r="B96" s="105" t="s">
        <v>21</v>
      </c>
      <c r="C96" s="105" t="s">
        <v>22</v>
      </c>
      <c r="D96" s="49">
        <v>3</v>
      </c>
      <c r="E96" s="49">
        <v>20</v>
      </c>
      <c r="F96" s="105">
        <v>45909</v>
      </c>
      <c r="G96" s="106">
        <v>0.375</v>
      </c>
      <c r="H96" s="105">
        <v>45908</v>
      </c>
      <c r="I96" s="106">
        <v>0.375</v>
      </c>
      <c r="J96" s="107">
        <f t="shared" si="2"/>
        <v>5</v>
      </c>
      <c r="K96" s="104">
        <v>3</v>
      </c>
      <c r="L96" s="108">
        <v>15</v>
      </c>
      <c r="M96" s="11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111" spans="1:13" ht="30" customHeight="1" x14ac:dyDescent="0.2"/>
    <row r="112" spans="1:13" ht="23.25" customHeight="1" x14ac:dyDescent="0.2"/>
    <row r="113" spans="1:20" ht="36" x14ac:dyDescent="0.2">
      <c r="B113" s="11" t="s">
        <v>30</v>
      </c>
      <c r="C113" s="11" t="s">
        <v>83</v>
      </c>
      <c r="D113" s="20">
        <v>1</v>
      </c>
      <c r="E113" s="29">
        <v>50</v>
      </c>
      <c r="F113" s="11">
        <v>45882</v>
      </c>
      <c r="G113" s="10">
        <v>0.375</v>
      </c>
      <c r="H113" s="11">
        <v>45880</v>
      </c>
      <c r="I113" s="10">
        <v>0.95833333333333337</v>
      </c>
      <c r="J113" s="9">
        <f>E113-L113</f>
        <v>-4</v>
      </c>
      <c r="K113" s="8">
        <v>1</v>
      </c>
      <c r="L113" s="7">
        <v>54</v>
      </c>
      <c r="M113" s="6" t="s">
        <v>84</v>
      </c>
    </row>
    <row r="114" spans="1:20" x14ac:dyDescent="0.2">
      <c r="A114" s="23" t="s">
        <v>82</v>
      </c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3"/>
  <sheetViews>
    <sheetView zoomScale="84" zoomScaleNormal="76" workbookViewId="0">
      <selection activeCell="B8" sqref="B8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3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7"/>
      <c r="M1" s="88"/>
    </row>
    <row r="2" spans="1:20" ht="20.25" customHeight="1" x14ac:dyDescent="0.2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9"/>
      <c r="M2" s="90"/>
    </row>
    <row r="3" spans="1:20" ht="12.75" customHeight="1" x14ac:dyDescent="0.2">
      <c r="A3" s="91" t="s">
        <v>1</v>
      </c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5" t="s">
        <v>3</v>
      </c>
      <c r="M3" s="96"/>
    </row>
    <row r="4" spans="1:20" ht="13.5" thickBot="1" x14ac:dyDescent="0.25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9" t="s">
        <v>6</v>
      </c>
      <c r="C6" s="79"/>
      <c r="D6" s="79"/>
      <c r="E6" s="79"/>
      <c r="F6" s="79"/>
      <c r="G6" s="79"/>
      <c r="H6" s="80" t="s">
        <v>7</v>
      </c>
      <c r="I6" s="81"/>
      <c r="J6" s="81"/>
      <c r="K6" s="81"/>
      <c r="L6" s="82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49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78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63" t="s">
        <v>30</v>
      </c>
      <c r="C29" s="21" t="s">
        <v>31</v>
      </c>
      <c r="D29" s="66">
        <v>1</v>
      </c>
      <c r="E29" s="65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65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62" t="s">
        <v>55</v>
      </c>
      <c r="C30" s="11" t="s">
        <v>28</v>
      </c>
      <c r="D30" s="66">
        <v>1</v>
      </c>
      <c r="E30" s="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65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62" t="s">
        <v>61</v>
      </c>
      <c r="C32" s="11" t="s">
        <v>62</v>
      </c>
      <c r="D32" s="66">
        <v>1</v>
      </c>
      <c r="E32" s="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65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62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65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65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65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62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65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62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65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62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65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62" t="s">
        <v>30</v>
      </c>
      <c r="C39" s="11" t="s">
        <v>83</v>
      </c>
      <c r="D39" s="66">
        <v>1</v>
      </c>
      <c r="E39" s="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65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62" t="s">
        <v>21</v>
      </c>
      <c r="C40" s="11" t="s">
        <v>86</v>
      </c>
      <c r="D40" s="66">
        <v>1</v>
      </c>
      <c r="E40" s="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65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62" t="s">
        <v>21</v>
      </c>
      <c r="C41" s="11" t="s">
        <v>86</v>
      </c>
      <c r="D41" s="66">
        <v>1</v>
      </c>
      <c r="E41" s="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65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62" t="s">
        <v>30</v>
      </c>
      <c r="C42" s="11" t="s">
        <v>83</v>
      </c>
      <c r="D42" s="66">
        <v>1</v>
      </c>
      <c r="E42" s="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65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21</v>
      </c>
      <c r="C43" s="11" t="s">
        <v>86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62" t="s">
        <v>30</v>
      </c>
      <c r="C48" s="11" t="s">
        <v>83</v>
      </c>
      <c r="D48" s="66">
        <v>1</v>
      </c>
      <c r="E48" s="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65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62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65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70" t="s">
        <v>210</v>
      </c>
      <c r="B51" t="s">
        <v>215</v>
      </c>
      <c r="C51" t="s">
        <v>214</v>
      </c>
      <c r="D51" t="s">
        <v>213</v>
      </c>
      <c r="E51" t="s">
        <v>212</v>
      </c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71" t="s">
        <v>55</v>
      </c>
      <c r="B52">
        <v>1</v>
      </c>
      <c r="C52">
        <v>120</v>
      </c>
      <c r="D52" s="2">
        <v>1</v>
      </c>
      <c r="E52" s="2">
        <v>60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71" t="s">
        <v>70</v>
      </c>
      <c r="B53">
        <v>1</v>
      </c>
      <c r="C53">
        <v>30</v>
      </c>
      <c r="D53" s="2">
        <v>1</v>
      </c>
      <c r="E53" s="2">
        <v>25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71" t="s">
        <v>57</v>
      </c>
      <c r="B54">
        <v>1</v>
      </c>
      <c r="C54">
        <v>120</v>
      </c>
      <c r="D54" s="2">
        <v>1</v>
      </c>
      <c r="E54" s="2">
        <v>60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71" t="s">
        <v>64</v>
      </c>
      <c r="B55">
        <v>1</v>
      </c>
      <c r="C55">
        <v>30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71" t="s">
        <v>67</v>
      </c>
      <c r="B56">
        <v>1</v>
      </c>
      <c r="C56">
        <v>30</v>
      </c>
      <c r="D56" s="2">
        <v>1</v>
      </c>
      <c r="E56" s="2">
        <v>120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71" t="s">
        <v>61</v>
      </c>
      <c r="B57">
        <v>1</v>
      </c>
      <c r="C57">
        <v>30</v>
      </c>
      <c r="D57" s="2">
        <v>1</v>
      </c>
      <c r="E57" s="2">
        <v>60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71" t="s">
        <v>211</v>
      </c>
      <c r="B58">
        <v>6</v>
      </c>
      <c r="C58">
        <v>360</v>
      </c>
      <c r="D58" s="2">
        <v>6</v>
      </c>
      <c r="E58" s="2">
        <v>385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/>
      <c r="B59"/>
      <c r="C59"/>
      <c r="D59"/>
      <c r="E59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/>
      <c r="B65"/>
      <c r="C65"/>
      <c r="D65"/>
      <c r="E65"/>
      <c r="F65" s="44"/>
      <c r="G65" s="45"/>
      <c r="H65" s="44"/>
      <c r="I65" s="45"/>
      <c r="J65" s="46"/>
      <c r="L65" s="47"/>
      <c r="M65" s="48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/>
      <c r="B98"/>
      <c r="C98"/>
      <c r="D98"/>
      <c r="E98"/>
      <c r="K98"/>
      <c r="L98"/>
      <c r="M98"/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/>
      <c r="B110"/>
      <c r="C110"/>
      <c r="D110"/>
      <c r="E110"/>
    </row>
    <row r="111" spans="1:20" ht="36.75" customHeight="1" x14ac:dyDescent="0.2">
      <c r="A111"/>
      <c r="B111"/>
      <c r="C111"/>
      <c r="D111"/>
      <c r="E111"/>
    </row>
    <row r="112" spans="1:20" ht="33.75" customHeight="1" x14ac:dyDescent="0.2">
      <c r="A112"/>
      <c r="B112"/>
      <c r="C112"/>
      <c r="D112"/>
      <c r="E112"/>
    </row>
    <row r="113" spans="1:5" ht="26.25" customHeight="1" x14ac:dyDescent="0.2">
      <c r="A113"/>
      <c r="B113"/>
      <c r="C113"/>
      <c r="D113"/>
      <c r="E113"/>
    </row>
    <row r="114" spans="1:5" ht="27.75" customHeight="1" x14ac:dyDescent="0.2">
      <c r="A114"/>
      <c r="B114"/>
      <c r="C114"/>
      <c r="D114"/>
      <c r="E114"/>
    </row>
    <row r="115" spans="1:5" ht="40.5" customHeight="1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  <row r="126" spans="1:5" x14ac:dyDescent="0.2">
      <c r="A126"/>
      <c r="B126"/>
      <c r="C126"/>
      <c r="D126"/>
      <c r="E126"/>
    </row>
    <row r="127" spans="1:5" x14ac:dyDescent="0.2">
      <c r="A127"/>
      <c r="B127"/>
      <c r="C127"/>
      <c r="D127"/>
      <c r="E127"/>
    </row>
    <row r="128" spans="1:5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T125"/>
  <sheetViews>
    <sheetView topLeftCell="D8" zoomScale="84" zoomScaleNormal="84" workbookViewId="0">
      <selection activeCell="O11" sqref="O11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6" width="17.7109375" style="4" bestFit="1" customWidth="1"/>
    <col min="7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3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7"/>
      <c r="M1" s="88"/>
    </row>
    <row r="2" spans="1:20" ht="20.25" customHeight="1" x14ac:dyDescent="0.2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9"/>
      <c r="M2" s="90"/>
    </row>
    <row r="3" spans="1:20" ht="12.75" customHeight="1" x14ac:dyDescent="0.2">
      <c r="A3" s="91" t="s">
        <v>1</v>
      </c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5" t="s">
        <v>3</v>
      </c>
      <c r="M3" s="96"/>
    </row>
    <row r="4" spans="1:20" ht="13.5" thickBot="1" x14ac:dyDescent="0.25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9" t="s">
        <v>6</v>
      </c>
      <c r="C6" s="79"/>
      <c r="D6" s="79"/>
      <c r="E6" s="79"/>
      <c r="F6" s="79"/>
      <c r="G6" s="79"/>
      <c r="H6" s="80" t="s">
        <v>7</v>
      </c>
      <c r="I6" s="81"/>
      <c r="J6" s="81"/>
      <c r="K6" s="81"/>
      <c r="L6" s="82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">
      <c r="A67"/>
      <c r="B67"/>
      <c r="L67" s="64"/>
    </row>
    <row r="69" spans="1:20" x14ac:dyDescent="0.2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">
      <c r="A70" s="71" t="s">
        <v>139</v>
      </c>
      <c r="B70">
        <v>7</v>
      </c>
      <c r="C70">
        <v>160</v>
      </c>
      <c r="D70" s="2">
        <v>153</v>
      </c>
      <c r="E70">
        <v>7</v>
      </c>
      <c r="F70"/>
    </row>
    <row r="71" spans="1:20" x14ac:dyDescent="0.2">
      <c r="A71" s="71" t="s">
        <v>143</v>
      </c>
      <c r="B71">
        <v>1</v>
      </c>
      <c r="C71">
        <v>20</v>
      </c>
      <c r="D71" s="2">
        <v>20</v>
      </c>
      <c r="E71">
        <v>1</v>
      </c>
      <c r="F71"/>
    </row>
    <row r="72" spans="1:20" x14ac:dyDescent="0.2">
      <c r="A72" s="71" t="s">
        <v>36</v>
      </c>
      <c r="B72">
        <v>12</v>
      </c>
      <c r="C72">
        <v>345</v>
      </c>
      <c r="D72" s="2">
        <v>316</v>
      </c>
      <c r="E72">
        <v>15</v>
      </c>
      <c r="F72"/>
    </row>
    <row r="73" spans="1:20" x14ac:dyDescent="0.2">
      <c r="A73" s="71" t="s">
        <v>39</v>
      </c>
      <c r="B73">
        <v>7</v>
      </c>
      <c r="C73">
        <v>270</v>
      </c>
      <c r="D73" s="2">
        <v>193</v>
      </c>
      <c r="E73">
        <v>7</v>
      </c>
      <c r="F73"/>
    </row>
    <row r="74" spans="1:20" x14ac:dyDescent="0.2">
      <c r="A74" s="71" t="s">
        <v>21</v>
      </c>
      <c r="B74">
        <v>16</v>
      </c>
      <c r="C74">
        <v>435</v>
      </c>
      <c r="D74" s="2">
        <v>364</v>
      </c>
      <c r="E74">
        <v>16</v>
      </c>
      <c r="F74"/>
    </row>
    <row r="75" spans="1:20" x14ac:dyDescent="0.2">
      <c r="A75" s="71" t="s">
        <v>30</v>
      </c>
      <c r="B75">
        <v>8</v>
      </c>
      <c r="C75">
        <v>300</v>
      </c>
      <c r="D75" s="2">
        <v>223</v>
      </c>
      <c r="E75">
        <v>8</v>
      </c>
      <c r="F75"/>
    </row>
    <row r="76" spans="1:20" x14ac:dyDescent="0.2">
      <c r="A76" s="71" t="s">
        <v>211</v>
      </c>
      <c r="B76">
        <v>51</v>
      </c>
      <c r="C76">
        <v>1530</v>
      </c>
      <c r="D76" s="2">
        <v>1269</v>
      </c>
      <c r="E76">
        <v>54</v>
      </c>
      <c r="F76"/>
    </row>
    <row r="77" spans="1:20" x14ac:dyDescent="0.2">
      <c r="A77"/>
      <c r="B77"/>
      <c r="C77"/>
      <c r="D77"/>
      <c r="E77"/>
      <c r="F77"/>
    </row>
    <row r="78" spans="1:20" x14ac:dyDescent="0.2">
      <c r="A78"/>
      <c r="B78"/>
      <c r="C78"/>
      <c r="D78"/>
      <c r="E78"/>
    </row>
    <row r="79" spans="1:20" x14ac:dyDescent="0.2">
      <c r="A79"/>
      <c r="B79"/>
      <c r="C79"/>
      <c r="D79"/>
      <c r="E79"/>
    </row>
    <row r="80" spans="1:20" x14ac:dyDescent="0.2">
      <c r="A80"/>
      <c r="B80"/>
      <c r="C80"/>
      <c r="D80"/>
      <c r="E80"/>
    </row>
    <row r="81" spans="1:5" x14ac:dyDescent="0.2">
      <c r="A81"/>
      <c r="B81"/>
      <c r="C81"/>
      <c r="D81"/>
      <c r="E81"/>
    </row>
    <row r="82" spans="1:5" x14ac:dyDescent="0.2">
      <c r="A82"/>
      <c r="B82"/>
      <c r="C82"/>
      <c r="D82"/>
      <c r="E82"/>
    </row>
    <row r="83" spans="1:5" x14ac:dyDescent="0.2">
      <c r="A83"/>
      <c r="B83"/>
      <c r="C83"/>
      <c r="D83"/>
      <c r="E83"/>
    </row>
    <row r="84" spans="1:5" x14ac:dyDescent="0.2">
      <c r="A84"/>
      <c r="B84"/>
      <c r="C84"/>
      <c r="D84"/>
      <c r="E84"/>
    </row>
    <row r="85" spans="1:5" x14ac:dyDescent="0.2">
      <c r="A85"/>
      <c r="B85"/>
      <c r="C85"/>
      <c r="D85"/>
      <c r="E85"/>
    </row>
    <row r="86" spans="1:5" x14ac:dyDescent="0.2">
      <c r="A86"/>
      <c r="B86"/>
      <c r="C86"/>
      <c r="D86"/>
      <c r="E86"/>
    </row>
    <row r="87" spans="1:5" x14ac:dyDescent="0.2">
      <c r="A87"/>
      <c r="B87"/>
      <c r="C87"/>
      <c r="D87"/>
      <c r="E87"/>
    </row>
    <row r="88" spans="1:5" x14ac:dyDescent="0.2">
      <c r="A88"/>
      <c r="B88"/>
      <c r="C88"/>
      <c r="D88"/>
      <c r="E88"/>
    </row>
    <row r="89" spans="1:5" x14ac:dyDescent="0.2">
      <c r="A89"/>
      <c r="B89"/>
      <c r="C89"/>
      <c r="D89"/>
      <c r="E89"/>
    </row>
    <row r="90" spans="1:5" x14ac:dyDescent="0.2">
      <c r="A90"/>
      <c r="B90"/>
      <c r="C90"/>
      <c r="D90"/>
      <c r="E90"/>
    </row>
    <row r="91" spans="1:5" x14ac:dyDescent="0.2">
      <c r="A91"/>
      <c r="B91"/>
      <c r="C91"/>
      <c r="D91"/>
      <c r="E91"/>
    </row>
    <row r="92" spans="1:5" x14ac:dyDescent="0.2">
      <c r="A92"/>
      <c r="B92"/>
      <c r="C92"/>
      <c r="D92"/>
      <c r="E92"/>
    </row>
    <row r="93" spans="1:5" x14ac:dyDescent="0.2">
      <c r="A93"/>
      <c r="B93"/>
      <c r="C93"/>
      <c r="D93"/>
      <c r="E93"/>
    </row>
    <row r="94" spans="1:5" x14ac:dyDescent="0.2">
      <c r="A94"/>
      <c r="B94"/>
      <c r="C94"/>
      <c r="D94"/>
      <c r="E94"/>
    </row>
    <row r="95" spans="1:5" x14ac:dyDescent="0.2">
      <c r="A95"/>
      <c r="B95"/>
      <c r="C95"/>
      <c r="D95"/>
      <c r="E95"/>
    </row>
    <row r="96" spans="1:5" x14ac:dyDescent="0.2">
      <c r="A96"/>
      <c r="B96"/>
      <c r="C96"/>
      <c r="D96"/>
      <c r="E96"/>
    </row>
    <row r="97" spans="1:5" x14ac:dyDescent="0.2">
      <c r="A97"/>
      <c r="B97"/>
      <c r="C97"/>
      <c r="D97"/>
      <c r="E97"/>
    </row>
    <row r="98" spans="1:5" x14ac:dyDescent="0.2">
      <c r="A98"/>
      <c r="B98"/>
      <c r="C98"/>
      <c r="D98"/>
      <c r="E98"/>
    </row>
    <row r="99" spans="1:5" x14ac:dyDescent="0.2">
      <c r="A99"/>
      <c r="B99"/>
      <c r="C99"/>
      <c r="D99"/>
      <c r="E99"/>
    </row>
    <row r="100" spans="1:5" x14ac:dyDescent="0.2">
      <c r="A100"/>
      <c r="B100"/>
      <c r="C100"/>
      <c r="D100"/>
      <c r="E100"/>
    </row>
    <row r="101" spans="1:5" x14ac:dyDescent="0.2">
      <c r="A101"/>
      <c r="B101"/>
      <c r="C101"/>
      <c r="D101"/>
      <c r="E101"/>
    </row>
    <row r="102" spans="1:5" x14ac:dyDescent="0.2">
      <c r="A102"/>
      <c r="B102"/>
      <c r="C102"/>
      <c r="D102"/>
      <c r="E102"/>
    </row>
    <row r="103" spans="1:5" x14ac:dyDescent="0.2">
      <c r="A103"/>
      <c r="B103"/>
      <c r="C103"/>
      <c r="D103"/>
      <c r="E103"/>
    </row>
    <row r="104" spans="1:5" x14ac:dyDescent="0.2">
      <c r="A104"/>
      <c r="B104"/>
      <c r="C104"/>
      <c r="D104"/>
      <c r="E104"/>
    </row>
    <row r="105" spans="1:5" x14ac:dyDescent="0.2">
      <c r="A105"/>
      <c r="B105"/>
      <c r="C105"/>
      <c r="D105"/>
      <c r="E105"/>
    </row>
    <row r="106" spans="1:5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5" x14ac:dyDescent="0.2">
      <c r="A113"/>
      <c r="B113"/>
      <c r="C113"/>
      <c r="D113"/>
      <c r="E113"/>
    </row>
    <row r="114" spans="1:5" x14ac:dyDescent="0.2">
      <c r="A114"/>
      <c r="B114"/>
      <c r="C114"/>
      <c r="D114"/>
      <c r="E114"/>
    </row>
    <row r="115" spans="1:5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topLeftCell="A51" zoomScale="84" zoomScaleNormal="84" workbookViewId="0">
      <selection activeCell="A6" sqref="A6:M60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4" width="13.28515625" style="4" customWidth="1"/>
    <col min="5" max="5" width="12.28515625" style="4" customWidth="1"/>
    <col min="6" max="7" width="10.7109375" style="4" customWidth="1"/>
    <col min="8" max="8" width="18.7109375" style="4" bestFit="1" customWidth="1"/>
    <col min="9" max="9" width="21.28515625" style="3" bestFit="1" customWidth="1"/>
    <col min="10" max="10" width="21.5703125" style="3" bestFit="1" customWidth="1"/>
    <col min="11" max="11" width="36.7109375" style="2" bestFit="1" customWidth="1"/>
    <col min="12" max="12" width="45.42578125" style="1" bestFit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3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7"/>
      <c r="M1" s="88"/>
    </row>
    <row r="2" spans="1:20" ht="20.25" customHeight="1" x14ac:dyDescent="0.2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9"/>
      <c r="M2" s="90"/>
    </row>
    <row r="3" spans="1:20" ht="12.75" customHeight="1" x14ac:dyDescent="0.2">
      <c r="A3" s="91" t="s">
        <v>1</v>
      </c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5" t="s">
        <v>3</v>
      </c>
      <c r="M3" s="96"/>
    </row>
    <row r="4" spans="1:20" ht="13.5" thickBot="1" x14ac:dyDescent="0.25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9" t="s">
        <v>6</v>
      </c>
      <c r="C6" s="79"/>
      <c r="D6" s="79"/>
      <c r="E6" s="79"/>
      <c r="F6" s="79"/>
      <c r="G6" s="79"/>
      <c r="H6" s="80" t="s">
        <v>7</v>
      </c>
      <c r="I6" s="81"/>
      <c r="J6" s="81"/>
      <c r="K6" s="81"/>
      <c r="L6" s="82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29.45" customHeight="1" x14ac:dyDescent="0.2">
      <c r="A20" s="60" t="s">
        <v>219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12.75" customHeight="1" x14ac:dyDescent="0.2">
      <c r="A25" s="13" t="s">
        <v>225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12.75" customHeight="1" x14ac:dyDescent="0.2">
      <c r="A26" s="13" t="s">
        <v>226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8">
        <v>1</v>
      </c>
      <c r="E42" s="50">
        <v>60</v>
      </c>
      <c r="F42" s="11">
        <v>45927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66">
        <v>1</v>
      </c>
      <c r="E43" s="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65">
        <v>1</v>
      </c>
      <c r="L43" s="69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22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66">
        <v>1</v>
      </c>
      <c r="E49" s="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65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66">
        <v>1</v>
      </c>
      <c r="E50" s="64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66">
        <v>1</v>
      </c>
      <c r="E51" s="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65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66">
        <v>1</v>
      </c>
      <c r="E52" s="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65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66">
        <v>1</v>
      </c>
      <c r="E53" s="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65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9">
        <v>1</v>
      </c>
      <c r="E54" s="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65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69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9">
        <v>3</v>
      </c>
      <c r="E60" s="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65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 s="2"/>
      <c r="M61"/>
    </row>
    <row r="62" spans="1:13" s="5" customFormat="1" ht="35.450000000000003" customHeight="1" x14ac:dyDescent="0.2">
      <c r="A62" s="72"/>
      <c r="B62" s="73"/>
      <c r="C62" s="73"/>
      <c r="D62" s="73"/>
      <c r="E62" s="74"/>
      <c r="F62" s="4"/>
      <c r="G62" s="4"/>
      <c r="H62" s="70" t="s">
        <v>210</v>
      </c>
      <c r="I62" t="s">
        <v>212</v>
      </c>
      <c r="J62" t="s">
        <v>213</v>
      </c>
      <c r="K62" t="s">
        <v>214</v>
      </c>
      <c r="L62" t="s">
        <v>215</v>
      </c>
      <c r="M62" s="1"/>
    </row>
    <row r="63" spans="1:13" s="5" customFormat="1" ht="35.450000000000003" customHeight="1" x14ac:dyDescent="0.2">
      <c r="A63" s="72"/>
      <c r="B63" s="75"/>
      <c r="C63" s="76"/>
      <c r="D63" s="75"/>
      <c r="E63" s="75"/>
      <c r="F63" s="4"/>
      <c r="G63" s="4"/>
      <c r="H63" s="71" t="s">
        <v>36</v>
      </c>
      <c r="I63" s="2">
        <v>329</v>
      </c>
      <c r="J63" s="2">
        <v>10</v>
      </c>
      <c r="K63" s="2">
        <v>355</v>
      </c>
      <c r="L63" s="2">
        <v>11</v>
      </c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71" t="s">
        <v>39</v>
      </c>
      <c r="I64" s="2">
        <v>283</v>
      </c>
      <c r="J64" s="2">
        <v>13</v>
      </c>
      <c r="K64" s="2">
        <v>340</v>
      </c>
      <c r="L64" s="2">
        <v>13</v>
      </c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71" t="s">
        <v>21</v>
      </c>
      <c r="I65" s="2">
        <v>350</v>
      </c>
      <c r="J65" s="2">
        <v>15</v>
      </c>
      <c r="K65" s="2">
        <v>435</v>
      </c>
      <c r="L65" s="2">
        <v>14</v>
      </c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71" t="s">
        <v>136</v>
      </c>
      <c r="I66" s="2">
        <v>183</v>
      </c>
      <c r="J66" s="2">
        <v>8</v>
      </c>
      <c r="K66" s="2">
        <v>255</v>
      </c>
      <c r="L66" s="2">
        <v>8</v>
      </c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71" t="s">
        <v>42</v>
      </c>
      <c r="I67" s="2">
        <v>187</v>
      </c>
      <c r="J67" s="2">
        <v>8</v>
      </c>
      <c r="K67" s="2">
        <v>240</v>
      </c>
      <c r="L67" s="2">
        <v>8</v>
      </c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71" t="s">
        <v>30</v>
      </c>
      <c r="I68" s="2">
        <v>222</v>
      </c>
      <c r="J68" s="2">
        <v>9</v>
      </c>
      <c r="K68" s="2">
        <v>290</v>
      </c>
      <c r="L68" s="2">
        <v>9</v>
      </c>
      <c r="M68" s="1"/>
    </row>
    <row r="69" spans="1:13" ht="28.5" customHeight="1" x14ac:dyDescent="0.2">
      <c r="H69" s="71" t="s">
        <v>211</v>
      </c>
      <c r="I69" s="2">
        <v>1554</v>
      </c>
      <c r="J69" s="2">
        <v>63</v>
      </c>
      <c r="K69" s="2">
        <v>1915</v>
      </c>
      <c r="L69" s="2">
        <v>63</v>
      </c>
    </row>
    <row r="70" spans="1:13" ht="30.75" customHeight="1" x14ac:dyDescent="0.2">
      <c r="H70"/>
      <c r="I70"/>
      <c r="J70"/>
      <c r="K70"/>
      <c r="L70"/>
    </row>
    <row r="71" spans="1:13" ht="26.25" customHeight="1" x14ac:dyDescent="0.2">
      <c r="H71"/>
      <c r="I71"/>
      <c r="J71"/>
      <c r="K71"/>
      <c r="L71"/>
    </row>
    <row r="72" spans="1:13" x14ac:dyDescent="0.2">
      <c r="H72"/>
      <c r="I72"/>
      <c r="J72"/>
    </row>
    <row r="73" spans="1:13" x14ac:dyDescent="0.2">
      <c r="H73"/>
      <c r="I73"/>
      <c r="J73"/>
    </row>
    <row r="74" spans="1:13" x14ac:dyDescent="0.2">
      <c r="H74"/>
      <c r="I74"/>
      <c r="J74"/>
    </row>
    <row r="75" spans="1:13" x14ac:dyDescent="0.2">
      <c r="H75"/>
      <c r="I75"/>
      <c r="J75"/>
    </row>
    <row r="76" spans="1:13" x14ac:dyDescent="0.2">
      <c r="H76"/>
      <c r="I76"/>
      <c r="J76"/>
    </row>
    <row r="77" spans="1:13" x14ac:dyDescent="0.2">
      <c r="H77"/>
      <c r="I77"/>
      <c r="J77"/>
    </row>
    <row r="78" spans="1:13" ht="21" customHeight="1" x14ac:dyDescent="0.2"/>
    <row r="82" ht="23.25" customHeight="1" x14ac:dyDescent="0.2"/>
    <row r="83" ht="19.5" customHeight="1" x14ac:dyDescent="0.2"/>
    <row r="84" ht="21" customHeight="1" x14ac:dyDescent="0.2"/>
    <row r="88" ht="18.75" customHeight="1" x14ac:dyDescent="0.2"/>
    <row r="93" ht="14.25" customHeight="1" x14ac:dyDescent="0.2"/>
    <row r="94" ht="18" customHeight="1" x14ac:dyDescent="0.2"/>
    <row r="97" spans="1:20" ht="18" customHeight="1" x14ac:dyDescent="0.2"/>
    <row r="100" spans="1:20" ht="19.5" customHeight="1" x14ac:dyDescent="0.2"/>
    <row r="101" spans="1:20" s="5" customFormat="1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"/>
    <row r="105" spans="1:20" x14ac:dyDescent="0.2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"/>
    <row r="107" spans="1:20" ht="36.75" customHeight="1" x14ac:dyDescent="0.2"/>
    <row r="108" spans="1:20" ht="33.75" customHeight="1" x14ac:dyDescent="0.2"/>
    <row r="109" spans="1:20" s="4" customFormat="1" ht="26.25" customHeight="1" x14ac:dyDescent="0.2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"/>
  </sheetData>
  <autoFilter ref="A7:M60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EF-F1FF-41F8-AAD7-E089A582AB9E}">
  <dimension ref="A1:T145"/>
  <sheetViews>
    <sheetView tabSelected="1" topLeftCell="C63" zoomScale="84" zoomScaleNormal="76" workbookViewId="0">
      <selection activeCell="M72" sqref="M72"/>
    </sheetView>
  </sheetViews>
  <sheetFormatPr baseColWidth="10" defaultColWidth="11.42578125" defaultRowHeight="12.75" x14ac:dyDescent="0.2"/>
  <cols>
    <col min="1" max="1" width="18.7109375" style="4" bestFit="1" customWidth="1"/>
    <col min="2" max="2" width="21.5703125" style="4" bestFit="1" customWidth="1"/>
    <col min="3" max="3" width="45.42578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3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7"/>
      <c r="M1" s="88"/>
    </row>
    <row r="2" spans="1:20" ht="20.25" customHeight="1" x14ac:dyDescent="0.2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9"/>
      <c r="M2" s="90"/>
    </row>
    <row r="3" spans="1:20" ht="12.75" customHeight="1" x14ac:dyDescent="0.2">
      <c r="A3" s="91" t="s">
        <v>1</v>
      </c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5" t="s">
        <v>3</v>
      </c>
      <c r="M3" s="96"/>
    </row>
    <row r="4" spans="1:20" ht="13.5" thickBot="1" x14ac:dyDescent="0.25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9" t="s">
        <v>6</v>
      </c>
      <c r="C6" s="79"/>
      <c r="D6" s="79"/>
      <c r="E6" s="79"/>
      <c r="F6" s="79"/>
      <c r="G6" s="79"/>
      <c r="H6" s="80" t="s">
        <v>7</v>
      </c>
      <c r="I6" s="81"/>
      <c r="J6" s="81"/>
      <c r="K6" s="81"/>
      <c r="L6" s="82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101" customFormat="1" ht="49.5" customHeight="1" x14ac:dyDescent="0.2">
      <c r="A8" s="23" t="s">
        <v>144</v>
      </c>
      <c r="B8" s="110" t="s">
        <v>30</v>
      </c>
      <c r="C8" s="110" t="s">
        <v>31</v>
      </c>
      <c r="D8" s="103">
        <v>1</v>
      </c>
      <c r="E8" s="104">
        <v>30</v>
      </c>
      <c r="F8" s="105">
        <v>45909</v>
      </c>
      <c r="G8" s="106">
        <v>0.375</v>
      </c>
      <c r="H8" s="105">
        <v>45905</v>
      </c>
      <c r="I8" s="106">
        <v>0.45833333333333331</v>
      </c>
      <c r="J8" s="107">
        <f t="shared" ref="J8:J9" si="0">E8-L8</f>
        <v>0</v>
      </c>
      <c r="K8" s="104">
        <v>1</v>
      </c>
      <c r="L8" s="108">
        <v>30</v>
      </c>
      <c r="M8" s="111" t="s">
        <v>156</v>
      </c>
      <c r="Q8" s="102"/>
      <c r="R8" s="102"/>
      <c r="S8" s="102"/>
      <c r="T8" s="102"/>
    </row>
    <row r="9" spans="1:20" s="5" customFormat="1" ht="40.5" customHeight="1" x14ac:dyDescent="0.2">
      <c r="A9" s="23" t="s">
        <v>216</v>
      </c>
      <c r="B9" s="110" t="s">
        <v>36</v>
      </c>
      <c r="C9" s="105" t="s">
        <v>37</v>
      </c>
      <c r="D9" s="103">
        <v>1</v>
      </c>
      <c r="E9" s="49">
        <v>30</v>
      </c>
      <c r="F9" s="105">
        <v>45909</v>
      </c>
      <c r="G9" s="106">
        <v>0.375</v>
      </c>
      <c r="H9" s="105">
        <v>45905</v>
      </c>
      <c r="I9" s="106">
        <v>0.79166666666666663</v>
      </c>
      <c r="J9" s="107">
        <f>E9-L9</f>
        <v>0</v>
      </c>
      <c r="K9" s="104">
        <v>1</v>
      </c>
      <c r="L9" s="108">
        <v>30</v>
      </c>
      <c r="M9" s="111" t="s">
        <v>75</v>
      </c>
      <c r="O9" s="5" t="s">
        <v>155</v>
      </c>
    </row>
    <row r="10" spans="1:20" s="5" customFormat="1" ht="39" customHeight="1" x14ac:dyDescent="0.2">
      <c r="A10" s="98" t="s">
        <v>252</v>
      </c>
      <c r="B10" s="119" t="s">
        <v>36</v>
      </c>
      <c r="C10" s="53" t="s">
        <v>37</v>
      </c>
      <c r="D10" s="53">
        <v>2</v>
      </c>
      <c r="E10" s="53">
        <v>30</v>
      </c>
      <c r="F10" s="99">
        <v>45909</v>
      </c>
      <c r="G10" s="100">
        <v>0.375</v>
      </c>
      <c r="H10" s="99">
        <v>45907</v>
      </c>
      <c r="I10" s="100">
        <v>0.52083333333333337</v>
      </c>
      <c r="J10" s="107">
        <f>E10-L10</f>
        <v>0</v>
      </c>
      <c r="K10" s="53">
        <v>2</v>
      </c>
      <c r="L10" s="53">
        <v>30</v>
      </c>
      <c r="M10" s="97" t="s">
        <v>253</v>
      </c>
    </row>
    <row r="11" spans="1:20" s="5" customFormat="1" ht="43.5" customHeight="1" x14ac:dyDescent="0.2">
      <c r="A11" s="98" t="s">
        <v>252</v>
      </c>
      <c r="B11" s="119" t="s">
        <v>42</v>
      </c>
      <c r="C11" s="53" t="s">
        <v>43</v>
      </c>
      <c r="D11" s="53">
        <v>2</v>
      </c>
      <c r="E11" s="53">
        <v>30</v>
      </c>
      <c r="F11" s="99">
        <v>45909</v>
      </c>
      <c r="G11" s="100">
        <v>0.375</v>
      </c>
      <c r="H11" s="99">
        <v>45907</v>
      </c>
      <c r="I11" s="100">
        <v>0.54166666666666663</v>
      </c>
      <c r="J11" s="107">
        <f t="shared" ref="J10:J73" si="1">E11-L11</f>
        <v>0</v>
      </c>
      <c r="K11" s="53">
        <v>2</v>
      </c>
      <c r="L11" s="53">
        <v>30</v>
      </c>
      <c r="M11" s="97" t="s">
        <v>253</v>
      </c>
    </row>
    <row r="12" spans="1:20" s="5" customFormat="1" ht="35.1" customHeight="1" x14ac:dyDescent="0.2">
      <c r="A12" s="98" t="s">
        <v>254</v>
      </c>
      <c r="B12" s="119" t="s">
        <v>36</v>
      </c>
      <c r="C12" s="53" t="s">
        <v>37</v>
      </c>
      <c r="D12" s="53">
        <v>1</v>
      </c>
      <c r="E12" s="53">
        <v>30</v>
      </c>
      <c r="F12" s="99">
        <v>45909</v>
      </c>
      <c r="G12" s="100">
        <v>0.375</v>
      </c>
      <c r="H12" s="99">
        <v>45907</v>
      </c>
      <c r="I12" s="100">
        <v>0.5625</v>
      </c>
      <c r="J12" s="107">
        <f t="shared" si="1"/>
        <v>0</v>
      </c>
      <c r="K12" s="53">
        <v>1</v>
      </c>
      <c r="L12" s="53">
        <v>30</v>
      </c>
      <c r="M12" s="97" t="s">
        <v>255</v>
      </c>
    </row>
    <row r="13" spans="1:20" s="5" customFormat="1" ht="35.1" customHeight="1" x14ac:dyDescent="0.2">
      <c r="A13" s="97" t="s">
        <v>254</v>
      </c>
      <c r="B13" s="119" t="s">
        <v>42</v>
      </c>
      <c r="C13" s="53" t="s">
        <v>43</v>
      </c>
      <c r="D13" s="53">
        <v>1</v>
      </c>
      <c r="E13" s="53">
        <v>30</v>
      </c>
      <c r="F13" s="99">
        <v>45909</v>
      </c>
      <c r="G13" s="100">
        <v>0.375</v>
      </c>
      <c r="H13" s="99">
        <v>45907</v>
      </c>
      <c r="I13" s="100">
        <v>0.58333333333333337</v>
      </c>
      <c r="J13" s="107">
        <f t="shared" si="1"/>
        <v>0</v>
      </c>
      <c r="K13" s="53">
        <v>2</v>
      </c>
      <c r="L13" s="53">
        <v>30</v>
      </c>
      <c r="M13" s="97" t="s">
        <v>255</v>
      </c>
    </row>
    <row r="14" spans="1:20" s="5" customFormat="1" ht="35.1" customHeight="1" x14ac:dyDescent="0.2">
      <c r="A14" s="53" t="s">
        <v>256</v>
      </c>
      <c r="B14" s="119" t="s">
        <v>36</v>
      </c>
      <c r="C14" s="53" t="s">
        <v>37</v>
      </c>
      <c r="D14" s="53">
        <v>2</v>
      </c>
      <c r="E14" s="53">
        <v>30</v>
      </c>
      <c r="F14" s="99">
        <v>45909</v>
      </c>
      <c r="G14" s="100">
        <v>0.375</v>
      </c>
      <c r="H14" s="99">
        <v>45907</v>
      </c>
      <c r="I14" s="100">
        <v>0.58333333333333337</v>
      </c>
      <c r="J14" s="53">
        <f t="shared" si="1"/>
        <v>0</v>
      </c>
      <c r="K14" s="53">
        <v>2</v>
      </c>
      <c r="L14" s="53">
        <v>30</v>
      </c>
      <c r="M14" s="97" t="s">
        <v>257</v>
      </c>
    </row>
    <row r="15" spans="1:20" s="5" customFormat="1" ht="35.1" customHeight="1" x14ac:dyDescent="0.2">
      <c r="A15" s="97" t="s">
        <v>256</v>
      </c>
      <c r="B15" s="119" t="s">
        <v>42</v>
      </c>
      <c r="C15" s="53" t="s">
        <v>43</v>
      </c>
      <c r="D15" s="53">
        <v>2</v>
      </c>
      <c r="E15" s="53">
        <v>30</v>
      </c>
      <c r="F15" s="99">
        <v>45909</v>
      </c>
      <c r="G15" s="100">
        <v>0.375</v>
      </c>
      <c r="H15" s="99">
        <v>45907</v>
      </c>
      <c r="I15" s="100">
        <v>0.58333333333333337</v>
      </c>
      <c r="J15" s="53">
        <f t="shared" si="1"/>
        <v>0</v>
      </c>
      <c r="K15" s="53">
        <v>2</v>
      </c>
      <c r="L15" s="53">
        <v>30</v>
      </c>
      <c r="M15" s="97" t="s">
        <v>257</v>
      </c>
    </row>
    <row r="16" spans="1:20" s="5" customFormat="1" ht="38.450000000000003" customHeight="1" x14ac:dyDescent="0.2">
      <c r="A16" s="97" t="s">
        <v>258</v>
      </c>
      <c r="B16" s="119" t="s">
        <v>36</v>
      </c>
      <c r="C16" s="53" t="s">
        <v>37</v>
      </c>
      <c r="D16" s="53">
        <v>2</v>
      </c>
      <c r="E16" s="53">
        <v>30</v>
      </c>
      <c r="F16" s="99">
        <v>45909</v>
      </c>
      <c r="G16" s="100">
        <v>0.375</v>
      </c>
      <c r="H16" s="99">
        <v>45907</v>
      </c>
      <c r="I16" s="100">
        <v>0.58333333333333337</v>
      </c>
      <c r="J16" s="53">
        <f t="shared" si="1"/>
        <v>0</v>
      </c>
      <c r="K16" s="53">
        <v>1</v>
      </c>
      <c r="L16" s="53">
        <v>30</v>
      </c>
      <c r="M16" s="97" t="s">
        <v>259</v>
      </c>
    </row>
    <row r="17" spans="1:13" s="5" customFormat="1" ht="30.75" customHeight="1" x14ac:dyDescent="0.2">
      <c r="A17" s="97" t="s">
        <v>258</v>
      </c>
      <c r="B17" s="119" t="s">
        <v>42</v>
      </c>
      <c r="C17" s="53" t="s">
        <v>43</v>
      </c>
      <c r="D17" s="53">
        <v>2</v>
      </c>
      <c r="E17" s="53">
        <v>30</v>
      </c>
      <c r="F17" s="99">
        <v>45909</v>
      </c>
      <c r="G17" s="100">
        <v>0.375</v>
      </c>
      <c r="H17" s="99">
        <v>45907</v>
      </c>
      <c r="I17" s="100">
        <v>0.58333333333333337</v>
      </c>
      <c r="J17" s="53">
        <f t="shared" si="1"/>
        <v>0</v>
      </c>
      <c r="K17" s="53">
        <v>1</v>
      </c>
      <c r="L17" s="53">
        <v>30</v>
      </c>
      <c r="M17" s="97" t="s">
        <v>259</v>
      </c>
    </row>
    <row r="18" spans="1:13" s="5" customFormat="1" ht="27" customHeight="1" x14ac:dyDescent="0.2">
      <c r="A18" s="53" t="s">
        <v>260</v>
      </c>
      <c r="B18" s="119" t="s">
        <v>36</v>
      </c>
      <c r="C18" s="53" t="s">
        <v>37</v>
      </c>
      <c r="D18" s="53">
        <v>1</v>
      </c>
      <c r="E18" s="53">
        <v>30</v>
      </c>
      <c r="F18" s="99">
        <v>45909</v>
      </c>
      <c r="G18" s="100">
        <v>0.375</v>
      </c>
      <c r="H18" s="99">
        <v>45907</v>
      </c>
      <c r="I18" s="100">
        <v>0.58333333333333337</v>
      </c>
      <c r="J18" s="53">
        <f t="shared" si="1"/>
        <v>0</v>
      </c>
      <c r="K18" s="53">
        <v>3</v>
      </c>
      <c r="L18" s="53">
        <v>30</v>
      </c>
      <c r="M18" s="97" t="s">
        <v>261</v>
      </c>
    </row>
    <row r="19" spans="1:13" s="5" customFormat="1" ht="38.25" customHeight="1" x14ac:dyDescent="0.2">
      <c r="A19" s="53" t="s">
        <v>260</v>
      </c>
      <c r="B19" s="119" t="s">
        <v>42</v>
      </c>
      <c r="C19" s="53" t="s">
        <v>43</v>
      </c>
      <c r="D19" s="53">
        <v>1</v>
      </c>
      <c r="E19" s="53">
        <v>30</v>
      </c>
      <c r="F19" s="99">
        <v>45909</v>
      </c>
      <c r="G19" s="100">
        <v>0.375</v>
      </c>
      <c r="H19" s="99">
        <v>45907</v>
      </c>
      <c r="I19" s="100">
        <v>0.58333333333333337</v>
      </c>
      <c r="J19" s="53">
        <f t="shared" si="1"/>
        <v>0</v>
      </c>
      <c r="K19" s="53">
        <v>2</v>
      </c>
      <c r="L19" s="53">
        <v>30</v>
      </c>
      <c r="M19" s="97" t="s">
        <v>261</v>
      </c>
    </row>
    <row r="20" spans="1:13" s="5" customFormat="1" ht="40.5" customHeight="1" x14ac:dyDescent="0.2">
      <c r="A20" s="53" t="s">
        <v>262</v>
      </c>
      <c r="B20" s="119" t="s">
        <v>36</v>
      </c>
      <c r="C20" s="53" t="s">
        <v>37</v>
      </c>
      <c r="D20" s="53">
        <v>1</v>
      </c>
      <c r="E20" s="53">
        <v>30</v>
      </c>
      <c r="F20" s="99">
        <v>45909</v>
      </c>
      <c r="G20" s="100">
        <v>0.375</v>
      </c>
      <c r="H20" s="99">
        <v>45907</v>
      </c>
      <c r="I20" s="100">
        <v>0.58333333333333337</v>
      </c>
      <c r="J20" s="53">
        <f t="shared" si="1"/>
        <v>0</v>
      </c>
      <c r="K20" s="53">
        <v>2</v>
      </c>
      <c r="L20" s="53">
        <v>30</v>
      </c>
      <c r="M20" s="97" t="s">
        <v>263</v>
      </c>
    </row>
    <row r="21" spans="1:13" s="5" customFormat="1" ht="27" customHeight="1" x14ac:dyDescent="0.2">
      <c r="A21" s="97" t="s">
        <v>262</v>
      </c>
      <c r="B21" s="119" t="s">
        <v>42</v>
      </c>
      <c r="C21" s="53" t="s">
        <v>43</v>
      </c>
      <c r="D21" s="53">
        <v>1</v>
      </c>
      <c r="E21" s="53">
        <v>30</v>
      </c>
      <c r="F21" s="99">
        <v>45909</v>
      </c>
      <c r="G21" s="100">
        <v>0.375</v>
      </c>
      <c r="H21" s="99">
        <v>45907</v>
      </c>
      <c r="I21" s="100">
        <v>0.58333333333333337</v>
      </c>
      <c r="J21" s="53">
        <f t="shared" si="1"/>
        <v>0</v>
      </c>
      <c r="K21" s="53">
        <v>1</v>
      </c>
      <c r="L21" s="53">
        <v>30</v>
      </c>
      <c r="M21" s="97" t="s">
        <v>263</v>
      </c>
    </row>
    <row r="22" spans="1:13" s="5" customFormat="1" ht="27" customHeight="1" x14ac:dyDescent="0.2">
      <c r="A22" s="97" t="s">
        <v>264</v>
      </c>
      <c r="B22" s="119" t="s">
        <v>36</v>
      </c>
      <c r="C22" s="53" t="s">
        <v>37</v>
      </c>
      <c r="D22" s="53">
        <v>1</v>
      </c>
      <c r="E22" s="53">
        <v>30</v>
      </c>
      <c r="F22" s="99">
        <v>45909</v>
      </c>
      <c r="G22" s="100">
        <v>0.375</v>
      </c>
      <c r="H22" s="99">
        <v>45907</v>
      </c>
      <c r="I22" s="100">
        <v>0.58333333333333337</v>
      </c>
      <c r="J22" s="53">
        <f t="shared" si="1"/>
        <v>0</v>
      </c>
      <c r="K22" s="53">
        <v>1</v>
      </c>
      <c r="L22" s="53">
        <v>30</v>
      </c>
      <c r="M22" s="97" t="s">
        <v>265</v>
      </c>
    </row>
    <row r="23" spans="1:13" s="5" customFormat="1" ht="27" customHeight="1" x14ac:dyDescent="0.2">
      <c r="A23" s="97" t="s">
        <v>264</v>
      </c>
      <c r="B23" s="119" t="s">
        <v>42</v>
      </c>
      <c r="C23" s="53" t="s">
        <v>43</v>
      </c>
      <c r="D23" s="53">
        <v>1</v>
      </c>
      <c r="E23" s="53">
        <v>30</v>
      </c>
      <c r="F23" s="99">
        <v>45909</v>
      </c>
      <c r="G23" s="100">
        <v>0.375</v>
      </c>
      <c r="H23" s="99">
        <v>45907</v>
      </c>
      <c r="I23" s="100">
        <v>0.58333333333333337</v>
      </c>
      <c r="J23" s="53">
        <f t="shared" si="1"/>
        <v>0</v>
      </c>
      <c r="K23" s="53">
        <v>1</v>
      </c>
      <c r="L23" s="53">
        <v>30</v>
      </c>
      <c r="M23" s="97" t="s">
        <v>265</v>
      </c>
    </row>
    <row r="24" spans="1:13" s="5" customFormat="1" ht="27" customHeight="1" x14ac:dyDescent="0.2">
      <c r="A24" s="97" t="s">
        <v>266</v>
      </c>
      <c r="B24" s="119" t="s">
        <v>36</v>
      </c>
      <c r="C24" s="53" t="s">
        <v>37</v>
      </c>
      <c r="D24" s="53">
        <v>1</v>
      </c>
      <c r="E24" s="53">
        <v>20</v>
      </c>
      <c r="F24" s="99">
        <v>45909</v>
      </c>
      <c r="G24" s="100">
        <v>0.375</v>
      </c>
      <c r="H24" s="99">
        <v>45907</v>
      </c>
      <c r="I24" s="100">
        <v>0.58333333333333337</v>
      </c>
      <c r="J24" s="53">
        <f t="shared" si="1"/>
        <v>-10</v>
      </c>
      <c r="K24" s="53">
        <v>1</v>
      </c>
      <c r="L24" s="53">
        <v>30</v>
      </c>
      <c r="M24" s="97" t="s">
        <v>267</v>
      </c>
    </row>
    <row r="25" spans="1:13" s="5" customFormat="1" ht="27" customHeight="1" x14ac:dyDescent="0.2">
      <c r="A25" s="97" t="s">
        <v>266</v>
      </c>
      <c r="B25" s="119" t="s">
        <v>42</v>
      </c>
      <c r="C25" s="53" t="s">
        <v>43</v>
      </c>
      <c r="D25" s="53">
        <v>1</v>
      </c>
      <c r="E25" s="53">
        <v>20</v>
      </c>
      <c r="F25" s="99">
        <v>45909</v>
      </c>
      <c r="G25" s="100">
        <v>0.375</v>
      </c>
      <c r="H25" s="99">
        <v>45907</v>
      </c>
      <c r="I25" s="100">
        <v>0.58333333333333337</v>
      </c>
      <c r="J25" s="53">
        <f t="shared" si="1"/>
        <v>-10</v>
      </c>
      <c r="K25" s="53">
        <v>1</v>
      </c>
      <c r="L25" s="53">
        <v>30</v>
      </c>
      <c r="M25" s="97" t="s">
        <v>267</v>
      </c>
    </row>
    <row r="26" spans="1:13" s="5" customFormat="1" ht="27" customHeight="1" x14ac:dyDescent="0.2">
      <c r="A26" s="97" t="s">
        <v>268</v>
      </c>
      <c r="B26" s="119" t="s">
        <v>36</v>
      </c>
      <c r="C26" s="53" t="s">
        <v>37</v>
      </c>
      <c r="D26" s="53">
        <v>1</v>
      </c>
      <c r="E26" s="53">
        <v>20</v>
      </c>
      <c r="F26" s="99">
        <v>45909</v>
      </c>
      <c r="G26" s="100">
        <v>0.375</v>
      </c>
      <c r="H26" s="99">
        <v>45907</v>
      </c>
      <c r="I26" s="100">
        <v>0.58333333333333337</v>
      </c>
      <c r="J26" s="53">
        <f t="shared" si="1"/>
        <v>-10</v>
      </c>
      <c r="K26" s="53">
        <v>1</v>
      </c>
      <c r="L26" s="53">
        <v>30</v>
      </c>
      <c r="M26" s="97" t="s">
        <v>269</v>
      </c>
    </row>
    <row r="27" spans="1:13" s="5" customFormat="1" ht="27" customHeight="1" x14ac:dyDescent="0.2">
      <c r="A27" s="97" t="s">
        <v>268</v>
      </c>
      <c r="B27" s="119" t="s">
        <v>42</v>
      </c>
      <c r="C27" s="53" t="s">
        <v>43</v>
      </c>
      <c r="D27" s="53">
        <v>1</v>
      </c>
      <c r="E27" s="53">
        <v>20</v>
      </c>
      <c r="F27" s="99">
        <v>45909</v>
      </c>
      <c r="G27" s="100">
        <v>0.375</v>
      </c>
      <c r="H27" s="99">
        <v>45907</v>
      </c>
      <c r="I27" s="100">
        <v>0.58333333333333337</v>
      </c>
      <c r="J27" s="53">
        <f t="shared" si="1"/>
        <v>0</v>
      </c>
      <c r="K27" s="53">
        <v>1</v>
      </c>
      <c r="L27" s="53">
        <v>20</v>
      </c>
      <c r="M27" s="97" t="s">
        <v>269</v>
      </c>
    </row>
    <row r="28" spans="1:13" s="5" customFormat="1" ht="27" customHeight="1" x14ac:dyDescent="0.2">
      <c r="A28" s="97" t="s">
        <v>270</v>
      </c>
      <c r="B28" s="119" t="s">
        <v>36</v>
      </c>
      <c r="C28" s="53" t="s">
        <v>37</v>
      </c>
      <c r="D28" s="53">
        <v>1</v>
      </c>
      <c r="E28" s="53">
        <v>20</v>
      </c>
      <c r="F28" s="99">
        <v>45909</v>
      </c>
      <c r="G28" s="100">
        <v>0.375</v>
      </c>
      <c r="H28" s="99">
        <v>45907</v>
      </c>
      <c r="I28" s="100">
        <v>0.58333333333333337</v>
      </c>
      <c r="J28" s="53">
        <f t="shared" si="1"/>
        <v>1</v>
      </c>
      <c r="K28" s="53">
        <v>2</v>
      </c>
      <c r="L28" s="53">
        <v>19</v>
      </c>
      <c r="M28" s="97" t="s">
        <v>273</v>
      </c>
    </row>
    <row r="29" spans="1:13" s="5" customFormat="1" ht="36.75" customHeight="1" x14ac:dyDescent="0.2">
      <c r="A29" s="97" t="s">
        <v>271</v>
      </c>
      <c r="B29" s="119" t="s">
        <v>42</v>
      </c>
      <c r="C29" s="53" t="s">
        <v>43</v>
      </c>
      <c r="D29" s="53">
        <v>1</v>
      </c>
      <c r="E29" s="53">
        <v>20</v>
      </c>
      <c r="F29" s="99">
        <v>45909</v>
      </c>
      <c r="G29" s="100">
        <v>0.375</v>
      </c>
      <c r="H29" s="99">
        <v>45907</v>
      </c>
      <c r="I29" s="100">
        <v>0.58333333333333337</v>
      </c>
      <c r="J29" s="53">
        <f t="shared" si="1"/>
        <v>0</v>
      </c>
      <c r="K29" s="53">
        <v>2</v>
      </c>
      <c r="L29" s="53">
        <v>20</v>
      </c>
      <c r="M29" s="97" t="s">
        <v>273</v>
      </c>
    </row>
    <row r="30" spans="1:13" s="5" customFormat="1" ht="37.5" customHeight="1" x14ac:dyDescent="0.2">
      <c r="A30" s="97" t="s">
        <v>272</v>
      </c>
      <c r="B30" s="119" t="s">
        <v>36</v>
      </c>
      <c r="C30" s="53" t="s">
        <v>37</v>
      </c>
      <c r="D30" s="53">
        <v>1</v>
      </c>
      <c r="E30" s="53">
        <v>15</v>
      </c>
      <c r="F30" s="99">
        <v>45909</v>
      </c>
      <c r="G30" s="100">
        <v>0.375</v>
      </c>
      <c r="H30" s="99">
        <v>45907</v>
      </c>
      <c r="I30" s="100">
        <v>0.58333333333333337</v>
      </c>
      <c r="J30" s="53">
        <f t="shared" si="1"/>
        <v>5</v>
      </c>
      <c r="K30" s="53">
        <v>1</v>
      </c>
      <c r="L30" s="53">
        <v>10</v>
      </c>
      <c r="M30" s="97" t="s">
        <v>274</v>
      </c>
    </row>
    <row r="31" spans="1:13" s="5" customFormat="1" ht="38.25" customHeight="1" x14ac:dyDescent="0.2">
      <c r="A31" s="97" t="s">
        <v>272</v>
      </c>
      <c r="B31" s="119" t="s">
        <v>42</v>
      </c>
      <c r="C31" s="53" t="s">
        <v>43</v>
      </c>
      <c r="D31" s="53">
        <v>1</v>
      </c>
      <c r="E31" s="53">
        <v>15</v>
      </c>
      <c r="F31" s="99">
        <v>45909</v>
      </c>
      <c r="G31" s="100">
        <v>0.375</v>
      </c>
      <c r="H31" s="99">
        <v>45907</v>
      </c>
      <c r="I31" s="100">
        <v>0.58333333333333337</v>
      </c>
      <c r="J31" s="53">
        <f t="shared" si="1"/>
        <v>5</v>
      </c>
      <c r="K31" s="53">
        <v>1</v>
      </c>
      <c r="L31" s="53">
        <v>10</v>
      </c>
      <c r="M31" s="97" t="s">
        <v>274</v>
      </c>
    </row>
    <row r="32" spans="1:13" s="5" customFormat="1" ht="36.75" customHeight="1" x14ac:dyDescent="0.2">
      <c r="A32" s="97" t="s">
        <v>275</v>
      </c>
      <c r="B32" s="119" t="s">
        <v>36</v>
      </c>
      <c r="C32" s="53" t="s">
        <v>37</v>
      </c>
      <c r="D32" s="53">
        <v>1</v>
      </c>
      <c r="E32" s="53">
        <v>20</v>
      </c>
      <c r="F32" s="99">
        <v>45909</v>
      </c>
      <c r="G32" s="100">
        <v>0.375</v>
      </c>
      <c r="H32" s="99">
        <v>45907</v>
      </c>
      <c r="I32" s="100">
        <v>0.58333333333333337</v>
      </c>
      <c r="J32" s="53">
        <f t="shared" si="1"/>
        <v>10</v>
      </c>
      <c r="K32" s="53">
        <v>1</v>
      </c>
      <c r="L32" s="53">
        <v>10</v>
      </c>
      <c r="M32" s="97" t="s">
        <v>276</v>
      </c>
    </row>
    <row r="33" spans="1:13" s="5" customFormat="1" ht="42" customHeight="1" x14ac:dyDescent="0.2">
      <c r="A33" s="97" t="s">
        <v>275</v>
      </c>
      <c r="B33" s="119" t="s">
        <v>42</v>
      </c>
      <c r="C33" s="53" t="s">
        <v>43</v>
      </c>
      <c r="D33" s="53">
        <v>1</v>
      </c>
      <c r="E33" s="53">
        <v>20</v>
      </c>
      <c r="F33" s="99">
        <v>45909</v>
      </c>
      <c r="G33" s="100">
        <v>0.375</v>
      </c>
      <c r="H33" s="99">
        <v>45907</v>
      </c>
      <c r="I33" s="100">
        <v>0.58333333333333337</v>
      </c>
      <c r="J33" s="53">
        <f t="shared" si="1"/>
        <v>10</v>
      </c>
      <c r="K33" s="53">
        <v>1</v>
      </c>
      <c r="L33" s="53">
        <v>10</v>
      </c>
      <c r="M33" s="97" t="s">
        <v>276</v>
      </c>
    </row>
    <row r="34" spans="1:13" s="5" customFormat="1" ht="39" customHeight="1" x14ac:dyDescent="0.2">
      <c r="A34" s="97" t="s">
        <v>277</v>
      </c>
      <c r="B34" s="119" t="s">
        <v>21</v>
      </c>
      <c r="C34" s="53" t="s">
        <v>22</v>
      </c>
      <c r="D34" s="53">
        <v>1</v>
      </c>
      <c r="E34" s="53">
        <v>55</v>
      </c>
      <c r="F34" s="99">
        <v>45909</v>
      </c>
      <c r="G34" s="100">
        <v>0.375</v>
      </c>
      <c r="H34" s="99">
        <v>45906</v>
      </c>
      <c r="I34" s="100">
        <v>0.35416666666666669</v>
      </c>
      <c r="J34" s="53">
        <f t="shared" si="1"/>
        <v>-5</v>
      </c>
      <c r="K34" s="53">
        <v>2</v>
      </c>
      <c r="L34" s="53">
        <v>60</v>
      </c>
      <c r="M34" s="97" t="s">
        <v>278</v>
      </c>
    </row>
    <row r="35" spans="1:13" s="5" customFormat="1" ht="42" customHeight="1" x14ac:dyDescent="0.2">
      <c r="A35" s="97" t="s">
        <v>277</v>
      </c>
      <c r="B35" s="119" t="s">
        <v>136</v>
      </c>
      <c r="C35" s="53" t="s">
        <v>34</v>
      </c>
      <c r="D35" s="53">
        <v>1</v>
      </c>
      <c r="E35" s="53">
        <v>55</v>
      </c>
      <c r="F35" s="99">
        <v>45909</v>
      </c>
      <c r="G35" s="100">
        <v>0.375</v>
      </c>
      <c r="H35" s="99">
        <v>45906</v>
      </c>
      <c r="I35" s="100">
        <v>0.39583333333333298</v>
      </c>
      <c r="J35" s="53">
        <f t="shared" si="1"/>
        <v>-5</v>
      </c>
      <c r="K35" s="53">
        <v>1</v>
      </c>
      <c r="L35" s="53">
        <v>60</v>
      </c>
      <c r="M35" s="97" t="s">
        <v>278</v>
      </c>
    </row>
    <row r="36" spans="1:13" s="5" customFormat="1" ht="47.25" customHeight="1" x14ac:dyDescent="0.2">
      <c r="A36" s="97" t="s">
        <v>279</v>
      </c>
      <c r="B36" s="119" t="s">
        <v>21</v>
      </c>
      <c r="C36" s="53" t="s">
        <v>22</v>
      </c>
      <c r="D36" s="53">
        <v>1</v>
      </c>
      <c r="E36" s="53">
        <v>60</v>
      </c>
      <c r="F36" s="99">
        <v>45909</v>
      </c>
      <c r="G36" s="100">
        <v>0.375</v>
      </c>
      <c r="H36" s="99">
        <v>45906</v>
      </c>
      <c r="I36" s="100">
        <v>0.4375</v>
      </c>
      <c r="J36" s="53">
        <f t="shared" si="1"/>
        <v>0</v>
      </c>
      <c r="K36" s="53">
        <v>3</v>
      </c>
      <c r="L36" s="53">
        <v>60</v>
      </c>
      <c r="M36" s="97" t="s">
        <v>280</v>
      </c>
    </row>
    <row r="37" spans="1:13" s="5" customFormat="1" ht="33.950000000000003" customHeight="1" x14ac:dyDescent="0.2">
      <c r="A37" s="97" t="s">
        <v>279</v>
      </c>
      <c r="B37" s="119" t="s">
        <v>136</v>
      </c>
      <c r="C37" s="53" t="s">
        <v>34</v>
      </c>
      <c r="D37" s="53">
        <v>1</v>
      </c>
      <c r="E37" s="53">
        <v>60</v>
      </c>
      <c r="F37" s="99">
        <v>45909</v>
      </c>
      <c r="G37" s="100">
        <v>0.375</v>
      </c>
      <c r="H37" s="99">
        <v>45906</v>
      </c>
      <c r="I37" s="100">
        <v>0.47916666666666702</v>
      </c>
      <c r="J37" s="53">
        <f t="shared" si="1"/>
        <v>0</v>
      </c>
      <c r="K37" s="53">
        <v>1</v>
      </c>
      <c r="L37" s="53">
        <v>60</v>
      </c>
      <c r="M37" s="97" t="s">
        <v>280</v>
      </c>
    </row>
    <row r="38" spans="1:13" s="5" customFormat="1" ht="28.5" customHeight="1" x14ac:dyDescent="0.2">
      <c r="A38" s="97" t="s">
        <v>281</v>
      </c>
      <c r="B38" s="119" t="s">
        <v>21</v>
      </c>
      <c r="C38" s="53" t="s">
        <v>22</v>
      </c>
      <c r="D38" s="53">
        <v>1</v>
      </c>
      <c r="E38" s="53">
        <v>30</v>
      </c>
      <c r="F38" s="99">
        <v>45909</v>
      </c>
      <c r="G38" s="100">
        <v>0.375</v>
      </c>
      <c r="H38" s="99">
        <v>45906</v>
      </c>
      <c r="I38" s="100">
        <v>0.5</v>
      </c>
      <c r="J38" s="53">
        <f t="shared" si="1"/>
        <v>0</v>
      </c>
      <c r="K38" s="53">
        <v>1</v>
      </c>
      <c r="L38" s="53">
        <v>30</v>
      </c>
      <c r="M38" s="97" t="s">
        <v>282</v>
      </c>
    </row>
    <row r="39" spans="1:13" s="5" customFormat="1" ht="39" customHeight="1" x14ac:dyDescent="0.2">
      <c r="A39" s="97" t="s">
        <v>281</v>
      </c>
      <c r="B39" s="119" t="s">
        <v>136</v>
      </c>
      <c r="C39" s="53" t="s">
        <v>34</v>
      </c>
      <c r="D39" s="53">
        <v>1</v>
      </c>
      <c r="E39" s="53">
        <v>30</v>
      </c>
      <c r="F39" s="99">
        <v>45909</v>
      </c>
      <c r="G39" s="100">
        <v>0.375</v>
      </c>
      <c r="H39" s="99">
        <v>45906</v>
      </c>
      <c r="I39" s="100">
        <v>0.52083333333333337</v>
      </c>
      <c r="J39" s="53">
        <f t="shared" si="1"/>
        <v>2</v>
      </c>
      <c r="K39" s="53">
        <v>1</v>
      </c>
      <c r="L39" s="53">
        <v>28</v>
      </c>
      <c r="M39" s="97" t="s">
        <v>282</v>
      </c>
    </row>
    <row r="40" spans="1:13" s="5" customFormat="1" ht="38.25" customHeight="1" x14ac:dyDescent="0.2">
      <c r="A40" s="97" t="s">
        <v>283</v>
      </c>
      <c r="B40" s="119" t="s">
        <v>21</v>
      </c>
      <c r="C40" s="53" t="s">
        <v>22</v>
      </c>
      <c r="D40" s="53">
        <v>1</v>
      </c>
      <c r="E40" s="53">
        <v>30</v>
      </c>
      <c r="F40" s="99">
        <v>45909</v>
      </c>
      <c r="G40" s="100">
        <v>0.375</v>
      </c>
      <c r="H40" s="99">
        <v>45906</v>
      </c>
      <c r="I40" s="100">
        <v>0.54166666666666663</v>
      </c>
      <c r="J40" s="53">
        <f t="shared" si="1"/>
        <v>0</v>
      </c>
      <c r="K40" s="53">
        <v>1</v>
      </c>
      <c r="L40" s="53">
        <v>30</v>
      </c>
      <c r="M40" s="97" t="s">
        <v>284</v>
      </c>
    </row>
    <row r="41" spans="1:13" s="5" customFormat="1" ht="38.25" customHeight="1" x14ac:dyDescent="0.2">
      <c r="A41" s="97" t="s">
        <v>283</v>
      </c>
      <c r="B41" s="119" t="s">
        <v>136</v>
      </c>
      <c r="C41" s="53" t="s">
        <v>34</v>
      </c>
      <c r="D41" s="53">
        <v>1</v>
      </c>
      <c r="E41" s="53">
        <v>30</v>
      </c>
      <c r="F41" s="99">
        <v>45909</v>
      </c>
      <c r="G41" s="100">
        <v>0.375</v>
      </c>
      <c r="H41" s="99">
        <v>45906</v>
      </c>
      <c r="I41" s="100">
        <v>0.5625</v>
      </c>
      <c r="J41" s="53">
        <f t="shared" si="1"/>
        <v>1</v>
      </c>
      <c r="K41" s="53">
        <v>1</v>
      </c>
      <c r="L41" s="53">
        <v>29</v>
      </c>
      <c r="M41" s="97" t="s">
        <v>284</v>
      </c>
    </row>
    <row r="42" spans="1:13" s="5" customFormat="1" ht="42" customHeight="1" x14ac:dyDescent="0.2">
      <c r="A42" s="97" t="s">
        <v>285</v>
      </c>
      <c r="B42" s="119" t="s">
        <v>21</v>
      </c>
      <c r="C42" s="53" t="s">
        <v>22</v>
      </c>
      <c r="D42" s="53">
        <v>1</v>
      </c>
      <c r="E42" s="53">
        <v>30</v>
      </c>
      <c r="F42" s="99">
        <v>45909</v>
      </c>
      <c r="G42" s="100">
        <v>0.375</v>
      </c>
      <c r="H42" s="99">
        <v>45906</v>
      </c>
      <c r="I42" s="100">
        <v>0.58333333333333337</v>
      </c>
      <c r="J42" s="53">
        <f t="shared" si="1"/>
        <v>0</v>
      </c>
      <c r="K42" s="53">
        <v>1</v>
      </c>
      <c r="L42" s="53">
        <v>30</v>
      </c>
      <c r="M42" s="97" t="s">
        <v>286</v>
      </c>
    </row>
    <row r="43" spans="1:13" s="5" customFormat="1" ht="32.450000000000003" customHeight="1" x14ac:dyDescent="0.2">
      <c r="A43" s="97" t="s">
        <v>285</v>
      </c>
      <c r="B43" s="119" t="s">
        <v>136</v>
      </c>
      <c r="C43" s="53" t="s">
        <v>34</v>
      </c>
      <c r="D43" s="53">
        <v>1</v>
      </c>
      <c r="E43" s="53">
        <v>30</v>
      </c>
      <c r="F43" s="99">
        <v>45909</v>
      </c>
      <c r="G43" s="100">
        <v>0.375</v>
      </c>
      <c r="H43" s="99">
        <v>45906</v>
      </c>
      <c r="I43" s="100">
        <v>0.58333333333333337</v>
      </c>
      <c r="J43" s="53">
        <f t="shared" si="1"/>
        <v>0</v>
      </c>
      <c r="K43" s="53">
        <v>1</v>
      </c>
      <c r="L43" s="53">
        <v>30</v>
      </c>
      <c r="M43" s="97" t="s">
        <v>286</v>
      </c>
    </row>
    <row r="44" spans="1:13" ht="35.25" customHeight="1" x14ac:dyDescent="0.2">
      <c r="A44" s="97" t="s">
        <v>287</v>
      </c>
      <c r="B44" s="119" t="s">
        <v>21</v>
      </c>
      <c r="C44" s="53" t="s">
        <v>22</v>
      </c>
      <c r="D44" s="53">
        <v>1</v>
      </c>
      <c r="E44" s="53">
        <v>30</v>
      </c>
      <c r="F44" s="99">
        <v>45909</v>
      </c>
      <c r="G44" s="100">
        <v>0.375</v>
      </c>
      <c r="H44" s="99">
        <v>45906</v>
      </c>
      <c r="I44" s="100">
        <v>0.60416666666666663</v>
      </c>
      <c r="J44" s="53">
        <f t="shared" si="1"/>
        <v>0</v>
      </c>
      <c r="K44" s="53">
        <v>1</v>
      </c>
      <c r="L44" s="53">
        <v>30</v>
      </c>
      <c r="M44" s="97" t="s">
        <v>288</v>
      </c>
    </row>
    <row r="45" spans="1:13" s="5" customFormat="1" ht="47.1" customHeight="1" x14ac:dyDescent="0.2">
      <c r="A45" s="97" t="s">
        <v>287</v>
      </c>
      <c r="B45" s="119" t="s">
        <v>136</v>
      </c>
      <c r="C45" s="53" t="s">
        <v>34</v>
      </c>
      <c r="D45" s="53">
        <v>1</v>
      </c>
      <c r="E45" s="53">
        <v>30</v>
      </c>
      <c r="F45" s="99">
        <v>45909</v>
      </c>
      <c r="G45" s="100">
        <v>0.375</v>
      </c>
      <c r="H45" s="99">
        <v>45906</v>
      </c>
      <c r="I45" s="100">
        <v>0.60416666666666663</v>
      </c>
      <c r="J45" s="53">
        <f t="shared" si="1"/>
        <v>5</v>
      </c>
      <c r="K45" s="53">
        <v>1</v>
      </c>
      <c r="L45" s="53">
        <v>25</v>
      </c>
      <c r="M45" s="97" t="s">
        <v>288</v>
      </c>
    </row>
    <row r="46" spans="1:13" s="5" customFormat="1" ht="43.5" customHeight="1" x14ac:dyDescent="0.2">
      <c r="A46" s="97" t="s">
        <v>289</v>
      </c>
      <c r="B46" s="119" t="s">
        <v>21</v>
      </c>
      <c r="C46" s="53" t="s">
        <v>22</v>
      </c>
      <c r="D46" s="53">
        <v>1</v>
      </c>
      <c r="E46" s="53">
        <v>30</v>
      </c>
      <c r="F46" s="99">
        <v>45909</v>
      </c>
      <c r="G46" s="100">
        <v>0.375</v>
      </c>
      <c r="H46" s="99">
        <v>45906</v>
      </c>
      <c r="I46" s="100">
        <v>0.625</v>
      </c>
      <c r="J46" s="53">
        <f t="shared" si="1"/>
        <v>5</v>
      </c>
      <c r="K46" s="53">
        <v>1</v>
      </c>
      <c r="L46" s="53">
        <v>25</v>
      </c>
      <c r="M46" s="97" t="s">
        <v>290</v>
      </c>
    </row>
    <row r="47" spans="1:13" s="5" customFormat="1" ht="42.75" customHeight="1" x14ac:dyDescent="0.2">
      <c r="A47" s="53" t="s">
        <v>289</v>
      </c>
      <c r="B47" s="119" t="s">
        <v>136</v>
      </c>
      <c r="C47" s="53" t="s">
        <v>34</v>
      </c>
      <c r="D47" s="53">
        <v>1</v>
      </c>
      <c r="E47" s="53">
        <v>30</v>
      </c>
      <c r="F47" s="99">
        <v>45909</v>
      </c>
      <c r="G47" s="100">
        <v>0.375</v>
      </c>
      <c r="H47" s="99">
        <v>45906</v>
      </c>
      <c r="I47" s="100">
        <v>0.625</v>
      </c>
      <c r="J47" s="53">
        <f t="shared" si="1"/>
        <v>0</v>
      </c>
      <c r="K47" s="53">
        <v>1</v>
      </c>
      <c r="L47" s="53">
        <v>30</v>
      </c>
      <c r="M47" s="97" t="s">
        <v>290</v>
      </c>
    </row>
    <row r="48" spans="1:13" s="5" customFormat="1" ht="39" customHeight="1" x14ac:dyDescent="0.2">
      <c r="A48" s="97" t="s">
        <v>291</v>
      </c>
      <c r="B48" s="119" t="s">
        <v>21</v>
      </c>
      <c r="C48" s="53" t="s">
        <v>22</v>
      </c>
      <c r="D48" s="53">
        <v>1</v>
      </c>
      <c r="E48" s="53">
        <v>30</v>
      </c>
      <c r="F48" s="99">
        <v>45909</v>
      </c>
      <c r="G48" s="100">
        <v>0.375</v>
      </c>
      <c r="H48" s="99">
        <v>45906</v>
      </c>
      <c r="I48" s="100">
        <v>0.64583333333333337</v>
      </c>
      <c r="J48" s="53">
        <f t="shared" si="1"/>
        <v>0</v>
      </c>
      <c r="K48" s="53">
        <v>1</v>
      </c>
      <c r="L48" s="53">
        <v>30</v>
      </c>
      <c r="M48" s="97" t="s">
        <v>292</v>
      </c>
    </row>
    <row r="49" spans="1:13" s="5" customFormat="1" ht="29.25" customHeight="1" x14ac:dyDescent="0.2">
      <c r="A49" s="97" t="s">
        <v>291</v>
      </c>
      <c r="B49" s="119" t="s">
        <v>136</v>
      </c>
      <c r="C49" s="53" t="s">
        <v>34</v>
      </c>
      <c r="D49" s="53">
        <v>1</v>
      </c>
      <c r="E49" s="53">
        <v>30</v>
      </c>
      <c r="F49" s="99">
        <v>45909</v>
      </c>
      <c r="G49" s="100">
        <v>0.375</v>
      </c>
      <c r="H49" s="99">
        <v>45906</v>
      </c>
      <c r="I49" s="100">
        <v>0.64583333333333337</v>
      </c>
      <c r="J49" s="53">
        <f t="shared" si="1"/>
        <v>0</v>
      </c>
      <c r="K49" s="53">
        <v>1</v>
      </c>
      <c r="L49" s="53">
        <v>30</v>
      </c>
      <c r="M49" s="97" t="s">
        <v>292</v>
      </c>
    </row>
    <row r="50" spans="1:13" s="5" customFormat="1" ht="31.5" customHeight="1" x14ac:dyDescent="0.2">
      <c r="A50" s="97" t="s">
        <v>293</v>
      </c>
      <c r="B50" s="119" t="s">
        <v>21</v>
      </c>
      <c r="C50" s="53" t="s">
        <v>22</v>
      </c>
      <c r="D50" s="53">
        <v>2</v>
      </c>
      <c r="E50" s="53">
        <v>60</v>
      </c>
      <c r="F50" s="99">
        <v>45909</v>
      </c>
      <c r="G50" s="100">
        <v>0.375</v>
      </c>
      <c r="H50" s="99">
        <v>45906</v>
      </c>
      <c r="I50" s="100">
        <v>0.66666666666666663</v>
      </c>
      <c r="J50" s="53">
        <f t="shared" si="1"/>
        <v>35</v>
      </c>
      <c r="K50" s="53">
        <v>1</v>
      </c>
      <c r="L50" s="53">
        <v>25</v>
      </c>
      <c r="M50" s="97" t="s">
        <v>294</v>
      </c>
    </row>
    <row r="51" spans="1:13" s="5" customFormat="1" ht="26.45" customHeight="1" x14ac:dyDescent="0.2">
      <c r="A51" s="97" t="s">
        <v>293</v>
      </c>
      <c r="B51" s="119" t="s">
        <v>136</v>
      </c>
      <c r="C51" s="53" t="s">
        <v>34</v>
      </c>
      <c r="D51" s="53">
        <v>2</v>
      </c>
      <c r="E51" s="53">
        <v>60</v>
      </c>
      <c r="F51" s="99">
        <v>45909</v>
      </c>
      <c r="G51" s="100">
        <v>0.375</v>
      </c>
      <c r="H51" s="99">
        <v>45906</v>
      </c>
      <c r="I51" s="100">
        <v>0.66666666666666663</v>
      </c>
      <c r="J51" s="53">
        <f t="shared" si="1"/>
        <v>35</v>
      </c>
      <c r="K51" s="53">
        <v>1</v>
      </c>
      <c r="L51" s="53">
        <v>25</v>
      </c>
      <c r="M51" s="97" t="s">
        <v>294</v>
      </c>
    </row>
    <row r="52" spans="1:13" s="5" customFormat="1" ht="29.1" customHeight="1" x14ac:dyDescent="0.2">
      <c r="A52" s="97" t="s">
        <v>295</v>
      </c>
      <c r="B52" s="119" t="s">
        <v>21</v>
      </c>
      <c r="C52" s="53" t="s">
        <v>22</v>
      </c>
      <c r="D52" s="53">
        <v>2</v>
      </c>
      <c r="E52" s="53">
        <v>60</v>
      </c>
      <c r="F52" s="99">
        <v>45909</v>
      </c>
      <c r="G52" s="100">
        <v>0.375</v>
      </c>
      <c r="H52" s="99">
        <v>45906</v>
      </c>
      <c r="I52" s="100">
        <v>0.70833333333333337</v>
      </c>
      <c r="J52" s="53">
        <f t="shared" si="1"/>
        <v>38</v>
      </c>
      <c r="K52" s="53">
        <v>1</v>
      </c>
      <c r="L52" s="53">
        <v>22</v>
      </c>
      <c r="M52" s="97" t="s">
        <v>296</v>
      </c>
    </row>
    <row r="53" spans="1:13" s="5" customFormat="1" ht="31.5" customHeight="1" x14ac:dyDescent="0.2">
      <c r="A53" s="97" t="s">
        <v>295</v>
      </c>
      <c r="B53" s="119" t="s">
        <v>136</v>
      </c>
      <c r="C53" s="53" t="s">
        <v>34</v>
      </c>
      <c r="D53" s="53">
        <v>2</v>
      </c>
      <c r="E53" s="53">
        <v>60</v>
      </c>
      <c r="F53" s="99">
        <v>45909</v>
      </c>
      <c r="G53" s="100">
        <v>0.375</v>
      </c>
      <c r="H53" s="99">
        <v>45906</v>
      </c>
      <c r="I53" s="100">
        <v>0.75</v>
      </c>
      <c r="J53" s="53">
        <f t="shared" si="1"/>
        <v>38</v>
      </c>
      <c r="K53" s="53">
        <v>2</v>
      </c>
      <c r="L53" s="53">
        <v>22</v>
      </c>
      <c r="M53" s="97" t="s">
        <v>296</v>
      </c>
    </row>
    <row r="54" spans="1:13" s="5" customFormat="1" ht="26.1" customHeight="1" x14ac:dyDescent="0.2">
      <c r="A54" s="97" t="s">
        <v>297</v>
      </c>
      <c r="B54" s="119" t="s">
        <v>21</v>
      </c>
      <c r="C54" s="53" t="s">
        <v>22</v>
      </c>
      <c r="D54" s="53">
        <v>2</v>
      </c>
      <c r="E54" s="53">
        <v>60</v>
      </c>
      <c r="F54" s="99">
        <v>45909</v>
      </c>
      <c r="G54" s="100">
        <v>0.375</v>
      </c>
      <c r="H54" s="99">
        <v>45906</v>
      </c>
      <c r="I54" s="100">
        <v>0.79166666666666696</v>
      </c>
      <c r="J54" s="53">
        <f t="shared" si="1"/>
        <v>39</v>
      </c>
      <c r="K54" s="53">
        <v>2</v>
      </c>
      <c r="L54" s="53">
        <v>21</v>
      </c>
      <c r="M54" s="97" t="s">
        <v>298</v>
      </c>
    </row>
    <row r="55" spans="1:13" s="5" customFormat="1" ht="39" customHeight="1" x14ac:dyDescent="0.2">
      <c r="A55" s="97" t="s">
        <v>297</v>
      </c>
      <c r="B55" s="119" t="s">
        <v>136</v>
      </c>
      <c r="C55" s="53" t="s">
        <v>34</v>
      </c>
      <c r="D55" s="53">
        <v>2</v>
      </c>
      <c r="E55" s="53">
        <v>60</v>
      </c>
      <c r="F55" s="99">
        <v>45909</v>
      </c>
      <c r="G55" s="100">
        <v>0.375</v>
      </c>
      <c r="H55" s="99">
        <v>45906</v>
      </c>
      <c r="I55" s="100">
        <v>0.83333333333333304</v>
      </c>
      <c r="J55" s="53">
        <f t="shared" si="1"/>
        <v>39</v>
      </c>
      <c r="K55" s="53">
        <v>2</v>
      </c>
      <c r="L55" s="53">
        <v>21</v>
      </c>
      <c r="M55" s="97" t="s">
        <v>298</v>
      </c>
    </row>
    <row r="56" spans="1:13" s="5" customFormat="1" ht="40.5" customHeight="1" x14ac:dyDescent="0.2">
      <c r="A56" s="97" t="s">
        <v>299</v>
      </c>
      <c r="B56" s="119" t="s">
        <v>30</v>
      </c>
      <c r="C56" s="53" t="s">
        <v>31</v>
      </c>
      <c r="D56" s="53">
        <v>1</v>
      </c>
      <c r="E56" s="53">
        <v>30</v>
      </c>
      <c r="F56" s="99">
        <v>45909</v>
      </c>
      <c r="G56" s="100">
        <v>0.375</v>
      </c>
      <c r="H56" s="99">
        <v>45907</v>
      </c>
      <c r="I56" s="100">
        <v>0.5</v>
      </c>
      <c r="J56" s="53">
        <f t="shared" si="1"/>
        <v>0</v>
      </c>
      <c r="K56" s="53">
        <v>2</v>
      </c>
      <c r="L56" s="53">
        <v>30</v>
      </c>
      <c r="M56" s="97" t="s">
        <v>300</v>
      </c>
    </row>
    <row r="57" spans="1:13" s="5" customFormat="1" ht="40.5" customHeight="1" x14ac:dyDescent="0.2">
      <c r="A57" s="53" t="s">
        <v>299</v>
      </c>
      <c r="B57" s="119" t="s">
        <v>39</v>
      </c>
      <c r="C57" s="53" t="s">
        <v>40</v>
      </c>
      <c r="D57" s="53">
        <v>1</v>
      </c>
      <c r="E57" s="53">
        <v>30</v>
      </c>
      <c r="F57" s="99">
        <v>45909</v>
      </c>
      <c r="G57" s="100">
        <v>0.375</v>
      </c>
      <c r="H57" s="99">
        <v>45907</v>
      </c>
      <c r="I57" s="100">
        <v>0.52083333333333337</v>
      </c>
      <c r="J57" s="53">
        <f t="shared" si="1"/>
        <v>0</v>
      </c>
      <c r="K57" s="53">
        <v>2</v>
      </c>
      <c r="L57" s="53">
        <v>30</v>
      </c>
      <c r="M57" s="97" t="s">
        <v>300</v>
      </c>
    </row>
    <row r="58" spans="1:13" s="5" customFormat="1" ht="38.25" customHeight="1" x14ac:dyDescent="0.2">
      <c r="A58" s="97" t="s">
        <v>301</v>
      </c>
      <c r="B58" s="119" t="s">
        <v>30</v>
      </c>
      <c r="C58" s="53" t="s">
        <v>31</v>
      </c>
      <c r="D58" s="53">
        <v>1</v>
      </c>
      <c r="E58" s="53">
        <v>30</v>
      </c>
      <c r="F58" s="99">
        <v>45909</v>
      </c>
      <c r="G58" s="100">
        <v>0.375</v>
      </c>
      <c r="H58" s="99">
        <v>45907</v>
      </c>
      <c r="I58" s="100">
        <v>0.54166666666666663</v>
      </c>
      <c r="J58" s="53">
        <f t="shared" si="1"/>
        <v>0</v>
      </c>
      <c r="K58" s="53">
        <v>2</v>
      </c>
      <c r="L58" s="53">
        <v>30</v>
      </c>
      <c r="M58" s="97" t="s">
        <v>302</v>
      </c>
    </row>
    <row r="59" spans="1:13" s="5" customFormat="1" ht="38.25" customHeight="1" x14ac:dyDescent="0.2">
      <c r="A59" s="97" t="s">
        <v>301</v>
      </c>
      <c r="B59" s="119" t="s">
        <v>39</v>
      </c>
      <c r="C59" s="53" t="s">
        <v>40</v>
      </c>
      <c r="D59" s="53">
        <v>1</v>
      </c>
      <c r="E59" s="53">
        <v>30</v>
      </c>
      <c r="F59" s="99">
        <v>45909</v>
      </c>
      <c r="G59" s="100">
        <v>0.375</v>
      </c>
      <c r="H59" s="99">
        <v>45907</v>
      </c>
      <c r="I59" s="100">
        <v>0.5625</v>
      </c>
      <c r="J59" s="53">
        <f t="shared" si="1"/>
        <v>0</v>
      </c>
      <c r="K59" s="53">
        <v>1</v>
      </c>
      <c r="L59" s="53">
        <v>30</v>
      </c>
      <c r="M59" s="97" t="s">
        <v>302</v>
      </c>
    </row>
    <row r="60" spans="1:13" s="5" customFormat="1" ht="27" customHeight="1" x14ac:dyDescent="0.2">
      <c r="A60" s="97" t="s">
        <v>303</v>
      </c>
      <c r="B60" s="119" t="s">
        <v>30</v>
      </c>
      <c r="C60" s="53" t="s">
        <v>31</v>
      </c>
      <c r="D60" s="53">
        <v>1</v>
      </c>
      <c r="E60" s="53">
        <v>30</v>
      </c>
      <c r="F60" s="99">
        <v>45909</v>
      </c>
      <c r="G60" s="100">
        <v>0.375</v>
      </c>
      <c r="H60" s="99">
        <v>45907</v>
      </c>
      <c r="I60" s="100">
        <v>0.58333333333333337</v>
      </c>
      <c r="J60" s="53">
        <f t="shared" si="1"/>
        <v>-5</v>
      </c>
      <c r="K60" s="53">
        <v>1</v>
      </c>
      <c r="L60" s="53">
        <v>35</v>
      </c>
      <c r="M60" s="97" t="s">
        <v>304</v>
      </c>
    </row>
    <row r="61" spans="1:13" s="5" customFormat="1" ht="33" customHeight="1" x14ac:dyDescent="0.2">
      <c r="A61" s="97" t="s">
        <v>303</v>
      </c>
      <c r="B61" s="119" t="s">
        <v>39</v>
      </c>
      <c r="C61" s="53" t="s">
        <v>40</v>
      </c>
      <c r="D61" s="53">
        <v>1</v>
      </c>
      <c r="E61" s="53">
        <v>30</v>
      </c>
      <c r="F61" s="99">
        <v>45909</v>
      </c>
      <c r="G61" s="100">
        <v>0.375</v>
      </c>
      <c r="H61" s="99">
        <v>45907</v>
      </c>
      <c r="I61" s="100">
        <v>0.60416666666666663</v>
      </c>
      <c r="J61" s="53">
        <f t="shared" si="1"/>
        <v>6</v>
      </c>
      <c r="K61" s="53">
        <v>1</v>
      </c>
      <c r="L61" s="53">
        <v>24</v>
      </c>
      <c r="M61" s="97" t="s">
        <v>304</v>
      </c>
    </row>
    <row r="62" spans="1:13" s="5" customFormat="1" ht="33.75" customHeight="1" x14ac:dyDescent="0.2">
      <c r="A62" s="97" t="s">
        <v>305</v>
      </c>
      <c r="B62" s="119" t="s">
        <v>30</v>
      </c>
      <c r="C62" s="53" t="s">
        <v>31</v>
      </c>
      <c r="D62" s="53">
        <v>2</v>
      </c>
      <c r="E62" s="53">
        <v>20</v>
      </c>
      <c r="F62" s="99">
        <v>45909</v>
      </c>
      <c r="G62" s="100">
        <v>0.375</v>
      </c>
      <c r="H62" s="99">
        <v>45907</v>
      </c>
      <c r="I62" s="100">
        <v>0.625</v>
      </c>
      <c r="J62" s="53">
        <f t="shared" si="1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97" t="s">
        <v>305</v>
      </c>
      <c r="B63" s="119" t="s">
        <v>39</v>
      </c>
      <c r="C63" s="53" t="s">
        <v>40</v>
      </c>
      <c r="D63" s="53">
        <v>2</v>
      </c>
      <c r="E63" s="53">
        <v>20</v>
      </c>
      <c r="F63" s="99">
        <v>45909</v>
      </c>
      <c r="G63" s="100">
        <v>0.375</v>
      </c>
      <c r="H63" s="99">
        <v>45907</v>
      </c>
      <c r="I63" s="100">
        <v>0.63888888888888884</v>
      </c>
      <c r="J63" s="53">
        <f t="shared" si="1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97" t="s">
        <v>308</v>
      </c>
      <c r="B64" s="119" t="s">
        <v>30</v>
      </c>
      <c r="C64" s="53" t="s">
        <v>31</v>
      </c>
      <c r="D64" s="53">
        <v>1</v>
      </c>
      <c r="E64" s="53">
        <v>20</v>
      </c>
      <c r="F64" s="99">
        <v>45909</v>
      </c>
      <c r="G64" s="100">
        <v>0.375</v>
      </c>
      <c r="H64" s="99">
        <v>45907</v>
      </c>
      <c r="I64" s="100">
        <v>0.65277777777777779</v>
      </c>
      <c r="J64" s="53">
        <f t="shared" si="1"/>
        <v>0</v>
      </c>
      <c r="K64" s="53">
        <v>1</v>
      </c>
      <c r="L64" s="53">
        <v>20</v>
      </c>
      <c r="M64" s="97" t="s">
        <v>307</v>
      </c>
    </row>
    <row r="65" spans="1:13" s="5" customFormat="1" ht="24.95" customHeight="1" x14ac:dyDescent="0.2">
      <c r="A65" s="97" t="s">
        <v>308</v>
      </c>
      <c r="B65" s="119" t="s">
        <v>39</v>
      </c>
      <c r="C65" s="53" t="s">
        <v>40</v>
      </c>
      <c r="D65" s="53">
        <v>1</v>
      </c>
      <c r="E65" s="53">
        <v>20</v>
      </c>
      <c r="F65" s="99">
        <v>45909</v>
      </c>
      <c r="G65" s="100">
        <v>0.375</v>
      </c>
      <c r="H65" s="99">
        <v>45907</v>
      </c>
      <c r="I65" s="100">
        <v>0.66666666666666663</v>
      </c>
      <c r="J65" s="53">
        <f t="shared" si="1"/>
        <v>-5</v>
      </c>
      <c r="K65" s="53">
        <v>1</v>
      </c>
      <c r="L65" s="53">
        <v>25</v>
      </c>
      <c r="M65" s="97" t="s">
        <v>307</v>
      </c>
    </row>
    <row r="66" spans="1:13" s="5" customFormat="1" ht="28.5" customHeight="1" x14ac:dyDescent="0.2">
      <c r="A66" s="97" t="s">
        <v>309</v>
      </c>
      <c r="B66" s="119" t="s">
        <v>30</v>
      </c>
      <c r="C66" s="53" t="s">
        <v>31</v>
      </c>
      <c r="D66" s="53">
        <v>1</v>
      </c>
      <c r="E66" s="53">
        <v>20</v>
      </c>
      <c r="F66" s="99">
        <v>45909</v>
      </c>
      <c r="G66" s="100">
        <v>0.375</v>
      </c>
      <c r="H66" s="99">
        <v>45907</v>
      </c>
      <c r="I66" s="100">
        <v>0.68055555555555558</v>
      </c>
      <c r="J66" s="53">
        <f t="shared" si="1"/>
        <v>-5</v>
      </c>
      <c r="K66" s="53">
        <v>1</v>
      </c>
      <c r="L66" s="53">
        <v>25</v>
      </c>
      <c r="M66" s="97" t="s">
        <v>310</v>
      </c>
    </row>
    <row r="67" spans="1:13" s="5" customFormat="1" ht="35.450000000000003" customHeight="1" x14ac:dyDescent="0.2">
      <c r="A67" s="97" t="s">
        <v>309</v>
      </c>
      <c r="B67" s="119" t="s">
        <v>39</v>
      </c>
      <c r="C67" s="53" t="s">
        <v>40</v>
      </c>
      <c r="D67" s="53">
        <v>1</v>
      </c>
      <c r="E67" s="53">
        <v>20</v>
      </c>
      <c r="F67" s="99">
        <v>45909</v>
      </c>
      <c r="G67" s="100">
        <v>0.375</v>
      </c>
      <c r="H67" s="99">
        <v>45907</v>
      </c>
      <c r="I67" s="100">
        <v>0.69444444444444442</v>
      </c>
      <c r="J67" s="53">
        <f t="shared" si="1"/>
        <v>5</v>
      </c>
      <c r="K67" s="53">
        <v>1</v>
      </c>
      <c r="L67" s="53">
        <v>15</v>
      </c>
      <c r="M67" s="97" t="s">
        <v>310</v>
      </c>
    </row>
    <row r="68" spans="1:13" s="5" customFormat="1" ht="36.6" customHeight="1" x14ac:dyDescent="0.2">
      <c r="A68" s="97" t="s">
        <v>311</v>
      </c>
      <c r="B68" s="119" t="s">
        <v>30</v>
      </c>
      <c r="C68" s="53" t="s">
        <v>31</v>
      </c>
      <c r="D68" s="53">
        <v>1</v>
      </c>
      <c r="E68" s="53">
        <v>20</v>
      </c>
      <c r="F68" s="99">
        <v>45909</v>
      </c>
      <c r="G68" s="100">
        <v>0.375</v>
      </c>
      <c r="H68" s="99">
        <v>45907</v>
      </c>
      <c r="I68" s="100">
        <v>0.70833333333333337</v>
      </c>
      <c r="J68" s="53">
        <f t="shared" si="1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97" t="s">
        <v>311</v>
      </c>
      <c r="B69" s="119" t="s">
        <v>39</v>
      </c>
      <c r="C69" s="53" t="s">
        <v>40</v>
      </c>
      <c r="D69" s="53">
        <v>1</v>
      </c>
      <c r="E69" s="53">
        <v>20</v>
      </c>
      <c r="F69" s="99">
        <v>45909</v>
      </c>
      <c r="G69" s="100" t="s">
        <v>306</v>
      </c>
      <c r="H69" s="99">
        <v>45907</v>
      </c>
      <c r="I69" s="100">
        <v>0.72222222222222221</v>
      </c>
      <c r="J69" s="53">
        <f t="shared" si="1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97" t="s">
        <v>313</v>
      </c>
      <c r="B70" s="119" t="s">
        <v>30</v>
      </c>
      <c r="C70" s="53" t="s">
        <v>31</v>
      </c>
      <c r="D70" s="53">
        <v>1</v>
      </c>
      <c r="E70" s="53">
        <v>20</v>
      </c>
      <c r="F70" s="99">
        <v>45909</v>
      </c>
      <c r="G70" s="100">
        <v>0.375</v>
      </c>
      <c r="H70" s="99">
        <v>45907</v>
      </c>
      <c r="I70" s="100">
        <v>0.73611111111111116</v>
      </c>
      <c r="J70" s="53">
        <f t="shared" si="1"/>
        <v>10</v>
      </c>
      <c r="K70" s="53">
        <v>1</v>
      </c>
      <c r="L70" s="53">
        <v>10</v>
      </c>
      <c r="M70" s="97" t="s">
        <v>314</v>
      </c>
    </row>
    <row r="71" spans="1:13" s="5" customFormat="1" ht="35.450000000000003" customHeight="1" x14ac:dyDescent="0.2">
      <c r="A71" s="97" t="s">
        <v>313</v>
      </c>
      <c r="B71" s="119" t="s">
        <v>39</v>
      </c>
      <c r="C71" s="53" t="s">
        <v>40</v>
      </c>
      <c r="D71" s="53">
        <v>1</v>
      </c>
      <c r="E71" s="53">
        <v>20</v>
      </c>
      <c r="F71" s="99">
        <v>45909</v>
      </c>
      <c r="G71" s="100">
        <v>0.375</v>
      </c>
      <c r="H71" s="99">
        <v>45907</v>
      </c>
      <c r="I71" s="100">
        <v>0.75</v>
      </c>
      <c r="J71" s="53">
        <f t="shared" si="1"/>
        <v>5</v>
      </c>
      <c r="K71" s="53">
        <v>1</v>
      </c>
      <c r="L71" s="53">
        <v>15</v>
      </c>
      <c r="M71" s="97" t="s">
        <v>314</v>
      </c>
    </row>
    <row r="72" spans="1:13" s="5" customFormat="1" ht="35.450000000000003" customHeight="1" x14ac:dyDescent="0.2">
      <c r="A72" s="97" t="s">
        <v>315</v>
      </c>
      <c r="B72" s="119" t="s">
        <v>30</v>
      </c>
      <c r="C72" s="53" t="s">
        <v>31</v>
      </c>
      <c r="D72" s="53">
        <v>1</v>
      </c>
      <c r="E72" s="53">
        <v>10</v>
      </c>
      <c r="F72" s="99">
        <v>45909</v>
      </c>
      <c r="G72" s="100">
        <v>0.375</v>
      </c>
      <c r="H72" s="99">
        <v>45907</v>
      </c>
      <c r="I72" s="100">
        <v>0.75694444444444442</v>
      </c>
      <c r="J72" s="53">
        <f t="shared" si="1"/>
        <v>0</v>
      </c>
      <c r="K72" s="53">
        <v>1</v>
      </c>
      <c r="L72" s="53">
        <v>10</v>
      </c>
      <c r="M72" s="97" t="s">
        <v>316</v>
      </c>
    </row>
    <row r="73" spans="1:13" s="5" customFormat="1" ht="35.450000000000003" customHeight="1" x14ac:dyDescent="0.2">
      <c r="A73" s="97" t="s">
        <v>315</v>
      </c>
      <c r="B73" s="119" t="s">
        <v>39</v>
      </c>
      <c r="C73" s="53" t="s">
        <v>40</v>
      </c>
      <c r="D73" s="53">
        <v>1</v>
      </c>
      <c r="E73" s="53">
        <v>10</v>
      </c>
      <c r="F73" s="99">
        <v>45909</v>
      </c>
      <c r="G73" s="100">
        <v>0.375</v>
      </c>
      <c r="H73" s="99">
        <v>45907</v>
      </c>
      <c r="I73" s="100">
        <v>0.76388888888888884</v>
      </c>
      <c r="J73" s="53">
        <f t="shared" si="1"/>
        <v>0</v>
      </c>
      <c r="K73" s="53">
        <v>1</v>
      </c>
      <c r="L73" s="53">
        <v>10</v>
      </c>
      <c r="M73" s="97" t="s">
        <v>316</v>
      </c>
    </row>
    <row r="74" spans="1:13" s="5" customFormat="1" ht="35.450000000000003" customHeight="1" x14ac:dyDescent="0.2">
      <c r="A74" s="112" t="s">
        <v>123</v>
      </c>
      <c r="B74" s="110" t="s">
        <v>36</v>
      </c>
      <c r="C74" s="105" t="s">
        <v>37</v>
      </c>
      <c r="D74" s="49">
        <v>1</v>
      </c>
      <c r="E74" s="49">
        <v>20</v>
      </c>
      <c r="F74" s="105">
        <v>45909</v>
      </c>
      <c r="G74" s="106">
        <v>0.375</v>
      </c>
      <c r="H74" s="105">
        <v>45907</v>
      </c>
      <c r="I74" s="106">
        <v>0.80555555555555558</v>
      </c>
      <c r="J74" s="107">
        <f t="shared" ref="J74:J96" si="2">E74-L74</f>
        <v>0</v>
      </c>
      <c r="K74" s="104">
        <v>1</v>
      </c>
      <c r="L74" s="108">
        <v>20</v>
      </c>
      <c r="M74" s="113" t="s">
        <v>124</v>
      </c>
    </row>
    <row r="75" spans="1:13" s="5" customFormat="1" ht="35.450000000000003" customHeight="1" x14ac:dyDescent="0.2">
      <c r="A75" s="38" t="s">
        <v>123</v>
      </c>
      <c r="B75" s="110" t="s">
        <v>143</v>
      </c>
      <c r="C75" s="105" t="s">
        <v>43</v>
      </c>
      <c r="D75" s="49">
        <v>1</v>
      </c>
      <c r="E75" s="49">
        <v>20</v>
      </c>
      <c r="F75" s="105">
        <v>45909</v>
      </c>
      <c r="G75" s="106">
        <v>0.375</v>
      </c>
      <c r="H75" s="105">
        <v>45907</v>
      </c>
      <c r="I75" s="106">
        <v>0.80555555555555558</v>
      </c>
      <c r="J75" s="107">
        <f t="shared" si="2"/>
        <v>0</v>
      </c>
      <c r="K75" s="104">
        <v>1</v>
      </c>
      <c r="L75" s="108">
        <v>20</v>
      </c>
      <c r="M75" s="113" t="s">
        <v>124</v>
      </c>
    </row>
    <row r="76" spans="1:13" s="5" customFormat="1" ht="35.450000000000003" customHeight="1" x14ac:dyDescent="0.2">
      <c r="A76" s="114" t="s">
        <v>175</v>
      </c>
      <c r="B76" s="120" t="s">
        <v>36</v>
      </c>
      <c r="C76" s="114" t="s">
        <v>37</v>
      </c>
      <c r="D76" s="98">
        <v>1</v>
      </c>
      <c r="E76" s="98">
        <v>30</v>
      </c>
      <c r="F76" s="114">
        <v>45909</v>
      </c>
      <c r="G76" s="106">
        <v>0.375</v>
      </c>
      <c r="H76" s="114">
        <v>45907</v>
      </c>
      <c r="I76" s="115">
        <v>0.83333333333333337</v>
      </c>
      <c r="J76" s="98">
        <f t="shared" si="2"/>
        <v>6</v>
      </c>
      <c r="K76" s="116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14" t="s">
        <v>177</v>
      </c>
      <c r="B77" s="120" t="s">
        <v>39</v>
      </c>
      <c r="C77" s="114" t="s">
        <v>40</v>
      </c>
      <c r="D77" s="98">
        <v>1</v>
      </c>
      <c r="E77" s="98">
        <v>30</v>
      </c>
      <c r="F77" s="114">
        <v>45909</v>
      </c>
      <c r="G77" s="106">
        <v>0.375</v>
      </c>
      <c r="H77" s="114">
        <v>45907</v>
      </c>
      <c r="I77" s="115">
        <v>0.83333333333333337</v>
      </c>
      <c r="J77" s="98">
        <f t="shared" si="2"/>
        <v>0</v>
      </c>
      <c r="K77" s="116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120" t="s">
        <v>39</v>
      </c>
      <c r="C78" s="114" t="s">
        <v>40</v>
      </c>
      <c r="D78" s="98">
        <v>5</v>
      </c>
      <c r="E78" s="98">
        <v>50</v>
      </c>
      <c r="F78" s="114">
        <v>45909</v>
      </c>
      <c r="G78" s="106">
        <v>0.375</v>
      </c>
      <c r="H78" s="114">
        <v>45907</v>
      </c>
      <c r="I78" s="115">
        <v>0.86805555555555558</v>
      </c>
      <c r="J78" s="98">
        <f t="shared" si="2"/>
        <v>5</v>
      </c>
      <c r="K78" s="116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110" t="s">
        <v>30</v>
      </c>
      <c r="C79" s="110" t="s">
        <v>207</v>
      </c>
      <c r="D79" s="103">
        <v>1</v>
      </c>
      <c r="E79" s="49">
        <v>60</v>
      </c>
      <c r="F79" s="105">
        <v>45909</v>
      </c>
      <c r="G79" s="106">
        <v>0.375</v>
      </c>
      <c r="H79" s="105">
        <v>45907</v>
      </c>
      <c r="I79" s="106">
        <v>0.91666666666666663</v>
      </c>
      <c r="J79" s="107">
        <f t="shared" si="2"/>
        <v>50</v>
      </c>
      <c r="K79" s="104">
        <v>1</v>
      </c>
      <c r="L79" s="108">
        <v>10</v>
      </c>
      <c r="M79" s="111" t="s">
        <v>149</v>
      </c>
    </row>
    <row r="80" spans="1:13" s="5" customFormat="1" ht="35.450000000000003" customHeight="1" x14ac:dyDescent="0.2">
      <c r="A80" s="23" t="s">
        <v>146</v>
      </c>
      <c r="B80" s="110" t="s">
        <v>42</v>
      </c>
      <c r="C80" s="105" t="s">
        <v>77</v>
      </c>
      <c r="D80" s="103">
        <v>1</v>
      </c>
      <c r="E80" s="49">
        <v>60</v>
      </c>
      <c r="F80" s="105">
        <v>45909</v>
      </c>
      <c r="G80" s="106">
        <v>0.375</v>
      </c>
      <c r="H80" s="105">
        <v>45907</v>
      </c>
      <c r="I80" s="106">
        <v>0.91666666666666663</v>
      </c>
      <c r="J80" s="107">
        <f t="shared" si="2"/>
        <v>50</v>
      </c>
      <c r="K80" s="104">
        <v>1</v>
      </c>
      <c r="L80" s="108">
        <v>10</v>
      </c>
      <c r="M80" s="111" t="s">
        <v>149</v>
      </c>
    </row>
    <row r="81" spans="1:13" s="5" customFormat="1" ht="35.450000000000003" customHeight="1" x14ac:dyDescent="0.2">
      <c r="A81" s="23" t="s">
        <v>146</v>
      </c>
      <c r="B81" s="110" t="s">
        <v>21</v>
      </c>
      <c r="C81" s="105" t="s">
        <v>86</v>
      </c>
      <c r="D81" s="103">
        <v>1</v>
      </c>
      <c r="E81" s="49">
        <v>60</v>
      </c>
      <c r="F81" s="105">
        <v>45909</v>
      </c>
      <c r="G81" s="106">
        <v>0.375</v>
      </c>
      <c r="H81" s="105">
        <v>45907</v>
      </c>
      <c r="I81" s="106">
        <v>0.91666666666666663</v>
      </c>
      <c r="J81" s="107">
        <f t="shared" si="2"/>
        <v>50</v>
      </c>
      <c r="K81" s="104">
        <v>1</v>
      </c>
      <c r="L81" s="108">
        <v>10</v>
      </c>
      <c r="M81" s="111" t="s">
        <v>149</v>
      </c>
    </row>
    <row r="82" spans="1:13" s="5" customFormat="1" ht="37.5" customHeight="1" x14ac:dyDescent="0.2">
      <c r="A82" s="23" t="s">
        <v>146</v>
      </c>
      <c r="B82" s="110" t="s">
        <v>136</v>
      </c>
      <c r="C82" s="105" t="s">
        <v>151</v>
      </c>
      <c r="D82" s="103">
        <v>1</v>
      </c>
      <c r="E82" s="49">
        <v>60</v>
      </c>
      <c r="F82" s="105">
        <v>45909</v>
      </c>
      <c r="G82" s="106">
        <v>0.375</v>
      </c>
      <c r="H82" s="105">
        <v>45907</v>
      </c>
      <c r="I82" s="106">
        <v>0.91666666666666663</v>
      </c>
      <c r="J82" s="107">
        <f t="shared" si="2"/>
        <v>50</v>
      </c>
      <c r="K82" s="104">
        <v>1</v>
      </c>
      <c r="L82" s="108">
        <v>10</v>
      </c>
      <c r="M82" s="111" t="s">
        <v>149</v>
      </c>
    </row>
    <row r="83" spans="1:13" ht="36" x14ac:dyDescent="0.2">
      <c r="A83" s="23" t="s">
        <v>146</v>
      </c>
      <c r="B83" s="110" t="s">
        <v>36</v>
      </c>
      <c r="C83" s="105" t="s">
        <v>80</v>
      </c>
      <c r="D83" s="103">
        <v>1</v>
      </c>
      <c r="E83" s="49">
        <v>60</v>
      </c>
      <c r="F83" s="105">
        <v>45909</v>
      </c>
      <c r="G83" s="106">
        <v>0.375</v>
      </c>
      <c r="H83" s="105">
        <v>45907</v>
      </c>
      <c r="I83" s="106">
        <v>0.91666666666666663</v>
      </c>
      <c r="J83" s="107">
        <f t="shared" si="2"/>
        <v>50</v>
      </c>
      <c r="K83" s="104">
        <v>1</v>
      </c>
      <c r="L83" s="108">
        <v>10</v>
      </c>
      <c r="M83" s="111" t="s">
        <v>149</v>
      </c>
    </row>
    <row r="84" spans="1:13" ht="36" x14ac:dyDescent="0.2">
      <c r="A84" s="23" t="s">
        <v>146</v>
      </c>
      <c r="B84" s="110" t="s">
        <v>39</v>
      </c>
      <c r="C84" s="105" t="s">
        <v>150</v>
      </c>
      <c r="D84" s="103">
        <v>1</v>
      </c>
      <c r="E84" s="49">
        <v>60</v>
      </c>
      <c r="F84" s="105">
        <v>45909</v>
      </c>
      <c r="G84" s="106">
        <v>0.375</v>
      </c>
      <c r="H84" s="105">
        <v>45907</v>
      </c>
      <c r="I84" s="106">
        <v>0.91666666666666663</v>
      </c>
      <c r="J84" s="107">
        <f t="shared" si="2"/>
        <v>50</v>
      </c>
      <c r="K84" s="104">
        <v>1</v>
      </c>
      <c r="L84" s="108">
        <v>10</v>
      </c>
      <c r="M84" s="111" t="s">
        <v>149</v>
      </c>
    </row>
    <row r="85" spans="1:13" x14ac:dyDescent="0.2">
      <c r="A85" s="23" t="s">
        <v>52</v>
      </c>
      <c r="B85" s="110" t="s">
        <v>21</v>
      </c>
      <c r="C85" s="110" t="s">
        <v>22</v>
      </c>
      <c r="D85" s="103">
        <v>1</v>
      </c>
      <c r="E85" s="49">
        <v>30</v>
      </c>
      <c r="F85" s="105">
        <v>45909</v>
      </c>
      <c r="G85" s="106">
        <v>0.375</v>
      </c>
      <c r="H85" s="105">
        <v>45907</v>
      </c>
      <c r="I85" s="106">
        <v>0.91666666666666663</v>
      </c>
      <c r="J85" s="107">
        <f t="shared" si="2"/>
        <v>0</v>
      </c>
      <c r="K85" s="104">
        <v>1</v>
      </c>
      <c r="L85" s="108">
        <v>30</v>
      </c>
      <c r="M85" s="111" t="s">
        <v>53</v>
      </c>
    </row>
    <row r="86" spans="1:13" x14ac:dyDescent="0.2">
      <c r="A86" s="23" t="s">
        <v>153</v>
      </c>
      <c r="B86" s="110" t="s">
        <v>36</v>
      </c>
      <c r="C86" s="110" t="s">
        <v>37</v>
      </c>
      <c r="D86" s="103">
        <v>1</v>
      </c>
      <c r="E86" s="117">
        <v>30</v>
      </c>
      <c r="F86" s="105">
        <v>45909</v>
      </c>
      <c r="G86" s="106">
        <v>0.375</v>
      </c>
      <c r="H86" s="105">
        <v>45907</v>
      </c>
      <c r="I86" s="106">
        <v>0.91666666666666663</v>
      </c>
      <c r="J86" s="107">
        <f t="shared" si="2"/>
        <v>0</v>
      </c>
      <c r="K86" s="104">
        <v>1</v>
      </c>
      <c r="L86" s="108">
        <v>30</v>
      </c>
      <c r="M86" s="111" t="s">
        <v>53</v>
      </c>
    </row>
    <row r="87" spans="1:13" ht="24" x14ac:dyDescent="0.2">
      <c r="A87" s="23" t="s">
        <v>79</v>
      </c>
      <c r="B87" s="110" t="s">
        <v>36</v>
      </c>
      <c r="C87" s="110" t="s">
        <v>37</v>
      </c>
      <c r="D87" s="103">
        <v>1</v>
      </c>
      <c r="E87" s="49">
        <v>45</v>
      </c>
      <c r="F87" s="105">
        <v>45909</v>
      </c>
      <c r="G87" s="106">
        <v>0.375</v>
      </c>
      <c r="H87" s="105">
        <v>45907</v>
      </c>
      <c r="I87" s="106">
        <v>0.9375</v>
      </c>
      <c r="J87" s="107">
        <f t="shared" si="2"/>
        <v>-35</v>
      </c>
      <c r="K87" s="104">
        <v>1</v>
      </c>
      <c r="L87" s="108">
        <v>80</v>
      </c>
      <c r="M87" s="111" t="s">
        <v>81</v>
      </c>
    </row>
    <row r="88" spans="1:13" x14ac:dyDescent="0.2">
      <c r="A88" s="23" t="s">
        <v>85</v>
      </c>
      <c r="B88" s="110" t="s">
        <v>21</v>
      </c>
      <c r="C88" s="110" t="s">
        <v>22</v>
      </c>
      <c r="D88" s="103">
        <v>1</v>
      </c>
      <c r="E88" s="49">
        <v>60</v>
      </c>
      <c r="F88" s="105">
        <v>45909</v>
      </c>
      <c r="G88" s="106">
        <v>0.375</v>
      </c>
      <c r="H88" s="105">
        <v>45907</v>
      </c>
      <c r="I88" s="106">
        <v>0.9375</v>
      </c>
      <c r="J88" s="107">
        <f t="shared" si="2"/>
        <v>10</v>
      </c>
      <c r="K88" s="104">
        <v>1</v>
      </c>
      <c r="L88" s="108">
        <v>50</v>
      </c>
      <c r="M88" s="111" t="s">
        <v>87</v>
      </c>
    </row>
    <row r="89" spans="1:13" x14ac:dyDescent="0.2">
      <c r="A89" s="23" t="s">
        <v>88</v>
      </c>
      <c r="B89" s="110" t="s">
        <v>21</v>
      </c>
      <c r="C89" s="105" t="s">
        <v>22</v>
      </c>
      <c r="D89" s="103">
        <v>1</v>
      </c>
      <c r="E89" s="49">
        <v>55</v>
      </c>
      <c r="F89" s="105">
        <v>45909</v>
      </c>
      <c r="G89" s="106">
        <v>0.375</v>
      </c>
      <c r="H89" s="105">
        <v>45907</v>
      </c>
      <c r="I89" s="106">
        <v>0.9375</v>
      </c>
      <c r="J89" s="107">
        <f t="shared" si="2"/>
        <v>0</v>
      </c>
      <c r="K89" s="104">
        <v>1</v>
      </c>
      <c r="L89" s="108">
        <v>55</v>
      </c>
      <c r="M89" s="111" t="s">
        <v>89</v>
      </c>
    </row>
    <row r="90" spans="1:13" ht="24" x14ac:dyDescent="0.2">
      <c r="A90" s="33" t="s">
        <v>131</v>
      </c>
      <c r="B90" s="110" t="s">
        <v>36</v>
      </c>
      <c r="C90" s="105" t="s">
        <v>37</v>
      </c>
      <c r="D90" s="49">
        <v>1</v>
      </c>
      <c r="E90" s="49">
        <v>30</v>
      </c>
      <c r="F90" s="105">
        <v>45909</v>
      </c>
      <c r="G90" s="106">
        <v>0.375</v>
      </c>
      <c r="H90" s="105">
        <v>45907</v>
      </c>
      <c r="I90" s="106">
        <v>0.9375</v>
      </c>
      <c r="J90" s="107">
        <f t="shared" si="2"/>
        <v>-2</v>
      </c>
      <c r="K90" s="104">
        <v>1</v>
      </c>
      <c r="L90" s="108">
        <v>32</v>
      </c>
      <c r="M90" s="111" t="s">
        <v>132</v>
      </c>
    </row>
    <row r="91" spans="1:13" ht="24" x14ac:dyDescent="0.2">
      <c r="A91" s="33" t="s">
        <v>131</v>
      </c>
      <c r="B91" s="110" t="s">
        <v>42</v>
      </c>
      <c r="C91" s="105" t="s">
        <v>43</v>
      </c>
      <c r="D91" s="49">
        <v>1</v>
      </c>
      <c r="E91" s="49">
        <v>30</v>
      </c>
      <c r="F91" s="105">
        <v>45909</v>
      </c>
      <c r="G91" s="106">
        <v>0.375</v>
      </c>
      <c r="H91" s="105">
        <v>45907</v>
      </c>
      <c r="I91" s="106">
        <v>0.9375</v>
      </c>
      <c r="J91" s="107">
        <f t="shared" si="2"/>
        <v>-2</v>
      </c>
      <c r="K91" s="104">
        <v>1</v>
      </c>
      <c r="L91" s="108">
        <v>32</v>
      </c>
      <c r="M91" s="111" t="s">
        <v>132</v>
      </c>
    </row>
    <row r="92" spans="1:13" ht="24" x14ac:dyDescent="0.2">
      <c r="A92" s="33" t="s">
        <v>131</v>
      </c>
      <c r="B92" s="110" t="s">
        <v>30</v>
      </c>
      <c r="C92" s="105" t="s">
        <v>31</v>
      </c>
      <c r="D92" s="49">
        <v>1</v>
      </c>
      <c r="E92" s="49">
        <v>30</v>
      </c>
      <c r="F92" s="105">
        <v>45909</v>
      </c>
      <c r="G92" s="106">
        <v>0.375</v>
      </c>
      <c r="H92" s="105">
        <v>45907</v>
      </c>
      <c r="I92" s="106">
        <v>0.9375</v>
      </c>
      <c r="J92" s="107">
        <f t="shared" si="2"/>
        <v>-2</v>
      </c>
      <c r="K92" s="104">
        <v>1</v>
      </c>
      <c r="L92" s="108">
        <v>32</v>
      </c>
      <c r="M92" s="111" t="s">
        <v>132</v>
      </c>
    </row>
    <row r="93" spans="1:13" ht="24" x14ac:dyDescent="0.2">
      <c r="A93" s="33" t="s">
        <v>131</v>
      </c>
      <c r="B93" s="110" t="s">
        <v>21</v>
      </c>
      <c r="C93" s="105" t="s">
        <v>22</v>
      </c>
      <c r="D93" s="49">
        <v>1</v>
      </c>
      <c r="E93" s="49">
        <v>30</v>
      </c>
      <c r="F93" s="105">
        <v>45909</v>
      </c>
      <c r="G93" s="106">
        <v>0.375</v>
      </c>
      <c r="H93" s="105">
        <v>45907</v>
      </c>
      <c r="I93" s="106">
        <v>0.9375</v>
      </c>
      <c r="J93" s="107">
        <f t="shared" si="2"/>
        <v>-2</v>
      </c>
      <c r="K93" s="104">
        <v>1</v>
      </c>
      <c r="L93" s="108">
        <v>32</v>
      </c>
      <c r="M93" s="111" t="s">
        <v>132</v>
      </c>
    </row>
    <row r="94" spans="1:13" ht="24" x14ac:dyDescent="0.2">
      <c r="A94" s="33" t="s">
        <v>131</v>
      </c>
      <c r="B94" s="110" t="s">
        <v>136</v>
      </c>
      <c r="C94" s="105" t="s">
        <v>34</v>
      </c>
      <c r="D94" s="49">
        <v>1</v>
      </c>
      <c r="E94" s="49">
        <v>30</v>
      </c>
      <c r="F94" s="105">
        <v>45909</v>
      </c>
      <c r="G94" s="106">
        <v>0.375</v>
      </c>
      <c r="H94" s="105">
        <v>45907</v>
      </c>
      <c r="I94" s="106">
        <v>0.9375</v>
      </c>
      <c r="J94" s="107">
        <f t="shared" si="2"/>
        <v>-2</v>
      </c>
      <c r="K94" s="104">
        <v>1</v>
      </c>
      <c r="L94" s="108">
        <v>32</v>
      </c>
      <c r="M94" s="111" t="s">
        <v>132</v>
      </c>
    </row>
    <row r="95" spans="1:13" ht="24" x14ac:dyDescent="0.2">
      <c r="A95" s="33" t="s">
        <v>131</v>
      </c>
      <c r="B95" s="110" t="s">
        <v>39</v>
      </c>
      <c r="C95" s="105" t="s">
        <v>40</v>
      </c>
      <c r="D95" s="49">
        <v>1</v>
      </c>
      <c r="E95" s="49">
        <v>30</v>
      </c>
      <c r="F95" s="105">
        <v>45909</v>
      </c>
      <c r="G95" s="106">
        <v>0.375</v>
      </c>
      <c r="H95" s="105">
        <v>45907</v>
      </c>
      <c r="I95" s="106">
        <v>0.9375</v>
      </c>
      <c r="J95" s="107">
        <f t="shared" si="2"/>
        <v>-2</v>
      </c>
      <c r="K95" s="104">
        <v>1</v>
      </c>
      <c r="L95" s="108">
        <v>32</v>
      </c>
      <c r="M95" s="111" t="s">
        <v>132</v>
      </c>
    </row>
    <row r="96" spans="1:13" ht="24" x14ac:dyDescent="0.2">
      <c r="A96" s="33" t="s">
        <v>133</v>
      </c>
      <c r="B96" s="110" t="s">
        <v>21</v>
      </c>
      <c r="C96" s="105" t="s">
        <v>22</v>
      </c>
      <c r="D96" s="49">
        <v>3</v>
      </c>
      <c r="E96" s="49">
        <v>20</v>
      </c>
      <c r="F96" s="105">
        <v>45909</v>
      </c>
      <c r="G96" s="106">
        <v>0.375</v>
      </c>
      <c r="H96" s="105">
        <v>45908</v>
      </c>
      <c r="I96" s="106">
        <v>0.375</v>
      </c>
      <c r="J96" s="107">
        <f t="shared" si="2"/>
        <v>5</v>
      </c>
      <c r="K96" s="104">
        <v>3</v>
      </c>
      <c r="L96" s="108">
        <v>15</v>
      </c>
      <c r="M96" s="11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x14ac:dyDescent="0.2">
      <c r="A98" s="70" t="s">
        <v>210</v>
      </c>
      <c r="B98" t="s">
        <v>215</v>
      </c>
      <c r="C98" t="s">
        <v>214</v>
      </c>
      <c r="D98" t="s">
        <v>212</v>
      </c>
      <c r="E98" t="s">
        <v>213</v>
      </c>
    </row>
    <row r="99" spans="1:13" x14ac:dyDescent="0.2">
      <c r="A99" s="71" t="s">
        <v>36</v>
      </c>
      <c r="B99" s="121">
        <v>22</v>
      </c>
      <c r="C99" s="121">
        <v>550</v>
      </c>
      <c r="D99" s="121">
        <v>535</v>
      </c>
      <c r="E99" s="121">
        <v>25</v>
      </c>
    </row>
    <row r="100" spans="1:13" x14ac:dyDescent="0.2">
      <c r="A100" s="71" t="s">
        <v>39</v>
      </c>
      <c r="B100" s="121">
        <v>18</v>
      </c>
      <c r="C100" s="121">
        <v>370</v>
      </c>
      <c r="D100" s="121">
        <v>296</v>
      </c>
      <c r="E100" s="121">
        <v>18</v>
      </c>
    </row>
    <row r="101" spans="1:13" x14ac:dyDescent="0.2">
      <c r="A101" s="71" t="s">
        <v>21</v>
      </c>
      <c r="B101" s="121">
        <v>22</v>
      </c>
      <c r="C101" s="121">
        <v>730</v>
      </c>
      <c r="D101" s="121">
        <v>555</v>
      </c>
      <c r="E101" s="121">
        <v>23</v>
      </c>
    </row>
    <row r="102" spans="1:13" x14ac:dyDescent="0.2">
      <c r="A102" s="71" t="s">
        <v>136</v>
      </c>
      <c r="B102" s="121">
        <v>16</v>
      </c>
      <c r="C102" s="121">
        <v>565</v>
      </c>
      <c r="D102" s="121">
        <v>402</v>
      </c>
      <c r="E102" s="121">
        <v>15</v>
      </c>
    </row>
    <row r="103" spans="1:13" x14ac:dyDescent="0.2">
      <c r="A103" s="71" t="s">
        <v>42</v>
      </c>
      <c r="B103" s="121">
        <v>17</v>
      </c>
      <c r="C103" s="121">
        <v>395</v>
      </c>
      <c r="D103" s="121">
        <v>342</v>
      </c>
      <c r="E103" s="121">
        <v>19</v>
      </c>
    </row>
    <row r="104" spans="1:13" x14ac:dyDescent="0.2">
      <c r="A104" s="71" t="s">
        <v>30</v>
      </c>
      <c r="B104" s="121">
        <v>13</v>
      </c>
      <c r="C104" s="121">
        <v>320</v>
      </c>
      <c r="D104" s="121">
        <v>262</v>
      </c>
      <c r="E104" s="121">
        <v>14</v>
      </c>
    </row>
    <row r="105" spans="1:13" x14ac:dyDescent="0.2">
      <c r="A105" s="71" t="s">
        <v>211</v>
      </c>
      <c r="B105" s="121">
        <v>108</v>
      </c>
      <c r="C105" s="121">
        <v>2930</v>
      </c>
      <c r="D105" s="121">
        <v>2392</v>
      </c>
      <c r="E105" s="121">
        <v>114</v>
      </c>
    </row>
    <row r="106" spans="1:13" x14ac:dyDescent="0.2">
      <c r="A106"/>
      <c r="B106"/>
      <c r="C106"/>
      <c r="D106"/>
      <c r="E106"/>
    </row>
    <row r="107" spans="1:13" x14ac:dyDescent="0.2">
      <c r="A107"/>
      <c r="B107"/>
      <c r="C107"/>
    </row>
    <row r="108" spans="1:13" x14ac:dyDescent="0.2">
      <c r="A108"/>
      <c r="B108"/>
      <c r="C108"/>
    </row>
    <row r="109" spans="1:13" x14ac:dyDescent="0.2">
      <c r="A109" s="119" t="s">
        <v>317</v>
      </c>
      <c r="B109" s="53">
        <v>33</v>
      </c>
      <c r="C109"/>
    </row>
    <row r="110" spans="1:13" x14ac:dyDescent="0.2">
      <c r="A110"/>
      <c r="B110"/>
      <c r="C110"/>
    </row>
    <row r="111" spans="1:13" ht="30" customHeight="1" x14ac:dyDescent="0.2">
      <c r="A111"/>
      <c r="B111"/>
      <c r="C111"/>
    </row>
    <row r="112" spans="1:13" ht="23.25" customHeight="1" x14ac:dyDescent="0.2">
      <c r="A112"/>
      <c r="B112"/>
      <c r="C112"/>
    </row>
    <row r="113" spans="1:20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20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20" x14ac:dyDescent="0.2">
      <c r="A115"/>
      <c r="B115"/>
      <c r="C115"/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>
      <c r="A124" s="70" t="s">
        <v>210</v>
      </c>
      <c r="B124" t="s">
        <v>213</v>
      </c>
      <c r="C124" t="s">
        <v>215</v>
      </c>
    </row>
    <row r="125" spans="1:20" ht="36.75" customHeight="1" x14ac:dyDescent="0.2">
      <c r="A125" s="71" t="s">
        <v>36</v>
      </c>
      <c r="B125" s="121">
        <v>25</v>
      </c>
      <c r="C125" s="121">
        <v>22</v>
      </c>
    </row>
    <row r="126" spans="1:20" ht="33.75" customHeight="1" x14ac:dyDescent="0.2">
      <c r="A126" s="71" t="s">
        <v>39</v>
      </c>
      <c r="B126" s="121">
        <v>18</v>
      </c>
      <c r="C126" s="121">
        <v>18</v>
      </c>
    </row>
    <row r="127" spans="1:20" ht="26.25" customHeight="1" x14ac:dyDescent="0.2">
      <c r="A127" s="71" t="s">
        <v>21</v>
      </c>
      <c r="B127" s="121">
        <v>23</v>
      </c>
      <c r="C127" s="121">
        <v>22</v>
      </c>
    </row>
    <row r="128" spans="1:20" ht="27.75" customHeight="1" x14ac:dyDescent="0.2">
      <c r="A128" s="71" t="s">
        <v>136</v>
      </c>
      <c r="B128" s="121">
        <v>15</v>
      </c>
      <c r="C128" s="121">
        <v>16</v>
      </c>
    </row>
    <row r="129" spans="1:3" ht="40.5" customHeight="1" x14ac:dyDescent="0.2">
      <c r="A129" s="71" t="s">
        <v>42</v>
      </c>
      <c r="B129" s="121">
        <v>19</v>
      </c>
      <c r="C129" s="121">
        <v>17</v>
      </c>
    </row>
    <row r="130" spans="1:3" x14ac:dyDescent="0.2">
      <c r="A130" s="71" t="s">
        <v>30</v>
      </c>
      <c r="B130" s="121">
        <v>14</v>
      </c>
      <c r="C130" s="121">
        <v>13</v>
      </c>
    </row>
    <row r="131" spans="1:3" x14ac:dyDescent="0.2">
      <c r="A131" s="71" t="s">
        <v>211</v>
      </c>
      <c r="B131" s="121">
        <v>114</v>
      </c>
      <c r="C131" s="121">
        <v>108</v>
      </c>
    </row>
    <row r="132" spans="1:3" x14ac:dyDescent="0.2">
      <c r="A132"/>
      <c r="B132"/>
      <c r="C132"/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</row>
    <row r="143" spans="1:3" x14ac:dyDescent="0.2">
      <c r="A143"/>
    </row>
    <row r="144" spans="1:3" x14ac:dyDescent="0.2">
      <c r="A144"/>
    </row>
    <row r="145" spans="1:1" x14ac:dyDescent="0.2">
      <c r="A14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CC21-455A-4277-BB35-7CBA750C4681}">
  <dimension ref="A1:T269"/>
  <sheetViews>
    <sheetView topLeftCell="B248" zoomScale="84" zoomScaleNormal="76" workbookViewId="0">
      <selection activeCell="H255" sqref="H255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3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7"/>
      <c r="M1" s="88"/>
    </row>
    <row r="2" spans="1:20" ht="20.25" customHeight="1" x14ac:dyDescent="0.2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9"/>
      <c r="M2" s="90"/>
    </row>
    <row r="3" spans="1:20" ht="12.75" customHeight="1" x14ac:dyDescent="0.2">
      <c r="A3" s="91" t="s">
        <v>1</v>
      </c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5" t="s">
        <v>3</v>
      </c>
      <c r="M3" s="96"/>
    </row>
    <row r="4" spans="1:20" ht="13.5" thickBot="1" x14ac:dyDescent="0.25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9" t="s">
        <v>6</v>
      </c>
      <c r="C6" s="79"/>
      <c r="D6" s="79"/>
      <c r="E6" s="79"/>
      <c r="F6" s="79"/>
      <c r="G6" s="79"/>
      <c r="H6" s="80" t="s">
        <v>7</v>
      </c>
      <c r="I6" s="81"/>
      <c r="J6" s="81"/>
      <c r="K6" s="81"/>
      <c r="L6" s="82"/>
      <c r="M6" s="25"/>
    </row>
    <row r="7" spans="1:20" s="14" customFormat="1" ht="49.5" customHeight="1" x14ac:dyDescent="0.2">
      <c r="A7" s="131" cm="1">
        <f t="array" aca="1" ref="A7" ca="1">+#REF!+A1:L7+A7:L108</f>
        <v>0</v>
      </c>
      <c r="B7" s="131" t="s">
        <v>8</v>
      </c>
      <c r="C7" s="131" t="s">
        <v>9</v>
      </c>
      <c r="D7" s="131" t="s">
        <v>10</v>
      </c>
      <c r="E7" s="131" t="s">
        <v>11</v>
      </c>
      <c r="F7" s="131" t="s">
        <v>12</v>
      </c>
      <c r="G7" s="131" t="s">
        <v>13</v>
      </c>
      <c r="H7" s="132" t="s">
        <v>14</v>
      </c>
      <c r="I7" s="132" t="s">
        <v>15</v>
      </c>
      <c r="J7" s="132" t="s">
        <v>16</v>
      </c>
      <c r="K7" s="132" t="s">
        <v>17</v>
      </c>
      <c r="L7" s="132" t="s">
        <v>18</v>
      </c>
      <c r="M7" s="131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104" t="s">
        <v>20</v>
      </c>
      <c r="B8" s="105" t="s">
        <v>21</v>
      </c>
      <c r="C8" s="105" t="s">
        <v>22</v>
      </c>
      <c r="D8" s="103">
        <v>1</v>
      </c>
      <c r="E8" s="103">
        <v>45</v>
      </c>
      <c r="F8" s="105">
        <v>45882</v>
      </c>
      <c r="G8" s="106">
        <v>0.375</v>
      </c>
      <c r="H8" s="105">
        <v>45877</v>
      </c>
      <c r="I8" s="106">
        <v>0.4375</v>
      </c>
      <c r="J8" s="107">
        <f t="shared" ref="J8:J71" si="0">E8-L8</f>
        <v>-15</v>
      </c>
      <c r="K8" s="104">
        <v>1</v>
      </c>
      <c r="L8" s="107">
        <v>60</v>
      </c>
      <c r="M8" s="107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104" t="s">
        <v>24</v>
      </c>
      <c r="B9" s="105" t="s">
        <v>21</v>
      </c>
      <c r="C9" s="105" t="s">
        <v>22</v>
      </c>
      <c r="D9" s="103">
        <v>1</v>
      </c>
      <c r="E9" s="103">
        <v>60</v>
      </c>
      <c r="F9" s="105">
        <v>45882</v>
      </c>
      <c r="G9" s="106">
        <v>0.375</v>
      </c>
      <c r="H9" s="105">
        <v>45877</v>
      </c>
      <c r="I9" s="106">
        <v>0.4375</v>
      </c>
      <c r="J9" s="107">
        <f>E9-L9</f>
        <v>0</v>
      </c>
      <c r="K9" s="104">
        <v>1</v>
      </c>
      <c r="L9" s="107">
        <v>60</v>
      </c>
      <c r="M9" s="107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104" t="s">
        <v>24</v>
      </c>
      <c r="B10" s="105" t="s">
        <v>135</v>
      </c>
      <c r="C10" s="105" t="s">
        <v>31</v>
      </c>
      <c r="D10" s="103">
        <v>1</v>
      </c>
      <c r="E10" s="103">
        <v>60</v>
      </c>
      <c r="F10" s="105">
        <v>45882</v>
      </c>
      <c r="G10" s="106">
        <v>0.375</v>
      </c>
      <c r="H10" s="105">
        <v>45877</v>
      </c>
      <c r="I10" s="106">
        <v>0.4375</v>
      </c>
      <c r="J10" s="107">
        <f>E10-L10</f>
        <v>0</v>
      </c>
      <c r="K10" s="104">
        <v>1</v>
      </c>
      <c r="L10" s="107">
        <v>60</v>
      </c>
      <c r="M10" s="107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104" t="s">
        <v>24</v>
      </c>
      <c r="B11" s="105" t="s">
        <v>136</v>
      </c>
      <c r="C11" s="105" t="s">
        <v>34</v>
      </c>
      <c r="D11" s="103">
        <v>1</v>
      </c>
      <c r="E11" s="103">
        <v>60</v>
      </c>
      <c r="F11" s="105">
        <v>45882</v>
      </c>
      <c r="G11" s="106">
        <v>0.375</v>
      </c>
      <c r="H11" s="105">
        <v>45877</v>
      </c>
      <c r="I11" s="106">
        <v>0.4375</v>
      </c>
      <c r="J11" s="107">
        <f>E11-L11</f>
        <v>0</v>
      </c>
      <c r="K11" s="104">
        <v>1</v>
      </c>
      <c r="L11" s="107">
        <v>60</v>
      </c>
      <c r="M11" s="107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104" t="s">
        <v>24</v>
      </c>
      <c r="B12" s="105" t="s">
        <v>137</v>
      </c>
      <c r="C12" s="105" t="s">
        <v>37</v>
      </c>
      <c r="D12" s="103">
        <v>1</v>
      </c>
      <c r="E12" s="103">
        <v>60</v>
      </c>
      <c r="F12" s="105">
        <v>45882</v>
      </c>
      <c r="G12" s="106">
        <v>0.375</v>
      </c>
      <c r="H12" s="105">
        <v>45877</v>
      </c>
      <c r="I12" s="106">
        <v>0.4375</v>
      </c>
      <c r="J12" s="107">
        <f>E12-L12</f>
        <v>0</v>
      </c>
      <c r="K12" s="104">
        <v>1</v>
      </c>
      <c r="L12" s="107">
        <v>60</v>
      </c>
      <c r="M12" s="107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104" t="s">
        <v>24</v>
      </c>
      <c r="B13" s="105" t="s">
        <v>42</v>
      </c>
      <c r="C13" s="105" t="s">
        <v>43</v>
      </c>
      <c r="D13" s="103">
        <v>1</v>
      </c>
      <c r="E13" s="103">
        <v>60</v>
      </c>
      <c r="F13" s="105">
        <v>45882</v>
      </c>
      <c r="G13" s="106">
        <v>0.375</v>
      </c>
      <c r="H13" s="105">
        <v>45877</v>
      </c>
      <c r="I13" s="106">
        <v>0.4375</v>
      </c>
      <c r="J13" s="107">
        <f>E13-L13</f>
        <v>0</v>
      </c>
      <c r="K13" s="104">
        <v>1</v>
      </c>
      <c r="L13" s="107">
        <v>60</v>
      </c>
      <c r="M13" s="107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104" t="s">
        <v>24</v>
      </c>
      <c r="B14" s="105" t="s">
        <v>138</v>
      </c>
      <c r="C14" s="105" t="s">
        <v>40</v>
      </c>
      <c r="D14" s="103">
        <v>1</v>
      </c>
      <c r="E14" s="103">
        <v>60</v>
      </c>
      <c r="F14" s="105">
        <v>45882</v>
      </c>
      <c r="G14" s="106">
        <v>0.375</v>
      </c>
      <c r="H14" s="105">
        <v>45877</v>
      </c>
      <c r="I14" s="106">
        <v>0.4375</v>
      </c>
      <c r="J14" s="107">
        <f t="shared" si="0"/>
        <v>0</v>
      </c>
      <c r="K14" s="104">
        <v>1</v>
      </c>
      <c r="L14" s="107">
        <v>60</v>
      </c>
      <c r="M14" s="107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104" t="s">
        <v>26</v>
      </c>
      <c r="B15" s="117" t="s">
        <v>27</v>
      </c>
      <c r="C15" s="104" t="s">
        <v>28</v>
      </c>
      <c r="D15" s="103">
        <v>1</v>
      </c>
      <c r="E15" s="123">
        <v>50</v>
      </c>
      <c r="F15" s="105">
        <v>45882</v>
      </c>
      <c r="G15" s="106">
        <v>0.375</v>
      </c>
      <c r="H15" s="105">
        <v>45877</v>
      </c>
      <c r="I15" s="106">
        <v>0.45833333333333331</v>
      </c>
      <c r="J15" s="107">
        <f t="shared" si="0"/>
        <v>-10</v>
      </c>
      <c r="K15" s="104">
        <v>1</v>
      </c>
      <c r="L15" s="107">
        <v>60</v>
      </c>
      <c r="M15" s="107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104" t="s">
        <v>26</v>
      </c>
      <c r="B16" s="105" t="s">
        <v>30</v>
      </c>
      <c r="C16" s="105" t="s">
        <v>31</v>
      </c>
      <c r="D16" s="103">
        <v>1</v>
      </c>
      <c r="E16" s="123">
        <v>50</v>
      </c>
      <c r="F16" s="105">
        <v>45882</v>
      </c>
      <c r="G16" s="106">
        <v>0.375</v>
      </c>
      <c r="H16" s="105">
        <v>45877</v>
      </c>
      <c r="I16" s="106">
        <v>0.45833333333333331</v>
      </c>
      <c r="J16" s="107">
        <f t="shared" si="0"/>
        <v>-10</v>
      </c>
      <c r="K16" s="104">
        <v>1</v>
      </c>
      <c r="L16" s="107">
        <v>60</v>
      </c>
      <c r="M16" s="107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104" t="s">
        <v>26</v>
      </c>
      <c r="B17" s="105" t="s">
        <v>33</v>
      </c>
      <c r="C17" s="105" t="s">
        <v>34</v>
      </c>
      <c r="D17" s="103">
        <v>1</v>
      </c>
      <c r="E17" s="123">
        <v>50</v>
      </c>
      <c r="F17" s="105">
        <v>45882</v>
      </c>
      <c r="G17" s="106">
        <v>0.375</v>
      </c>
      <c r="H17" s="105">
        <v>45877</v>
      </c>
      <c r="I17" s="106">
        <v>0.45833333333333331</v>
      </c>
      <c r="J17" s="107">
        <f t="shared" si="0"/>
        <v>-10</v>
      </c>
      <c r="K17" s="104">
        <v>1</v>
      </c>
      <c r="L17" s="107">
        <v>60</v>
      </c>
      <c r="M17" s="107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104" t="s">
        <v>26</v>
      </c>
      <c r="B18" s="105" t="s">
        <v>36</v>
      </c>
      <c r="C18" s="105" t="s">
        <v>37</v>
      </c>
      <c r="D18" s="103">
        <v>1</v>
      </c>
      <c r="E18" s="123">
        <v>50</v>
      </c>
      <c r="F18" s="105">
        <v>45882</v>
      </c>
      <c r="G18" s="106">
        <v>0.375</v>
      </c>
      <c r="H18" s="105">
        <v>45877</v>
      </c>
      <c r="I18" s="106">
        <v>0.45833333333333331</v>
      </c>
      <c r="J18" s="107">
        <f t="shared" si="0"/>
        <v>-10</v>
      </c>
      <c r="K18" s="104">
        <v>1</v>
      </c>
      <c r="L18" s="107">
        <v>60</v>
      </c>
      <c r="M18" s="107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104" t="s">
        <v>26</v>
      </c>
      <c r="B19" s="105" t="s">
        <v>39</v>
      </c>
      <c r="C19" s="105" t="s">
        <v>40</v>
      </c>
      <c r="D19" s="103">
        <v>1</v>
      </c>
      <c r="E19" s="123">
        <v>50</v>
      </c>
      <c r="F19" s="105">
        <v>45882</v>
      </c>
      <c r="G19" s="106">
        <v>0.375</v>
      </c>
      <c r="H19" s="105">
        <v>45877</v>
      </c>
      <c r="I19" s="106">
        <v>0.45833333333333331</v>
      </c>
      <c r="J19" s="107">
        <f t="shared" si="0"/>
        <v>-10</v>
      </c>
      <c r="K19" s="104">
        <v>1</v>
      </c>
      <c r="L19" s="107">
        <v>60</v>
      </c>
      <c r="M19" s="107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104" t="s">
        <v>26</v>
      </c>
      <c r="B20" s="105" t="s">
        <v>42</v>
      </c>
      <c r="C20" s="105" t="s">
        <v>43</v>
      </c>
      <c r="D20" s="103">
        <v>1</v>
      </c>
      <c r="E20" s="123">
        <v>50</v>
      </c>
      <c r="F20" s="105">
        <v>45882</v>
      </c>
      <c r="G20" s="106">
        <v>0.375</v>
      </c>
      <c r="H20" s="105">
        <v>45877</v>
      </c>
      <c r="I20" s="106">
        <v>0.45833333333333331</v>
      </c>
      <c r="J20" s="107">
        <f t="shared" si="0"/>
        <v>-10</v>
      </c>
      <c r="K20" s="104">
        <v>1</v>
      </c>
      <c r="L20" s="107">
        <v>60</v>
      </c>
      <c r="M20" s="107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104" t="s">
        <v>45</v>
      </c>
      <c r="B21" s="105" t="s">
        <v>21</v>
      </c>
      <c r="C21" s="105" t="s">
        <v>22</v>
      </c>
      <c r="D21" s="103">
        <v>1</v>
      </c>
      <c r="E21" s="123">
        <v>70</v>
      </c>
      <c r="F21" s="105">
        <v>45882</v>
      </c>
      <c r="G21" s="106">
        <v>0.375</v>
      </c>
      <c r="H21" s="105">
        <v>45877</v>
      </c>
      <c r="I21" s="106">
        <v>0.5</v>
      </c>
      <c r="J21" s="107">
        <f t="shared" si="0"/>
        <v>10</v>
      </c>
      <c r="K21" s="104">
        <v>1</v>
      </c>
      <c r="L21" s="107">
        <v>60</v>
      </c>
      <c r="M21" s="107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104" t="s">
        <v>45</v>
      </c>
      <c r="B22" s="105" t="s">
        <v>30</v>
      </c>
      <c r="C22" s="105" t="s">
        <v>31</v>
      </c>
      <c r="D22" s="103">
        <v>1</v>
      </c>
      <c r="E22" s="123">
        <v>70</v>
      </c>
      <c r="F22" s="105">
        <v>45882</v>
      </c>
      <c r="G22" s="106">
        <v>0.375</v>
      </c>
      <c r="H22" s="105">
        <v>45877</v>
      </c>
      <c r="I22" s="106">
        <v>0.5</v>
      </c>
      <c r="J22" s="107">
        <f t="shared" si="0"/>
        <v>10</v>
      </c>
      <c r="K22" s="104">
        <v>1</v>
      </c>
      <c r="L22" s="107">
        <v>60</v>
      </c>
      <c r="M22" s="107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117" t="s">
        <v>45</v>
      </c>
      <c r="B23" s="105" t="s">
        <v>33</v>
      </c>
      <c r="C23" s="105" t="s">
        <v>34</v>
      </c>
      <c r="D23" s="103">
        <v>1</v>
      </c>
      <c r="E23" s="123">
        <v>70</v>
      </c>
      <c r="F23" s="105">
        <v>45882</v>
      </c>
      <c r="G23" s="106">
        <v>0.375</v>
      </c>
      <c r="H23" s="105">
        <v>45877</v>
      </c>
      <c r="I23" s="106">
        <v>0.5</v>
      </c>
      <c r="J23" s="107">
        <f t="shared" si="0"/>
        <v>10</v>
      </c>
      <c r="K23" s="104">
        <v>1</v>
      </c>
      <c r="L23" s="107">
        <v>60</v>
      </c>
      <c r="M23" s="107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104" t="s">
        <v>45</v>
      </c>
      <c r="B24" s="105" t="s">
        <v>36</v>
      </c>
      <c r="C24" s="105" t="s">
        <v>37</v>
      </c>
      <c r="D24" s="103">
        <v>1</v>
      </c>
      <c r="E24" s="123">
        <v>70</v>
      </c>
      <c r="F24" s="105">
        <v>45882</v>
      </c>
      <c r="G24" s="106">
        <v>0.375</v>
      </c>
      <c r="H24" s="105">
        <v>45877</v>
      </c>
      <c r="I24" s="106">
        <v>0.5</v>
      </c>
      <c r="J24" s="107">
        <f t="shared" si="0"/>
        <v>10</v>
      </c>
      <c r="K24" s="104">
        <v>1</v>
      </c>
      <c r="L24" s="107">
        <v>60</v>
      </c>
      <c r="M24" s="107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104" t="s">
        <v>45</v>
      </c>
      <c r="B25" s="105" t="s">
        <v>39</v>
      </c>
      <c r="C25" s="105" t="s">
        <v>40</v>
      </c>
      <c r="D25" s="103">
        <v>1</v>
      </c>
      <c r="E25" s="123">
        <v>70</v>
      </c>
      <c r="F25" s="105">
        <v>45882</v>
      </c>
      <c r="G25" s="106">
        <v>0.375</v>
      </c>
      <c r="H25" s="105">
        <v>45877</v>
      </c>
      <c r="I25" s="106">
        <v>0.5</v>
      </c>
      <c r="J25" s="107">
        <f t="shared" si="0"/>
        <v>10</v>
      </c>
      <c r="K25" s="104">
        <v>1</v>
      </c>
      <c r="L25" s="107">
        <v>60</v>
      </c>
      <c r="M25" s="107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104" t="s">
        <v>45</v>
      </c>
      <c r="B26" s="105" t="s">
        <v>42</v>
      </c>
      <c r="C26" s="105" t="s">
        <v>43</v>
      </c>
      <c r="D26" s="103">
        <v>1</v>
      </c>
      <c r="E26" s="123">
        <v>70</v>
      </c>
      <c r="F26" s="105">
        <v>45882</v>
      </c>
      <c r="G26" s="106">
        <v>0.375</v>
      </c>
      <c r="H26" s="105">
        <v>45877</v>
      </c>
      <c r="I26" s="106">
        <v>0.5</v>
      </c>
      <c r="J26" s="107">
        <f t="shared" si="0"/>
        <v>10</v>
      </c>
      <c r="K26" s="104">
        <v>1</v>
      </c>
      <c r="L26" s="107">
        <v>60</v>
      </c>
      <c r="M26" s="107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104" t="s">
        <v>52</v>
      </c>
      <c r="B27" s="105" t="s">
        <v>21</v>
      </c>
      <c r="C27" s="105" t="s">
        <v>22</v>
      </c>
      <c r="D27" s="103">
        <v>1</v>
      </c>
      <c r="E27" s="49">
        <v>30</v>
      </c>
      <c r="F27" s="105">
        <v>45882</v>
      </c>
      <c r="G27" s="106">
        <v>0.375</v>
      </c>
      <c r="H27" s="105">
        <v>45877</v>
      </c>
      <c r="I27" s="106">
        <v>4.1666666666666664E-2</v>
      </c>
      <c r="J27" s="107">
        <f t="shared" si="0"/>
        <v>0</v>
      </c>
      <c r="K27" s="104">
        <v>1</v>
      </c>
      <c r="L27" s="107">
        <v>30</v>
      </c>
      <c r="M27" s="107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104" t="s">
        <v>52</v>
      </c>
      <c r="B28" s="105" t="s">
        <v>36</v>
      </c>
      <c r="C28" s="105" t="s">
        <v>37</v>
      </c>
      <c r="D28" s="103">
        <v>1</v>
      </c>
      <c r="E28" s="117">
        <v>30</v>
      </c>
      <c r="F28" s="105">
        <v>45882</v>
      </c>
      <c r="G28" s="106">
        <v>0.375</v>
      </c>
      <c r="H28" s="105">
        <v>45877</v>
      </c>
      <c r="I28" s="106">
        <v>4.1666666666666664E-2</v>
      </c>
      <c r="J28" s="107">
        <f>E28-L28</f>
        <v>0</v>
      </c>
      <c r="K28" s="104">
        <v>1</v>
      </c>
      <c r="L28" s="107">
        <v>30</v>
      </c>
      <c r="M28" s="107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104" t="s">
        <v>144</v>
      </c>
      <c r="B29" s="105" t="s">
        <v>30</v>
      </c>
      <c r="C29" s="105" t="s">
        <v>31</v>
      </c>
      <c r="D29" s="103">
        <v>1</v>
      </c>
      <c r="E29" s="104">
        <v>30</v>
      </c>
      <c r="F29" s="105">
        <v>45882</v>
      </c>
      <c r="G29" s="106">
        <v>0.375</v>
      </c>
      <c r="H29" s="105">
        <v>45877</v>
      </c>
      <c r="I29" s="106">
        <v>4.1666666666666664E-2</v>
      </c>
      <c r="J29" s="107">
        <f t="shared" si="0"/>
        <v>0</v>
      </c>
      <c r="K29" s="104">
        <v>1</v>
      </c>
      <c r="L29" s="107">
        <v>30</v>
      </c>
      <c r="M29" s="107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104" t="s">
        <v>54</v>
      </c>
      <c r="B30" s="105" t="s">
        <v>21</v>
      </c>
      <c r="C30" s="105" t="s">
        <v>28</v>
      </c>
      <c r="D30" s="103">
        <v>1</v>
      </c>
      <c r="E30" s="49">
        <v>120</v>
      </c>
      <c r="F30" s="105">
        <v>45882</v>
      </c>
      <c r="G30" s="106">
        <v>0.375</v>
      </c>
      <c r="H30" s="124">
        <v>45879</v>
      </c>
      <c r="I30" s="106">
        <v>0.91666666666666663</v>
      </c>
      <c r="J30" s="107">
        <f t="shared" si="0"/>
        <v>60</v>
      </c>
      <c r="K30" s="104">
        <v>1</v>
      </c>
      <c r="L30" s="107">
        <v>60</v>
      </c>
      <c r="M30" s="107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104" t="s">
        <v>54</v>
      </c>
      <c r="B31" s="105" t="s">
        <v>39</v>
      </c>
      <c r="C31" s="105" t="s">
        <v>58</v>
      </c>
      <c r="D31" s="103">
        <v>1</v>
      </c>
      <c r="E31" s="49">
        <v>120</v>
      </c>
      <c r="F31" s="105">
        <v>45882</v>
      </c>
      <c r="G31" s="106">
        <v>0.375</v>
      </c>
      <c r="H31" s="105">
        <v>45879</v>
      </c>
      <c r="I31" s="106">
        <v>0.91666666666666663</v>
      </c>
      <c r="J31" s="107">
        <f t="shared" si="0"/>
        <v>60</v>
      </c>
      <c r="K31" s="104">
        <v>1</v>
      </c>
      <c r="L31" s="107">
        <v>60</v>
      </c>
      <c r="M31" s="107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125" t="s">
        <v>60</v>
      </c>
      <c r="B32" s="105" t="s">
        <v>30</v>
      </c>
      <c r="C32" s="105" t="s">
        <v>62</v>
      </c>
      <c r="D32" s="103">
        <v>1</v>
      </c>
      <c r="E32" s="49">
        <v>30</v>
      </c>
      <c r="F32" s="105">
        <v>45882</v>
      </c>
      <c r="G32" s="106">
        <v>0.375</v>
      </c>
      <c r="H32" s="114">
        <v>45879</v>
      </c>
      <c r="I32" s="115">
        <v>0.91666666666666663</v>
      </c>
      <c r="J32" s="107">
        <f>E32-L32</f>
        <v>-30</v>
      </c>
      <c r="K32" s="104">
        <v>1</v>
      </c>
      <c r="L32" s="133">
        <v>60</v>
      </c>
      <c r="M32" s="133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104" t="s">
        <v>60</v>
      </c>
      <c r="B33" s="105" t="s">
        <v>33</v>
      </c>
      <c r="C33" s="105" t="s">
        <v>65</v>
      </c>
      <c r="D33" s="103">
        <v>1</v>
      </c>
      <c r="E33" s="49">
        <v>30</v>
      </c>
      <c r="F33" s="105">
        <v>45882</v>
      </c>
      <c r="G33" s="106">
        <v>0.375</v>
      </c>
      <c r="H33" s="105">
        <v>45879</v>
      </c>
      <c r="I33" s="106">
        <v>0.875</v>
      </c>
      <c r="J33" s="107">
        <f t="shared" si="0"/>
        <v>-30</v>
      </c>
      <c r="K33" s="104">
        <v>1</v>
      </c>
      <c r="L33" s="107">
        <v>60</v>
      </c>
      <c r="M33" s="107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104" t="s">
        <v>60</v>
      </c>
      <c r="B34" s="110" t="s">
        <v>42</v>
      </c>
      <c r="C34" s="105" t="s">
        <v>68</v>
      </c>
      <c r="D34" s="103">
        <v>1</v>
      </c>
      <c r="E34" s="49">
        <v>30</v>
      </c>
      <c r="F34" s="105">
        <v>45882</v>
      </c>
      <c r="G34" s="106">
        <v>0.375</v>
      </c>
      <c r="H34" s="105">
        <v>45879</v>
      </c>
      <c r="I34" s="106">
        <v>0.91666666666666663</v>
      </c>
      <c r="J34" s="107">
        <f t="shared" si="0"/>
        <v>-90</v>
      </c>
      <c r="K34" s="104">
        <v>1</v>
      </c>
      <c r="L34" s="107">
        <v>120</v>
      </c>
      <c r="M34" s="107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104" t="s">
        <v>60</v>
      </c>
      <c r="B35" s="110" t="s">
        <v>36</v>
      </c>
      <c r="C35" s="105" t="s">
        <v>71</v>
      </c>
      <c r="D35" s="103">
        <v>1</v>
      </c>
      <c r="E35" s="49">
        <v>30</v>
      </c>
      <c r="F35" s="105">
        <v>45882</v>
      </c>
      <c r="G35" s="106">
        <v>0.375</v>
      </c>
      <c r="H35" s="105">
        <v>45879</v>
      </c>
      <c r="I35" s="106">
        <v>0.46527777777777779</v>
      </c>
      <c r="J35" s="107">
        <f t="shared" si="0"/>
        <v>5</v>
      </c>
      <c r="K35" s="104">
        <v>1</v>
      </c>
      <c r="L35" s="107">
        <v>25</v>
      </c>
      <c r="M35" s="107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104" t="s">
        <v>73</v>
      </c>
      <c r="B36" s="110" t="s">
        <v>74</v>
      </c>
      <c r="C36" s="105" t="s">
        <v>71</v>
      </c>
      <c r="D36" s="103">
        <v>1</v>
      </c>
      <c r="E36" s="49">
        <v>70</v>
      </c>
      <c r="F36" s="105">
        <v>45882</v>
      </c>
      <c r="G36" s="106">
        <v>0.375</v>
      </c>
      <c r="H36" s="105">
        <v>45880</v>
      </c>
      <c r="I36" s="106">
        <v>0.83333333333333337</v>
      </c>
      <c r="J36" s="107">
        <f t="shared" si="0"/>
        <v>-50</v>
      </c>
      <c r="K36" s="104">
        <v>1</v>
      </c>
      <c r="L36" s="107">
        <v>120</v>
      </c>
      <c r="M36" s="107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104" t="s">
        <v>76</v>
      </c>
      <c r="B37" s="105" t="s">
        <v>42</v>
      </c>
      <c r="C37" s="105" t="s">
        <v>77</v>
      </c>
      <c r="D37" s="103">
        <v>1</v>
      </c>
      <c r="E37" s="49">
        <v>50</v>
      </c>
      <c r="F37" s="105">
        <v>45882</v>
      </c>
      <c r="G37" s="106">
        <v>0.375</v>
      </c>
      <c r="H37" s="105">
        <v>45880</v>
      </c>
      <c r="I37" s="106">
        <v>0.91666666666666663</v>
      </c>
      <c r="J37" s="107">
        <f t="shared" si="0"/>
        <v>-70</v>
      </c>
      <c r="K37" s="104">
        <v>1</v>
      </c>
      <c r="L37" s="107">
        <v>120</v>
      </c>
      <c r="M37" s="107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104" t="s">
        <v>79</v>
      </c>
      <c r="B38" s="105" t="s">
        <v>36</v>
      </c>
      <c r="C38" s="105" t="s">
        <v>80</v>
      </c>
      <c r="D38" s="103">
        <v>1</v>
      </c>
      <c r="E38" s="49">
        <v>45</v>
      </c>
      <c r="F38" s="105">
        <v>45882</v>
      </c>
      <c r="G38" s="106">
        <v>0.375</v>
      </c>
      <c r="H38" s="105">
        <v>45880</v>
      </c>
      <c r="I38" s="106">
        <v>0.9375</v>
      </c>
      <c r="J38" s="107">
        <f t="shared" si="0"/>
        <v>-35</v>
      </c>
      <c r="K38" s="104">
        <v>1</v>
      </c>
      <c r="L38" s="107">
        <v>80</v>
      </c>
      <c r="M38" s="107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104" t="s">
        <v>82</v>
      </c>
      <c r="B39" s="105" t="s">
        <v>30</v>
      </c>
      <c r="C39" s="105" t="s">
        <v>83</v>
      </c>
      <c r="D39" s="103">
        <v>1</v>
      </c>
      <c r="E39" s="49">
        <v>50</v>
      </c>
      <c r="F39" s="105">
        <v>45882</v>
      </c>
      <c r="G39" s="106">
        <v>0.375</v>
      </c>
      <c r="H39" s="105">
        <v>45880</v>
      </c>
      <c r="I39" s="106">
        <v>0.95833333333333337</v>
      </c>
      <c r="J39" s="107">
        <f t="shared" si="0"/>
        <v>-4</v>
      </c>
      <c r="K39" s="104">
        <v>1</v>
      </c>
      <c r="L39" s="107">
        <v>54</v>
      </c>
      <c r="M39" s="107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104" t="s">
        <v>85</v>
      </c>
      <c r="B40" s="105" t="s">
        <v>21</v>
      </c>
      <c r="C40" s="105" t="s">
        <v>86</v>
      </c>
      <c r="D40" s="103">
        <v>1</v>
      </c>
      <c r="E40" s="49">
        <v>60</v>
      </c>
      <c r="F40" s="105">
        <v>45882</v>
      </c>
      <c r="G40" s="106">
        <v>0.375</v>
      </c>
      <c r="H40" s="105">
        <v>45880</v>
      </c>
      <c r="I40" s="106">
        <v>0.95833333333333337</v>
      </c>
      <c r="J40" s="107">
        <f t="shared" si="0"/>
        <v>10</v>
      </c>
      <c r="K40" s="104">
        <v>1</v>
      </c>
      <c r="L40" s="107">
        <v>50</v>
      </c>
      <c r="M40" s="107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104" t="s">
        <v>88</v>
      </c>
      <c r="B41" s="105" t="s">
        <v>21</v>
      </c>
      <c r="C41" s="105" t="s">
        <v>86</v>
      </c>
      <c r="D41" s="103">
        <v>1</v>
      </c>
      <c r="E41" s="49">
        <v>55</v>
      </c>
      <c r="F41" s="105">
        <v>45882</v>
      </c>
      <c r="G41" s="106">
        <v>0.375</v>
      </c>
      <c r="H41" s="105">
        <v>45880</v>
      </c>
      <c r="I41" s="106">
        <v>0.95833333333333337</v>
      </c>
      <c r="J41" s="107">
        <f t="shared" si="0"/>
        <v>0</v>
      </c>
      <c r="K41" s="104">
        <v>1</v>
      </c>
      <c r="L41" s="107">
        <v>55</v>
      </c>
      <c r="M41" s="107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104" t="s">
        <v>146</v>
      </c>
      <c r="B42" s="105" t="s">
        <v>30</v>
      </c>
      <c r="C42" s="105" t="s">
        <v>83</v>
      </c>
      <c r="D42" s="103">
        <v>1</v>
      </c>
      <c r="E42" s="49">
        <v>60</v>
      </c>
      <c r="F42" s="105">
        <v>45882</v>
      </c>
      <c r="G42" s="106">
        <v>0.375</v>
      </c>
      <c r="H42" s="105">
        <v>45880</v>
      </c>
      <c r="I42" s="106">
        <v>0.875</v>
      </c>
      <c r="J42" s="107">
        <f>E42-L42</f>
        <v>-6</v>
      </c>
      <c r="K42" s="104">
        <v>1</v>
      </c>
      <c r="L42" s="107">
        <v>66</v>
      </c>
      <c r="M42" s="107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104" t="s">
        <v>146</v>
      </c>
      <c r="B43" s="105" t="s">
        <v>21</v>
      </c>
      <c r="C43" s="105" t="s">
        <v>86</v>
      </c>
      <c r="D43" s="103">
        <v>1</v>
      </c>
      <c r="E43" s="49">
        <v>60</v>
      </c>
      <c r="F43" s="105">
        <v>45882</v>
      </c>
      <c r="G43" s="106">
        <v>0.375</v>
      </c>
      <c r="H43" s="105">
        <v>45880</v>
      </c>
      <c r="I43" s="106">
        <v>0.875</v>
      </c>
      <c r="J43" s="107">
        <f>E43-L43</f>
        <v>-6</v>
      </c>
      <c r="K43" s="104">
        <v>1</v>
      </c>
      <c r="L43" s="107">
        <v>66</v>
      </c>
      <c r="M43" s="107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104" t="s">
        <v>146</v>
      </c>
      <c r="B44" s="105" t="s">
        <v>39</v>
      </c>
      <c r="C44" s="105" t="s">
        <v>150</v>
      </c>
      <c r="D44" s="103">
        <v>1</v>
      </c>
      <c r="E44" s="49">
        <v>60</v>
      </c>
      <c r="F44" s="105">
        <v>45882</v>
      </c>
      <c r="G44" s="106">
        <v>0.375</v>
      </c>
      <c r="H44" s="105">
        <v>45880</v>
      </c>
      <c r="I44" s="106">
        <v>0.875</v>
      </c>
      <c r="J44" s="107">
        <f>E44-L44</f>
        <v>-6</v>
      </c>
      <c r="K44" s="104">
        <v>1</v>
      </c>
      <c r="L44" s="107">
        <v>66</v>
      </c>
      <c r="M44" s="107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104" t="s">
        <v>146</v>
      </c>
      <c r="B45" s="105" t="s">
        <v>136</v>
      </c>
      <c r="C45" s="105" t="s">
        <v>151</v>
      </c>
      <c r="D45" s="103">
        <v>1</v>
      </c>
      <c r="E45" s="49">
        <v>60</v>
      </c>
      <c r="F45" s="105">
        <v>45882</v>
      </c>
      <c r="G45" s="106">
        <v>0.375</v>
      </c>
      <c r="H45" s="105">
        <v>45880</v>
      </c>
      <c r="I45" s="106">
        <v>0.875</v>
      </c>
      <c r="J45" s="107">
        <f>E45-L45</f>
        <v>-6</v>
      </c>
      <c r="K45" s="104">
        <v>1</v>
      </c>
      <c r="L45" s="107">
        <v>66</v>
      </c>
      <c r="M45" s="107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104" t="s">
        <v>146</v>
      </c>
      <c r="B46" s="105" t="s">
        <v>42</v>
      </c>
      <c r="C46" s="105" t="s">
        <v>77</v>
      </c>
      <c r="D46" s="103">
        <v>1</v>
      </c>
      <c r="E46" s="49">
        <v>60</v>
      </c>
      <c r="F46" s="105">
        <v>45882</v>
      </c>
      <c r="G46" s="106">
        <v>0.375</v>
      </c>
      <c r="H46" s="105">
        <v>45880</v>
      </c>
      <c r="I46" s="106">
        <v>0.875</v>
      </c>
      <c r="J46" s="107">
        <f>E46-L46</f>
        <v>-6</v>
      </c>
      <c r="K46" s="104">
        <v>1</v>
      </c>
      <c r="L46" s="107">
        <v>66</v>
      </c>
      <c r="M46" s="107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104" t="s">
        <v>146</v>
      </c>
      <c r="B47" s="105" t="s">
        <v>36</v>
      </c>
      <c r="C47" s="105" t="s">
        <v>80</v>
      </c>
      <c r="D47" s="103">
        <v>1</v>
      </c>
      <c r="E47" s="49">
        <v>60</v>
      </c>
      <c r="F47" s="105">
        <v>45882</v>
      </c>
      <c r="G47" s="106">
        <v>0.375</v>
      </c>
      <c r="H47" s="105">
        <v>45880</v>
      </c>
      <c r="I47" s="106">
        <v>0.875</v>
      </c>
      <c r="J47" s="107">
        <f t="shared" si="0"/>
        <v>-6</v>
      </c>
      <c r="K47" s="104">
        <v>1</v>
      </c>
      <c r="L47" s="107">
        <v>66</v>
      </c>
      <c r="M47" s="107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104" t="s">
        <v>147</v>
      </c>
      <c r="B48" s="105" t="s">
        <v>30</v>
      </c>
      <c r="C48" s="105" t="s">
        <v>83</v>
      </c>
      <c r="D48" s="103">
        <v>1</v>
      </c>
      <c r="E48" s="49">
        <v>30</v>
      </c>
      <c r="F48" s="105">
        <v>45882</v>
      </c>
      <c r="G48" s="106">
        <v>0.375</v>
      </c>
      <c r="H48" s="105">
        <v>45880</v>
      </c>
      <c r="I48" s="106">
        <v>0.95833333333333337</v>
      </c>
      <c r="J48" s="107">
        <f t="shared" si="0"/>
        <v>5</v>
      </c>
      <c r="K48" s="104">
        <v>1</v>
      </c>
      <c r="L48" s="107">
        <v>25</v>
      </c>
      <c r="M48" s="107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104" t="s">
        <v>90</v>
      </c>
      <c r="B49" s="105" t="s">
        <v>42</v>
      </c>
      <c r="C49" s="105" t="s">
        <v>77</v>
      </c>
      <c r="D49" s="103">
        <v>1</v>
      </c>
      <c r="E49" s="49">
        <v>20</v>
      </c>
      <c r="F49" s="105">
        <v>45882</v>
      </c>
      <c r="G49" s="106">
        <v>0.375</v>
      </c>
      <c r="H49" s="105">
        <v>45880</v>
      </c>
      <c r="I49" s="106">
        <v>0.95833333333333337</v>
      </c>
      <c r="J49" s="107">
        <f t="shared" si="0"/>
        <v>0</v>
      </c>
      <c r="K49" s="104">
        <v>1</v>
      </c>
      <c r="L49" s="107">
        <v>20</v>
      </c>
      <c r="M49" s="107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134" t="s">
        <v>92</v>
      </c>
      <c r="B50" s="105" t="s">
        <v>140</v>
      </c>
      <c r="C50" s="105" t="s">
        <v>22</v>
      </c>
      <c r="D50" s="103">
        <v>1</v>
      </c>
      <c r="E50" s="49">
        <v>30</v>
      </c>
      <c r="F50" s="105">
        <v>45896</v>
      </c>
      <c r="G50" s="106">
        <v>0.375</v>
      </c>
      <c r="H50" s="105">
        <v>45890</v>
      </c>
      <c r="I50" s="106">
        <v>0.8125</v>
      </c>
      <c r="J50" s="107">
        <f>E50-L50</f>
        <v>5</v>
      </c>
      <c r="K50" s="104">
        <v>1</v>
      </c>
      <c r="L50" s="107">
        <v>25</v>
      </c>
      <c r="M50" s="107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135" t="s">
        <v>92</v>
      </c>
      <c r="B51" s="105" t="s">
        <v>139</v>
      </c>
      <c r="C51" s="105" t="s">
        <v>34</v>
      </c>
      <c r="D51" s="103">
        <v>1</v>
      </c>
      <c r="E51" s="49">
        <v>30</v>
      </c>
      <c r="F51" s="105">
        <v>45896</v>
      </c>
      <c r="G51" s="106">
        <v>0.375</v>
      </c>
      <c r="H51" s="105">
        <v>45890</v>
      </c>
      <c r="I51" s="106">
        <v>0.8125</v>
      </c>
      <c r="J51" s="107">
        <f t="shared" si="0"/>
        <v>5</v>
      </c>
      <c r="K51" s="104">
        <v>1</v>
      </c>
      <c r="L51" s="107">
        <v>25</v>
      </c>
      <c r="M51" s="107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104" t="s">
        <v>144</v>
      </c>
      <c r="B52" s="105" t="s">
        <v>30</v>
      </c>
      <c r="C52" s="105" t="s">
        <v>31</v>
      </c>
      <c r="D52" s="103">
        <v>1</v>
      </c>
      <c r="E52" s="104">
        <v>30</v>
      </c>
      <c r="F52" s="105">
        <v>45882</v>
      </c>
      <c r="G52" s="106">
        <v>0.375</v>
      </c>
      <c r="H52" s="105">
        <v>45890</v>
      </c>
      <c r="I52" s="106">
        <v>0.83333333333333337</v>
      </c>
      <c r="J52" s="107">
        <f t="shared" si="0"/>
        <v>0</v>
      </c>
      <c r="K52" s="104">
        <v>1</v>
      </c>
      <c r="L52" s="107">
        <v>30</v>
      </c>
      <c r="M52" s="107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9" t="s">
        <v>94</v>
      </c>
      <c r="B53" s="105" t="s">
        <v>139</v>
      </c>
      <c r="C53" s="105" t="s">
        <v>34</v>
      </c>
      <c r="D53" s="103">
        <v>3</v>
      </c>
      <c r="E53" s="49">
        <v>60</v>
      </c>
      <c r="F53" s="105">
        <v>45896</v>
      </c>
      <c r="G53" s="106">
        <v>0.375</v>
      </c>
      <c r="H53" s="105">
        <v>45890</v>
      </c>
      <c r="I53" s="106">
        <v>0.85416666666666663</v>
      </c>
      <c r="J53" s="107">
        <f>E53-L53</f>
        <v>0</v>
      </c>
      <c r="K53" s="104">
        <v>3</v>
      </c>
      <c r="L53" s="107">
        <v>60</v>
      </c>
      <c r="M53" s="107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9" t="s">
        <v>94</v>
      </c>
      <c r="B54" s="105" t="s">
        <v>21</v>
      </c>
      <c r="C54" s="105" t="s">
        <v>22</v>
      </c>
      <c r="D54" s="103">
        <v>3</v>
      </c>
      <c r="E54" s="49">
        <v>60</v>
      </c>
      <c r="F54" s="105">
        <v>45896</v>
      </c>
      <c r="G54" s="106">
        <v>0.375</v>
      </c>
      <c r="H54" s="105">
        <v>45890</v>
      </c>
      <c r="I54" s="106">
        <v>0.85416666666666663</v>
      </c>
      <c r="J54" s="107">
        <f t="shared" si="0"/>
        <v>0</v>
      </c>
      <c r="K54" s="104">
        <v>3</v>
      </c>
      <c r="L54" s="107">
        <v>60</v>
      </c>
      <c r="M54" s="107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9" t="s">
        <v>95</v>
      </c>
      <c r="B55" s="105" t="s">
        <v>21</v>
      </c>
      <c r="C55" s="105" t="s">
        <v>22</v>
      </c>
      <c r="D55" s="103">
        <v>1</v>
      </c>
      <c r="E55" s="49">
        <v>30</v>
      </c>
      <c r="F55" s="105">
        <v>45896</v>
      </c>
      <c r="G55" s="106">
        <v>0.375</v>
      </c>
      <c r="H55" s="105">
        <v>45890</v>
      </c>
      <c r="I55" s="106">
        <v>0.875</v>
      </c>
      <c r="J55" s="107">
        <f>E55-L55</f>
        <v>0</v>
      </c>
      <c r="K55" s="104">
        <v>1</v>
      </c>
      <c r="L55" s="107">
        <v>30</v>
      </c>
      <c r="M55" s="107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9" t="s">
        <v>95</v>
      </c>
      <c r="B56" s="105" t="s">
        <v>139</v>
      </c>
      <c r="C56" s="105" t="s">
        <v>34</v>
      </c>
      <c r="D56" s="103">
        <v>1</v>
      </c>
      <c r="E56" s="49">
        <v>30</v>
      </c>
      <c r="F56" s="105">
        <v>45896</v>
      </c>
      <c r="G56" s="106">
        <v>0.375</v>
      </c>
      <c r="H56" s="105">
        <v>45890</v>
      </c>
      <c r="I56" s="106">
        <v>0.875</v>
      </c>
      <c r="J56" s="107">
        <f t="shared" si="0"/>
        <v>0</v>
      </c>
      <c r="K56" s="104">
        <v>1</v>
      </c>
      <c r="L56" s="107">
        <v>30</v>
      </c>
      <c r="M56" s="107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104" t="s">
        <v>97</v>
      </c>
      <c r="B57" s="105" t="s">
        <v>21</v>
      </c>
      <c r="C57" s="105" t="s">
        <v>22</v>
      </c>
      <c r="D57" s="103">
        <v>1</v>
      </c>
      <c r="E57" s="49">
        <v>20</v>
      </c>
      <c r="F57" s="105">
        <v>45896</v>
      </c>
      <c r="G57" s="106">
        <v>0.375</v>
      </c>
      <c r="H57" s="105">
        <v>45890</v>
      </c>
      <c r="I57" s="106">
        <v>0.88888888888888884</v>
      </c>
      <c r="J57" s="107">
        <f>E57-L57</f>
        <v>0</v>
      </c>
      <c r="K57" s="104">
        <v>1</v>
      </c>
      <c r="L57" s="107">
        <v>20</v>
      </c>
      <c r="M57" s="107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104" t="s">
        <v>97</v>
      </c>
      <c r="B58" s="105" t="s">
        <v>139</v>
      </c>
      <c r="C58" s="105" t="s">
        <v>34</v>
      </c>
      <c r="D58" s="103">
        <v>1</v>
      </c>
      <c r="E58" s="49">
        <v>20</v>
      </c>
      <c r="F58" s="105">
        <v>45896</v>
      </c>
      <c r="G58" s="106">
        <v>0.375</v>
      </c>
      <c r="H58" s="105">
        <v>45890</v>
      </c>
      <c r="I58" s="106">
        <v>0.88888888888888884</v>
      </c>
      <c r="J58" s="107">
        <f t="shared" si="0"/>
        <v>0</v>
      </c>
      <c r="K58" s="104">
        <v>1</v>
      </c>
      <c r="L58" s="107">
        <v>20</v>
      </c>
      <c r="M58" s="107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104" t="s">
        <v>99</v>
      </c>
      <c r="B59" s="105" t="s">
        <v>21</v>
      </c>
      <c r="C59" s="105" t="s">
        <v>22</v>
      </c>
      <c r="D59" s="49">
        <v>1</v>
      </c>
      <c r="E59" s="117">
        <v>20</v>
      </c>
      <c r="F59" s="105">
        <v>45896</v>
      </c>
      <c r="G59" s="106">
        <v>0.375</v>
      </c>
      <c r="H59" s="105">
        <v>45890</v>
      </c>
      <c r="I59" s="106">
        <v>0.90277777777777779</v>
      </c>
      <c r="J59" s="107">
        <f>E59-L59</f>
        <v>2</v>
      </c>
      <c r="K59" s="104">
        <v>1</v>
      </c>
      <c r="L59" s="107">
        <v>18</v>
      </c>
      <c r="M59" s="107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104" t="s">
        <v>99</v>
      </c>
      <c r="B60" s="105" t="s">
        <v>139</v>
      </c>
      <c r="C60" s="105" t="s">
        <v>34</v>
      </c>
      <c r="D60" s="49">
        <v>1</v>
      </c>
      <c r="E60" s="104">
        <v>20</v>
      </c>
      <c r="F60" s="105">
        <v>45896</v>
      </c>
      <c r="G60" s="106">
        <v>0.375</v>
      </c>
      <c r="H60" s="105">
        <v>45890</v>
      </c>
      <c r="I60" s="106">
        <v>0.90277777777777779</v>
      </c>
      <c r="J60" s="107">
        <f t="shared" si="0"/>
        <v>2</v>
      </c>
      <c r="K60" s="104">
        <v>1</v>
      </c>
      <c r="L60" s="107">
        <v>18</v>
      </c>
      <c r="M60" s="107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117" t="s">
        <v>101</v>
      </c>
      <c r="B61" s="105" t="s">
        <v>21</v>
      </c>
      <c r="C61" s="105" t="s">
        <v>22</v>
      </c>
      <c r="D61" s="49">
        <v>1</v>
      </c>
      <c r="E61" s="49">
        <v>20</v>
      </c>
      <c r="F61" s="105">
        <v>45896</v>
      </c>
      <c r="G61" s="106">
        <v>0.375</v>
      </c>
      <c r="H61" s="105">
        <v>45890</v>
      </c>
      <c r="I61" s="106">
        <v>0.91666666666666663</v>
      </c>
      <c r="J61" s="107">
        <f>E61-L61</f>
        <v>1</v>
      </c>
      <c r="K61" s="104">
        <v>1</v>
      </c>
      <c r="L61" s="107">
        <v>19</v>
      </c>
      <c r="M61" s="107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126" t="s">
        <v>101</v>
      </c>
      <c r="B62" s="105" t="s">
        <v>136</v>
      </c>
      <c r="C62" s="105" t="s">
        <v>34</v>
      </c>
      <c r="D62" s="49">
        <v>1</v>
      </c>
      <c r="E62" s="49">
        <v>20</v>
      </c>
      <c r="F62" s="105">
        <v>45896</v>
      </c>
      <c r="G62" s="106">
        <v>0.375</v>
      </c>
      <c r="H62" s="105">
        <v>45890</v>
      </c>
      <c r="I62" s="106">
        <v>0.91666666666666663</v>
      </c>
      <c r="J62" s="107">
        <f t="shared" si="0"/>
        <v>1</v>
      </c>
      <c r="K62" s="104">
        <v>1</v>
      </c>
      <c r="L62" s="107">
        <v>19</v>
      </c>
      <c r="M62" s="107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104" t="s">
        <v>103</v>
      </c>
      <c r="B63" s="105" t="s">
        <v>21</v>
      </c>
      <c r="C63" s="105" t="s">
        <v>22</v>
      </c>
      <c r="D63" s="49">
        <v>1</v>
      </c>
      <c r="E63" s="49">
        <v>30</v>
      </c>
      <c r="F63" s="105">
        <v>45896</v>
      </c>
      <c r="G63" s="106">
        <v>0.375</v>
      </c>
      <c r="H63" s="105">
        <v>45890</v>
      </c>
      <c r="I63" s="106">
        <v>0.9375</v>
      </c>
      <c r="J63" s="107">
        <f>E63-L63</f>
        <v>5</v>
      </c>
      <c r="K63" s="104">
        <v>1</v>
      </c>
      <c r="L63" s="107">
        <v>25</v>
      </c>
      <c r="M63" s="107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104" t="s">
        <v>103</v>
      </c>
      <c r="B64" s="105" t="s">
        <v>136</v>
      </c>
      <c r="C64" s="105" t="s">
        <v>34</v>
      </c>
      <c r="D64" s="49">
        <v>1</v>
      </c>
      <c r="E64" s="49">
        <v>30</v>
      </c>
      <c r="F64" s="105">
        <v>45896</v>
      </c>
      <c r="G64" s="106">
        <v>0.375</v>
      </c>
      <c r="H64" s="105">
        <v>45890</v>
      </c>
      <c r="I64" s="106">
        <v>0.9375</v>
      </c>
      <c r="J64" s="107">
        <f t="shared" si="0"/>
        <v>5</v>
      </c>
      <c r="K64" s="104">
        <v>1</v>
      </c>
      <c r="L64" s="107">
        <v>25</v>
      </c>
      <c r="M64" s="107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104" t="s">
        <v>105</v>
      </c>
      <c r="B65" s="105" t="s">
        <v>30</v>
      </c>
      <c r="C65" s="105" t="s">
        <v>31</v>
      </c>
      <c r="D65" s="49">
        <v>1</v>
      </c>
      <c r="E65" s="49">
        <v>30</v>
      </c>
      <c r="F65" s="105">
        <v>45896</v>
      </c>
      <c r="G65" s="106">
        <v>0.375</v>
      </c>
      <c r="H65" s="105">
        <v>45890</v>
      </c>
      <c r="I65" s="106">
        <v>0.8125</v>
      </c>
      <c r="J65" s="107">
        <f>E65-L65</f>
        <v>6</v>
      </c>
      <c r="K65" s="104">
        <v>1</v>
      </c>
      <c r="L65" s="107">
        <v>24</v>
      </c>
      <c r="M65" s="107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104" t="s">
        <v>105</v>
      </c>
      <c r="B66" s="105" t="s">
        <v>39</v>
      </c>
      <c r="C66" s="105" t="s">
        <v>40</v>
      </c>
      <c r="D66" s="49">
        <v>1</v>
      </c>
      <c r="E66" s="49">
        <v>30</v>
      </c>
      <c r="F66" s="105">
        <v>45896</v>
      </c>
      <c r="G66" s="106">
        <v>0.375</v>
      </c>
      <c r="H66" s="105">
        <v>45890</v>
      </c>
      <c r="I66" s="106">
        <v>0.8125</v>
      </c>
      <c r="J66" s="107">
        <f t="shared" si="0"/>
        <v>6</v>
      </c>
      <c r="K66" s="104">
        <v>1</v>
      </c>
      <c r="L66" s="107">
        <v>24</v>
      </c>
      <c r="M66" s="107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9" t="s">
        <v>107</v>
      </c>
      <c r="B67" s="105" t="s">
        <v>30</v>
      </c>
      <c r="C67" s="105" t="s">
        <v>31</v>
      </c>
      <c r="D67" s="49">
        <v>1</v>
      </c>
      <c r="E67" s="49">
        <v>60</v>
      </c>
      <c r="F67" s="105">
        <v>45896</v>
      </c>
      <c r="G67" s="106">
        <v>0.375</v>
      </c>
      <c r="H67" s="105">
        <v>45890</v>
      </c>
      <c r="I67" s="106">
        <v>0.85416666666666663</v>
      </c>
      <c r="J67" s="107">
        <f>E67-L67</f>
        <v>15</v>
      </c>
      <c r="K67" s="104">
        <v>1</v>
      </c>
      <c r="L67" s="107">
        <v>45</v>
      </c>
      <c r="M67" s="107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9" t="s">
        <v>107</v>
      </c>
      <c r="B68" s="105" t="s">
        <v>39</v>
      </c>
      <c r="C68" s="105" t="s">
        <v>40</v>
      </c>
      <c r="D68" s="49">
        <v>1</v>
      </c>
      <c r="E68" s="49">
        <v>60</v>
      </c>
      <c r="F68" s="105">
        <v>45896</v>
      </c>
      <c r="G68" s="106">
        <v>0.375</v>
      </c>
      <c r="H68" s="105">
        <v>45890</v>
      </c>
      <c r="I68" s="106">
        <v>0.85416666666666663</v>
      </c>
      <c r="J68" s="107">
        <f t="shared" si="0"/>
        <v>15</v>
      </c>
      <c r="K68" s="104">
        <v>1</v>
      </c>
      <c r="L68" s="107">
        <v>45</v>
      </c>
      <c r="M68" s="107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104" t="s">
        <v>109</v>
      </c>
      <c r="B69" s="105" t="s">
        <v>30</v>
      </c>
      <c r="C69" s="105" t="s">
        <v>31</v>
      </c>
      <c r="D69" s="49">
        <v>1</v>
      </c>
      <c r="E69" s="49">
        <v>30</v>
      </c>
      <c r="F69" s="105">
        <v>45896</v>
      </c>
      <c r="G69" s="106">
        <v>0.375</v>
      </c>
      <c r="H69" s="105">
        <v>45890</v>
      </c>
      <c r="I69" s="106">
        <v>0.875</v>
      </c>
      <c r="J69" s="107">
        <f>E69-L69</f>
        <v>10</v>
      </c>
      <c r="K69" s="104">
        <v>1</v>
      </c>
      <c r="L69" s="107">
        <v>20</v>
      </c>
      <c r="M69" s="107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104" t="s">
        <v>109</v>
      </c>
      <c r="B70" s="105" t="s">
        <v>39</v>
      </c>
      <c r="C70" s="105" t="s">
        <v>40</v>
      </c>
      <c r="D70" s="49">
        <v>1</v>
      </c>
      <c r="E70" s="49">
        <v>30</v>
      </c>
      <c r="F70" s="105">
        <v>45896</v>
      </c>
      <c r="G70" s="106">
        <v>0.375</v>
      </c>
      <c r="H70" s="105">
        <v>45890</v>
      </c>
      <c r="I70" s="106">
        <v>0.875</v>
      </c>
      <c r="J70" s="107">
        <f t="shared" si="0"/>
        <v>10</v>
      </c>
      <c r="K70" s="104">
        <v>1</v>
      </c>
      <c r="L70" s="107">
        <v>20</v>
      </c>
      <c r="M70" s="107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104" t="s">
        <v>111</v>
      </c>
      <c r="B71" s="105" t="s">
        <v>39</v>
      </c>
      <c r="C71" s="105" t="s">
        <v>142</v>
      </c>
      <c r="D71" s="49">
        <v>1</v>
      </c>
      <c r="E71" s="49">
        <v>30</v>
      </c>
      <c r="F71" s="105">
        <v>45896</v>
      </c>
      <c r="G71" s="106">
        <v>0.375</v>
      </c>
      <c r="H71" s="105">
        <v>45890</v>
      </c>
      <c r="I71" s="106">
        <v>0.89583333333333337</v>
      </c>
      <c r="J71" s="107">
        <f t="shared" si="0"/>
        <v>0</v>
      </c>
      <c r="K71" s="104">
        <v>1</v>
      </c>
      <c r="L71" s="107">
        <v>30</v>
      </c>
      <c r="M71" s="107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104" t="s">
        <v>111</v>
      </c>
      <c r="B72" s="105" t="s">
        <v>30</v>
      </c>
      <c r="C72" s="105" t="s">
        <v>31</v>
      </c>
      <c r="D72" s="49">
        <v>1</v>
      </c>
      <c r="E72" s="49">
        <v>30</v>
      </c>
      <c r="F72" s="105">
        <v>45896</v>
      </c>
      <c r="G72" s="106">
        <v>0.375</v>
      </c>
      <c r="H72" s="105">
        <v>45890</v>
      </c>
      <c r="I72" s="106">
        <v>0.89583333333333337</v>
      </c>
      <c r="J72" s="107">
        <f t="shared" ref="J72:J135" si="1">E72-L72</f>
        <v>0</v>
      </c>
      <c r="K72" s="104">
        <v>1</v>
      </c>
      <c r="L72" s="107">
        <v>30</v>
      </c>
      <c r="M72" s="107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49" t="s">
        <v>113</v>
      </c>
      <c r="B73" s="105" t="s">
        <v>30</v>
      </c>
      <c r="C73" s="105" t="s">
        <v>31</v>
      </c>
      <c r="D73" s="49">
        <v>1</v>
      </c>
      <c r="E73" s="49">
        <v>30</v>
      </c>
      <c r="F73" s="105">
        <v>45896</v>
      </c>
      <c r="G73" s="106">
        <v>0.375</v>
      </c>
      <c r="H73" s="105">
        <v>45890</v>
      </c>
      <c r="I73" s="106">
        <v>0.91666666666666663</v>
      </c>
      <c r="J73" s="107">
        <f t="shared" si="1"/>
        <v>-2</v>
      </c>
      <c r="K73" s="104">
        <v>1</v>
      </c>
      <c r="L73" s="107">
        <v>32</v>
      </c>
      <c r="M73" s="107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49" t="s">
        <v>113</v>
      </c>
      <c r="B74" s="105" t="s">
        <v>39</v>
      </c>
      <c r="C74" s="105" t="s">
        <v>40</v>
      </c>
      <c r="D74" s="49">
        <v>1</v>
      </c>
      <c r="E74" s="49">
        <v>30</v>
      </c>
      <c r="F74" s="105">
        <v>45896</v>
      </c>
      <c r="G74" s="106">
        <v>0.375</v>
      </c>
      <c r="H74" s="105">
        <v>45890</v>
      </c>
      <c r="I74" s="106">
        <v>0.91666666666666663</v>
      </c>
      <c r="J74" s="107">
        <f t="shared" si="1"/>
        <v>-2</v>
      </c>
      <c r="K74" s="104">
        <v>1</v>
      </c>
      <c r="L74" s="107">
        <v>32</v>
      </c>
      <c r="M74" s="107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49" t="s">
        <v>115</v>
      </c>
      <c r="B75" s="105" t="s">
        <v>36</v>
      </c>
      <c r="C75" s="105" t="s">
        <v>37</v>
      </c>
      <c r="D75" s="49">
        <v>1</v>
      </c>
      <c r="E75" s="49">
        <v>20</v>
      </c>
      <c r="F75" s="105">
        <v>45896</v>
      </c>
      <c r="G75" s="106">
        <v>0.375</v>
      </c>
      <c r="H75" s="105">
        <v>45890</v>
      </c>
      <c r="I75" s="106">
        <v>0.80555555555555558</v>
      </c>
      <c r="J75" s="107">
        <f t="shared" si="1"/>
        <v>0</v>
      </c>
      <c r="K75" s="104">
        <v>1</v>
      </c>
      <c r="L75" s="107">
        <v>20</v>
      </c>
      <c r="M75" s="107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49" t="s">
        <v>115</v>
      </c>
      <c r="B76" s="105" t="s">
        <v>42</v>
      </c>
      <c r="C76" s="105" t="s">
        <v>43</v>
      </c>
      <c r="D76" s="49">
        <v>1</v>
      </c>
      <c r="E76" s="49">
        <v>20</v>
      </c>
      <c r="F76" s="105">
        <v>45896</v>
      </c>
      <c r="G76" s="106">
        <v>0.375</v>
      </c>
      <c r="H76" s="105">
        <v>45890</v>
      </c>
      <c r="I76" s="106">
        <v>0.80555555555555558</v>
      </c>
      <c r="J76" s="107">
        <f t="shared" si="1"/>
        <v>0</v>
      </c>
      <c r="K76" s="104">
        <v>1</v>
      </c>
      <c r="L76" s="107">
        <v>20</v>
      </c>
      <c r="M76" s="107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49" t="s">
        <v>117</v>
      </c>
      <c r="B77" s="105" t="s">
        <v>36</v>
      </c>
      <c r="C77" s="105" t="s">
        <v>37</v>
      </c>
      <c r="D77" s="49">
        <v>1</v>
      </c>
      <c r="E77" s="49">
        <v>20</v>
      </c>
      <c r="F77" s="105">
        <v>45896</v>
      </c>
      <c r="G77" s="106">
        <v>0.375</v>
      </c>
      <c r="H77" s="105">
        <v>45890</v>
      </c>
      <c r="I77" s="106">
        <v>0.81944444444444442</v>
      </c>
      <c r="J77" s="107">
        <f t="shared" si="1"/>
        <v>0</v>
      </c>
      <c r="K77" s="104">
        <v>1</v>
      </c>
      <c r="L77" s="107">
        <v>20</v>
      </c>
      <c r="M77" s="107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49" t="s">
        <v>117</v>
      </c>
      <c r="B78" s="105" t="s">
        <v>42</v>
      </c>
      <c r="C78" s="105" t="s">
        <v>43</v>
      </c>
      <c r="D78" s="49">
        <v>1</v>
      </c>
      <c r="E78" s="49">
        <v>20</v>
      </c>
      <c r="F78" s="105">
        <v>45896</v>
      </c>
      <c r="G78" s="106">
        <v>0.375</v>
      </c>
      <c r="H78" s="105">
        <v>45890</v>
      </c>
      <c r="I78" s="106">
        <v>0.81944444444444442</v>
      </c>
      <c r="J78" s="107">
        <f t="shared" si="1"/>
        <v>0</v>
      </c>
      <c r="K78" s="104">
        <v>1</v>
      </c>
      <c r="L78" s="107">
        <v>20</v>
      </c>
      <c r="M78" s="107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49" t="s">
        <v>119</v>
      </c>
      <c r="B79" s="105" t="s">
        <v>36</v>
      </c>
      <c r="C79" s="105" t="s">
        <v>37</v>
      </c>
      <c r="D79" s="49">
        <v>1</v>
      </c>
      <c r="E79" s="49">
        <v>20</v>
      </c>
      <c r="F79" s="105">
        <v>45896</v>
      </c>
      <c r="G79" s="106">
        <v>0.375</v>
      </c>
      <c r="H79" s="105">
        <v>45890</v>
      </c>
      <c r="I79" s="106">
        <v>0.83333333333333337</v>
      </c>
      <c r="J79" s="107">
        <f>E79-L79</f>
        <v>0</v>
      </c>
      <c r="K79" s="104">
        <v>1</v>
      </c>
      <c r="L79" s="107">
        <v>20</v>
      </c>
      <c r="M79" s="107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49" t="s">
        <v>119</v>
      </c>
      <c r="B80" s="105" t="s">
        <v>42</v>
      </c>
      <c r="C80" s="105" t="s">
        <v>43</v>
      </c>
      <c r="D80" s="49">
        <v>1</v>
      </c>
      <c r="E80" s="49">
        <v>20</v>
      </c>
      <c r="F80" s="105">
        <v>45896</v>
      </c>
      <c r="G80" s="106">
        <v>0.375</v>
      </c>
      <c r="H80" s="105">
        <v>45890</v>
      </c>
      <c r="I80" s="106">
        <v>0.83333333333333337</v>
      </c>
      <c r="J80" s="107">
        <f t="shared" si="1"/>
        <v>0</v>
      </c>
      <c r="K80" s="104">
        <v>1</v>
      </c>
      <c r="L80" s="107">
        <v>20</v>
      </c>
      <c r="M80" s="107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49" t="s">
        <v>121</v>
      </c>
      <c r="B81" s="105" t="s">
        <v>36</v>
      </c>
      <c r="C81" s="105" t="s">
        <v>37</v>
      </c>
      <c r="D81" s="49">
        <v>1</v>
      </c>
      <c r="E81" s="49">
        <v>20</v>
      </c>
      <c r="F81" s="105">
        <v>45896</v>
      </c>
      <c r="G81" s="106">
        <v>0.375</v>
      </c>
      <c r="H81" s="105">
        <v>45890</v>
      </c>
      <c r="I81" s="106">
        <v>0.84722222222222221</v>
      </c>
      <c r="J81" s="107">
        <f>E81-L81</f>
        <v>2</v>
      </c>
      <c r="K81" s="104">
        <v>1</v>
      </c>
      <c r="L81" s="107">
        <v>18</v>
      </c>
      <c r="M81" s="107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49" t="s">
        <v>121</v>
      </c>
      <c r="B82" s="105" t="s">
        <v>42</v>
      </c>
      <c r="C82" s="105" t="s">
        <v>43</v>
      </c>
      <c r="D82" s="49">
        <v>1</v>
      </c>
      <c r="E82" s="49">
        <v>20</v>
      </c>
      <c r="F82" s="105">
        <v>45896</v>
      </c>
      <c r="G82" s="106">
        <v>0.375</v>
      </c>
      <c r="H82" s="105">
        <v>45890</v>
      </c>
      <c r="I82" s="106">
        <v>0.84722222222222221</v>
      </c>
      <c r="J82" s="107">
        <f t="shared" si="1"/>
        <v>2</v>
      </c>
      <c r="K82" s="104">
        <v>1</v>
      </c>
      <c r="L82" s="107">
        <v>18</v>
      </c>
      <c r="M82" s="107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05" t="s">
        <v>36</v>
      </c>
      <c r="C83" s="105" t="s">
        <v>37</v>
      </c>
      <c r="D83" s="49">
        <v>1</v>
      </c>
      <c r="E83" s="49">
        <v>20</v>
      </c>
      <c r="F83" s="105">
        <v>45896</v>
      </c>
      <c r="G83" s="106">
        <v>0.375</v>
      </c>
      <c r="H83" s="105">
        <v>45890</v>
      </c>
      <c r="I83" s="106">
        <v>0.86111111111111116</v>
      </c>
      <c r="J83" s="107">
        <f>E83-L83</f>
        <v>0</v>
      </c>
      <c r="K83" s="104">
        <v>1</v>
      </c>
      <c r="L83" s="107">
        <v>20</v>
      </c>
      <c r="M83" s="49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05" t="s">
        <v>143</v>
      </c>
      <c r="C84" s="105" t="s">
        <v>43</v>
      </c>
      <c r="D84" s="49">
        <v>1</v>
      </c>
      <c r="E84" s="49">
        <v>20</v>
      </c>
      <c r="F84" s="105">
        <v>45896</v>
      </c>
      <c r="G84" s="106">
        <v>0.375</v>
      </c>
      <c r="H84" s="105">
        <v>45890</v>
      </c>
      <c r="I84" s="106">
        <v>0.86111111111111116</v>
      </c>
      <c r="J84" s="107">
        <f t="shared" si="1"/>
        <v>0</v>
      </c>
      <c r="K84" s="104">
        <v>1</v>
      </c>
      <c r="L84" s="107">
        <v>20</v>
      </c>
      <c r="M84" s="49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49" t="s">
        <v>125</v>
      </c>
      <c r="B85" s="105" t="s">
        <v>36</v>
      </c>
      <c r="C85" s="105" t="s">
        <v>37</v>
      </c>
      <c r="D85" s="49">
        <v>1</v>
      </c>
      <c r="E85" s="49">
        <v>20</v>
      </c>
      <c r="F85" s="105">
        <v>45896</v>
      </c>
      <c r="G85" s="106">
        <v>0.375</v>
      </c>
      <c r="H85" s="105">
        <v>45890</v>
      </c>
      <c r="I85" s="106">
        <v>0.875</v>
      </c>
      <c r="J85" s="107">
        <f>E85-L85</f>
        <v>-1</v>
      </c>
      <c r="K85" s="104">
        <v>1</v>
      </c>
      <c r="L85" s="107">
        <v>21</v>
      </c>
      <c r="M85" s="107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49" t="s">
        <v>125</v>
      </c>
      <c r="B86" s="105" t="s">
        <v>42</v>
      </c>
      <c r="C86" s="105" t="s">
        <v>43</v>
      </c>
      <c r="D86" s="49">
        <v>1</v>
      </c>
      <c r="E86" s="49">
        <v>20</v>
      </c>
      <c r="F86" s="105">
        <v>45896</v>
      </c>
      <c r="G86" s="106">
        <v>0.375</v>
      </c>
      <c r="H86" s="105">
        <v>45890</v>
      </c>
      <c r="I86" s="106">
        <v>0.875</v>
      </c>
      <c r="J86" s="107">
        <f t="shared" si="1"/>
        <v>-1</v>
      </c>
      <c r="K86" s="104">
        <v>1</v>
      </c>
      <c r="L86" s="107">
        <v>21</v>
      </c>
      <c r="M86" s="107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122" t="s">
        <v>127</v>
      </c>
      <c r="B87" s="105" t="s">
        <v>36</v>
      </c>
      <c r="C87" s="105" t="s">
        <v>37</v>
      </c>
      <c r="D87" s="49">
        <v>1</v>
      </c>
      <c r="E87" s="49">
        <v>30</v>
      </c>
      <c r="F87" s="105">
        <v>45896</v>
      </c>
      <c r="G87" s="106">
        <v>0.375</v>
      </c>
      <c r="H87" s="105">
        <v>45890</v>
      </c>
      <c r="I87" s="106">
        <v>0.89583333333333337</v>
      </c>
      <c r="J87" s="107">
        <f>E87-L87</f>
        <v>5</v>
      </c>
      <c r="K87" s="104">
        <v>1</v>
      </c>
      <c r="L87" s="107">
        <v>25</v>
      </c>
      <c r="M87" s="107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s="127" t="s">
        <v>127</v>
      </c>
      <c r="B88" s="105" t="s">
        <v>42</v>
      </c>
      <c r="C88" s="105" t="s">
        <v>43</v>
      </c>
      <c r="D88" s="49">
        <v>1</v>
      </c>
      <c r="E88" s="49">
        <v>30</v>
      </c>
      <c r="F88" s="105">
        <v>45896</v>
      </c>
      <c r="G88" s="106">
        <v>0.375</v>
      </c>
      <c r="H88" s="105">
        <v>45890</v>
      </c>
      <c r="I88" s="106">
        <v>0.89583333333333337</v>
      </c>
      <c r="J88" s="107">
        <f t="shared" si="1"/>
        <v>5</v>
      </c>
      <c r="K88" s="104">
        <v>1</v>
      </c>
      <c r="L88" s="107">
        <v>25</v>
      </c>
      <c r="M88" s="107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49" t="s">
        <v>129</v>
      </c>
      <c r="B89" s="105" t="s">
        <v>36</v>
      </c>
      <c r="C89" s="105" t="s">
        <v>37</v>
      </c>
      <c r="D89" s="49">
        <v>1</v>
      </c>
      <c r="E89" s="49">
        <v>30</v>
      </c>
      <c r="F89" s="105">
        <v>45896</v>
      </c>
      <c r="G89" s="106">
        <v>0.375</v>
      </c>
      <c r="H89" s="105">
        <v>45890</v>
      </c>
      <c r="I89" s="106">
        <v>0.91666666666666663</v>
      </c>
      <c r="J89" s="107">
        <f>E89-L89</f>
        <v>10</v>
      </c>
      <c r="K89" s="104">
        <v>1</v>
      </c>
      <c r="L89" s="107">
        <v>20</v>
      </c>
      <c r="M89" s="107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49" t="s">
        <v>129</v>
      </c>
      <c r="B90" s="105" t="s">
        <v>42</v>
      </c>
      <c r="C90" s="105" t="s">
        <v>43</v>
      </c>
      <c r="D90" s="49">
        <v>1</v>
      </c>
      <c r="E90" s="49">
        <v>30</v>
      </c>
      <c r="F90" s="105">
        <v>45896</v>
      </c>
      <c r="G90" s="106">
        <v>0.375</v>
      </c>
      <c r="H90" s="105">
        <v>45890</v>
      </c>
      <c r="I90" s="106">
        <v>0.91666666666666663</v>
      </c>
      <c r="J90" s="107">
        <f t="shared" si="1"/>
        <v>10</v>
      </c>
      <c r="K90" s="104">
        <v>1</v>
      </c>
      <c r="L90" s="107">
        <v>20</v>
      </c>
      <c r="M90" s="107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104" t="s">
        <v>146</v>
      </c>
      <c r="B91" s="105" t="s">
        <v>30</v>
      </c>
      <c r="C91" s="105" t="s">
        <v>83</v>
      </c>
      <c r="D91" s="103">
        <v>1</v>
      </c>
      <c r="E91" s="49">
        <v>60</v>
      </c>
      <c r="F91" s="105">
        <v>45896</v>
      </c>
      <c r="G91" s="106">
        <v>0.375</v>
      </c>
      <c r="H91" s="105">
        <v>45890</v>
      </c>
      <c r="I91" s="106">
        <v>0.91666666666666663</v>
      </c>
      <c r="J91" s="107">
        <f>E91-L91</f>
        <v>50</v>
      </c>
      <c r="K91" s="104">
        <v>1</v>
      </c>
      <c r="L91" s="107">
        <v>10</v>
      </c>
      <c r="M91" s="107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104" t="s">
        <v>146</v>
      </c>
      <c r="B92" s="105" t="s">
        <v>42</v>
      </c>
      <c r="C92" s="105" t="s">
        <v>77</v>
      </c>
      <c r="D92" s="103">
        <v>1</v>
      </c>
      <c r="E92" s="49">
        <v>60</v>
      </c>
      <c r="F92" s="105">
        <v>45896</v>
      </c>
      <c r="G92" s="106">
        <v>0.375</v>
      </c>
      <c r="H92" s="105">
        <v>45890</v>
      </c>
      <c r="I92" s="106">
        <v>0.91666666666666663</v>
      </c>
      <c r="J92" s="107">
        <f>E92-L92</f>
        <v>50</v>
      </c>
      <c r="K92" s="104">
        <v>1</v>
      </c>
      <c r="L92" s="107">
        <v>10</v>
      </c>
      <c r="M92" s="107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104" t="s">
        <v>146</v>
      </c>
      <c r="B93" s="105" t="s">
        <v>21</v>
      </c>
      <c r="C93" s="105" t="s">
        <v>86</v>
      </c>
      <c r="D93" s="103">
        <v>1</v>
      </c>
      <c r="E93" s="49">
        <v>60</v>
      </c>
      <c r="F93" s="105">
        <v>45896</v>
      </c>
      <c r="G93" s="106">
        <v>0.375</v>
      </c>
      <c r="H93" s="105">
        <v>45890</v>
      </c>
      <c r="I93" s="106">
        <v>0.91666666666666663</v>
      </c>
      <c r="J93" s="107">
        <f>E93-L93</f>
        <v>50</v>
      </c>
      <c r="K93" s="104">
        <v>1</v>
      </c>
      <c r="L93" s="107">
        <v>10</v>
      </c>
      <c r="M93" s="107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104" t="s">
        <v>146</v>
      </c>
      <c r="B94" s="105" t="s">
        <v>136</v>
      </c>
      <c r="C94" s="105" t="s">
        <v>151</v>
      </c>
      <c r="D94" s="103">
        <v>1</v>
      </c>
      <c r="E94" s="49">
        <v>60</v>
      </c>
      <c r="F94" s="105">
        <v>45896</v>
      </c>
      <c r="G94" s="106">
        <v>0.375</v>
      </c>
      <c r="H94" s="105">
        <v>45890</v>
      </c>
      <c r="I94" s="106">
        <v>0.91666666666666663</v>
      </c>
      <c r="J94" s="107">
        <f>E94-L94</f>
        <v>50</v>
      </c>
      <c r="K94" s="104">
        <v>1</v>
      </c>
      <c r="L94" s="107">
        <v>10</v>
      </c>
      <c r="M94" s="107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104" t="s">
        <v>146</v>
      </c>
      <c r="B95" s="105" t="s">
        <v>36</v>
      </c>
      <c r="C95" s="105" t="s">
        <v>80</v>
      </c>
      <c r="D95" s="103">
        <v>1</v>
      </c>
      <c r="E95" s="49">
        <v>60</v>
      </c>
      <c r="F95" s="105">
        <v>45882</v>
      </c>
      <c r="G95" s="106">
        <v>0.375</v>
      </c>
      <c r="H95" s="105">
        <v>45890</v>
      </c>
      <c r="I95" s="106">
        <v>0.91666666666666663</v>
      </c>
      <c r="J95" s="107">
        <f>E95-L95</f>
        <v>50</v>
      </c>
      <c r="K95" s="104">
        <v>1</v>
      </c>
      <c r="L95" s="107">
        <v>10</v>
      </c>
      <c r="M95" s="107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104" t="s">
        <v>146</v>
      </c>
      <c r="B96" s="105" t="s">
        <v>39</v>
      </c>
      <c r="C96" s="105" t="s">
        <v>150</v>
      </c>
      <c r="D96" s="103">
        <v>1</v>
      </c>
      <c r="E96" s="49">
        <v>60</v>
      </c>
      <c r="F96" s="105">
        <v>45896</v>
      </c>
      <c r="G96" s="106">
        <v>0.375</v>
      </c>
      <c r="H96" s="105">
        <v>45890</v>
      </c>
      <c r="I96" s="106">
        <v>0.91666666666666663</v>
      </c>
      <c r="J96" s="107">
        <f t="shared" si="1"/>
        <v>50</v>
      </c>
      <c r="K96" s="104">
        <v>1</v>
      </c>
      <c r="L96" s="107">
        <v>10</v>
      </c>
      <c r="M96" s="107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104" t="s">
        <v>52</v>
      </c>
      <c r="B97" s="105" t="s">
        <v>21</v>
      </c>
      <c r="C97" s="105" t="s">
        <v>22</v>
      </c>
      <c r="D97" s="103">
        <v>1</v>
      </c>
      <c r="E97" s="49">
        <v>30</v>
      </c>
      <c r="F97" s="105">
        <v>45896</v>
      </c>
      <c r="G97" s="106">
        <v>0.375</v>
      </c>
      <c r="H97" s="105">
        <v>45890</v>
      </c>
      <c r="I97" s="106">
        <v>0.91666666666666663</v>
      </c>
      <c r="J97" s="107">
        <f t="shared" si="1"/>
        <v>0</v>
      </c>
      <c r="K97" s="104">
        <v>1</v>
      </c>
      <c r="L97" s="107">
        <v>30</v>
      </c>
      <c r="M97" s="107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104" t="s">
        <v>153</v>
      </c>
      <c r="B98" s="105" t="s">
        <v>36</v>
      </c>
      <c r="C98" s="105" t="s">
        <v>37</v>
      </c>
      <c r="D98" s="103">
        <v>1</v>
      </c>
      <c r="E98" s="117">
        <v>30</v>
      </c>
      <c r="F98" s="105">
        <v>45896</v>
      </c>
      <c r="G98" s="106">
        <v>0.375</v>
      </c>
      <c r="H98" s="105">
        <v>45890</v>
      </c>
      <c r="I98" s="106">
        <v>0.91666666666666663</v>
      </c>
      <c r="J98" s="107">
        <f t="shared" si="1"/>
        <v>0</v>
      </c>
      <c r="K98" s="104">
        <v>1</v>
      </c>
      <c r="L98" s="107">
        <v>30</v>
      </c>
      <c r="M98" s="107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104" t="s">
        <v>79</v>
      </c>
      <c r="B99" s="105" t="s">
        <v>36</v>
      </c>
      <c r="C99" s="105" t="s">
        <v>80</v>
      </c>
      <c r="D99" s="103">
        <v>1</v>
      </c>
      <c r="E99" s="49">
        <v>45</v>
      </c>
      <c r="F99" s="105">
        <v>45896</v>
      </c>
      <c r="G99" s="106">
        <v>0.375</v>
      </c>
      <c r="H99" s="105">
        <v>45890</v>
      </c>
      <c r="I99" s="106">
        <v>0.9375</v>
      </c>
      <c r="J99" s="107">
        <f t="shared" si="1"/>
        <v>-35</v>
      </c>
      <c r="K99" s="104">
        <v>1</v>
      </c>
      <c r="L99" s="107">
        <v>80</v>
      </c>
      <c r="M99" s="107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104" t="s">
        <v>85</v>
      </c>
      <c r="B100" s="105" t="s">
        <v>21</v>
      </c>
      <c r="C100" s="105" t="s">
        <v>86</v>
      </c>
      <c r="D100" s="103">
        <v>1</v>
      </c>
      <c r="E100" s="49">
        <v>60</v>
      </c>
      <c r="F100" s="105">
        <v>45896</v>
      </c>
      <c r="G100" s="106">
        <v>0.375</v>
      </c>
      <c r="H100" s="105">
        <v>45890</v>
      </c>
      <c r="I100" s="106">
        <v>0.9375</v>
      </c>
      <c r="J100" s="107">
        <f t="shared" si="1"/>
        <v>10</v>
      </c>
      <c r="K100" s="104">
        <v>1</v>
      </c>
      <c r="L100" s="107">
        <v>50</v>
      </c>
      <c r="M100" s="107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104" t="s">
        <v>88</v>
      </c>
      <c r="B101" s="105" t="s">
        <v>21</v>
      </c>
      <c r="C101" s="105" t="s">
        <v>86</v>
      </c>
      <c r="D101" s="103">
        <v>1</v>
      </c>
      <c r="E101" s="49">
        <v>55</v>
      </c>
      <c r="F101" s="105">
        <v>45896</v>
      </c>
      <c r="G101" s="106">
        <v>0.375</v>
      </c>
      <c r="H101" s="105">
        <v>45890</v>
      </c>
      <c r="I101" s="106">
        <v>0.9375</v>
      </c>
      <c r="J101" s="107">
        <f t="shared" si="1"/>
        <v>0</v>
      </c>
      <c r="K101" s="104">
        <v>1</v>
      </c>
      <c r="L101" s="107">
        <v>55</v>
      </c>
      <c r="M101" s="107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49" t="s">
        <v>131</v>
      </c>
      <c r="B102" s="105" t="s">
        <v>36</v>
      </c>
      <c r="C102" s="105" t="s">
        <v>37</v>
      </c>
      <c r="D102" s="49">
        <v>1</v>
      </c>
      <c r="E102" s="49">
        <v>30</v>
      </c>
      <c r="F102" s="105">
        <v>45896</v>
      </c>
      <c r="G102" s="106">
        <v>0.375</v>
      </c>
      <c r="H102" s="105">
        <v>45894</v>
      </c>
      <c r="I102" s="106">
        <v>0.9375</v>
      </c>
      <c r="J102" s="107">
        <f>E102-L102</f>
        <v>-2</v>
      </c>
      <c r="K102" s="104">
        <v>1</v>
      </c>
      <c r="L102" s="107">
        <v>32</v>
      </c>
      <c r="M102" s="107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49" t="s">
        <v>131</v>
      </c>
      <c r="B103" s="105" t="s">
        <v>42</v>
      </c>
      <c r="C103" s="105" t="s">
        <v>43</v>
      </c>
      <c r="D103" s="49">
        <v>1</v>
      </c>
      <c r="E103" s="49">
        <v>30</v>
      </c>
      <c r="F103" s="105">
        <v>45896</v>
      </c>
      <c r="G103" s="106">
        <v>0.375</v>
      </c>
      <c r="H103" s="105">
        <v>45894</v>
      </c>
      <c r="I103" s="106">
        <v>0.9375</v>
      </c>
      <c r="J103" s="107">
        <f>E103-L103</f>
        <v>-2</v>
      </c>
      <c r="K103" s="104">
        <v>1</v>
      </c>
      <c r="L103" s="107">
        <v>32</v>
      </c>
      <c r="M103" s="107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49" t="s">
        <v>131</v>
      </c>
      <c r="B104" s="105" t="s">
        <v>30</v>
      </c>
      <c r="C104" s="105" t="s">
        <v>31</v>
      </c>
      <c r="D104" s="49">
        <v>1</v>
      </c>
      <c r="E104" s="49">
        <v>30</v>
      </c>
      <c r="F104" s="105">
        <v>45896</v>
      </c>
      <c r="G104" s="106">
        <v>0.375</v>
      </c>
      <c r="H104" s="105">
        <v>45894</v>
      </c>
      <c r="I104" s="106">
        <v>0.9375</v>
      </c>
      <c r="J104" s="107">
        <f>E104-L104</f>
        <v>-2</v>
      </c>
      <c r="K104" s="104">
        <v>1</v>
      </c>
      <c r="L104" s="107">
        <v>32</v>
      </c>
      <c r="M104" s="107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9" t="s">
        <v>131</v>
      </c>
      <c r="B105" s="105" t="s">
        <v>21</v>
      </c>
      <c r="C105" s="105" t="s">
        <v>22</v>
      </c>
      <c r="D105" s="49">
        <v>1</v>
      </c>
      <c r="E105" s="49">
        <v>30</v>
      </c>
      <c r="F105" s="105">
        <v>45896</v>
      </c>
      <c r="G105" s="106">
        <v>0.375</v>
      </c>
      <c r="H105" s="105">
        <v>45894</v>
      </c>
      <c r="I105" s="106">
        <v>0.9375</v>
      </c>
      <c r="J105" s="107">
        <f>E105-L105</f>
        <v>-2</v>
      </c>
      <c r="K105" s="104">
        <v>1</v>
      </c>
      <c r="L105" s="107">
        <v>32</v>
      </c>
      <c r="M105" s="107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49" t="s">
        <v>131</v>
      </c>
      <c r="B106" s="105" t="s">
        <v>136</v>
      </c>
      <c r="C106" s="105" t="s">
        <v>34</v>
      </c>
      <c r="D106" s="49">
        <v>1</v>
      </c>
      <c r="E106" s="49">
        <v>30</v>
      </c>
      <c r="F106" s="105">
        <v>45896</v>
      </c>
      <c r="G106" s="106">
        <v>0.375</v>
      </c>
      <c r="H106" s="105">
        <v>45894</v>
      </c>
      <c r="I106" s="106">
        <v>0.9375</v>
      </c>
      <c r="J106" s="107">
        <f>E106-L106</f>
        <v>-2</v>
      </c>
      <c r="K106" s="104">
        <v>1</v>
      </c>
      <c r="L106" s="107">
        <v>32</v>
      </c>
      <c r="M106" s="107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49" t="s">
        <v>131</v>
      </c>
      <c r="B107" s="105" t="s">
        <v>39</v>
      </c>
      <c r="C107" s="105" t="s">
        <v>40</v>
      </c>
      <c r="D107" s="49">
        <v>1</v>
      </c>
      <c r="E107" s="49">
        <v>30</v>
      </c>
      <c r="F107" s="105">
        <v>45896</v>
      </c>
      <c r="G107" s="106">
        <v>0.375</v>
      </c>
      <c r="H107" s="105">
        <v>45894</v>
      </c>
      <c r="I107" s="106">
        <v>0.9375</v>
      </c>
      <c r="J107" s="107">
        <f t="shared" si="1"/>
        <v>-2</v>
      </c>
      <c r="K107" s="104">
        <v>1</v>
      </c>
      <c r="L107" s="107">
        <v>32</v>
      </c>
      <c r="M107" s="107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49" t="s">
        <v>133</v>
      </c>
      <c r="B108" s="105" t="s">
        <v>21</v>
      </c>
      <c r="C108" s="105" t="s">
        <v>22</v>
      </c>
      <c r="D108" s="49">
        <v>3</v>
      </c>
      <c r="E108" s="49">
        <v>20</v>
      </c>
      <c r="F108" s="105">
        <v>45896</v>
      </c>
      <c r="G108" s="106">
        <v>0.375</v>
      </c>
      <c r="H108" s="105">
        <v>45895</v>
      </c>
      <c r="I108" s="106">
        <v>0.58333333333333337</v>
      </c>
      <c r="J108" s="107">
        <f t="shared" si="1"/>
        <v>5</v>
      </c>
      <c r="K108" s="104">
        <v>3</v>
      </c>
      <c r="L108" s="107">
        <v>15</v>
      </c>
      <c r="M108" s="107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136" t="s">
        <v>154</v>
      </c>
      <c r="B109" s="105" t="s">
        <v>30</v>
      </c>
      <c r="C109" s="105" t="s">
        <v>31</v>
      </c>
      <c r="D109" s="49">
        <v>2</v>
      </c>
      <c r="E109" s="49">
        <v>50</v>
      </c>
      <c r="F109" s="105">
        <v>45903</v>
      </c>
      <c r="G109" s="106">
        <v>0.375</v>
      </c>
      <c r="H109" s="105">
        <v>45902</v>
      </c>
      <c r="I109" s="106">
        <v>0.16666666666666666</v>
      </c>
      <c r="J109" s="107">
        <f t="shared" si="1"/>
        <v>0</v>
      </c>
      <c r="K109" s="104">
        <v>1</v>
      </c>
      <c r="L109" s="107">
        <v>50</v>
      </c>
      <c r="M109" s="49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136" t="s">
        <v>154</v>
      </c>
      <c r="B110" s="105" t="s">
        <v>39</v>
      </c>
      <c r="C110" s="105" t="s">
        <v>40</v>
      </c>
      <c r="D110" s="49">
        <v>2</v>
      </c>
      <c r="E110" s="49">
        <v>50</v>
      </c>
      <c r="F110" s="105">
        <v>45903</v>
      </c>
      <c r="G110" s="106">
        <v>0.375</v>
      </c>
      <c r="H110" s="105">
        <v>45902</v>
      </c>
      <c r="I110" s="106">
        <v>0.16666666666666666</v>
      </c>
      <c r="J110" s="107">
        <f t="shared" si="1"/>
        <v>0</v>
      </c>
      <c r="K110" s="104">
        <v>1</v>
      </c>
      <c r="L110" s="107">
        <v>50</v>
      </c>
      <c r="M110" s="49" t="s">
        <v>155</v>
      </c>
    </row>
    <row r="111" spans="1:20" ht="36.75" customHeight="1" x14ac:dyDescent="0.2">
      <c r="A111" s="136" t="s">
        <v>154</v>
      </c>
      <c r="B111" s="105" t="s">
        <v>21</v>
      </c>
      <c r="C111" s="105" t="s">
        <v>22</v>
      </c>
      <c r="D111" s="49">
        <v>2</v>
      </c>
      <c r="E111" s="49">
        <v>50</v>
      </c>
      <c r="F111" s="105">
        <v>45903</v>
      </c>
      <c r="G111" s="106">
        <v>0.375</v>
      </c>
      <c r="H111" s="105">
        <v>45902</v>
      </c>
      <c r="I111" s="106">
        <v>0.16666666666666666</v>
      </c>
      <c r="J111" s="107">
        <f t="shared" si="1"/>
        <v>0</v>
      </c>
      <c r="K111" s="104">
        <v>1</v>
      </c>
      <c r="L111" s="107">
        <v>50</v>
      </c>
      <c r="M111" s="49" t="s">
        <v>155</v>
      </c>
    </row>
    <row r="112" spans="1:20" ht="33.75" customHeight="1" x14ac:dyDescent="0.2">
      <c r="A112" s="136" t="s">
        <v>154</v>
      </c>
      <c r="B112" s="105" t="s">
        <v>136</v>
      </c>
      <c r="C112" s="105" t="s">
        <v>34</v>
      </c>
      <c r="D112" s="49">
        <v>2</v>
      </c>
      <c r="E112" s="49">
        <v>50</v>
      </c>
      <c r="F112" s="105">
        <v>45903</v>
      </c>
      <c r="G112" s="106">
        <v>0.375</v>
      </c>
      <c r="H112" s="105">
        <v>45902</v>
      </c>
      <c r="I112" s="106">
        <v>0.16666666666666666</v>
      </c>
      <c r="J112" s="107">
        <f t="shared" si="1"/>
        <v>0</v>
      </c>
      <c r="K112" s="104">
        <v>1</v>
      </c>
      <c r="L112" s="107">
        <v>50</v>
      </c>
      <c r="M112" s="49" t="s">
        <v>155</v>
      </c>
    </row>
    <row r="113" spans="1:13" ht="26.25" customHeight="1" x14ac:dyDescent="0.2">
      <c r="A113" s="136" t="s">
        <v>154</v>
      </c>
      <c r="B113" s="105" t="s">
        <v>36</v>
      </c>
      <c r="C113" s="105" t="s">
        <v>37</v>
      </c>
      <c r="D113" s="49">
        <v>2</v>
      </c>
      <c r="E113" s="49">
        <v>50</v>
      </c>
      <c r="F113" s="105">
        <v>45903</v>
      </c>
      <c r="G113" s="106">
        <v>0.375</v>
      </c>
      <c r="H113" s="105">
        <v>45902</v>
      </c>
      <c r="I113" s="106">
        <v>0.16666666666666666</v>
      </c>
      <c r="J113" s="107">
        <f t="shared" si="1"/>
        <v>0</v>
      </c>
      <c r="K113" s="104">
        <v>1</v>
      </c>
      <c r="L113" s="107">
        <v>50</v>
      </c>
      <c r="M113" s="49" t="s">
        <v>155</v>
      </c>
    </row>
    <row r="114" spans="1:13" ht="27.75" customHeight="1" x14ac:dyDescent="0.2">
      <c r="A114" s="136" t="s">
        <v>154</v>
      </c>
      <c r="B114" s="105" t="s">
        <v>42</v>
      </c>
      <c r="C114" s="105" t="s">
        <v>43</v>
      </c>
      <c r="D114" s="49">
        <v>2</v>
      </c>
      <c r="E114" s="49">
        <v>50</v>
      </c>
      <c r="F114" s="105">
        <v>45903</v>
      </c>
      <c r="G114" s="106">
        <v>0.375</v>
      </c>
      <c r="H114" s="105">
        <v>45902</v>
      </c>
      <c r="I114" s="106">
        <v>0.16666666666666666</v>
      </c>
      <c r="J114" s="107">
        <f t="shared" si="1"/>
        <v>0</v>
      </c>
      <c r="K114" s="104">
        <v>1</v>
      </c>
      <c r="L114" s="107">
        <v>50</v>
      </c>
      <c r="M114" s="49" t="s">
        <v>155</v>
      </c>
    </row>
    <row r="115" spans="1:13" ht="40.5" customHeight="1" x14ac:dyDescent="0.2">
      <c r="A115" s="104" t="s">
        <v>144</v>
      </c>
      <c r="B115" s="105" t="s">
        <v>30</v>
      </c>
      <c r="C115" s="105" t="s">
        <v>31</v>
      </c>
      <c r="D115" s="103">
        <v>1</v>
      </c>
      <c r="E115" s="104">
        <v>30</v>
      </c>
      <c r="F115" s="105">
        <v>45903</v>
      </c>
      <c r="G115" s="106">
        <v>0.375</v>
      </c>
      <c r="H115" s="105">
        <v>45899</v>
      </c>
      <c r="I115" s="106">
        <v>0.79166666666666663</v>
      </c>
      <c r="J115" s="107">
        <f t="shared" si="1"/>
        <v>0</v>
      </c>
      <c r="K115" s="104">
        <v>1</v>
      </c>
      <c r="L115" s="107">
        <v>30</v>
      </c>
      <c r="M115" s="107" t="s">
        <v>156</v>
      </c>
    </row>
    <row r="116" spans="1:13" ht="24" x14ac:dyDescent="0.2">
      <c r="A116" s="38" t="s">
        <v>123</v>
      </c>
      <c r="B116" s="105" t="s">
        <v>36</v>
      </c>
      <c r="C116" s="105" t="s">
        <v>37</v>
      </c>
      <c r="D116" s="49">
        <v>1</v>
      </c>
      <c r="E116" s="49">
        <v>20</v>
      </c>
      <c r="F116" s="105">
        <v>45903</v>
      </c>
      <c r="G116" s="106">
        <v>0.375</v>
      </c>
      <c r="H116" s="105">
        <v>45902</v>
      </c>
      <c r="I116" s="106">
        <v>0.80555555555555558</v>
      </c>
      <c r="J116" s="107">
        <f t="shared" si="1"/>
        <v>0</v>
      </c>
      <c r="K116" s="104">
        <v>1</v>
      </c>
      <c r="L116" s="107">
        <v>20</v>
      </c>
      <c r="M116" s="49" t="s">
        <v>124</v>
      </c>
    </row>
    <row r="117" spans="1:13" ht="24" x14ac:dyDescent="0.2">
      <c r="A117" s="38" t="s">
        <v>123</v>
      </c>
      <c r="B117" s="105" t="s">
        <v>143</v>
      </c>
      <c r="C117" s="105" t="s">
        <v>43</v>
      </c>
      <c r="D117" s="49">
        <v>1</v>
      </c>
      <c r="E117" s="49">
        <v>20</v>
      </c>
      <c r="F117" s="105">
        <v>45903</v>
      </c>
      <c r="G117" s="106">
        <v>0.375</v>
      </c>
      <c r="H117" s="105">
        <v>45902</v>
      </c>
      <c r="I117" s="106">
        <v>0.80555555555555558</v>
      </c>
      <c r="J117" s="107">
        <f t="shared" si="1"/>
        <v>0</v>
      </c>
      <c r="K117" s="104">
        <v>1</v>
      </c>
      <c r="L117" s="107">
        <v>20</v>
      </c>
      <c r="M117" s="49" t="s">
        <v>124</v>
      </c>
    </row>
    <row r="118" spans="1:13" ht="24" x14ac:dyDescent="0.2">
      <c r="A118" s="38" t="s">
        <v>157</v>
      </c>
      <c r="B118" s="105" t="s">
        <v>39</v>
      </c>
      <c r="C118" s="105" t="s">
        <v>40</v>
      </c>
      <c r="D118" s="49">
        <v>1</v>
      </c>
      <c r="E118" s="49">
        <v>30</v>
      </c>
      <c r="F118" s="105">
        <v>45903</v>
      </c>
      <c r="G118" s="106">
        <v>0.375</v>
      </c>
      <c r="H118" s="105">
        <v>45902</v>
      </c>
      <c r="I118" s="106">
        <v>0.8125</v>
      </c>
      <c r="J118" s="107">
        <f t="shared" si="1"/>
        <v>2</v>
      </c>
      <c r="K118" s="104">
        <v>2</v>
      </c>
      <c r="L118" s="107">
        <v>28</v>
      </c>
      <c r="M118" s="49" t="s">
        <v>158</v>
      </c>
    </row>
    <row r="119" spans="1:13" ht="38.25" x14ac:dyDescent="0.2">
      <c r="A119" s="49" t="s">
        <v>159</v>
      </c>
      <c r="B119" s="114" t="s">
        <v>21</v>
      </c>
      <c r="C119" s="114" t="s">
        <v>22</v>
      </c>
      <c r="D119" s="98">
        <v>1</v>
      </c>
      <c r="E119" s="98">
        <v>30</v>
      </c>
      <c r="F119" s="114">
        <v>45903</v>
      </c>
      <c r="G119" s="106">
        <v>0.375</v>
      </c>
      <c r="H119" s="114">
        <v>45902</v>
      </c>
      <c r="I119" s="115">
        <v>0.8125</v>
      </c>
      <c r="J119" s="98">
        <f t="shared" si="1"/>
        <v>0</v>
      </c>
      <c r="K119" s="116">
        <v>2</v>
      </c>
      <c r="L119" s="116">
        <v>30</v>
      </c>
      <c r="M119" s="133" t="s">
        <v>160</v>
      </c>
    </row>
    <row r="120" spans="1:13" ht="25.5" x14ac:dyDescent="0.2">
      <c r="A120" s="60" t="s">
        <v>162</v>
      </c>
      <c r="B120" s="128" t="s">
        <v>30</v>
      </c>
      <c r="C120" s="128" t="s">
        <v>31</v>
      </c>
      <c r="D120" s="98">
        <v>1</v>
      </c>
      <c r="E120" s="98">
        <v>30</v>
      </c>
      <c r="F120" s="114">
        <v>45903</v>
      </c>
      <c r="G120" s="106">
        <v>0.375</v>
      </c>
      <c r="H120" s="114">
        <v>45902</v>
      </c>
      <c r="I120" s="115">
        <v>0.8125</v>
      </c>
      <c r="J120" s="98">
        <f t="shared" si="1"/>
        <v>3</v>
      </c>
      <c r="K120" s="116">
        <v>1</v>
      </c>
      <c r="L120" s="116">
        <v>27</v>
      </c>
      <c r="M120" s="133" t="s">
        <v>161</v>
      </c>
    </row>
    <row r="121" spans="1:13" ht="25.5" x14ac:dyDescent="0.2">
      <c r="A121" s="60" t="s">
        <v>163</v>
      </c>
      <c r="B121" s="114" t="s">
        <v>30</v>
      </c>
      <c r="C121" s="114" t="s">
        <v>31</v>
      </c>
      <c r="D121" s="98">
        <v>1</v>
      </c>
      <c r="E121" s="98">
        <v>30</v>
      </c>
      <c r="F121" s="114">
        <v>45903</v>
      </c>
      <c r="G121" s="106">
        <v>0.375</v>
      </c>
      <c r="H121" s="114">
        <v>45902</v>
      </c>
      <c r="I121" s="115">
        <v>0.83333333333333337</v>
      </c>
      <c r="J121" s="98">
        <f t="shared" si="1"/>
        <v>2</v>
      </c>
      <c r="K121" s="116">
        <v>1</v>
      </c>
      <c r="L121" s="116">
        <v>28</v>
      </c>
      <c r="M121" s="133" t="s">
        <v>164</v>
      </c>
    </row>
    <row r="122" spans="1:13" ht="25.5" x14ac:dyDescent="0.2">
      <c r="A122" s="61" t="s">
        <v>165</v>
      </c>
      <c r="B122" s="114" t="s">
        <v>30</v>
      </c>
      <c r="C122" s="114" t="s">
        <v>31</v>
      </c>
      <c r="D122" s="98">
        <v>1</v>
      </c>
      <c r="E122" s="98">
        <v>30</v>
      </c>
      <c r="F122" s="114">
        <v>45903</v>
      </c>
      <c r="G122" s="106">
        <v>0.375</v>
      </c>
      <c r="H122" s="114">
        <v>45902</v>
      </c>
      <c r="I122" s="115">
        <v>0.85416666666666663</v>
      </c>
      <c r="J122" s="98">
        <f t="shared" si="1"/>
        <v>10</v>
      </c>
      <c r="K122" s="116">
        <v>2</v>
      </c>
      <c r="L122" s="116">
        <v>20</v>
      </c>
      <c r="M122" s="133" t="s">
        <v>166</v>
      </c>
    </row>
    <row r="123" spans="1:13" ht="25.5" x14ac:dyDescent="0.2">
      <c r="A123" s="61" t="s">
        <v>167</v>
      </c>
      <c r="B123" s="114" t="s">
        <v>42</v>
      </c>
      <c r="C123" s="114" t="s">
        <v>43</v>
      </c>
      <c r="D123" s="98">
        <v>1</v>
      </c>
      <c r="E123" s="98">
        <v>30</v>
      </c>
      <c r="F123" s="114">
        <v>45903</v>
      </c>
      <c r="G123" s="106">
        <v>0.375</v>
      </c>
      <c r="H123" s="114">
        <v>45900</v>
      </c>
      <c r="I123" s="115">
        <v>0.79166666666666663</v>
      </c>
      <c r="J123" s="98">
        <f t="shared" si="1"/>
        <v>5</v>
      </c>
      <c r="K123" s="116">
        <v>2</v>
      </c>
      <c r="L123" s="116">
        <v>25</v>
      </c>
      <c r="M123" s="133" t="s">
        <v>168</v>
      </c>
    </row>
    <row r="124" spans="1:13" ht="25.5" x14ac:dyDescent="0.2">
      <c r="A124" s="61" t="s">
        <v>169</v>
      </c>
      <c r="B124" s="114" t="s">
        <v>136</v>
      </c>
      <c r="C124" s="114" t="s">
        <v>34</v>
      </c>
      <c r="D124" s="98">
        <v>1</v>
      </c>
      <c r="E124" s="98">
        <v>30</v>
      </c>
      <c r="F124" s="114">
        <v>45903</v>
      </c>
      <c r="G124" s="106">
        <v>0.375</v>
      </c>
      <c r="H124" s="114">
        <v>45900</v>
      </c>
      <c r="I124" s="115">
        <v>0.79166666666666663</v>
      </c>
      <c r="J124" s="98">
        <f t="shared" si="1"/>
        <v>4</v>
      </c>
      <c r="K124" s="116">
        <v>1</v>
      </c>
      <c r="L124" s="116">
        <v>26</v>
      </c>
      <c r="M124" s="133" t="s">
        <v>170</v>
      </c>
    </row>
    <row r="125" spans="1:13" ht="25.5" x14ac:dyDescent="0.2">
      <c r="A125" s="114" t="s">
        <v>171</v>
      </c>
      <c r="B125" s="114" t="s">
        <v>36</v>
      </c>
      <c r="C125" s="114" t="s">
        <v>37</v>
      </c>
      <c r="D125" s="98">
        <v>1</v>
      </c>
      <c r="E125" s="98">
        <v>30</v>
      </c>
      <c r="F125" s="114">
        <v>45903</v>
      </c>
      <c r="G125" s="106">
        <v>0.375</v>
      </c>
      <c r="H125" s="114">
        <v>45899</v>
      </c>
      <c r="I125" s="115">
        <v>0.79166666666666663</v>
      </c>
      <c r="J125" s="98">
        <f t="shared" si="1"/>
        <v>0</v>
      </c>
      <c r="K125" s="116">
        <v>1</v>
      </c>
      <c r="L125" s="116">
        <v>30</v>
      </c>
      <c r="M125" s="133" t="s">
        <v>172</v>
      </c>
    </row>
    <row r="126" spans="1:13" ht="25.5" x14ac:dyDescent="0.2">
      <c r="A126" s="114" t="s">
        <v>174</v>
      </c>
      <c r="B126" s="114" t="s">
        <v>36</v>
      </c>
      <c r="C126" s="114" t="s">
        <v>37</v>
      </c>
      <c r="D126" s="98">
        <v>1</v>
      </c>
      <c r="E126" s="98">
        <v>30</v>
      </c>
      <c r="F126" s="114">
        <v>45903</v>
      </c>
      <c r="G126" s="106">
        <v>0.375</v>
      </c>
      <c r="H126" s="114">
        <v>45899</v>
      </c>
      <c r="I126" s="115">
        <v>0.8125</v>
      </c>
      <c r="J126" s="98">
        <f t="shared" si="1"/>
        <v>2</v>
      </c>
      <c r="K126" s="116">
        <v>1</v>
      </c>
      <c r="L126" s="116">
        <v>28</v>
      </c>
      <c r="M126" s="133" t="s">
        <v>173</v>
      </c>
    </row>
    <row r="127" spans="1:13" ht="25.5" x14ac:dyDescent="0.2">
      <c r="A127" s="114" t="s">
        <v>175</v>
      </c>
      <c r="B127" s="114" t="s">
        <v>36</v>
      </c>
      <c r="C127" s="114" t="s">
        <v>37</v>
      </c>
      <c r="D127" s="98">
        <v>1</v>
      </c>
      <c r="E127" s="98">
        <v>30</v>
      </c>
      <c r="F127" s="114">
        <v>45903</v>
      </c>
      <c r="G127" s="106">
        <v>0.375</v>
      </c>
      <c r="H127" s="114">
        <v>45899</v>
      </c>
      <c r="I127" s="115">
        <v>0.83333333333333337</v>
      </c>
      <c r="J127" s="98">
        <f t="shared" si="1"/>
        <v>6</v>
      </c>
      <c r="K127" s="116">
        <v>1</v>
      </c>
      <c r="L127" s="116">
        <v>24</v>
      </c>
      <c r="M127" s="133" t="s">
        <v>176</v>
      </c>
    </row>
    <row r="128" spans="1:13" ht="25.5" x14ac:dyDescent="0.2">
      <c r="A128" s="114" t="s">
        <v>177</v>
      </c>
      <c r="B128" s="114" t="s">
        <v>39</v>
      </c>
      <c r="C128" s="114" t="s">
        <v>40</v>
      </c>
      <c r="D128" s="98">
        <v>1</v>
      </c>
      <c r="E128" s="98">
        <v>30</v>
      </c>
      <c r="F128" s="114">
        <v>45903</v>
      </c>
      <c r="G128" s="106">
        <v>0.375</v>
      </c>
      <c r="H128" s="114">
        <v>45902</v>
      </c>
      <c r="I128" s="115">
        <v>0.83333333333333337</v>
      </c>
      <c r="J128" s="98">
        <f t="shared" si="1"/>
        <v>0</v>
      </c>
      <c r="K128" s="116">
        <v>1</v>
      </c>
      <c r="L128" s="116">
        <v>30</v>
      </c>
      <c r="M128" s="133" t="s">
        <v>178</v>
      </c>
    </row>
    <row r="129" spans="1:13" ht="38.25" x14ac:dyDescent="0.2">
      <c r="A129" s="61" t="s">
        <v>179</v>
      </c>
      <c r="B129" s="114" t="s">
        <v>39</v>
      </c>
      <c r="C129" s="114" t="s">
        <v>40</v>
      </c>
      <c r="D129" s="98">
        <v>5</v>
      </c>
      <c r="E129" s="98">
        <v>50</v>
      </c>
      <c r="F129" s="114">
        <v>45903</v>
      </c>
      <c r="G129" s="106">
        <v>0.375</v>
      </c>
      <c r="H129" s="114">
        <v>45902</v>
      </c>
      <c r="I129" s="115">
        <v>0.86805555555555558</v>
      </c>
      <c r="J129" s="98">
        <f t="shared" si="1"/>
        <v>5</v>
      </c>
      <c r="K129" s="116">
        <v>5</v>
      </c>
      <c r="L129" s="116">
        <v>45</v>
      </c>
      <c r="M129" s="133" t="s">
        <v>180</v>
      </c>
    </row>
    <row r="130" spans="1:13" ht="25.5" x14ac:dyDescent="0.2">
      <c r="A130" s="114" t="s">
        <v>181</v>
      </c>
      <c r="B130" s="114" t="s">
        <v>136</v>
      </c>
      <c r="C130" s="114" t="s">
        <v>34</v>
      </c>
      <c r="D130" s="98">
        <v>1</v>
      </c>
      <c r="E130" s="98">
        <v>30</v>
      </c>
      <c r="F130" s="114">
        <v>45903</v>
      </c>
      <c r="G130" s="106">
        <v>0.375</v>
      </c>
      <c r="H130" s="114">
        <v>45900</v>
      </c>
      <c r="I130" s="115">
        <v>0.8125</v>
      </c>
      <c r="J130" s="98">
        <f t="shared" si="1"/>
        <v>8</v>
      </c>
      <c r="K130" s="116">
        <v>1</v>
      </c>
      <c r="L130" s="116">
        <v>22</v>
      </c>
      <c r="M130" s="133" t="s">
        <v>184</v>
      </c>
    </row>
    <row r="131" spans="1:13" ht="25.5" x14ac:dyDescent="0.2">
      <c r="A131" s="114" t="s">
        <v>182</v>
      </c>
      <c r="B131" s="114" t="s">
        <v>21</v>
      </c>
      <c r="C131" s="114" t="s">
        <v>22</v>
      </c>
      <c r="D131" s="98">
        <v>1</v>
      </c>
      <c r="E131" s="98">
        <v>30</v>
      </c>
      <c r="F131" s="114">
        <v>45903</v>
      </c>
      <c r="G131" s="106">
        <v>0.375</v>
      </c>
      <c r="H131" s="114">
        <v>45902</v>
      </c>
      <c r="I131" s="115">
        <v>0.83333333333333337</v>
      </c>
      <c r="J131" s="98">
        <f t="shared" si="1"/>
        <v>7</v>
      </c>
      <c r="K131" s="116">
        <v>1</v>
      </c>
      <c r="L131" s="116">
        <v>23</v>
      </c>
      <c r="M131" s="133" t="s">
        <v>183</v>
      </c>
    </row>
    <row r="132" spans="1:13" ht="25.5" x14ac:dyDescent="0.2">
      <c r="A132" s="61" t="s">
        <v>185</v>
      </c>
      <c r="B132" s="114" t="s">
        <v>21</v>
      </c>
      <c r="C132" s="114" t="s">
        <v>22</v>
      </c>
      <c r="D132" s="98">
        <v>1</v>
      </c>
      <c r="E132" s="98">
        <v>40</v>
      </c>
      <c r="F132" s="114">
        <v>45903</v>
      </c>
      <c r="G132" s="106">
        <v>0.375</v>
      </c>
      <c r="H132" s="114">
        <v>45902</v>
      </c>
      <c r="I132" s="115">
        <v>0.86111111111111116</v>
      </c>
      <c r="J132" s="98">
        <f t="shared" si="1"/>
        <v>9</v>
      </c>
      <c r="K132" s="116">
        <v>2</v>
      </c>
      <c r="L132" s="116">
        <v>31</v>
      </c>
      <c r="M132" s="133" t="s">
        <v>186</v>
      </c>
    </row>
    <row r="133" spans="1:13" ht="25.5" x14ac:dyDescent="0.2">
      <c r="A133" s="114" t="s">
        <v>187</v>
      </c>
      <c r="B133" s="114" t="s">
        <v>136</v>
      </c>
      <c r="C133" s="114" t="s">
        <v>34</v>
      </c>
      <c r="D133" s="98">
        <v>1</v>
      </c>
      <c r="E133" s="98">
        <v>25</v>
      </c>
      <c r="F133" s="114">
        <v>45903</v>
      </c>
      <c r="G133" s="106">
        <v>0.375</v>
      </c>
      <c r="H133" s="114">
        <v>45900</v>
      </c>
      <c r="I133" s="115">
        <v>0.82986111111111116</v>
      </c>
      <c r="J133" s="98">
        <f t="shared" si="1"/>
        <v>5</v>
      </c>
      <c r="K133" s="116">
        <v>2</v>
      </c>
      <c r="L133" s="116">
        <v>20</v>
      </c>
      <c r="M133" s="133" t="s">
        <v>188</v>
      </c>
    </row>
    <row r="134" spans="1:13" ht="25.5" x14ac:dyDescent="0.2">
      <c r="A134" s="61" t="s">
        <v>88</v>
      </c>
      <c r="B134" s="114" t="s">
        <v>42</v>
      </c>
      <c r="C134" s="114" t="s">
        <v>43</v>
      </c>
      <c r="D134" s="98">
        <v>1</v>
      </c>
      <c r="E134" s="98">
        <v>20</v>
      </c>
      <c r="F134" s="114">
        <v>45903</v>
      </c>
      <c r="G134" s="106">
        <v>0.375</v>
      </c>
      <c r="H134" s="114">
        <v>45900</v>
      </c>
      <c r="I134" s="115">
        <v>0.80555555555555558</v>
      </c>
      <c r="J134" s="98">
        <f t="shared" si="1"/>
        <v>0</v>
      </c>
      <c r="K134" s="116">
        <v>1</v>
      </c>
      <c r="L134" s="116">
        <v>20</v>
      </c>
      <c r="M134" s="133" t="s">
        <v>189</v>
      </c>
    </row>
    <row r="135" spans="1:13" ht="25.5" x14ac:dyDescent="0.2">
      <c r="A135" s="114" t="s">
        <v>190</v>
      </c>
      <c r="B135" s="114" t="s">
        <v>42</v>
      </c>
      <c r="C135" s="114" t="s">
        <v>43</v>
      </c>
      <c r="D135" s="98">
        <v>1</v>
      </c>
      <c r="E135" s="98">
        <v>20</v>
      </c>
      <c r="F135" s="114">
        <v>45903</v>
      </c>
      <c r="G135" s="106">
        <v>0.375</v>
      </c>
      <c r="H135" s="114">
        <v>45900</v>
      </c>
      <c r="I135" s="115">
        <v>0.81944444444444442</v>
      </c>
      <c r="J135" s="98">
        <f t="shared" si="1"/>
        <v>0</v>
      </c>
      <c r="K135" s="116">
        <v>1</v>
      </c>
      <c r="L135" s="116">
        <v>20</v>
      </c>
      <c r="M135" s="133" t="s">
        <v>191</v>
      </c>
    </row>
    <row r="136" spans="1:13" ht="25.5" x14ac:dyDescent="0.2">
      <c r="A136" s="114" t="s">
        <v>193</v>
      </c>
      <c r="B136" s="114" t="s">
        <v>30</v>
      </c>
      <c r="C136" s="114" t="s">
        <v>31</v>
      </c>
      <c r="D136" s="98">
        <v>1</v>
      </c>
      <c r="E136" s="98">
        <v>30</v>
      </c>
      <c r="F136" s="114">
        <v>45903</v>
      </c>
      <c r="G136" s="106">
        <v>0.375</v>
      </c>
      <c r="H136" s="114">
        <v>45902</v>
      </c>
      <c r="I136" s="115">
        <v>0.875</v>
      </c>
      <c r="J136" s="98">
        <f t="shared" ref="J136:J167" si="2">E136-L136</f>
        <v>5</v>
      </c>
      <c r="K136" s="116">
        <v>1</v>
      </c>
      <c r="L136" s="116">
        <v>25</v>
      </c>
      <c r="M136" s="133" t="s">
        <v>192</v>
      </c>
    </row>
    <row r="137" spans="1:13" ht="25.5" x14ac:dyDescent="0.2">
      <c r="A137" s="114" t="s">
        <v>194</v>
      </c>
      <c r="B137" s="114" t="s">
        <v>42</v>
      </c>
      <c r="C137" s="114" t="s">
        <v>43</v>
      </c>
      <c r="D137" s="98">
        <v>1</v>
      </c>
      <c r="E137" s="98">
        <v>30</v>
      </c>
      <c r="F137" s="114">
        <v>45903</v>
      </c>
      <c r="G137" s="106">
        <v>0.375</v>
      </c>
      <c r="H137" s="114">
        <v>45900</v>
      </c>
      <c r="I137" s="115">
        <v>0.84027777777777779</v>
      </c>
      <c r="J137" s="98">
        <f t="shared" si="2"/>
        <v>0</v>
      </c>
      <c r="K137" s="116">
        <v>1</v>
      </c>
      <c r="L137" s="116">
        <v>30</v>
      </c>
      <c r="M137" s="133" t="s">
        <v>195</v>
      </c>
    </row>
    <row r="138" spans="1:13" ht="25.5" x14ac:dyDescent="0.2">
      <c r="A138" s="114" t="s">
        <v>198</v>
      </c>
      <c r="B138" s="114" t="s">
        <v>36</v>
      </c>
      <c r="C138" s="114" t="s">
        <v>37</v>
      </c>
      <c r="D138" s="98">
        <v>1</v>
      </c>
      <c r="E138" s="98">
        <v>30</v>
      </c>
      <c r="F138" s="114">
        <v>45903</v>
      </c>
      <c r="G138" s="106">
        <v>0.375</v>
      </c>
      <c r="H138" s="114">
        <v>45899</v>
      </c>
      <c r="I138" s="115">
        <v>0.85416666666666663</v>
      </c>
      <c r="J138" s="98">
        <f t="shared" si="2"/>
        <v>5</v>
      </c>
      <c r="K138" s="116">
        <v>1</v>
      </c>
      <c r="L138" s="116">
        <v>25</v>
      </c>
      <c r="M138" s="133" t="s">
        <v>196</v>
      </c>
    </row>
    <row r="139" spans="1:13" ht="25.5" x14ac:dyDescent="0.2">
      <c r="A139" s="114" t="s">
        <v>197</v>
      </c>
      <c r="B139" s="114" t="s">
        <v>21</v>
      </c>
      <c r="C139" s="114" t="s">
        <v>22</v>
      </c>
      <c r="D139" s="98">
        <v>1</v>
      </c>
      <c r="E139" s="98">
        <v>30</v>
      </c>
      <c r="F139" s="114">
        <v>45903</v>
      </c>
      <c r="G139" s="106">
        <v>0.375</v>
      </c>
      <c r="H139" s="114">
        <v>45902</v>
      </c>
      <c r="I139" s="115">
        <v>0.88194444444444442</v>
      </c>
      <c r="J139" s="98">
        <f t="shared" si="2"/>
        <v>6</v>
      </c>
      <c r="K139" s="116">
        <v>1</v>
      </c>
      <c r="L139" s="116">
        <v>24</v>
      </c>
      <c r="M139" s="133" t="s">
        <v>199</v>
      </c>
    </row>
    <row r="140" spans="1:13" ht="25.5" x14ac:dyDescent="0.2">
      <c r="A140" s="114" t="s">
        <v>200</v>
      </c>
      <c r="B140" s="114" t="s">
        <v>136</v>
      </c>
      <c r="C140" s="114" t="s">
        <v>34</v>
      </c>
      <c r="D140" s="98">
        <v>1</v>
      </c>
      <c r="E140" s="98">
        <v>30</v>
      </c>
      <c r="F140" s="114">
        <v>45903</v>
      </c>
      <c r="G140" s="106">
        <v>0.375</v>
      </c>
      <c r="H140" s="114">
        <v>45900</v>
      </c>
      <c r="I140" s="115">
        <v>0.85069444444444442</v>
      </c>
      <c r="J140" s="98">
        <f t="shared" si="2"/>
        <v>7</v>
      </c>
      <c r="K140" s="116">
        <v>1</v>
      </c>
      <c r="L140" s="116">
        <v>23</v>
      </c>
      <c r="M140" s="133" t="s">
        <v>201</v>
      </c>
    </row>
    <row r="141" spans="1:13" ht="25.5" x14ac:dyDescent="0.2">
      <c r="A141" s="114" t="s">
        <v>202</v>
      </c>
      <c r="B141" s="114" t="s">
        <v>39</v>
      </c>
      <c r="C141" s="114" t="s">
        <v>40</v>
      </c>
      <c r="D141" s="98">
        <v>1</v>
      </c>
      <c r="E141" s="98">
        <v>30</v>
      </c>
      <c r="F141" s="114">
        <v>45903</v>
      </c>
      <c r="G141" s="106">
        <v>0.375</v>
      </c>
      <c r="H141" s="114">
        <v>45902</v>
      </c>
      <c r="I141" s="115">
        <v>0.88888888888888884</v>
      </c>
      <c r="J141" s="98">
        <f t="shared" si="2"/>
        <v>4</v>
      </c>
      <c r="K141" s="116">
        <v>1</v>
      </c>
      <c r="L141" s="116">
        <v>26</v>
      </c>
      <c r="M141" s="133" t="s">
        <v>203</v>
      </c>
    </row>
    <row r="142" spans="1:13" ht="25.5" x14ac:dyDescent="0.2">
      <c r="A142" s="114" t="s">
        <v>204</v>
      </c>
      <c r="B142" s="114" t="s">
        <v>39</v>
      </c>
      <c r="C142" s="114" t="s">
        <v>40</v>
      </c>
      <c r="D142" s="98">
        <v>1</v>
      </c>
      <c r="E142" s="98">
        <v>60</v>
      </c>
      <c r="F142" s="114">
        <v>45903</v>
      </c>
      <c r="G142" s="106">
        <v>0.375</v>
      </c>
      <c r="H142" s="114">
        <v>45902</v>
      </c>
      <c r="I142" s="115">
        <v>0.93055555555555558</v>
      </c>
      <c r="J142" s="98">
        <f t="shared" si="2"/>
        <v>-2</v>
      </c>
      <c r="K142" s="116">
        <v>1</v>
      </c>
      <c r="L142" s="116">
        <v>62</v>
      </c>
      <c r="M142" s="133" t="s">
        <v>205</v>
      </c>
    </row>
    <row r="143" spans="1:13" ht="36" x14ac:dyDescent="0.2">
      <c r="A143" s="104" t="s">
        <v>146</v>
      </c>
      <c r="B143" s="105" t="s">
        <v>30</v>
      </c>
      <c r="C143" s="105" t="s">
        <v>83</v>
      </c>
      <c r="D143" s="103">
        <v>1</v>
      </c>
      <c r="E143" s="49">
        <v>60</v>
      </c>
      <c r="F143" s="105">
        <v>45903</v>
      </c>
      <c r="G143" s="106">
        <v>0.375</v>
      </c>
      <c r="H143" s="105">
        <v>45902</v>
      </c>
      <c r="I143" s="106">
        <v>0.91666666666666663</v>
      </c>
      <c r="J143" s="107">
        <f t="shared" si="2"/>
        <v>50</v>
      </c>
      <c r="K143" s="104">
        <v>1</v>
      </c>
      <c r="L143" s="107">
        <v>10</v>
      </c>
      <c r="M143" s="107" t="s">
        <v>149</v>
      </c>
    </row>
    <row r="144" spans="1:13" ht="36" x14ac:dyDescent="0.2">
      <c r="A144" s="104" t="s">
        <v>146</v>
      </c>
      <c r="B144" s="105" t="s">
        <v>42</v>
      </c>
      <c r="C144" s="105" t="s">
        <v>77</v>
      </c>
      <c r="D144" s="103">
        <v>1</v>
      </c>
      <c r="E144" s="49">
        <v>60</v>
      </c>
      <c r="F144" s="105">
        <v>45903</v>
      </c>
      <c r="G144" s="106">
        <v>0.375</v>
      </c>
      <c r="H144" s="105">
        <v>45902</v>
      </c>
      <c r="I144" s="106">
        <v>0.91666666666666663</v>
      </c>
      <c r="J144" s="107">
        <f t="shared" si="2"/>
        <v>50</v>
      </c>
      <c r="K144" s="104">
        <v>1</v>
      </c>
      <c r="L144" s="107">
        <v>10</v>
      </c>
      <c r="M144" s="107" t="s">
        <v>149</v>
      </c>
    </row>
    <row r="145" spans="1:13" ht="36" x14ac:dyDescent="0.2">
      <c r="A145" s="104" t="s">
        <v>146</v>
      </c>
      <c r="B145" s="105" t="s">
        <v>21</v>
      </c>
      <c r="C145" s="105" t="s">
        <v>86</v>
      </c>
      <c r="D145" s="103">
        <v>1</v>
      </c>
      <c r="E145" s="49">
        <v>60</v>
      </c>
      <c r="F145" s="105">
        <v>45903</v>
      </c>
      <c r="G145" s="106">
        <v>0.375</v>
      </c>
      <c r="H145" s="105">
        <v>45902</v>
      </c>
      <c r="I145" s="106">
        <v>0.91666666666666663</v>
      </c>
      <c r="J145" s="107">
        <f t="shared" si="2"/>
        <v>50</v>
      </c>
      <c r="K145" s="104">
        <v>1</v>
      </c>
      <c r="L145" s="107">
        <v>10</v>
      </c>
      <c r="M145" s="107" t="s">
        <v>149</v>
      </c>
    </row>
    <row r="146" spans="1:13" ht="36" x14ac:dyDescent="0.2">
      <c r="A146" s="104" t="s">
        <v>146</v>
      </c>
      <c r="B146" s="105" t="s">
        <v>136</v>
      </c>
      <c r="C146" s="105" t="s">
        <v>151</v>
      </c>
      <c r="D146" s="103">
        <v>1</v>
      </c>
      <c r="E146" s="49">
        <v>60</v>
      </c>
      <c r="F146" s="105">
        <v>45903</v>
      </c>
      <c r="G146" s="106">
        <v>0.375</v>
      </c>
      <c r="H146" s="105">
        <v>45902</v>
      </c>
      <c r="I146" s="106">
        <v>0.91666666666666663</v>
      </c>
      <c r="J146" s="107">
        <f t="shared" si="2"/>
        <v>50</v>
      </c>
      <c r="K146" s="104">
        <v>1</v>
      </c>
      <c r="L146" s="107">
        <v>10</v>
      </c>
      <c r="M146" s="107" t="s">
        <v>149</v>
      </c>
    </row>
    <row r="147" spans="1:13" ht="36" x14ac:dyDescent="0.2">
      <c r="A147" s="104" t="s">
        <v>146</v>
      </c>
      <c r="B147" s="105" t="s">
        <v>36</v>
      </c>
      <c r="C147" s="105" t="s">
        <v>80</v>
      </c>
      <c r="D147" s="103">
        <v>1</v>
      </c>
      <c r="E147" s="49">
        <v>60</v>
      </c>
      <c r="F147" s="105">
        <v>45903</v>
      </c>
      <c r="G147" s="106">
        <v>0.375</v>
      </c>
      <c r="H147" s="105">
        <v>45902</v>
      </c>
      <c r="I147" s="106">
        <v>0.91666666666666663</v>
      </c>
      <c r="J147" s="107">
        <f t="shared" si="2"/>
        <v>50</v>
      </c>
      <c r="K147" s="104">
        <v>1</v>
      </c>
      <c r="L147" s="107">
        <v>10</v>
      </c>
      <c r="M147" s="107" t="s">
        <v>149</v>
      </c>
    </row>
    <row r="148" spans="1:13" ht="36" x14ac:dyDescent="0.2">
      <c r="A148" s="104" t="s">
        <v>146</v>
      </c>
      <c r="B148" s="105" t="s">
        <v>39</v>
      </c>
      <c r="C148" s="105" t="s">
        <v>150</v>
      </c>
      <c r="D148" s="103">
        <v>1</v>
      </c>
      <c r="E148" s="49">
        <v>60</v>
      </c>
      <c r="F148" s="105">
        <v>45903</v>
      </c>
      <c r="G148" s="106">
        <v>0.375</v>
      </c>
      <c r="H148" s="105">
        <v>45902</v>
      </c>
      <c r="I148" s="106">
        <v>0.91666666666666663</v>
      </c>
      <c r="J148" s="107">
        <f t="shared" si="2"/>
        <v>50</v>
      </c>
      <c r="K148" s="104">
        <v>1</v>
      </c>
      <c r="L148" s="107">
        <v>10</v>
      </c>
      <c r="M148" s="107" t="s">
        <v>149</v>
      </c>
    </row>
    <row r="149" spans="1:13" x14ac:dyDescent="0.2">
      <c r="A149" s="104" t="s">
        <v>52</v>
      </c>
      <c r="B149" s="105" t="s">
        <v>21</v>
      </c>
      <c r="C149" s="105" t="s">
        <v>22</v>
      </c>
      <c r="D149" s="103">
        <v>1</v>
      </c>
      <c r="E149" s="49">
        <v>30</v>
      </c>
      <c r="F149" s="105">
        <v>45903</v>
      </c>
      <c r="G149" s="106">
        <v>0.375</v>
      </c>
      <c r="H149" s="105">
        <v>45902</v>
      </c>
      <c r="I149" s="106">
        <v>0.91666666666666663</v>
      </c>
      <c r="J149" s="107">
        <f t="shared" si="2"/>
        <v>0</v>
      </c>
      <c r="K149" s="104">
        <v>1</v>
      </c>
      <c r="L149" s="107">
        <v>30</v>
      </c>
      <c r="M149" s="107" t="s">
        <v>53</v>
      </c>
    </row>
    <row r="150" spans="1:13" x14ac:dyDescent="0.2">
      <c r="A150" s="104" t="s">
        <v>153</v>
      </c>
      <c r="B150" s="105" t="s">
        <v>36</v>
      </c>
      <c r="C150" s="105" t="s">
        <v>37</v>
      </c>
      <c r="D150" s="103">
        <v>1</v>
      </c>
      <c r="E150" s="117">
        <v>30</v>
      </c>
      <c r="F150" s="105">
        <v>45903</v>
      </c>
      <c r="G150" s="106">
        <v>0.375</v>
      </c>
      <c r="H150" s="105">
        <v>45902</v>
      </c>
      <c r="I150" s="106">
        <v>0.91666666666666663</v>
      </c>
      <c r="J150" s="107">
        <f t="shared" si="2"/>
        <v>0</v>
      </c>
      <c r="K150" s="104">
        <v>1</v>
      </c>
      <c r="L150" s="107">
        <v>30</v>
      </c>
      <c r="M150" s="107" t="s">
        <v>53</v>
      </c>
    </row>
    <row r="151" spans="1:13" ht="24" x14ac:dyDescent="0.2">
      <c r="A151" s="104" t="s">
        <v>79</v>
      </c>
      <c r="B151" s="105" t="s">
        <v>36</v>
      </c>
      <c r="C151" s="105" t="s">
        <v>37</v>
      </c>
      <c r="D151" s="103">
        <v>1</v>
      </c>
      <c r="E151" s="49">
        <v>45</v>
      </c>
      <c r="F151" s="105">
        <v>45903</v>
      </c>
      <c r="G151" s="106">
        <v>0.375</v>
      </c>
      <c r="H151" s="105">
        <v>45902</v>
      </c>
      <c r="I151" s="106">
        <v>0.9375</v>
      </c>
      <c r="J151" s="107">
        <f t="shared" si="2"/>
        <v>-35</v>
      </c>
      <c r="K151" s="104">
        <v>1</v>
      </c>
      <c r="L151" s="107">
        <v>80</v>
      </c>
      <c r="M151" s="107" t="s">
        <v>81</v>
      </c>
    </row>
    <row r="152" spans="1:13" x14ac:dyDescent="0.2">
      <c r="A152" s="104" t="s">
        <v>85</v>
      </c>
      <c r="B152" s="105" t="s">
        <v>21</v>
      </c>
      <c r="C152" s="105" t="s">
        <v>22</v>
      </c>
      <c r="D152" s="103">
        <v>1</v>
      </c>
      <c r="E152" s="49">
        <v>60</v>
      </c>
      <c r="F152" s="105">
        <v>45903</v>
      </c>
      <c r="G152" s="106">
        <v>0.375</v>
      </c>
      <c r="H152" s="105">
        <v>45902</v>
      </c>
      <c r="I152" s="106">
        <v>0.9375</v>
      </c>
      <c r="J152" s="107">
        <f t="shared" si="2"/>
        <v>10</v>
      </c>
      <c r="K152" s="104">
        <v>1</v>
      </c>
      <c r="L152" s="107">
        <v>50</v>
      </c>
      <c r="M152" s="107" t="s">
        <v>87</v>
      </c>
    </row>
    <row r="153" spans="1:13" x14ac:dyDescent="0.2">
      <c r="A153" s="104" t="s">
        <v>88</v>
      </c>
      <c r="B153" s="105" t="s">
        <v>21</v>
      </c>
      <c r="C153" s="105" t="s">
        <v>22</v>
      </c>
      <c r="D153" s="103">
        <v>1</v>
      </c>
      <c r="E153" s="49">
        <v>55</v>
      </c>
      <c r="F153" s="105">
        <v>45903</v>
      </c>
      <c r="G153" s="106">
        <v>0.375</v>
      </c>
      <c r="H153" s="105">
        <v>45902</v>
      </c>
      <c r="I153" s="106">
        <v>0.9375</v>
      </c>
      <c r="J153" s="107">
        <f t="shared" si="2"/>
        <v>0</v>
      </c>
      <c r="K153" s="104">
        <v>1</v>
      </c>
      <c r="L153" s="107">
        <v>55</v>
      </c>
      <c r="M153" s="107" t="s">
        <v>89</v>
      </c>
    </row>
    <row r="154" spans="1:13" ht="24" x14ac:dyDescent="0.2">
      <c r="A154" s="49" t="s">
        <v>131</v>
      </c>
      <c r="B154" s="105" t="s">
        <v>36</v>
      </c>
      <c r="C154" s="105" t="s">
        <v>37</v>
      </c>
      <c r="D154" s="49">
        <v>1</v>
      </c>
      <c r="E154" s="49">
        <v>30</v>
      </c>
      <c r="F154" s="105">
        <v>45903</v>
      </c>
      <c r="G154" s="106">
        <v>0.375</v>
      </c>
      <c r="H154" s="105">
        <v>45902</v>
      </c>
      <c r="I154" s="106">
        <v>0.9375</v>
      </c>
      <c r="J154" s="107">
        <f t="shared" si="2"/>
        <v>-2</v>
      </c>
      <c r="K154" s="104">
        <v>1</v>
      </c>
      <c r="L154" s="107">
        <v>32</v>
      </c>
      <c r="M154" s="107" t="s">
        <v>132</v>
      </c>
    </row>
    <row r="155" spans="1:13" ht="24" x14ac:dyDescent="0.2">
      <c r="A155" s="49" t="s">
        <v>131</v>
      </c>
      <c r="B155" s="105" t="s">
        <v>42</v>
      </c>
      <c r="C155" s="105" t="s">
        <v>43</v>
      </c>
      <c r="D155" s="49">
        <v>1</v>
      </c>
      <c r="E155" s="49">
        <v>30</v>
      </c>
      <c r="F155" s="105">
        <v>45903</v>
      </c>
      <c r="G155" s="106">
        <v>0.375</v>
      </c>
      <c r="H155" s="105">
        <v>45902</v>
      </c>
      <c r="I155" s="106">
        <v>0.9375</v>
      </c>
      <c r="J155" s="107">
        <f t="shared" si="2"/>
        <v>-2</v>
      </c>
      <c r="K155" s="104">
        <v>1</v>
      </c>
      <c r="L155" s="107">
        <v>32</v>
      </c>
      <c r="M155" s="107" t="s">
        <v>132</v>
      </c>
    </row>
    <row r="156" spans="1:13" ht="24" x14ac:dyDescent="0.2">
      <c r="A156" s="49" t="s">
        <v>131</v>
      </c>
      <c r="B156" s="105" t="s">
        <v>30</v>
      </c>
      <c r="C156" s="105" t="s">
        <v>31</v>
      </c>
      <c r="D156" s="49">
        <v>1</v>
      </c>
      <c r="E156" s="49">
        <v>30</v>
      </c>
      <c r="F156" s="105">
        <v>45903</v>
      </c>
      <c r="G156" s="106">
        <v>0.375</v>
      </c>
      <c r="H156" s="105">
        <v>45902</v>
      </c>
      <c r="I156" s="106">
        <v>0.9375</v>
      </c>
      <c r="J156" s="107">
        <f t="shared" si="2"/>
        <v>-2</v>
      </c>
      <c r="K156" s="104">
        <v>1</v>
      </c>
      <c r="L156" s="107">
        <v>32</v>
      </c>
      <c r="M156" s="107" t="s">
        <v>132</v>
      </c>
    </row>
    <row r="157" spans="1:13" ht="24" x14ac:dyDescent="0.2">
      <c r="A157" s="49" t="s">
        <v>131</v>
      </c>
      <c r="B157" s="105" t="s">
        <v>21</v>
      </c>
      <c r="C157" s="105" t="s">
        <v>22</v>
      </c>
      <c r="D157" s="49">
        <v>1</v>
      </c>
      <c r="E157" s="49">
        <v>30</v>
      </c>
      <c r="F157" s="105">
        <v>45903</v>
      </c>
      <c r="G157" s="106">
        <v>0.375</v>
      </c>
      <c r="H157" s="105">
        <v>45902</v>
      </c>
      <c r="I157" s="106">
        <v>0.9375</v>
      </c>
      <c r="J157" s="107">
        <f t="shared" si="2"/>
        <v>-2</v>
      </c>
      <c r="K157" s="104">
        <v>1</v>
      </c>
      <c r="L157" s="107">
        <v>32</v>
      </c>
      <c r="M157" s="107" t="s">
        <v>132</v>
      </c>
    </row>
    <row r="158" spans="1:13" ht="24" x14ac:dyDescent="0.2">
      <c r="A158" s="49" t="s">
        <v>131</v>
      </c>
      <c r="B158" s="105" t="s">
        <v>136</v>
      </c>
      <c r="C158" s="105" t="s">
        <v>34</v>
      </c>
      <c r="D158" s="49">
        <v>1</v>
      </c>
      <c r="E158" s="49">
        <v>30</v>
      </c>
      <c r="F158" s="105">
        <v>45903</v>
      </c>
      <c r="G158" s="106">
        <v>0.375</v>
      </c>
      <c r="H158" s="105">
        <v>45902</v>
      </c>
      <c r="I158" s="106">
        <v>0.9375</v>
      </c>
      <c r="J158" s="107">
        <f t="shared" si="2"/>
        <v>-2</v>
      </c>
      <c r="K158" s="104">
        <v>1</v>
      </c>
      <c r="L158" s="107">
        <v>32</v>
      </c>
      <c r="M158" s="107" t="s">
        <v>132</v>
      </c>
    </row>
    <row r="159" spans="1:13" ht="24" x14ac:dyDescent="0.2">
      <c r="A159" s="49" t="s">
        <v>131</v>
      </c>
      <c r="B159" s="105" t="s">
        <v>39</v>
      </c>
      <c r="C159" s="105" t="s">
        <v>40</v>
      </c>
      <c r="D159" s="49">
        <v>1</v>
      </c>
      <c r="E159" s="49">
        <v>30</v>
      </c>
      <c r="F159" s="105">
        <v>45903</v>
      </c>
      <c r="G159" s="106">
        <v>0.375</v>
      </c>
      <c r="H159" s="105">
        <v>45902</v>
      </c>
      <c r="I159" s="106">
        <v>0.9375</v>
      </c>
      <c r="J159" s="107">
        <f t="shared" si="2"/>
        <v>-2</v>
      </c>
      <c r="K159" s="104">
        <v>1</v>
      </c>
      <c r="L159" s="107">
        <v>32</v>
      </c>
      <c r="M159" s="107" t="s">
        <v>132</v>
      </c>
    </row>
    <row r="160" spans="1:13" ht="24" x14ac:dyDescent="0.2">
      <c r="A160" s="49" t="s">
        <v>133</v>
      </c>
      <c r="B160" s="105" t="s">
        <v>21</v>
      </c>
      <c r="C160" s="105" t="s">
        <v>22</v>
      </c>
      <c r="D160" s="49">
        <v>3</v>
      </c>
      <c r="E160" s="49">
        <v>20</v>
      </c>
      <c r="F160" s="105">
        <v>45903</v>
      </c>
      <c r="G160" s="106">
        <v>0.375</v>
      </c>
      <c r="H160" s="105">
        <v>45902</v>
      </c>
      <c r="I160" s="106">
        <v>0.58333333333333337</v>
      </c>
      <c r="J160" s="107">
        <f t="shared" si="2"/>
        <v>5</v>
      </c>
      <c r="K160" s="104">
        <v>3</v>
      </c>
      <c r="L160" s="107">
        <v>15</v>
      </c>
      <c r="M160" s="107" t="s">
        <v>134</v>
      </c>
    </row>
    <row r="161" spans="1:13" ht="36" x14ac:dyDescent="0.2">
      <c r="A161" s="137" t="s">
        <v>144</v>
      </c>
      <c r="B161" s="105" t="s">
        <v>30</v>
      </c>
      <c r="C161" s="105" t="s">
        <v>31</v>
      </c>
      <c r="D161" s="103">
        <v>1</v>
      </c>
      <c r="E161" s="104">
        <v>30</v>
      </c>
      <c r="F161" s="105">
        <v>45909</v>
      </c>
      <c r="G161" s="106">
        <v>0.375</v>
      </c>
      <c r="H161" s="105">
        <v>45905</v>
      </c>
      <c r="I161" s="106">
        <v>0.45833333333333331</v>
      </c>
      <c r="J161" s="107">
        <f t="shared" si="2"/>
        <v>0</v>
      </c>
      <c r="K161" s="104">
        <v>1</v>
      </c>
      <c r="L161" s="107">
        <v>30</v>
      </c>
      <c r="M161" s="107" t="s">
        <v>156</v>
      </c>
    </row>
    <row r="162" spans="1:13" ht="24" x14ac:dyDescent="0.2">
      <c r="A162" s="104" t="s">
        <v>216</v>
      </c>
      <c r="B162" s="105" t="s">
        <v>36</v>
      </c>
      <c r="C162" s="105" t="s">
        <v>37</v>
      </c>
      <c r="D162" s="103">
        <v>1</v>
      </c>
      <c r="E162" s="49">
        <v>30</v>
      </c>
      <c r="F162" s="105">
        <v>45909</v>
      </c>
      <c r="G162" s="106">
        <v>0.375</v>
      </c>
      <c r="H162" s="105">
        <v>45905</v>
      </c>
      <c r="I162" s="106">
        <v>0.79166666666666663</v>
      </c>
      <c r="J162" s="107">
        <f>E162-L162</f>
        <v>0</v>
      </c>
      <c r="K162" s="104">
        <v>1</v>
      </c>
      <c r="L162" s="107">
        <v>30</v>
      </c>
      <c r="M162" s="107" t="s">
        <v>75</v>
      </c>
    </row>
    <row r="163" spans="1:13" ht="25.5" x14ac:dyDescent="0.2">
      <c r="A163" s="98" t="s">
        <v>252</v>
      </c>
      <c r="B163" s="98" t="s">
        <v>36</v>
      </c>
      <c r="C163" s="98" t="s">
        <v>37</v>
      </c>
      <c r="D163" s="98">
        <v>2</v>
      </c>
      <c r="E163" s="98">
        <v>30</v>
      </c>
      <c r="F163" s="129">
        <v>45909</v>
      </c>
      <c r="G163" s="130">
        <v>0.375</v>
      </c>
      <c r="H163" s="129">
        <v>45907</v>
      </c>
      <c r="I163" s="130">
        <v>0.52083333333333337</v>
      </c>
      <c r="J163" s="107">
        <f>E163-L163</f>
        <v>0</v>
      </c>
      <c r="K163" s="98">
        <v>2</v>
      </c>
      <c r="L163" s="98">
        <v>30</v>
      </c>
      <c r="M163" s="97" t="s">
        <v>253</v>
      </c>
    </row>
    <row r="164" spans="1:13" ht="25.5" x14ac:dyDescent="0.2">
      <c r="A164" s="98" t="s">
        <v>252</v>
      </c>
      <c r="B164" s="98" t="s">
        <v>42</v>
      </c>
      <c r="C164" s="98" t="s">
        <v>43</v>
      </c>
      <c r="D164" s="98">
        <v>2</v>
      </c>
      <c r="E164" s="98">
        <v>30</v>
      </c>
      <c r="F164" s="129">
        <v>45909</v>
      </c>
      <c r="G164" s="130">
        <v>0.375</v>
      </c>
      <c r="H164" s="129">
        <v>45907</v>
      </c>
      <c r="I164" s="130">
        <v>0.54166666666666663</v>
      </c>
      <c r="J164" s="107">
        <f t="shared" ref="J164:J227" si="3">E164-L164</f>
        <v>0</v>
      </c>
      <c r="K164" s="98">
        <v>2</v>
      </c>
      <c r="L164" s="98">
        <v>30</v>
      </c>
      <c r="M164" s="97" t="s">
        <v>253</v>
      </c>
    </row>
    <row r="165" spans="1:13" ht="25.5" x14ac:dyDescent="0.2">
      <c r="A165" s="98" t="s">
        <v>254</v>
      </c>
      <c r="B165" s="98" t="s">
        <v>36</v>
      </c>
      <c r="C165" s="98" t="s">
        <v>37</v>
      </c>
      <c r="D165" s="98">
        <v>1</v>
      </c>
      <c r="E165" s="98">
        <v>30</v>
      </c>
      <c r="F165" s="129">
        <v>45909</v>
      </c>
      <c r="G165" s="130">
        <v>0.375</v>
      </c>
      <c r="H165" s="129">
        <v>45907</v>
      </c>
      <c r="I165" s="130">
        <v>0.5625</v>
      </c>
      <c r="J165" s="107">
        <f t="shared" si="3"/>
        <v>0</v>
      </c>
      <c r="K165" s="98">
        <v>1</v>
      </c>
      <c r="L165" s="98">
        <v>30</v>
      </c>
      <c r="M165" s="97" t="s">
        <v>255</v>
      </c>
    </row>
    <row r="166" spans="1:13" ht="25.5" x14ac:dyDescent="0.2">
      <c r="A166" s="97" t="s">
        <v>254</v>
      </c>
      <c r="B166" s="98" t="s">
        <v>42</v>
      </c>
      <c r="C166" s="98" t="s">
        <v>43</v>
      </c>
      <c r="D166" s="98">
        <v>1</v>
      </c>
      <c r="E166" s="98">
        <v>30</v>
      </c>
      <c r="F166" s="129">
        <v>45909</v>
      </c>
      <c r="G166" s="130">
        <v>0.375</v>
      </c>
      <c r="H166" s="129">
        <v>45907</v>
      </c>
      <c r="I166" s="130">
        <v>0.58333333333333337</v>
      </c>
      <c r="J166" s="107">
        <f t="shared" si="3"/>
        <v>0</v>
      </c>
      <c r="K166" s="98">
        <v>2</v>
      </c>
      <c r="L166" s="98">
        <v>30</v>
      </c>
      <c r="M166" s="97" t="s">
        <v>255</v>
      </c>
    </row>
    <row r="167" spans="1:13" ht="25.5" x14ac:dyDescent="0.2">
      <c r="A167" s="98" t="s">
        <v>256</v>
      </c>
      <c r="B167" s="98" t="s">
        <v>36</v>
      </c>
      <c r="C167" s="98" t="s">
        <v>37</v>
      </c>
      <c r="D167" s="98">
        <v>2</v>
      </c>
      <c r="E167" s="98">
        <v>30</v>
      </c>
      <c r="F167" s="129">
        <v>45909</v>
      </c>
      <c r="G167" s="130">
        <v>0.375</v>
      </c>
      <c r="H167" s="129">
        <v>45907</v>
      </c>
      <c r="I167" s="130">
        <v>0.58333333333333337</v>
      </c>
      <c r="J167" s="98">
        <f t="shared" si="3"/>
        <v>0</v>
      </c>
      <c r="K167" s="98">
        <v>2</v>
      </c>
      <c r="L167" s="98">
        <v>30</v>
      </c>
      <c r="M167" s="97" t="s">
        <v>257</v>
      </c>
    </row>
    <row r="168" spans="1:13" ht="25.5" x14ac:dyDescent="0.2">
      <c r="A168" s="97" t="s">
        <v>256</v>
      </c>
      <c r="B168" s="98" t="s">
        <v>42</v>
      </c>
      <c r="C168" s="98" t="s">
        <v>43</v>
      </c>
      <c r="D168" s="98">
        <v>2</v>
      </c>
      <c r="E168" s="98">
        <v>30</v>
      </c>
      <c r="F168" s="129">
        <v>45909</v>
      </c>
      <c r="G168" s="130">
        <v>0.375</v>
      </c>
      <c r="H168" s="129">
        <v>45907</v>
      </c>
      <c r="I168" s="130">
        <v>0.58333333333333337</v>
      </c>
      <c r="J168" s="98">
        <f t="shared" si="3"/>
        <v>0</v>
      </c>
      <c r="K168" s="98">
        <v>2</v>
      </c>
      <c r="L168" s="98">
        <v>30</v>
      </c>
      <c r="M168" s="97" t="s">
        <v>257</v>
      </c>
    </row>
    <row r="169" spans="1:13" ht="38.25" x14ac:dyDescent="0.2">
      <c r="A169" s="97" t="s">
        <v>258</v>
      </c>
      <c r="B169" s="98" t="s">
        <v>36</v>
      </c>
      <c r="C169" s="98" t="s">
        <v>37</v>
      </c>
      <c r="D169" s="98">
        <v>2</v>
      </c>
      <c r="E169" s="98">
        <v>30</v>
      </c>
      <c r="F169" s="129">
        <v>45909</v>
      </c>
      <c r="G169" s="130">
        <v>0.375</v>
      </c>
      <c r="H169" s="129">
        <v>45907</v>
      </c>
      <c r="I169" s="130">
        <v>0.58333333333333337</v>
      </c>
      <c r="J169" s="98">
        <f t="shared" si="3"/>
        <v>0</v>
      </c>
      <c r="K169" s="98">
        <v>1</v>
      </c>
      <c r="L169" s="98">
        <v>30</v>
      </c>
      <c r="M169" s="97" t="s">
        <v>259</v>
      </c>
    </row>
    <row r="170" spans="1:13" ht="38.25" x14ac:dyDescent="0.2">
      <c r="A170" s="97" t="s">
        <v>258</v>
      </c>
      <c r="B170" s="98" t="s">
        <v>42</v>
      </c>
      <c r="C170" s="98" t="s">
        <v>43</v>
      </c>
      <c r="D170" s="98">
        <v>2</v>
      </c>
      <c r="E170" s="98">
        <v>30</v>
      </c>
      <c r="F170" s="129">
        <v>45909</v>
      </c>
      <c r="G170" s="130">
        <v>0.375</v>
      </c>
      <c r="H170" s="129">
        <v>45907</v>
      </c>
      <c r="I170" s="130">
        <v>0.58333333333333337</v>
      </c>
      <c r="J170" s="98">
        <f t="shared" si="3"/>
        <v>0</v>
      </c>
      <c r="K170" s="98">
        <v>1</v>
      </c>
      <c r="L170" s="98">
        <v>30</v>
      </c>
      <c r="M170" s="97" t="s">
        <v>259</v>
      </c>
    </row>
    <row r="171" spans="1:13" ht="25.5" x14ac:dyDescent="0.2">
      <c r="A171" s="98" t="s">
        <v>260</v>
      </c>
      <c r="B171" s="98" t="s">
        <v>36</v>
      </c>
      <c r="C171" s="98" t="s">
        <v>37</v>
      </c>
      <c r="D171" s="98">
        <v>1</v>
      </c>
      <c r="E171" s="98">
        <v>30</v>
      </c>
      <c r="F171" s="129">
        <v>45909</v>
      </c>
      <c r="G171" s="130">
        <v>0.375</v>
      </c>
      <c r="H171" s="129">
        <v>45907</v>
      </c>
      <c r="I171" s="130">
        <v>0.58333333333333337</v>
      </c>
      <c r="J171" s="98">
        <f t="shared" si="3"/>
        <v>0</v>
      </c>
      <c r="K171" s="98">
        <v>3</v>
      </c>
      <c r="L171" s="98">
        <v>30</v>
      </c>
      <c r="M171" s="97" t="s">
        <v>261</v>
      </c>
    </row>
    <row r="172" spans="1:13" ht="25.5" x14ac:dyDescent="0.2">
      <c r="A172" s="98" t="s">
        <v>260</v>
      </c>
      <c r="B172" s="98" t="s">
        <v>42</v>
      </c>
      <c r="C172" s="98" t="s">
        <v>43</v>
      </c>
      <c r="D172" s="98">
        <v>1</v>
      </c>
      <c r="E172" s="98">
        <v>30</v>
      </c>
      <c r="F172" s="129">
        <v>45909</v>
      </c>
      <c r="G172" s="130">
        <v>0.375</v>
      </c>
      <c r="H172" s="129">
        <v>45907</v>
      </c>
      <c r="I172" s="130">
        <v>0.58333333333333337</v>
      </c>
      <c r="J172" s="98">
        <f t="shared" si="3"/>
        <v>0</v>
      </c>
      <c r="K172" s="98">
        <v>2</v>
      </c>
      <c r="L172" s="98">
        <v>30</v>
      </c>
      <c r="M172" s="97" t="s">
        <v>261</v>
      </c>
    </row>
    <row r="173" spans="1:13" ht="38.25" x14ac:dyDescent="0.2">
      <c r="A173" s="98" t="s">
        <v>262</v>
      </c>
      <c r="B173" s="98" t="s">
        <v>36</v>
      </c>
      <c r="C173" s="98" t="s">
        <v>37</v>
      </c>
      <c r="D173" s="98">
        <v>1</v>
      </c>
      <c r="E173" s="98">
        <v>30</v>
      </c>
      <c r="F173" s="129">
        <v>45909</v>
      </c>
      <c r="G173" s="130">
        <v>0.375</v>
      </c>
      <c r="H173" s="129">
        <v>45907</v>
      </c>
      <c r="I173" s="130">
        <v>0.58333333333333337</v>
      </c>
      <c r="J173" s="98">
        <f t="shared" si="3"/>
        <v>0</v>
      </c>
      <c r="K173" s="98">
        <v>2</v>
      </c>
      <c r="L173" s="98">
        <v>30</v>
      </c>
      <c r="M173" s="97" t="s">
        <v>263</v>
      </c>
    </row>
    <row r="174" spans="1:13" ht="38.25" x14ac:dyDescent="0.2">
      <c r="A174" s="97" t="s">
        <v>262</v>
      </c>
      <c r="B174" s="98" t="s">
        <v>42</v>
      </c>
      <c r="C174" s="98" t="s">
        <v>43</v>
      </c>
      <c r="D174" s="98">
        <v>1</v>
      </c>
      <c r="E174" s="98">
        <v>30</v>
      </c>
      <c r="F174" s="129">
        <v>45909</v>
      </c>
      <c r="G174" s="130">
        <v>0.375</v>
      </c>
      <c r="H174" s="129">
        <v>45907</v>
      </c>
      <c r="I174" s="130">
        <v>0.58333333333333337</v>
      </c>
      <c r="J174" s="98">
        <f t="shared" si="3"/>
        <v>0</v>
      </c>
      <c r="K174" s="98">
        <v>1</v>
      </c>
      <c r="L174" s="98">
        <v>30</v>
      </c>
      <c r="M174" s="97" t="s">
        <v>263</v>
      </c>
    </row>
    <row r="175" spans="1:13" ht="25.5" x14ac:dyDescent="0.2">
      <c r="A175" s="97" t="s">
        <v>264</v>
      </c>
      <c r="B175" s="98" t="s">
        <v>36</v>
      </c>
      <c r="C175" s="98" t="s">
        <v>37</v>
      </c>
      <c r="D175" s="98">
        <v>1</v>
      </c>
      <c r="E175" s="98">
        <v>30</v>
      </c>
      <c r="F175" s="129">
        <v>45909</v>
      </c>
      <c r="G175" s="130">
        <v>0.375</v>
      </c>
      <c r="H175" s="129">
        <v>45907</v>
      </c>
      <c r="I175" s="130">
        <v>0.58333333333333337</v>
      </c>
      <c r="J175" s="98">
        <f t="shared" si="3"/>
        <v>0</v>
      </c>
      <c r="K175" s="98">
        <v>1</v>
      </c>
      <c r="L175" s="98">
        <v>30</v>
      </c>
      <c r="M175" s="97" t="s">
        <v>265</v>
      </c>
    </row>
    <row r="176" spans="1:13" ht="25.5" x14ac:dyDescent="0.2">
      <c r="A176" s="97" t="s">
        <v>264</v>
      </c>
      <c r="B176" s="98" t="s">
        <v>42</v>
      </c>
      <c r="C176" s="98" t="s">
        <v>43</v>
      </c>
      <c r="D176" s="98">
        <v>1</v>
      </c>
      <c r="E176" s="98">
        <v>30</v>
      </c>
      <c r="F176" s="129">
        <v>45909</v>
      </c>
      <c r="G176" s="130">
        <v>0.375</v>
      </c>
      <c r="H176" s="129">
        <v>45907</v>
      </c>
      <c r="I176" s="130">
        <v>0.58333333333333337</v>
      </c>
      <c r="J176" s="98">
        <f t="shared" si="3"/>
        <v>0</v>
      </c>
      <c r="K176" s="98">
        <v>1</v>
      </c>
      <c r="L176" s="98">
        <v>30</v>
      </c>
      <c r="M176" s="97" t="s">
        <v>265</v>
      </c>
    </row>
    <row r="177" spans="1:13" ht="25.5" x14ac:dyDescent="0.2">
      <c r="A177" s="97" t="s">
        <v>266</v>
      </c>
      <c r="B177" s="98" t="s">
        <v>36</v>
      </c>
      <c r="C177" s="98" t="s">
        <v>37</v>
      </c>
      <c r="D177" s="98">
        <v>1</v>
      </c>
      <c r="E177" s="98">
        <v>20</v>
      </c>
      <c r="F177" s="129">
        <v>45909</v>
      </c>
      <c r="G177" s="130">
        <v>0.375</v>
      </c>
      <c r="H177" s="129">
        <v>45907</v>
      </c>
      <c r="I177" s="130">
        <v>0.58333333333333337</v>
      </c>
      <c r="J177" s="98">
        <f t="shared" si="3"/>
        <v>-10</v>
      </c>
      <c r="K177" s="98">
        <v>1</v>
      </c>
      <c r="L177" s="98">
        <v>30</v>
      </c>
      <c r="M177" s="97" t="s">
        <v>267</v>
      </c>
    </row>
    <row r="178" spans="1:13" ht="25.5" x14ac:dyDescent="0.2">
      <c r="A178" s="97" t="s">
        <v>266</v>
      </c>
      <c r="B178" s="98" t="s">
        <v>42</v>
      </c>
      <c r="C178" s="98" t="s">
        <v>43</v>
      </c>
      <c r="D178" s="98">
        <v>1</v>
      </c>
      <c r="E178" s="98">
        <v>20</v>
      </c>
      <c r="F178" s="129">
        <v>45909</v>
      </c>
      <c r="G178" s="130">
        <v>0.375</v>
      </c>
      <c r="H178" s="129">
        <v>45907</v>
      </c>
      <c r="I178" s="130">
        <v>0.58333333333333337</v>
      </c>
      <c r="J178" s="98">
        <f t="shared" si="3"/>
        <v>-10</v>
      </c>
      <c r="K178" s="98">
        <v>1</v>
      </c>
      <c r="L178" s="98">
        <v>30</v>
      </c>
      <c r="M178" s="97" t="s">
        <v>267</v>
      </c>
    </row>
    <row r="179" spans="1:13" ht="25.5" x14ac:dyDescent="0.2">
      <c r="A179" s="97" t="s">
        <v>268</v>
      </c>
      <c r="B179" s="98" t="s">
        <v>36</v>
      </c>
      <c r="C179" s="98" t="s">
        <v>37</v>
      </c>
      <c r="D179" s="98">
        <v>1</v>
      </c>
      <c r="E179" s="98">
        <v>20</v>
      </c>
      <c r="F179" s="129">
        <v>45909</v>
      </c>
      <c r="G179" s="130">
        <v>0.375</v>
      </c>
      <c r="H179" s="129">
        <v>45907</v>
      </c>
      <c r="I179" s="130">
        <v>0.58333333333333337</v>
      </c>
      <c r="J179" s="98">
        <f t="shared" si="3"/>
        <v>-10</v>
      </c>
      <c r="K179" s="98">
        <v>1</v>
      </c>
      <c r="L179" s="98">
        <v>30</v>
      </c>
      <c r="M179" s="97" t="s">
        <v>269</v>
      </c>
    </row>
    <row r="180" spans="1:13" ht="25.5" x14ac:dyDescent="0.2">
      <c r="A180" s="97" t="s">
        <v>268</v>
      </c>
      <c r="B180" s="98" t="s">
        <v>42</v>
      </c>
      <c r="C180" s="98" t="s">
        <v>43</v>
      </c>
      <c r="D180" s="98">
        <v>1</v>
      </c>
      <c r="E180" s="98">
        <v>20</v>
      </c>
      <c r="F180" s="129">
        <v>45909</v>
      </c>
      <c r="G180" s="130">
        <v>0.375</v>
      </c>
      <c r="H180" s="129">
        <v>45907</v>
      </c>
      <c r="I180" s="130">
        <v>0.58333333333333337</v>
      </c>
      <c r="J180" s="98">
        <f t="shared" si="3"/>
        <v>0</v>
      </c>
      <c r="K180" s="98">
        <v>1</v>
      </c>
      <c r="L180" s="98">
        <v>20</v>
      </c>
      <c r="M180" s="97" t="s">
        <v>269</v>
      </c>
    </row>
    <row r="181" spans="1:13" ht="25.5" x14ac:dyDescent="0.2">
      <c r="A181" s="97" t="s">
        <v>270</v>
      </c>
      <c r="B181" s="98" t="s">
        <v>36</v>
      </c>
      <c r="C181" s="98" t="s">
        <v>37</v>
      </c>
      <c r="D181" s="98">
        <v>1</v>
      </c>
      <c r="E181" s="98">
        <v>20</v>
      </c>
      <c r="F181" s="129">
        <v>45909</v>
      </c>
      <c r="G181" s="130">
        <v>0.375</v>
      </c>
      <c r="H181" s="129">
        <v>45907</v>
      </c>
      <c r="I181" s="130">
        <v>0.58333333333333337</v>
      </c>
      <c r="J181" s="98">
        <f t="shared" si="3"/>
        <v>1</v>
      </c>
      <c r="K181" s="98">
        <v>2</v>
      </c>
      <c r="L181" s="98">
        <v>19</v>
      </c>
      <c r="M181" s="97" t="s">
        <v>273</v>
      </c>
    </row>
    <row r="182" spans="1:13" ht="25.5" x14ac:dyDescent="0.2">
      <c r="A182" s="97" t="s">
        <v>271</v>
      </c>
      <c r="B182" s="98" t="s">
        <v>42</v>
      </c>
      <c r="C182" s="98" t="s">
        <v>43</v>
      </c>
      <c r="D182" s="98">
        <v>1</v>
      </c>
      <c r="E182" s="98">
        <v>20</v>
      </c>
      <c r="F182" s="129">
        <v>45909</v>
      </c>
      <c r="G182" s="130">
        <v>0.375</v>
      </c>
      <c r="H182" s="129">
        <v>45907</v>
      </c>
      <c r="I182" s="130">
        <v>0.58333333333333337</v>
      </c>
      <c r="J182" s="98">
        <f t="shared" si="3"/>
        <v>0</v>
      </c>
      <c r="K182" s="98">
        <v>2</v>
      </c>
      <c r="L182" s="98">
        <v>20</v>
      </c>
      <c r="M182" s="97" t="s">
        <v>273</v>
      </c>
    </row>
    <row r="183" spans="1:13" ht="38.25" x14ac:dyDescent="0.2">
      <c r="A183" s="97" t="s">
        <v>272</v>
      </c>
      <c r="B183" s="98" t="s">
        <v>36</v>
      </c>
      <c r="C183" s="98" t="s">
        <v>37</v>
      </c>
      <c r="D183" s="98">
        <v>1</v>
      </c>
      <c r="E183" s="98">
        <v>15</v>
      </c>
      <c r="F183" s="129">
        <v>45909</v>
      </c>
      <c r="G183" s="130">
        <v>0.375</v>
      </c>
      <c r="H183" s="129">
        <v>45907</v>
      </c>
      <c r="I183" s="130">
        <v>0.58333333333333337</v>
      </c>
      <c r="J183" s="98">
        <f t="shared" si="3"/>
        <v>5</v>
      </c>
      <c r="K183" s="98">
        <v>1</v>
      </c>
      <c r="L183" s="98">
        <v>10</v>
      </c>
      <c r="M183" s="97" t="s">
        <v>274</v>
      </c>
    </row>
    <row r="184" spans="1:13" ht="38.25" x14ac:dyDescent="0.2">
      <c r="A184" s="97" t="s">
        <v>272</v>
      </c>
      <c r="B184" s="98" t="s">
        <v>42</v>
      </c>
      <c r="C184" s="98" t="s">
        <v>43</v>
      </c>
      <c r="D184" s="98">
        <v>1</v>
      </c>
      <c r="E184" s="98">
        <v>15</v>
      </c>
      <c r="F184" s="129">
        <v>45909</v>
      </c>
      <c r="G184" s="130">
        <v>0.375</v>
      </c>
      <c r="H184" s="129">
        <v>45907</v>
      </c>
      <c r="I184" s="130">
        <v>0.58333333333333337</v>
      </c>
      <c r="J184" s="98">
        <f t="shared" si="3"/>
        <v>5</v>
      </c>
      <c r="K184" s="98">
        <v>1</v>
      </c>
      <c r="L184" s="98">
        <v>10</v>
      </c>
      <c r="M184" s="97" t="s">
        <v>274</v>
      </c>
    </row>
    <row r="185" spans="1:13" ht="38.25" x14ac:dyDescent="0.2">
      <c r="A185" s="97" t="s">
        <v>275</v>
      </c>
      <c r="B185" s="98" t="s">
        <v>36</v>
      </c>
      <c r="C185" s="98" t="s">
        <v>37</v>
      </c>
      <c r="D185" s="98">
        <v>1</v>
      </c>
      <c r="E185" s="98">
        <v>20</v>
      </c>
      <c r="F185" s="129">
        <v>45909</v>
      </c>
      <c r="G185" s="130">
        <v>0.375</v>
      </c>
      <c r="H185" s="129">
        <v>45907</v>
      </c>
      <c r="I185" s="130">
        <v>0.58333333333333337</v>
      </c>
      <c r="J185" s="98">
        <f t="shared" si="3"/>
        <v>10</v>
      </c>
      <c r="K185" s="98">
        <v>1</v>
      </c>
      <c r="L185" s="98">
        <v>10</v>
      </c>
      <c r="M185" s="97" t="s">
        <v>276</v>
      </c>
    </row>
    <row r="186" spans="1:13" ht="38.25" x14ac:dyDescent="0.2">
      <c r="A186" s="97" t="s">
        <v>275</v>
      </c>
      <c r="B186" s="98" t="s">
        <v>42</v>
      </c>
      <c r="C186" s="98" t="s">
        <v>43</v>
      </c>
      <c r="D186" s="98">
        <v>1</v>
      </c>
      <c r="E186" s="98">
        <v>20</v>
      </c>
      <c r="F186" s="129">
        <v>45909</v>
      </c>
      <c r="G186" s="130">
        <v>0.375</v>
      </c>
      <c r="H186" s="129">
        <v>45907</v>
      </c>
      <c r="I186" s="130">
        <v>0.58333333333333337</v>
      </c>
      <c r="J186" s="98">
        <f t="shared" si="3"/>
        <v>10</v>
      </c>
      <c r="K186" s="98">
        <v>1</v>
      </c>
      <c r="L186" s="98">
        <v>10</v>
      </c>
      <c r="M186" s="97" t="s">
        <v>276</v>
      </c>
    </row>
    <row r="187" spans="1:13" ht="38.25" x14ac:dyDescent="0.2">
      <c r="A187" s="97" t="s">
        <v>277</v>
      </c>
      <c r="B187" s="98" t="s">
        <v>21</v>
      </c>
      <c r="C187" s="98" t="s">
        <v>22</v>
      </c>
      <c r="D187" s="98">
        <v>1</v>
      </c>
      <c r="E187" s="98">
        <v>55</v>
      </c>
      <c r="F187" s="129">
        <v>45909</v>
      </c>
      <c r="G187" s="130">
        <v>0.375</v>
      </c>
      <c r="H187" s="129">
        <v>45906</v>
      </c>
      <c r="I187" s="130">
        <v>0.35416666666666669</v>
      </c>
      <c r="J187" s="98">
        <f t="shared" si="3"/>
        <v>-5</v>
      </c>
      <c r="K187" s="98">
        <v>2</v>
      </c>
      <c r="L187" s="98">
        <v>60</v>
      </c>
      <c r="M187" s="97" t="s">
        <v>278</v>
      </c>
    </row>
    <row r="188" spans="1:13" ht="38.25" x14ac:dyDescent="0.2">
      <c r="A188" s="97" t="s">
        <v>277</v>
      </c>
      <c r="B188" s="98" t="s">
        <v>136</v>
      </c>
      <c r="C188" s="98" t="s">
        <v>34</v>
      </c>
      <c r="D188" s="98">
        <v>1</v>
      </c>
      <c r="E188" s="98">
        <v>55</v>
      </c>
      <c r="F188" s="129">
        <v>45909</v>
      </c>
      <c r="G188" s="130">
        <v>0.375</v>
      </c>
      <c r="H188" s="129">
        <v>45906</v>
      </c>
      <c r="I188" s="130">
        <v>0.39583333333333298</v>
      </c>
      <c r="J188" s="98">
        <f t="shared" si="3"/>
        <v>-5</v>
      </c>
      <c r="K188" s="98">
        <v>1</v>
      </c>
      <c r="L188" s="98">
        <v>60</v>
      </c>
      <c r="M188" s="97" t="s">
        <v>278</v>
      </c>
    </row>
    <row r="189" spans="1:13" ht="38.25" x14ac:dyDescent="0.2">
      <c r="A189" s="97" t="s">
        <v>279</v>
      </c>
      <c r="B189" s="98" t="s">
        <v>21</v>
      </c>
      <c r="C189" s="98" t="s">
        <v>22</v>
      </c>
      <c r="D189" s="98">
        <v>1</v>
      </c>
      <c r="E189" s="98">
        <v>60</v>
      </c>
      <c r="F189" s="129">
        <v>45909</v>
      </c>
      <c r="G189" s="130">
        <v>0.375</v>
      </c>
      <c r="H189" s="129">
        <v>45906</v>
      </c>
      <c r="I189" s="130">
        <v>0.4375</v>
      </c>
      <c r="J189" s="98">
        <f t="shared" si="3"/>
        <v>0</v>
      </c>
      <c r="K189" s="98">
        <v>3</v>
      </c>
      <c r="L189" s="98">
        <v>60</v>
      </c>
      <c r="M189" s="97" t="s">
        <v>280</v>
      </c>
    </row>
    <row r="190" spans="1:13" ht="38.25" x14ac:dyDescent="0.2">
      <c r="A190" s="97" t="s">
        <v>279</v>
      </c>
      <c r="B190" s="98" t="s">
        <v>136</v>
      </c>
      <c r="C190" s="98" t="s">
        <v>34</v>
      </c>
      <c r="D190" s="98">
        <v>1</v>
      </c>
      <c r="E190" s="98">
        <v>60</v>
      </c>
      <c r="F190" s="129">
        <v>45909</v>
      </c>
      <c r="G190" s="130">
        <v>0.375</v>
      </c>
      <c r="H190" s="129">
        <v>45906</v>
      </c>
      <c r="I190" s="130">
        <v>0.47916666666666702</v>
      </c>
      <c r="J190" s="98">
        <f t="shared" si="3"/>
        <v>0</v>
      </c>
      <c r="K190" s="98">
        <v>1</v>
      </c>
      <c r="L190" s="98">
        <v>60</v>
      </c>
      <c r="M190" s="97" t="s">
        <v>280</v>
      </c>
    </row>
    <row r="191" spans="1:13" ht="25.5" x14ac:dyDescent="0.2">
      <c r="A191" s="97" t="s">
        <v>281</v>
      </c>
      <c r="B191" s="98" t="s">
        <v>21</v>
      </c>
      <c r="C191" s="98" t="s">
        <v>22</v>
      </c>
      <c r="D191" s="98">
        <v>1</v>
      </c>
      <c r="E191" s="98">
        <v>30</v>
      </c>
      <c r="F191" s="129">
        <v>45909</v>
      </c>
      <c r="G191" s="130">
        <v>0.375</v>
      </c>
      <c r="H191" s="129">
        <v>45906</v>
      </c>
      <c r="I191" s="130">
        <v>0.5</v>
      </c>
      <c r="J191" s="98">
        <f t="shared" si="3"/>
        <v>0</v>
      </c>
      <c r="K191" s="98">
        <v>1</v>
      </c>
      <c r="L191" s="98">
        <v>30</v>
      </c>
      <c r="M191" s="97" t="s">
        <v>282</v>
      </c>
    </row>
    <row r="192" spans="1:13" ht="25.5" x14ac:dyDescent="0.2">
      <c r="A192" s="97" t="s">
        <v>281</v>
      </c>
      <c r="B192" s="98" t="s">
        <v>136</v>
      </c>
      <c r="C192" s="98" t="s">
        <v>34</v>
      </c>
      <c r="D192" s="98">
        <v>1</v>
      </c>
      <c r="E192" s="98">
        <v>30</v>
      </c>
      <c r="F192" s="129">
        <v>45909</v>
      </c>
      <c r="G192" s="130">
        <v>0.375</v>
      </c>
      <c r="H192" s="129">
        <v>45906</v>
      </c>
      <c r="I192" s="130">
        <v>0.52083333333333337</v>
      </c>
      <c r="J192" s="98">
        <f t="shared" si="3"/>
        <v>2</v>
      </c>
      <c r="K192" s="98">
        <v>1</v>
      </c>
      <c r="L192" s="98">
        <v>28</v>
      </c>
      <c r="M192" s="97" t="s">
        <v>282</v>
      </c>
    </row>
    <row r="193" spans="1:13" ht="38.25" x14ac:dyDescent="0.2">
      <c r="A193" s="97" t="s">
        <v>283</v>
      </c>
      <c r="B193" s="98" t="s">
        <v>21</v>
      </c>
      <c r="C193" s="98" t="s">
        <v>22</v>
      </c>
      <c r="D193" s="98">
        <v>1</v>
      </c>
      <c r="E193" s="98">
        <v>30</v>
      </c>
      <c r="F193" s="129">
        <v>45909</v>
      </c>
      <c r="G193" s="130">
        <v>0.375</v>
      </c>
      <c r="H193" s="129">
        <v>45906</v>
      </c>
      <c r="I193" s="130">
        <v>0.54166666666666663</v>
      </c>
      <c r="J193" s="98">
        <f t="shared" si="3"/>
        <v>0</v>
      </c>
      <c r="K193" s="98">
        <v>1</v>
      </c>
      <c r="L193" s="98">
        <v>30</v>
      </c>
      <c r="M193" s="97" t="s">
        <v>284</v>
      </c>
    </row>
    <row r="194" spans="1:13" ht="38.25" x14ac:dyDescent="0.2">
      <c r="A194" s="97" t="s">
        <v>283</v>
      </c>
      <c r="B194" s="98" t="s">
        <v>136</v>
      </c>
      <c r="C194" s="98" t="s">
        <v>34</v>
      </c>
      <c r="D194" s="98">
        <v>1</v>
      </c>
      <c r="E194" s="98">
        <v>30</v>
      </c>
      <c r="F194" s="129">
        <v>45909</v>
      </c>
      <c r="G194" s="130">
        <v>0.375</v>
      </c>
      <c r="H194" s="129">
        <v>45906</v>
      </c>
      <c r="I194" s="130">
        <v>0.5625</v>
      </c>
      <c r="J194" s="98">
        <f t="shared" si="3"/>
        <v>1</v>
      </c>
      <c r="K194" s="98">
        <v>1</v>
      </c>
      <c r="L194" s="98">
        <v>29</v>
      </c>
      <c r="M194" s="97" t="s">
        <v>284</v>
      </c>
    </row>
    <row r="195" spans="1:13" ht="38.25" x14ac:dyDescent="0.2">
      <c r="A195" s="97" t="s">
        <v>285</v>
      </c>
      <c r="B195" s="98" t="s">
        <v>21</v>
      </c>
      <c r="C195" s="98" t="s">
        <v>22</v>
      </c>
      <c r="D195" s="98">
        <v>1</v>
      </c>
      <c r="E195" s="98">
        <v>30</v>
      </c>
      <c r="F195" s="129">
        <v>45909</v>
      </c>
      <c r="G195" s="130">
        <v>0.375</v>
      </c>
      <c r="H195" s="129">
        <v>45906</v>
      </c>
      <c r="I195" s="130">
        <v>0.58333333333333337</v>
      </c>
      <c r="J195" s="98">
        <f t="shared" si="3"/>
        <v>0</v>
      </c>
      <c r="K195" s="98">
        <v>1</v>
      </c>
      <c r="L195" s="98">
        <v>30</v>
      </c>
      <c r="M195" s="97" t="s">
        <v>286</v>
      </c>
    </row>
    <row r="196" spans="1:13" ht="38.25" x14ac:dyDescent="0.2">
      <c r="A196" s="97" t="s">
        <v>285</v>
      </c>
      <c r="B196" s="98" t="s">
        <v>136</v>
      </c>
      <c r="C196" s="98" t="s">
        <v>34</v>
      </c>
      <c r="D196" s="98">
        <v>1</v>
      </c>
      <c r="E196" s="98">
        <v>30</v>
      </c>
      <c r="F196" s="129">
        <v>45909</v>
      </c>
      <c r="G196" s="130">
        <v>0.375</v>
      </c>
      <c r="H196" s="129">
        <v>45906</v>
      </c>
      <c r="I196" s="130">
        <v>0.58333333333333337</v>
      </c>
      <c r="J196" s="98">
        <f t="shared" si="3"/>
        <v>0</v>
      </c>
      <c r="K196" s="98">
        <v>1</v>
      </c>
      <c r="L196" s="98">
        <v>30</v>
      </c>
      <c r="M196" s="97" t="s">
        <v>286</v>
      </c>
    </row>
    <row r="197" spans="1:13" ht="25.5" x14ac:dyDescent="0.2">
      <c r="A197" s="97" t="s">
        <v>287</v>
      </c>
      <c r="B197" s="98" t="s">
        <v>21</v>
      </c>
      <c r="C197" s="98" t="s">
        <v>22</v>
      </c>
      <c r="D197" s="98">
        <v>1</v>
      </c>
      <c r="E197" s="98">
        <v>30</v>
      </c>
      <c r="F197" s="129">
        <v>45909</v>
      </c>
      <c r="G197" s="130">
        <v>0.375</v>
      </c>
      <c r="H197" s="129">
        <v>45906</v>
      </c>
      <c r="I197" s="130">
        <v>0.60416666666666663</v>
      </c>
      <c r="J197" s="98">
        <f t="shared" si="3"/>
        <v>0</v>
      </c>
      <c r="K197" s="98">
        <v>1</v>
      </c>
      <c r="L197" s="98">
        <v>30</v>
      </c>
      <c r="M197" s="97" t="s">
        <v>288</v>
      </c>
    </row>
    <row r="198" spans="1:13" ht="25.5" x14ac:dyDescent="0.2">
      <c r="A198" s="97" t="s">
        <v>287</v>
      </c>
      <c r="B198" s="98" t="s">
        <v>136</v>
      </c>
      <c r="C198" s="98" t="s">
        <v>34</v>
      </c>
      <c r="D198" s="98">
        <v>1</v>
      </c>
      <c r="E198" s="98">
        <v>30</v>
      </c>
      <c r="F198" s="129">
        <v>45909</v>
      </c>
      <c r="G198" s="130">
        <v>0.375</v>
      </c>
      <c r="H198" s="129">
        <v>45906</v>
      </c>
      <c r="I198" s="130">
        <v>0.60416666666666663</v>
      </c>
      <c r="J198" s="98">
        <f t="shared" si="3"/>
        <v>5</v>
      </c>
      <c r="K198" s="98">
        <v>1</v>
      </c>
      <c r="L198" s="98">
        <v>25</v>
      </c>
      <c r="M198" s="97" t="s">
        <v>288</v>
      </c>
    </row>
    <row r="199" spans="1:13" ht="38.25" x14ac:dyDescent="0.2">
      <c r="A199" s="97" t="s">
        <v>289</v>
      </c>
      <c r="B199" s="98" t="s">
        <v>21</v>
      </c>
      <c r="C199" s="98" t="s">
        <v>22</v>
      </c>
      <c r="D199" s="98">
        <v>1</v>
      </c>
      <c r="E199" s="98">
        <v>30</v>
      </c>
      <c r="F199" s="129">
        <v>45909</v>
      </c>
      <c r="G199" s="130">
        <v>0.375</v>
      </c>
      <c r="H199" s="129">
        <v>45906</v>
      </c>
      <c r="I199" s="130">
        <v>0.625</v>
      </c>
      <c r="J199" s="98">
        <f t="shared" si="3"/>
        <v>5</v>
      </c>
      <c r="K199" s="98">
        <v>1</v>
      </c>
      <c r="L199" s="98">
        <v>25</v>
      </c>
      <c r="M199" s="97" t="s">
        <v>290</v>
      </c>
    </row>
    <row r="200" spans="1:13" ht="38.25" x14ac:dyDescent="0.2">
      <c r="A200" s="98" t="s">
        <v>289</v>
      </c>
      <c r="B200" s="98" t="s">
        <v>136</v>
      </c>
      <c r="C200" s="98" t="s">
        <v>34</v>
      </c>
      <c r="D200" s="98">
        <v>1</v>
      </c>
      <c r="E200" s="98">
        <v>30</v>
      </c>
      <c r="F200" s="129">
        <v>45909</v>
      </c>
      <c r="G200" s="130">
        <v>0.375</v>
      </c>
      <c r="H200" s="129">
        <v>45906</v>
      </c>
      <c r="I200" s="130">
        <v>0.625</v>
      </c>
      <c r="J200" s="98">
        <f t="shared" si="3"/>
        <v>0</v>
      </c>
      <c r="K200" s="98">
        <v>1</v>
      </c>
      <c r="L200" s="98">
        <v>30</v>
      </c>
      <c r="M200" s="97" t="s">
        <v>290</v>
      </c>
    </row>
    <row r="201" spans="1:13" ht="38.25" x14ac:dyDescent="0.2">
      <c r="A201" s="97" t="s">
        <v>291</v>
      </c>
      <c r="B201" s="98" t="s">
        <v>21</v>
      </c>
      <c r="C201" s="98" t="s">
        <v>22</v>
      </c>
      <c r="D201" s="98">
        <v>1</v>
      </c>
      <c r="E201" s="98">
        <v>30</v>
      </c>
      <c r="F201" s="129">
        <v>45909</v>
      </c>
      <c r="G201" s="130">
        <v>0.375</v>
      </c>
      <c r="H201" s="129">
        <v>45906</v>
      </c>
      <c r="I201" s="130">
        <v>0.64583333333333337</v>
      </c>
      <c r="J201" s="98">
        <f t="shared" si="3"/>
        <v>0</v>
      </c>
      <c r="K201" s="98">
        <v>1</v>
      </c>
      <c r="L201" s="98">
        <v>30</v>
      </c>
      <c r="M201" s="97" t="s">
        <v>292</v>
      </c>
    </row>
    <row r="202" spans="1:13" ht="38.25" x14ac:dyDescent="0.2">
      <c r="A202" s="97" t="s">
        <v>291</v>
      </c>
      <c r="B202" s="98" t="s">
        <v>136</v>
      </c>
      <c r="C202" s="98" t="s">
        <v>34</v>
      </c>
      <c r="D202" s="98">
        <v>1</v>
      </c>
      <c r="E202" s="98">
        <v>30</v>
      </c>
      <c r="F202" s="129">
        <v>45909</v>
      </c>
      <c r="G202" s="130">
        <v>0.375</v>
      </c>
      <c r="H202" s="129">
        <v>45906</v>
      </c>
      <c r="I202" s="130">
        <v>0.64583333333333337</v>
      </c>
      <c r="J202" s="98">
        <f t="shared" si="3"/>
        <v>0</v>
      </c>
      <c r="K202" s="98">
        <v>1</v>
      </c>
      <c r="L202" s="98">
        <v>30</v>
      </c>
      <c r="M202" s="97" t="s">
        <v>292</v>
      </c>
    </row>
    <row r="203" spans="1:13" ht="25.5" x14ac:dyDescent="0.2">
      <c r="A203" s="97" t="s">
        <v>293</v>
      </c>
      <c r="B203" s="98" t="s">
        <v>21</v>
      </c>
      <c r="C203" s="98" t="s">
        <v>22</v>
      </c>
      <c r="D203" s="98">
        <v>2</v>
      </c>
      <c r="E203" s="98">
        <v>60</v>
      </c>
      <c r="F203" s="129">
        <v>45909</v>
      </c>
      <c r="G203" s="130">
        <v>0.375</v>
      </c>
      <c r="H203" s="129">
        <v>45906</v>
      </c>
      <c r="I203" s="130">
        <v>0.66666666666666663</v>
      </c>
      <c r="J203" s="98">
        <f t="shared" si="3"/>
        <v>35</v>
      </c>
      <c r="K203" s="98">
        <v>1</v>
      </c>
      <c r="L203" s="98">
        <v>25</v>
      </c>
      <c r="M203" s="97" t="s">
        <v>294</v>
      </c>
    </row>
    <row r="204" spans="1:13" ht="25.5" x14ac:dyDescent="0.2">
      <c r="A204" s="97" t="s">
        <v>293</v>
      </c>
      <c r="B204" s="98" t="s">
        <v>136</v>
      </c>
      <c r="C204" s="98" t="s">
        <v>34</v>
      </c>
      <c r="D204" s="98">
        <v>2</v>
      </c>
      <c r="E204" s="98">
        <v>60</v>
      </c>
      <c r="F204" s="129">
        <v>45909</v>
      </c>
      <c r="G204" s="130">
        <v>0.375</v>
      </c>
      <c r="H204" s="129">
        <v>45906</v>
      </c>
      <c r="I204" s="130">
        <v>0.66666666666666663</v>
      </c>
      <c r="J204" s="98">
        <f t="shared" si="3"/>
        <v>35</v>
      </c>
      <c r="K204" s="98">
        <v>1</v>
      </c>
      <c r="L204" s="98">
        <v>25</v>
      </c>
      <c r="M204" s="97" t="s">
        <v>294</v>
      </c>
    </row>
    <row r="205" spans="1:13" ht="25.5" x14ac:dyDescent="0.2">
      <c r="A205" s="97" t="s">
        <v>295</v>
      </c>
      <c r="B205" s="98" t="s">
        <v>21</v>
      </c>
      <c r="C205" s="98" t="s">
        <v>22</v>
      </c>
      <c r="D205" s="98">
        <v>2</v>
      </c>
      <c r="E205" s="98">
        <v>60</v>
      </c>
      <c r="F205" s="129">
        <v>45909</v>
      </c>
      <c r="G205" s="130">
        <v>0.375</v>
      </c>
      <c r="H205" s="129">
        <v>45906</v>
      </c>
      <c r="I205" s="130">
        <v>0.70833333333333337</v>
      </c>
      <c r="J205" s="98">
        <f t="shared" si="3"/>
        <v>38</v>
      </c>
      <c r="K205" s="98">
        <v>1</v>
      </c>
      <c r="L205" s="98">
        <v>22</v>
      </c>
      <c r="M205" s="97" t="s">
        <v>296</v>
      </c>
    </row>
    <row r="206" spans="1:13" ht="25.5" x14ac:dyDescent="0.2">
      <c r="A206" s="97" t="s">
        <v>295</v>
      </c>
      <c r="B206" s="98" t="s">
        <v>136</v>
      </c>
      <c r="C206" s="98" t="s">
        <v>34</v>
      </c>
      <c r="D206" s="98">
        <v>2</v>
      </c>
      <c r="E206" s="98">
        <v>60</v>
      </c>
      <c r="F206" s="129">
        <v>45909</v>
      </c>
      <c r="G206" s="130">
        <v>0.375</v>
      </c>
      <c r="H206" s="129">
        <v>45906</v>
      </c>
      <c r="I206" s="130">
        <v>0.75</v>
      </c>
      <c r="J206" s="98">
        <f t="shared" si="3"/>
        <v>38</v>
      </c>
      <c r="K206" s="98">
        <v>2</v>
      </c>
      <c r="L206" s="98">
        <v>22</v>
      </c>
      <c r="M206" s="97" t="s">
        <v>296</v>
      </c>
    </row>
    <row r="207" spans="1:13" ht="25.5" x14ac:dyDescent="0.2">
      <c r="A207" s="97" t="s">
        <v>297</v>
      </c>
      <c r="B207" s="98" t="s">
        <v>21</v>
      </c>
      <c r="C207" s="98" t="s">
        <v>22</v>
      </c>
      <c r="D207" s="98">
        <v>2</v>
      </c>
      <c r="E207" s="98">
        <v>60</v>
      </c>
      <c r="F207" s="129">
        <v>45909</v>
      </c>
      <c r="G207" s="130">
        <v>0.375</v>
      </c>
      <c r="H207" s="129">
        <v>45906</v>
      </c>
      <c r="I207" s="130">
        <v>0.79166666666666696</v>
      </c>
      <c r="J207" s="98">
        <f t="shared" si="3"/>
        <v>39</v>
      </c>
      <c r="K207" s="98">
        <v>2</v>
      </c>
      <c r="L207" s="98">
        <v>21</v>
      </c>
      <c r="M207" s="97" t="s">
        <v>298</v>
      </c>
    </row>
    <row r="208" spans="1:13" ht="25.5" x14ac:dyDescent="0.2">
      <c r="A208" s="97" t="s">
        <v>297</v>
      </c>
      <c r="B208" s="98" t="s">
        <v>136</v>
      </c>
      <c r="C208" s="98" t="s">
        <v>34</v>
      </c>
      <c r="D208" s="98">
        <v>2</v>
      </c>
      <c r="E208" s="98">
        <v>60</v>
      </c>
      <c r="F208" s="129">
        <v>45909</v>
      </c>
      <c r="G208" s="130">
        <v>0.375</v>
      </c>
      <c r="H208" s="129">
        <v>45906</v>
      </c>
      <c r="I208" s="130">
        <v>0.83333333333333304</v>
      </c>
      <c r="J208" s="98">
        <f t="shared" si="3"/>
        <v>39</v>
      </c>
      <c r="K208" s="98">
        <v>2</v>
      </c>
      <c r="L208" s="98">
        <v>21</v>
      </c>
      <c r="M208" s="97" t="s">
        <v>298</v>
      </c>
    </row>
    <row r="209" spans="1:13" ht="38.25" x14ac:dyDescent="0.2">
      <c r="A209" s="97" t="s">
        <v>299</v>
      </c>
      <c r="B209" s="98" t="s">
        <v>30</v>
      </c>
      <c r="C209" s="98" t="s">
        <v>31</v>
      </c>
      <c r="D209" s="98">
        <v>1</v>
      </c>
      <c r="E209" s="98">
        <v>30</v>
      </c>
      <c r="F209" s="129">
        <v>45909</v>
      </c>
      <c r="G209" s="130">
        <v>0.375</v>
      </c>
      <c r="H209" s="129">
        <v>45907</v>
      </c>
      <c r="I209" s="130">
        <v>0.5</v>
      </c>
      <c r="J209" s="98">
        <f t="shared" si="3"/>
        <v>0</v>
      </c>
      <c r="K209" s="98">
        <v>2</v>
      </c>
      <c r="L209" s="98">
        <v>30</v>
      </c>
      <c r="M209" s="97" t="s">
        <v>300</v>
      </c>
    </row>
    <row r="210" spans="1:13" ht="38.25" x14ac:dyDescent="0.2">
      <c r="A210" s="98" t="s">
        <v>299</v>
      </c>
      <c r="B210" s="98" t="s">
        <v>39</v>
      </c>
      <c r="C210" s="98" t="s">
        <v>40</v>
      </c>
      <c r="D210" s="98">
        <v>1</v>
      </c>
      <c r="E210" s="98">
        <v>30</v>
      </c>
      <c r="F210" s="129">
        <v>45909</v>
      </c>
      <c r="G210" s="130">
        <v>0.375</v>
      </c>
      <c r="H210" s="129">
        <v>45907</v>
      </c>
      <c r="I210" s="130">
        <v>0.52083333333333337</v>
      </c>
      <c r="J210" s="98">
        <f t="shared" si="3"/>
        <v>0</v>
      </c>
      <c r="K210" s="98">
        <v>2</v>
      </c>
      <c r="L210" s="98">
        <v>30</v>
      </c>
      <c r="M210" s="97" t="s">
        <v>300</v>
      </c>
    </row>
    <row r="211" spans="1:13" ht="25.5" x14ac:dyDescent="0.2">
      <c r="A211" s="97" t="s">
        <v>301</v>
      </c>
      <c r="B211" s="98" t="s">
        <v>30</v>
      </c>
      <c r="C211" s="98" t="s">
        <v>31</v>
      </c>
      <c r="D211" s="98">
        <v>1</v>
      </c>
      <c r="E211" s="98">
        <v>30</v>
      </c>
      <c r="F211" s="129">
        <v>45909</v>
      </c>
      <c r="G211" s="130">
        <v>0.375</v>
      </c>
      <c r="H211" s="129">
        <v>45907</v>
      </c>
      <c r="I211" s="130">
        <v>0.54166666666666663</v>
      </c>
      <c r="J211" s="98">
        <f t="shared" si="3"/>
        <v>0</v>
      </c>
      <c r="K211" s="98">
        <v>2</v>
      </c>
      <c r="L211" s="98">
        <v>30</v>
      </c>
      <c r="M211" s="97" t="s">
        <v>302</v>
      </c>
    </row>
    <row r="212" spans="1:13" ht="25.5" x14ac:dyDescent="0.2">
      <c r="A212" s="97" t="s">
        <v>301</v>
      </c>
      <c r="B212" s="98" t="s">
        <v>39</v>
      </c>
      <c r="C212" s="98" t="s">
        <v>40</v>
      </c>
      <c r="D212" s="98">
        <v>1</v>
      </c>
      <c r="E212" s="98">
        <v>30</v>
      </c>
      <c r="F212" s="129">
        <v>45909</v>
      </c>
      <c r="G212" s="130">
        <v>0.375</v>
      </c>
      <c r="H212" s="129">
        <v>45907</v>
      </c>
      <c r="I212" s="130">
        <v>0.5625</v>
      </c>
      <c r="J212" s="98">
        <f t="shared" si="3"/>
        <v>0</v>
      </c>
      <c r="K212" s="98">
        <v>1</v>
      </c>
      <c r="L212" s="98">
        <v>30</v>
      </c>
      <c r="M212" s="97" t="s">
        <v>302</v>
      </c>
    </row>
    <row r="213" spans="1:13" ht="25.5" x14ac:dyDescent="0.2">
      <c r="A213" s="97" t="s">
        <v>303</v>
      </c>
      <c r="B213" s="98" t="s">
        <v>30</v>
      </c>
      <c r="C213" s="98" t="s">
        <v>31</v>
      </c>
      <c r="D213" s="98">
        <v>1</v>
      </c>
      <c r="E213" s="98">
        <v>30</v>
      </c>
      <c r="F213" s="129">
        <v>45909</v>
      </c>
      <c r="G213" s="130">
        <v>0.375</v>
      </c>
      <c r="H213" s="129">
        <v>45907</v>
      </c>
      <c r="I213" s="130">
        <v>0.58333333333333337</v>
      </c>
      <c r="J213" s="98">
        <f t="shared" si="3"/>
        <v>-5</v>
      </c>
      <c r="K213" s="98">
        <v>1</v>
      </c>
      <c r="L213" s="98">
        <v>35</v>
      </c>
      <c r="M213" s="97" t="s">
        <v>304</v>
      </c>
    </row>
    <row r="214" spans="1:13" ht="25.5" x14ac:dyDescent="0.2">
      <c r="A214" s="97" t="s">
        <v>303</v>
      </c>
      <c r="B214" s="98" t="s">
        <v>39</v>
      </c>
      <c r="C214" s="98" t="s">
        <v>40</v>
      </c>
      <c r="D214" s="98">
        <v>1</v>
      </c>
      <c r="E214" s="98">
        <v>30</v>
      </c>
      <c r="F214" s="129">
        <v>45909</v>
      </c>
      <c r="G214" s="130">
        <v>0.375</v>
      </c>
      <c r="H214" s="129">
        <v>45907</v>
      </c>
      <c r="I214" s="130">
        <v>0.60416666666666663</v>
      </c>
      <c r="J214" s="98">
        <f t="shared" si="3"/>
        <v>6</v>
      </c>
      <c r="K214" s="98">
        <v>1</v>
      </c>
      <c r="L214" s="98">
        <v>24</v>
      </c>
      <c r="M214" s="97" t="s">
        <v>304</v>
      </c>
    </row>
    <row r="215" spans="1:13" ht="25.5" x14ac:dyDescent="0.2">
      <c r="A215" s="97" t="s">
        <v>305</v>
      </c>
      <c r="B215" s="98" t="s">
        <v>30</v>
      </c>
      <c r="C215" s="98" t="s">
        <v>31</v>
      </c>
      <c r="D215" s="98">
        <v>2</v>
      </c>
      <c r="E215" s="98">
        <v>20</v>
      </c>
      <c r="F215" s="129">
        <v>45909</v>
      </c>
      <c r="G215" s="130">
        <v>0.375</v>
      </c>
      <c r="H215" s="129">
        <v>45907</v>
      </c>
      <c r="I215" s="130">
        <v>0.625</v>
      </c>
      <c r="J215" s="98">
        <f t="shared" si="3"/>
        <v>0</v>
      </c>
      <c r="K215" s="98">
        <v>1</v>
      </c>
      <c r="L215" s="98">
        <v>20</v>
      </c>
      <c r="M215" s="98" t="s">
        <v>306</v>
      </c>
    </row>
    <row r="216" spans="1:13" ht="25.5" x14ac:dyDescent="0.2">
      <c r="A216" s="97" t="s">
        <v>305</v>
      </c>
      <c r="B216" s="98" t="s">
        <v>39</v>
      </c>
      <c r="C216" s="98" t="s">
        <v>40</v>
      </c>
      <c r="D216" s="98">
        <v>2</v>
      </c>
      <c r="E216" s="98">
        <v>20</v>
      </c>
      <c r="F216" s="129">
        <v>45909</v>
      </c>
      <c r="G216" s="130">
        <v>0.375</v>
      </c>
      <c r="H216" s="129">
        <v>45907</v>
      </c>
      <c r="I216" s="130">
        <v>0.63888888888888884</v>
      </c>
      <c r="J216" s="98">
        <f t="shared" si="3"/>
        <v>0</v>
      </c>
      <c r="K216" s="98">
        <v>1</v>
      </c>
      <c r="L216" s="98">
        <v>20</v>
      </c>
      <c r="M216" s="127" t="s">
        <v>306</v>
      </c>
    </row>
    <row r="217" spans="1:13" ht="25.5" x14ac:dyDescent="0.2">
      <c r="A217" s="97" t="s">
        <v>308</v>
      </c>
      <c r="B217" s="98" t="s">
        <v>30</v>
      </c>
      <c r="C217" s="98" t="s">
        <v>31</v>
      </c>
      <c r="D217" s="98">
        <v>1</v>
      </c>
      <c r="E217" s="98">
        <v>20</v>
      </c>
      <c r="F217" s="129">
        <v>45909</v>
      </c>
      <c r="G217" s="130">
        <v>0.375</v>
      </c>
      <c r="H217" s="129">
        <v>45907</v>
      </c>
      <c r="I217" s="130">
        <v>0.65277777777777779</v>
      </c>
      <c r="J217" s="98">
        <f t="shared" si="3"/>
        <v>0</v>
      </c>
      <c r="K217" s="98">
        <v>1</v>
      </c>
      <c r="L217" s="98">
        <v>20</v>
      </c>
      <c r="M217" s="97" t="s">
        <v>307</v>
      </c>
    </row>
    <row r="218" spans="1:13" ht="25.5" x14ac:dyDescent="0.2">
      <c r="A218" s="97" t="s">
        <v>308</v>
      </c>
      <c r="B218" s="98" t="s">
        <v>39</v>
      </c>
      <c r="C218" s="98" t="s">
        <v>40</v>
      </c>
      <c r="D218" s="98">
        <v>1</v>
      </c>
      <c r="E218" s="98">
        <v>20</v>
      </c>
      <c r="F218" s="129">
        <v>45909</v>
      </c>
      <c r="G218" s="130">
        <v>0.375</v>
      </c>
      <c r="H218" s="129">
        <v>45907</v>
      </c>
      <c r="I218" s="130">
        <v>0.66666666666666663</v>
      </c>
      <c r="J218" s="98">
        <f t="shared" si="3"/>
        <v>-5</v>
      </c>
      <c r="K218" s="98">
        <v>1</v>
      </c>
      <c r="L218" s="98">
        <v>25</v>
      </c>
      <c r="M218" s="97" t="s">
        <v>307</v>
      </c>
    </row>
    <row r="219" spans="1:13" ht="25.5" x14ac:dyDescent="0.2">
      <c r="A219" s="97" t="s">
        <v>309</v>
      </c>
      <c r="B219" s="98" t="s">
        <v>30</v>
      </c>
      <c r="C219" s="98" t="s">
        <v>31</v>
      </c>
      <c r="D219" s="98">
        <v>1</v>
      </c>
      <c r="E219" s="98">
        <v>20</v>
      </c>
      <c r="F219" s="129">
        <v>45909</v>
      </c>
      <c r="G219" s="130">
        <v>0.375</v>
      </c>
      <c r="H219" s="129">
        <v>45907</v>
      </c>
      <c r="I219" s="130">
        <v>0.68055555555555558</v>
      </c>
      <c r="J219" s="98">
        <f t="shared" si="3"/>
        <v>-5</v>
      </c>
      <c r="K219" s="98">
        <v>1</v>
      </c>
      <c r="L219" s="98">
        <v>25</v>
      </c>
      <c r="M219" s="97" t="s">
        <v>310</v>
      </c>
    </row>
    <row r="220" spans="1:13" ht="25.5" x14ac:dyDescent="0.2">
      <c r="A220" s="97" t="s">
        <v>309</v>
      </c>
      <c r="B220" s="98" t="s">
        <v>39</v>
      </c>
      <c r="C220" s="98" t="s">
        <v>40</v>
      </c>
      <c r="D220" s="98">
        <v>1</v>
      </c>
      <c r="E220" s="98">
        <v>20</v>
      </c>
      <c r="F220" s="129">
        <v>45909</v>
      </c>
      <c r="G220" s="130">
        <v>0.375</v>
      </c>
      <c r="H220" s="129">
        <v>45907</v>
      </c>
      <c r="I220" s="130">
        <v>0.69444444444444442</v>
      </c>
      <c r="J220" s="98">
        <f t="shared" si="3"/>
        <v>5</v>
      </c>
      <c r="K220" s="98">
        <v>1</v>
      </c>
      <c r="L220" s="98">
        <v>15</v>
      </c>
      <c r="M220" s="97" t="s">
        <v>310</v>
      </c>
    </row>
    <row r="221" spans="1:13" x14ac:dyDescent="0.2">
      <c r="A221" s="97" t="s">
        <v>311</v>
      </c>
      <c r="B221" s="98" t="s">
        <v>30</v>
      </c>
      <c r="C221" s="98" t="s">
        <v>31</v>
      </c>
      <c r="D221" s="98">
        <v>1</v>
      </c>
      <c r="E221" s="98">
        <v>20</v>
      </c>
      <c r="F221" s="129">
        <v>45909</v>
      </c>
      <c r="G221" s="130">
        <v>0.375</v>
      </c>
      <c r="H221" s="129">
        <v>45907</v>
      </c>
      <c r="I221" s="130">
        <v>0.70833333333333337</v>
      </c>
      <c r="J221" s="98">
        <f t="shared" si="3"/>
        <v>10</v>
      </c>
      <c r="K221" s="98">
        <v>1</v>
      </c>
      <c r="L221" s="98">
        <v>10</v>
      </c>
      <c r="M221" s="98" t="s">
        <v>312</v>
      </c>
    </row>
    <row r="222" spans="1:13" x14ac:dyDescent="0.2">
      <c r="A222" s="97" t="s">
        <v>311</v>
      </c>
      <c r="B222" s="98" t="s">
        <v>39</v>
      </c>
      <c r="C222" s="98" t="s">
        <v>40</v>
      </c>
      <c r="D222" s="98">
        <v>1</v>
      </c>
      <c r="E222" s="98">
        <v>20</v>
      </c>
      <c r="F222" s="129">
        <v>45909</v>
      </c>
      <c r="G222" s="130">
        <v>0.375</v>
      </c>
      <c r="H222" s="129">
        <v>45907</v>
      </c>
      <c r="I222" s="130">
        <v>0.72222222222222221</v>
      </c>
      <c r="J222" s="98">
        <f t="shared" si="3"/>
        <v>10</v>
      </c>
      <c r="K222" s="98">
        <v>1</v>
      </c>
      <c r="L222" s="98">
        <v>10</v>
      </c>
      <c r="M222" s="98" t="s">
        <v>312</v>
      </c>
    </row>
    <row r="223" spans="1:13" ht="25.5" x14ac:dyDescent="0.2">
      <c r="A223" s="97" t="s">
        <v>313</v>
      </c>
      <c r="B223" s="98" t="s">
        <v>30</v>
      </c>
      <c r="C223" s="98" t="s">
        <v>31</v>
      </c>
      <c r="D223" s="98">
        <v>1</v>
      </c>
      <c r="E223" s="98">
        <v>20</v>
      </c>
      <c r="F223" s="129">
        <v>45909</v>
      </c>
      <c r="G223" s="130">
        <v>0.375</v>
      </c>
      <c r="H223" s="129">
        <v>45907</v>
      </c>
      <c r="I223" s="130">
        <v>0.73611111111111116</v>
      </c>
      <c r="J223" s="98">
        <f t="shared" si="3"/>
        <v>10</v>
      </c>
      <c r="K223" s="98">
        <v>1</v>
      </c>
      <c r="L223" s="98">
        <v>10</v>
      </c>
      <c r="M223" s="97" t="s">
        <v>314</v>
      </c>
    </row>
    <row r="224" spans="1:13" ht="25.5" x14ac:dyDescent="0.2">
      <c r="A224" s="97" t="s">
        <v>313</v>
      </c>
      <c r="B224" s="98" t="s">
        <v>39</v>
      </c>
      <c r="C224" s="98" t="s">
        <v>40</v>
      </c>
      <c r="D224" s="98">
        <v>1</v>
      </c>
      <c r="E224" s="98">
        <v>20</v>
      </c>
      <c r="F224" s="129">
        <v>45909</v>
      </c>
      <c r="G224" s="130">
        <v>0.375</v>
      </c>
      <c r="H224" s="129">
        <v>45907</v>
      </c>
      <c r="I224" s="130">
        <v>0.75</v>
      </c>
      <c r="J224" s="98">
        <f t="shared" si="3"/>
        <v>5</v>
      </c>
      <c r="K224" s="98">
        <v>1</v>
      </c>
      <c r="L224" s="98">
        <v>15</v>
      </c>
      <c r="M224" s="97" t="s">
        <v>314</v>
      </c>
    </row>
    <row r="225" spans="1:13" ht="25.5" x14ac:dyDescent="0.2">
      <c r="A225" s="97" t="s">
        <v>315</v>
      </c>
      <c r="B225" s="98" t="s">
        <v>30</v>
      </c>
      <c r="C225" s="98" t="s">
        <v>31</v>
      </c>
      <c r="D225" s="98">
        <v>1</v>
      </c>
      <c r="E225" s="98">
        <v>10</v>
      </c>
      <c r="F225" s="129">
        <v>45909</v>
      </c>
      <c r="G225" s="130">
        <v>0.375</v>
      </c>
      <c r="H225" s="129">
        <v>45907</v>
      </c>
      <c r="I225" s="130">
        <v>0.75694444444444442</v>
      </c>
      <c r="J225" s="98">
        <f t="shared" si="3"/>
        <v>0</v>
      </c>
      <c r="K225" s="98">
        <v>1</v>
      </c>
      <c r="L225" s="98">
        <v>10</v>
      </c>
      <c r="M225" s="97" t="s">
        <v>316</v>
      </c>
    </row>
    <row r="226" spans="1:13" ht="25.5" x14ac:dyDescent="0.2">
      <c r="A226" s="97" t="s">
        <v>315</v>
      </c>
      <c r="B226" s="98" t="s">
        <v>39</v>
      </c>
      <c r="C226" s="98" t="s">
        <v>40</v>
      </c>
      <c r="D226" s="98">
        <v>1</v>
      </c>
      <c r="E226" s="98">
        <v>10</v>
      </c>
      <c r="F226" s="129">
        <v>45909</v>
      </c>
      <c r="G226" s="130">
        <v>0.375</v>
      </c>
      <c r="H226" s="129">
        <v>45907</v>
      </c>
      <c r="I226" s="130">
        <v>0.76388888888888884</v>
      </c>
      <c r="J226" s="98">
        <f t="shared" si="3"/>
        <v>0</v>
      </c>
      <c r="K226" s="98">
        <v>1</v>
      </c>
      <c r="L226" s="98">
        <v>10</v>
      </c>
      <c r="M226" s="97" t="s">
        <v>316</v>
      </c>
    </row>
    <row r="227" spans="1:13" ht="24" x14ac:dyDescent="0.2">
      <c r="A227" s="112" t="s">
        <v>123</v>
      </c>
      <c r="B227" s="105" t="s">
        <v>36</v>
      </c>
      <c r="C227" s="105" t="s">
        <v>37</v>
      </c>
      <c r="D227" s="49">
        <v>1</v>
      </c>
      <c r="E227" s="49">
        <v>20</v>
      </c>
      <c r="F227" s="105">
        <v>45909</v>
      </c>
      <c r="G227" s="106">
        <v>0.375</v>
      </c>
      <c r="H227" s="105">
        <v>45907</v>
      </c>
      <c r="I227" s="106">
        <v>0.80555555555555558</v>
      </c>
      <c r="J227" s="107">
        <f t="shared" si="3"/>
        <v>0</v>
      </c>
      <c r="K227" s="104">
        <v>1</v>
      </c>
      <c r="L227" s="107">
        <v>20</v>
      </c>
      <c r="M227" s="49" t="s">
        <v>124</v>
      </c>
    </row>
    <row r="228" spans="1:13" ht="24" x14ac:dyDescent="0.2">
      <c r="A228" s="38" t="s">
        <v>123</v>
      </c>
      <c r="B228" s="105" t="s">
        <v>143</v>
      </c>
      <c r="C228" s="105" t="s">
        <v>43</v>
      </c>
      <c r="D228" s="49">
        <v>1</v>
      </c>
      <c r="E228" s="49">
        <v>20</v>
      </c>
      <c r="F228" s="105">
        <v>45909</v>
      </c>
      <c r="G228" s="106">
        <v>0.375</v>
      </c>
      <c r="H228" s="105">
        <v>45907</v>
      </c>
      <c r="I228" s="106">
        <v>0.80555555555555558</v>
      </c>
      <c r="J228" s="107">
        <f t="shared" ref="J228:J249" si="4">E228-L228</f>
        <v>0</v>
      </c>
      <c r="K228" s="104">
        <v>1</v>
      </c>
      <c r="L228" s="107">
        <v>20</v>
      </c>
      <c r="M228" s="49" t="s">
        <v>124</v>
      </c>
    </row>
    <row r="229" spans="1:13" ht="25.5" x14ac:dyDescent="0.2">
      <c r="A229" s="114" t="s">
        <v>175</v>
      </c>
      <c r="B229" s="114" t="s">
        <v>36</v>
      </c>
      <c r="C229" s="114" t="s">
        <v>37</v>
      </c>
      <c r="D229" s="98">
        <v>1</v>
      </c>
      <c r="E229" s="98">
        <v>30</v>
      </c>
      <c r="F229" s="114">
        <v>45909</v>
      </c>
      <c r="G229" s="106">
        <v>0.375</v>
      </c>
      <c r="H229" s="114">
        <v>45907</v>
      </c>
      <c r="I229" s="115">
        <v>0.83333333333333337</v>
      </c>
      <c r="J229" s="98">
        <f t="shared" si="4"/>
        <v>6</v>
      </c>
      <c r="K229" s="116">
        <v>1</v>
      </c>
      <c r="L229" s="116">
        <v>24</v>
      </c>
      <c r="M229" s="133" t="s">
        <v>176</v>
      </c>
    </row>
    <row r="230" spans="1:13" ht="25.5" x14ac:dyDescent="0.2">
      <c r="A230" s="114" t="s">
        <v>177</v>
      </c>
      <c r="B230" s="114" t="s">
        <v>39</v>
      </c>
      <c r="C230" s="114" t="s">
        <v>40</v>
      </c>
      <c r="D230" s="98">
        <v>1</v>
      </c>
      <c r="E230" s="98">
        <v>30</v>
      </c>
      <c r="F230" s="114">
        <v>45909</v>
      </c>
      <c r="G230" s="106">
        <v>0.375</v>
      </c>
      <c r="H230" s="114">
        <v>45907</v>
      </c>
      <c r="I230" s="115">
        <v>0.83333333333333337</v>
      </c>
      <c r="J230" s="98">
        <f t="shared" si="4"/>
        <v>0</v>
      </c>
      <c r="K230" s="116">
        <v>1</v>
      </c>
      <c r="L230" s="116">
        <v>30</v>
      </c>
      <c r="M230" s="133" t="s">
        <v>178</v>
      </c>
    </row>
    <row r="231" spans="1:13" ht="38.25" x14ac:dyDescent="0.2">
      <c r="A231" s="61" t="s">
        <v>179</v>
      </c>
      <c r="B231" s="114" t="s">
        <v>39</v>
      </c>
      <c r="C231" s="114" t="s">
        <v>40</v>
      </c>
      <c r="D231" s="98">
        <v>5</v>
      </c>
      <c r="E231" s="98">
        <v>50</v>
      </c>
      <c r="F231" s="114">
        <v>45909</v>
      </c>
      <c r="G231" s="106">
        <v>0.375</v>
      </c>
      <c r="H231" s="114">
        <v>45907</v>
      </c>
      <c r="I231" s="115">
        <v>0.86805555555555558</v>
      </c>
      <c r="J231" s="98">
        <f t="shared" si="4"/>
        <v>5</v>
      </c>
      <c r="K231" s="116">
        <v>5</v>
      </c>
      <c r="L231" s="116">
        <v>45</v>
      </c>
      <c r="M231" s="133" t="s">
        <v>180</v>
      </c>
    </row>
    <row r="232" spans="1:13" ht="36" x14ac:dyDescent="0.2">
      <c r="A232" s="104" t="s">
        <v>146</v>
      </c>
      <c r="B232" s="105" t="s">
        <v>30</v>
      </c>
      <c r="C232" s="105" t="s">
        <v>207</v>
      </c>
      <c r="D232" s="103">
        <v>1</v>
      </c>
      <c r="E232" s="49">
        <v>60</v>
      </c>
      <c r="F232" s="105">
        <v>45909</v>
      </c>
      <c r="G232" s="106">
        <v>0.375</v>
      </c>
      <c r="H232" s="105">
        <v>45907</v>
      </c>
      <c r="I232" s="106">
        <v>0.91666666666666663</v>
      </c>
      <c r="J232" s="107">
        <f t="shared" si="4"/>
        <v>50</v>
      </c>
      <c r="K232" s="104">
        <v>1</v>
      </c>
      <c r="L232" s="107">
        <v>10</v>
      </c>
      <c r="M232" s="107" t="s">
        <v>149</v>
      </c>
    </row>
    <row r="233" spans="1:13" ht="36" x14ac:dyDescent="0.2">
      <c r="A233" s="104" t="s">
        <v>146</v>
      </c>
      <c r="B233" s="105" t="s">
        <v>42</v>
      </c>
      <c r="C233" s="105" t="s">
        <v>77</v>
      </c>
      <c r="D233" s="103">
        <v>1</v>
      </c>
      <c r="E233" s="49">
        <v>60</v>
      </c>
      <c r="F233" s="105">
        <v>45909</v>
      </c>
      <c r="G233" s="106">
        <v>0.375</v>
      </c>
      <c r="H233" s="105">
        <v>45907</v>
      </c>
      <c r="I233" s="106">
        <v>0.91666666666666663</v>
      </c>
      <c r="J233" s="107">
        <f t="shared" si="4"/>
        <v>50</v>
      </c>
      <c r="K233" s="104">
        <v>1</v>
      </c>
      <c r="L233" s="107">
        <v>10</v>
      </c>
      <c r="M233" s="107" t="s">
        <v>149</v>
      </c>
    </row>
    <row r="234" spans="1:13" ht="36" x14ac:dyDescent="0.2">
      <c r="A234" s="104" t="s">
        <v>146</v>
      </c>
      <c r="B234" s="105" t="s">
        <v>21</v>
      </c>
      <c r="C234" s="105" t="s">
        <v>86</v>
      </c>
      <c r="D234" s="103">
        <v>1</v>
      </c>
      <c r="E234" s="49">
        <v>60</v>
      </c>
      <c r="F234" s="105">
        <v>45909</v>
      </c>
      <c r="G234" s="106">
        <v>0.375</v>
      </c>
      <c r="H234" s="105">
        <v>45907</v>
      </c>
      <c r="I234" s="106">
        <v>0.91666666666666663</v>
      </c>
      <c r="J234" s="107">
        <f t="shared" si="4"/>
        <v>50</v>
      </c>
      <c r="K234" s="104">
        <v>1</v>
      </c>
      <c r="L234" s="107">
        <v>10</v>
      </c>
      <c r="M234" s="107" t="s">
        <v>149</v>
      </c>
    </row>
    <row r="235" spans="1:13" ht="36" x14ac:dyDescent="0.2">
      <c r="A235" s="104" t="s">
        <v>146</v>
      </c>
      <c r="B235" s="105" t="s">
        <v>136</v>
      </c>
      <c r="C235" s="105" t="s">
        <v>151</v>
      </c>
      <c r="D235" s="103">
        <v>1</v>
      </c>
      <c r="E235" s="49">
        <v>60</v>
      </c>
      <c r="F235" s="105">
        <v>45909</v>
      </c>
      <c r="G235" s="106">
        <v>0.375</v>
      </c>
      <c r="H235" s="105">
        <v>45907</v>
      </c>
      <c r="I235" s="106">
        <v>0.91666666666666663</v>
      </c>
      <c r="J235" s="107">
        <f t="shared" si="4"/>
        <v>50</v>
      </c>
      <c r="K235" s="104">
        <v>1</v>
      </c>
      <c r="L235" s="107">
        <v>10</v>
      </c>
      <c r="M235" s="107" t="s">
        <v>149</v>
      </c>
    </row>
    <row r="236" spans="1:13" ht="36" x14ac:dyDescent="0.2">
      <c r="A236" s="104" t="s">
        <v>146</v>
      </c>
      <c r="B236" s="105" t="s">
        <v>36</v>
      </c>
      <c r="C236" s="105" t="s">
        <v>80</v>
      </c>
      <c r="D236" s="103">
        <v>1</v>
      </c>
      <c r="E236" s="49">
        <v>60</v>
      </c>
      <c r="F236" s="105">
        <v>45909</v>
      </c>
      <c r="G236" s="106">
        <v>0.375</v>
      </c>
      <c r="H236" s="105">
        <v>45907</v>
      </c>
      <c r="I236" s="106">
        <v>0.91666666666666663</v>
      </c>
      <c r="J236" s="107">
        <f t="shared" si="4"/>
        <v>50</v>
      </c>
      <c r="K236" s="104">
        <v>1</v>
      </c>
      <c r="L236" s="107">
        <v>10</v>
      </c>
      <c r="M236" s="107" t="s">
        <v>149</v>
      </c>
    </row>
    <row r="237" spans="1:13" ht="36" x14ac:dyDescent="0.2">
      <c r="A237" s="104" t="s">
        <v>146</v>
      </c>
      <c r="B237" s="105" t="s">
        <v>39</v>
      </c>
      <c r="C237" s="105" t="s">
        <v>150</v>
      </c>
      <c r="D237" s="103">
        <v>1</v>
      </c>
      <c r="E237" s="49">
        <v>60</v>
      </c>
      <c r="F237" s="105">
        <v>45909</v>
      </c>
      <c r="G237" s="106">
        <v>0.375</v>
      </c>
      <c r="H237" s="105">
        <v>45907</v>
      </c>
      <c r="I237" s="106">
        <v>0.91666666666666663</v>
      </c>
      <c r="J237" s="107">
        <f t="shared" si="4"/>
        <v>50</v>
      </c>
      <c r="K237" s="104">
        <v>1</v>
      </c>
      <c r="L237" s="107">
        <v>10</v>
      </c>
      <c r="M237" s="107" t="s">
        <v>149</v>
      </c>
    </row>
    <row r="238" spans="1:13" x14ac:dyDescent="0.2">
      <c r="A238" s="104" t="s">
        <v>52</v>
      </c>
      <c r="B238" s="105" t="s">
        <v>21</v>
      </c>
      <c r="C238" s="105" t="s">
        <v>22</v>
      </c>
      <c r="D238" s="103">
        <v>1</v>
      </c>
      <c r="E238" s="49">
        <v>30</v>
      </c>
      <c r="F238" s="105">
        <v>45909</v>
      </c>
      <c r="G238" s="106">
        <v>0.375</v>
      </c>
      <c r="H238" s="105">
        <v>45907</v>
      </c>
      <c r="I238" s="106">
        <v>0.91666666666666663</v>
      </c>
      <c r="J238" s="107">
        <f t="shared" si="4"/>
        <v>0</v>
      </c>
      <c r="K238" s="104">
        <v>1</v>
      </c>
      <c r="L238" s="107">
        <v>30</v>
      </c>
      <c r="M238" s="107" t="s">
        <v>53</v>
      </c>
    </row>
    <row r="239" spans="1:13" x14ac:dyDescent="0.2">
      <c r="A239" s="104" t="s">
        <v>153</v>
      </c>
      <c r="B239" s="105" t="s">
        <v>36</v>
      </c>
      <c r="C239" s="105" t="s">
        <v>37</v>
      </c>
      <c r="D239" s="103">
        <v>1</v>
      </c>
      <c r="E239" s="117">
        <v>30</v>
      </c>
      <c r="F239" s="105">
        <v>45909</v>
      </c>
      <c r="G239" s="106">
        <v>0.375</v>
      </c>
      <c r="H239" s="105">
        <v>45907</v>
      </c>
      <c r="I239" s="106">
        <v>0.91666666666666663</v>
      </c>
      <c r="J239" s="107">
        <f t="shared" si="4"/>
        <v>0</v>
      </c>
      <c r="K239" s="104">
        <v>1</v>
      </c>
      <c r="L239" s="107">
        <v>30</v>
      </c>
      <c r="M239" s="107" t="s">
        <v>53</v>
      </c>
    </row>
    <row r="240" spans="1:13" ht="24" x14ac:dyDescent="0.2">
      <c r="A240" s="104" t="s">
        <v>79</v>
      </c>
      <c r="B240" s="105" t="s">
        <v>36</v>
      </c>
      <c r="C240" s="105" t="s">
        <v>37</v>
      </c>
      <c r="D240" s="103">
        <v>1</v>
      </c>
      <c r="E240" s="49">
        <v>45</v>
      </c>
      <c r="F240" s="105">
        <v>45909</v>
      </c>
      <c r="G240" s="106">
        <v>0.375</v>
      </c>
      <c r="H240" s="105">
        <v>45907</v>
      </c>
      <c r="I240" s="106">
        <v>0.9375</v>
      </c>
      <c r="J240" s="107">
        <f t="shared" si="4"/>
        <v>-35</v>
      </c>
      <c r="K240" s="104">
        <v>1</v>
      </c>
      <c r="L240" s="107">
        <v>80</v>
      </c>
      <c r="M240" s="107" t="s">
        <v>81</v>
      </c>
    </row>
    <row r="241" spans="1:13" x14ac:dyDescent="0.2">
      <c r="A241" s="104" t="s">
        <v>85</v>
      </c>
      <c r="B241" s="105" t="s">
        <v>21</v>
      </c>
      <c r="C241" s="105" t="s">
        <v>22</v>
      </c>
      <c r="D241" s="103">
        <v>1</v>
      </c>
      <c r="E241" s="49">
        <v>60</v>
      </c>
      <c r="F241" s="105">
        <v>45909</v>
      </c>
      <c r="G241" s="106">
        <v>0.375</v>
      </c>
      <c r="H241" s="105">
        <v>45907</v>
      </c>
      <c r="I241" s="106">
        <v>0.9375</v>
      </c>
      <c r="J241" s="107">
        <f t="shared" si="4"/>
        <v>10</v>
      </c>
      <c r="K241" s="104">
        <v>1</v>
      </c>
      <c r="L241" s="107">
        <v>50</v>
      </c>
      <c r="M241" s="107" t="s">
        <v>87</v>
      </c>
    </row>
    <row r="242" spans="1:13" x14ac:dyDescent="0.2">
      <c r="A242" s="104" t="s">
        <v>88</v>
      </c>
      <c r="B242" s="105" t="s">
        <v>21</v>
      </c>
      <c r="C242" s="105" t="s">
        <v>22</v>
      </c>
      <c r="D242" s="103">
        <v>1</v>
      </c>
      <c r="E242" s="49">
        <v>55</v>
      </c>
      <c r="F242" s="105">
        <v>45909</v>
      </c>
      <c r="G242" s="106">
        <v>0.375</v>
      </c>
      <c r="H242" s="105">
        <v>45907</v>
      </c>
      <c r="I242" s="106">
        <v>0.9375</v>
      </c>
      <c r="J242" s="107">
        <f t="shared" si="4"/>
        <v>0</v>
      </c>
      <c r="K242" s="104">
        <v>1</v>
      </c>
      <c r="L242" s="107">
        <v>55</v>
      </c>
      <c r="M242" s="107" t="s">
        <v>89</v>
      </c>
    </row>
    <row r="243" spans="1:13" ht="24" x14ac:dyDescent="0.2">
      <c r="A243" s="49" t="s">
        <v>131</v>
      </c>
      <c r="B243" s="105" t="s">
        <v>36</v>
      </c>
      <c r="C243" s="105" t="s">
        <v>37</v>
      </c>
      <c r="D243" s="49">
        <v>1</v>
      </c>
      <c r="E243" s="49">
        <v>30</v>
      </c>
      <c r="F243" s="105">
        <v>45909</v>
      </c>
      <c r="G243" s="106">
        <v>0.375</v>
      </c>
      <c r="H243" s="105">
        <v>45907</v>
      </c>
      <c r="I243" s="106">
        <v>0.9375</v>
      </c>
      <c r="J243" s="107">
        <f t="shared" si="4"/>
        <v>-2</v>
      </c>
      <c r="K243" s="104">
        <v>1</v>
      </c>
      <c r="L243" s="107">
        <v>32</v>
      </c>
      <c r="M243" s="107" t="s">
        <v>132</v>
      </c>
    </row>
    <row r="244" spans="1:13" ht="24" x14ac:dyDescent="0.2">
      <c r="A244" s="49" t="s">
        <v>131</v>
      </c>
      <c r="B244" s="105" t="s">
        <v>42</v>
      </c>
      <c r="C244" s="105" t="s">
        <v>43</v>
      </c>
      <c r="D244" s="49">
        <v>1</v>
      </c>
      <c r="E244" s="49">
        <v>30</v>
      </c>
      <c r="F244" s="105">
        <v>45909</v>
      </c>
      <c r="G244" s="106">
        <v>0.375</v>
      </c>
      <c r="H244" s="105">
        <v>45907</v>
      </c>
      <c r="I244" s="106">
        <v>0.9375</v>
      </c>
      <c r="J244" s="107">
        <f t="shared" si="4"/>
        <v>-2</v>
      </c>
      <c r="K244" s="104">
        <v>1</v>
      </c>
      <c r="L244" s="107">
        <v>32</v>
      </c>
      <c r="M244" s="107" t="s">
        <v>132</v>
      </c>
    </row>
    <row r="245" spans="1:13" ht="24" x14ac:dyDescent="0.2">
      <c r="A245" s="49" t="s">
        <v>131</v>
      </c>
      <c r="B245" s="105" t="s">
        <v>30</v>
      </c>
      <c r="C245" s="105" t="s">
        <v>31</v>
      </c>
      <c r="D245" s="49">
        <v>1</v>
      </c>
      <c r="E245" s="49">
        <v>30</v>
      </c>
      <c r="F245" s="105">
        <v>45909</v>
      </c>
      <c r="G245" s="106">
        <v>0.375</v>
      </c>
      <c r="H245" s="105">
        <v>45907</v>
      </c>
      <c r="I245" s="106">
        <v>0.9375</v>
      </c>
      <c r="J245" s="107">
        <f t="shared" si="4"/>
        <v>-2</v>
      </c>
      <c r="K245" s="104">
        <v>1</v>
      </c>
      <c r="L245" s="107">
        <v>32</v>
      </c>
      <c r="M245" s="107" t="s">
        <v>132</v>
      </c>
    </row>
    <row r="246" spans="1:13" ht="24" x14ac:dyDescent="0.2">
      <c r="A246" s="49" t="s">
        <v>131</v>
      </c>
      <c r="B246" s="105" t="s">
        <v>21</v>
      </c>
      <c r="C246" s="105" t="s">
        <v>22</v>
      </c>
      <c r="D246" s="49">
        <v>1</v>
      </c>
      <c r="E246" s="49">
        <v>30</v>
      </c>
      <c r="F246" s="105">
        <v>45909</v>
      </c>
      <c r="G246" s="106">
        <v>0.375</v>
      </c>
      <c r="H246" s="105">
        <v>45907</v>
      </c>
      <c r="I246" s="106">
        <v>0.9375</v>
      </c>
      <c r="J246" s="107">
        <f t="shared" si="4"/>
        <v>-2</v>
      </c>
      <c r="K246" s="104">
        <v>1</v>
      </c>
      <c r="L246" s="107">
        <v>32</v>
      </c>
      <c r="M246" s="107" t="s">
        <v>132</v>
      </c>
    </row>
    <row r="247" spans="1:13" ht="24" x14ac:dyDescent="0.2">
      <c r="A247" s="49" t="s">
        <v>131</v>
      </c>
      <c r="B247" s="105" t="s">
        <v>136</v>
      </c>
      <c r="C247" s="105" t="s">
        <v>34</v>
      </c>
      <c r="D247" s="49">
        <v>1</v>
      </c>
      <c r="E247" s="49">
        <v>30</v>
      </c>
      <c r="F247" s="105">
        <v>45909</v>
      </c>
      <c r="G247" s="106">
        <v>0.375</v>
      </c>
      <c r="H247" s="105">
        <v>45907</v>
      </c>
      <c r="I247" s="106">
        <v>0.9375</v>
      </c>
      <c r="J247" s="107">
        <f t="shared" si="4"/>
        <v>-2</v>
      </c>
      <c r="K247" s="104">
        <v>1</v>
      </c>
      <c r="L247" s="107">
        <v>32</v>
      </c>
      <c r="M247" s="107" t="s">
        <v>132</v>
      </c>
    </row>
    <row r="248" spans="1:13" ht="24" x14ac:dyDescent="0.2">
      <c r="A248" s="49" t="s">
        <v>131</v>
      </c>
      <c r="B248" s="105" t="s">
        <v>39</v>
      </c>
      <c r="C248" s="105" t="s">
        <v>40</v>
      </c>
      <c r="D248" s="49">
        <v>1</v>
      </c>
      <c r="E248" s="49">
        <v>30</v>
      </c>
      <c r="F248" s="105">
        <v>45909</v>
      </c>
      <c r="G248" s="106">
        <v>0.375</v>
      </c>
      <c r="H248" s="105">
        <v>45907</v>
      </c>
      <c r="I248" s="106">
        <v>0.9375</v>
      </c>
      <c r="J248" s="107">
        <f t="shared" si="4"/>
        <v>-2</v>
      </c>
      <c r="K248" s="104">
        <v>1</v>
      </c>
      <c r="L248" s="107">
        <v>32</v>
      </c>
      <c r="M248" s="107" t="s">
        <v>132</v>
      </c>
    </row>
    <row r="249" spans="1:13" ht="24" x14ac:dyDescent="0.2">
      <c r="A249" s="49" t="s">
        <v>133</v>
      </c>
      <c r="B249" s="105" t="s">
        <v>21</v>
      </c>
      <c r="C249" s="105" t="s">
        <v>22</v>
      </c>
      <c r="D249" s="49">
        <v>3</v>
      </c>
      <c r="E249" s="49">
        <v>20</v>
      </c>
      <c r="F249" s="105">
        <v>45909</v>
      </c>
      <c r="G249" s="106">
        <v>0.375</v>
      </c>
      <c r="H249" s="105">
        <v>45908</v>
      </c>
      <c r="I249" s="106">
        <v>0.375</v>
      </c>
      <c r="J249" s="107">
        <f t="shared" si="4"/>
        <v>5</v>
      </c>
      <c r="K249" s="104">
        <v>3</v>
      </c>
      <c r="L249" s="107">
        <v>15</v>
      </c>
      <c r="M249" s="107" t="s">
        <v>134</v>
      </c>
    </row>
    <row r="252" spans="1:13" x14ac:dyDescent="0.2">
      <c r="A252" s="70" t="s">
        <v>210</v>
      </c>
      <c r="B252" t="s">
        <v>215</v>
      </c>
      <c r="C252" t="s">
        <v>214</v>
      </c>
      <c r="D252" t="s">
        <v>212</v>
      </c>
      <c r="E252" t="s">
        <v>213</v>
      </c>
    </row>
    <row r="253" spans="1:13" x14ac:dyDescent="0.2">
      <c r="A253" s="71" t="s">
        <v>36</v>
      </c>
      <c r="B253" s="121">
        <v>51</v>
      </c>
      <c r="C253" s="121">
        <v>1535</v>
      </c>
      <c r="D253" s="121">
        <v>1501</v>
      </c>
      <c r="E253" s="121">
        <v>53</v>
      </c>
    </row>
    <row r="254" spans="1:13" x14ac:dyDescent="0.2">
      <c r="A254" s="71" t="s">
        <v>39</v>
      </c>
      <c r="B254" s="121">
        <v>42</v>
      </c>
      <c r="C254" s="121">
        <v>1280</v>
      </c>
      <c r="D254" s="121">
        <v>1018</v>
      </c>
      <c r="E254" s="121">
        <v>42</v>
      </c>
    </row>
    <row r="255" spans="1:13" x14ac:dyDescent="0.2">
      <c r="A255" s="71" t="s">
        <v>21</v>
      </c>
      <c r="B255" s="121">
        <v>60</v>
      </c>
      <c r="C255" s="121">
        <v>2100</v>
      </c>
      <c r="D255" s="121">
        <v>1710</v>
      </c>
      <c r="E255" s="121">
        <v>62</v>
      </c>
    </row>
    <row r="256" spans="1:13" x14ac:dyDescent="0.2">
      <c r="A256" s="71" t="s">
        <v>136</v>
      </c>
      <c r="B256" s="121">
        <v>30</v>
      </c>
      <c r="C256" s="121">
        <v>1080</v>
      </c>
      <c r="D256" s="121">
        <v>797</v>
      </c>
      <c r="E256" s="121">
        <v>29</v>
      </c>
    </row>
    <row r="257" spans="1:13" x14ac:dyDescent="0.2">
      <c r="A257" s="71" t="s">
        <v>42</v>
      </c>
      <c r="B257" s="121">
        <v>41</v>
      </c>
      <c r="C257" s="121">
        <v>1225</v>
      </c>
      <c r="D257" s="121">
        <v>1221</v>
      </c>
      <c r="E257" s="121">
        <v>43</v>
      </c>
    </row>
    <row r="258" spans="1:13" x14ac:dyDescent="0.2">
      <c r="A258" s="71" t="s">
        <v>30</v>
      </c>
      <c r="B258" s="121">
        <v>37</v>
      </c>
      <c r="C258" s="121">
        <v>1230</v>
      </c>
      <c r="D258" s="121">
        <v>1062</v>
      </c>
      <c r="E258" s="121">
        <v>38</v>
      </c>
    </row>
    <row r="259" spans="1:13" x14ac:dyDescent="0.2">
      <c r="A259" s="71" t="s">
        <v>211</v>
      </c>
      <c r="B259" s="121">
        <v>261</v>
      </c>
      <c r="C259" s="121">
        <v>8450</v>
      </c>
      <c r="D259" s="121">
        <v>7309</v>
      </c>
      <c r="E259" s="121">
        <v>267</v>
      </c>
    </row>
    <row r="260" spans="1:13" x14ac:dyDescent="0.2">
      <c r="A260"/>
      <c r="B260"/>
      <c r="C260"/>
      <c r="D260"/>
      <c r="E260"/>
    </row>
    <row r="261" spans="1:13" x14ac:dyDescent="0.2">
      <c r="A261"/>
      <c r="B261"/>
      <c r="C261"/>
      <c r="D261"/>
      <c r="E261"/>
    </row>
    <row r="262" spans="1:13" x14ac:dyDescent="0.2">
      <c r="A262"/>
      <c r="B262"/>
      <c r="C262"/>
      <c r="D262"/>
      <c r="E262"/>
    </row>
    <row r="263" spans="1:13" x14ac:dyDescent="0.2">
      <c r="A263"/>
      <c r="B263"/>
      <c r="C263"/>
      <c r="D263"/>
      <c r="E263"/>
    </row>
    <row r="264" spans="1:13" x14ac:dyDescent="0.2">
      <c r="A264"/>
      <c r="B264"/>
      <c r="C264"/>
      <c r="D264"/>
      <c r="E264"/>
    </row>
    <row r="265" spans="1:1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">
      <c r="A268"/>
      <c r="B268"/>
      <c r="C268"/>
      <c r="D268"/>
      <c r="E268"/>
    </row>
    <row r="269" spans="1:13" x14ac:dyDescent="0.2">
      <c r="A269"/>
      <c r="B269"/>
      <c r="C26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SEMANAS</vt:lpstr>
      <vt:lpstr>SEMANA 1</vt:lpstr>
      <vt:lpstr>SEMANA 2</vt:lpstr>
      <vt:lpstr>SEMANA 3</vt:lpstr>
      <vt:lpstr>SEMANA 4</vt:lpstr>
      <vt:lpstr>DATOS 1</vt:lpstr>
      <vt:lpstr>DATOS 2</vt:lpstr>
      <vt:lpstr>DATOS 3</vt:lpstr>
      <vt:lpstr>DATOS 4</vt:lpstr>
      <vt:lpstr>EDTs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SANTIAGO ANDRES HERRADA MONTENEGRO</cp:lastModifiedBy>
  <cp:revision/>
  <dcterms:created xsi:type="dcterms:W3CDTF">2016-02-05T21:36:42Z</dcterms:created>
  <dcterms:modified xsi:type="dcterms:W3CDTF">2025-09-09T01:13:31Z</dcterms:modified>
  <cp:category/>
  <cp:contentStatus/>
</cp:coreProperties>
</file>