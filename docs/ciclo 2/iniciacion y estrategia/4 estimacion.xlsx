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C8316779-44EC-45C4-9F8A-3D555A88C099}" xr6:coauthVersionLast="47" xr6:coauthVersionMax="47" xr10:uidLastSave="{00000000-0000-0000-0000-000000000000}"/>
  <bookViews>
    <workbookView xWindow="-120" yWindow="-120" windowWidth="20730" windowHeight="11040" xr2:uid="{DACC86B5-9E36-423D-9ED2-7C6EE2DD7D61}"/>
  </bookViews>
  <sheets>
    <sheet name="AJUSTE FI" sheetId="2" r:id="rId1"/>
    <sheet name="Evaluar factores de complejida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2" i="2"/>
  <c r="B17" i="2"/>
  <c r="A13" i="2"/>
  <c r="C16" i="3"/>
  <c r="F7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<sst xmlns="http://schemas.openxmlformats.org/spreadsheetml/2006/main" count="54" uniqueCount="50">
  <si>
    <t>PF</t>
  </si>
  <si>
    <t>Tipo de componente</t>
  </si>
  <si>
    <t>Ejemplo en DashKPI</t>
  </si>
  <si>
    <t>Complejidad</t>
  </si>
  <si>
    <t>Cantidad</t>
  </si>
  <si>
    <t>peso</t>
  </si>
  <si>
    <t>total</t>
  </si>
  <si>
    <t>Entradas de usuario</t>
  </si>
  <si>
    <t>Salidas de usuario</t>
  </si>
  <si>
    <t>Peticiones de usuario</t>
  </si>
  <si>
    <t>Archivos lógicos internos</t>
  </si>
  <si>
    <t>Interfaces externas</t>
  </si>
  <si>
    <t>Total bruto (Cuenta total)</t>
  </si>
  <si>
    <t>Formularios de creación de tareas, proyectos, KPIs</t>
  </si>
  <si>
    <t>Reportes de desempeño, vistas de dashboard</t>
  </si>
  <si>
    <t>Consultas de KPIs, filtrado de reportes, búsqueda de proyectos</t>
  </si>
  <si>
    <t>Tablas de usuarios, proyectos, tareas, KPIs, riesgos</t>
  </si>
  <si>
    <t>Integración con base de datos y API REST</t>
  </si>
  <si>
    <t>Alta</t>
  </si>
  <si>
    <t>Media</t>
  </si>
  <si>
    <t>Factor</t>
  </si>
  <si>
    <t xml:space="preserve">Descripción </t>
  </si>
  <si>
    <t>Valor</t>
  </si>
  <si>
    <t>Requiere copias de seguridad y recuperación de datos</t>
  </si>
  <si>
    <t>Usa procesamiento distribuido (base de datos + frontend)</t>
  </si>
  <si>
    <t>Requiere rendimiento crítico en cálculos de KPIs</t>
  </si>
  <si>
    <t>Sistema operativo y base de datos existentes</t>
  </si>
  <si>
    <t>Entrada interactiva con múltiples pantallas</t>
  </si>
  <si>
    <t>Transacciones en varias pantallas</t>
  </si>
  <si>
    <t>Actualización de archivos maestros (usuarios, proyectos)</t>
  </si>
  <si>
    <t>Procesamiento interno complejo (cálculo de KPIs)</t>
  </si>
  <si>
    <t>Reutilización de código y componentes</t>
  </si>
  <si>
    <t>Conversión de datos entre módulos</t>
  </si>
  <si>
    <t>Instalaciones múltiples (dev y producción)</t>
  </si>
  <si>
    <t>Facilidad de cambio en configuración de KPIs</t>
  </si>
  <si>
    <t>Documentación de seguridad y roles</t>
  </si>
  <si>
    <t>nteroperabilidad con sistemas externos (API)</t>
  </si>
  <si>
    <t>FI SUMA</t>
  </si>
  <si>
    <t>Calcular el tamaño ajustado (PF)</t>
  </si>
  <si>
    <t>PF=331×(0.65+0.01×47)</t>
  </si>
  <si>
    <t>Estimación del esfuerzo y costo</t>
  </si>
  <si>
    <t>Esfuerzo=</t>
  </si>
  <si>
    <t>usando productividad histórica = 6.5 PF / persona·mes</t>
  </si>
  <si>
    <t>Duración (si el equipo tiene 6 personas)</t>
  </si>
  <si>
    <t>Duración (meses)=</t>
  </si>
  <si>
    <t xml:space="preserve">9,5 meses </t>
  </si>
  <si>
    <t>PM</t>
  </si>
  <si>
    <t>(≈ 41 semanas)</t>
  </si>
  <si>
    <t>Costo (si tarifa = $8.000 / persona·mes)</t>
  </si>
  <si>
    <t>Costo=57,034×8,000=$456,272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</si>
</sst>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090B-3187-429B-BFA1-2F91A4A3A5C6}">
  <dimension ref="A1:G28"/>
  <sheetViews>
    <sheetView tabSelected="1" topLeftCell="A11" workbookViewId="0">
      <selection activeCell="D19" sqref="D19"/>
    </sheetView>
  </sheetViews>
  <sheetFormatPr baseColWidth="10" defaultRowHeight="15" x14ac:dyDescent="0.25"/>
  <cols>
    <col min="1" max="1" width="31" customWidth="1"/>
    <col min="2" max="2" width="21.42578125" customWidth="1"/>
    <col min="3" max="3" width="13.42578125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7" ht="45" x14ac:dyDescent="0.25">
      <c r="A2" s="1" t="s">
        <v>7</v>
      </c>
      <c r="B2" s="3" t="s">
        <v>13</v>
      </c>
      <c r="C2" s="1" t="s">
        <v>18</v>
      </c>
      <c r="D2" s="1">
        <v>25</v>
      </c>
      <c r="E2" s="1">
        <v>4</v>
      </c>
      <c r="F2" s="1">
        <f>D2*E2</f>
        <v>100</v>
      </c>
    </row>
    <row r="3" spans="1:7" ht="45" x14ac:dyDescent="0.25">
      <c r="A3" s="1" t="s">
        <v>8</v>
      </c>
      <c r="B3" s="3" t="s">
        <v>14</v>
      </c>
      <c r="C3" s="1" t="s">
        <v>19</v>
      </c>
      <c r="D3" s="1">
        <v>15</v>
      </c>
      <c r="E3" s="1">
        <v>5</v>
      </c>
      <c r="F3" s="1">
        <f t="shared" ref="F3:F6" si="0">D3*E3</f>
        <v>75</v>
      </c>
    </row>
    <row r="4" spans="1:7" ht="60" x14ac:dyDescent="0.25">
      <c r="A4" s="1" t="s">
        <v>9</v>
      </c>
      <c r="B4" s="3" t="s">
        <v>15</v>
      </c>
      <c r="C4" s="1" t="s">
        <v>19</v>
      </c>
      <c r="D4" s="1">
        <v>18</v>
      </c>
      <c r="E4" s="1">
        <v>4</v>
      </c>
      <c r="F4" s="1">
        <f t="shared" si="0"/>
        <v>72</v>
      </c>
    </row>
    <row r="5" spans="1:7" ht="45" x14ac:dyDescent="0.25">
      <c r="A5" s="1" t="s">
        <v>10</v>
      </c>
      <c r="B5" s="3" t="s">
        <v>16</v>
      </c>
      <c r="C5" s="1" t="s">
        <v>19</v>
      </c>
      <c r="D5" s="1">
        <v>7</v>
      </c>
      <c r="E5" s="1">
        <v>10</v>
      </c>
      <c r="F5" s="1">
        <f t="shared" si="0"/>
        <v>70</v>
      </c>
    </row>
    <row r="6" spans="1:7" ht="30" x14ac:dyDescent="0.25">
      <c r="A6" s="1" t="s">
        <v>11</v>
      </c>
      <c r="B6" s="3" t="s">
        <v>17</v>
      </c>
      <c r="C6" s="1" t="s">
        <v>19</v>
      </c>
      <c r="D6" s="1">
        <v>2</v>
      </c>
      <c r="E6" s="1">
        <v>7</v>
      </c>
      <c r="F6" s="1">
        <f t="shared" si="0"/>
        <v>14</v>
      </c>
    </row>
    <row r="7" spans="1:7" x14ac:dyDescent="0.25">
      <c r="A7" s="2" t="s">
        <v>12</v>
      </c>
      <c r="F7" s="2">
        <f>SUM(F2:F6)</f>
        <v>331</v>
      </c>
      <c r="G7" t="s">
        <v>0</v>
      </c>
    </row>
    <row r="12" spans="1:7" x14ac:dyDescent="0.25">
      <c r="A12" t="s">
        <v>38</v>
      </c>
      <c r="B12" s="4" t="s">
        <v>39</v>
      </c>
    </row>
    <row r="13" spans="1:7" x14ac:dyDescent="0.25">
      <c r="A13">
        <f>F7*(0.65 + 0.01 * 47)</f>
        <v>370.72</v>
      </c>
      <c r="B13" t="s">
        <v>0</v>
      </c>
    </row>
    <row r="16" spans="1:7" x14ac:dyDescent="0.25">
      <c r="A16" t="s">
        <v>40</v>
      </c>
      <c r="B16" t="s">
        <v>42</v>
      </c>
    </row>
    <row r="17" spans="1:4" x14ac:dyDescent="0.25">
      <c r="A17" t="s">
        <v>41</v>
      </c>
      <c r="B17" s="5">
        <f>A13/6.5</f>
        <v>57.033846153846156</v>
      </c>
      <c r="C17" t="s">
        <v>46</v>
      </c>
    </row>
    <row r="21" spans="1:4" x14ac:dyDescent="0.25">
      <c r="A21" t="s">
        <v>43</v>
      </c>
    </row>
    <row r="22" spans="1:4" x14ac:dyDescent="0.25">
      <c r="A22" t="s">
        <v>44</v>
      </c>
      <c r="B22" s="6">
        <f>B17/6</f>
        <v>9.505641025641026</v>
      </c>
      <c r="C22" t="s">
        <v>45</v>
      </c>
      <c r="D22" t="s">
        <v>47</v>
      </c>
    </row>
    <row r="26" spans="1:4" x14ac:dyDescent="0.25">
      <c r="A26" t="s">
        <v>48</v>
      </c>
    </row>
    <row r="28" spans="1:4" x14ac:dyDescent="0.25">
      <c r="A28" t="s">
        <v>49</v>
      </c>
      <c r="B28" s="5">
        <f>B17*8</f>
        <v>456.27076923076925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E020-941B-40BF-9469-1D185E37992F}">
  <dimension ref="A1:C16"/>
  <sheetViews>
    <sheetView workbookViewId="0">
      <selection activeCell="C15" sqref="C15"/>
    </sheetView>
  </sheetViews>
  <sheetFormatPr baseColWidth="10" defaultRowHeight="15" x14ac:dyDescent="0.25"/>
  <cols>
    <col min="2" max="2" width="53.85546875" customWidth="1"/>
  </cols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s="1">
        <v>1</v>
      </c>
      <c r="B2" s="1" t="s">
        <v>23</v>
      </c>
      <c r="C2" s="1">
        <v>3</v>
      </c>
    </row>
    <row r="3" spans="1:3" x14ac:dyDescent="0.25">
      <c r="A3" s="1">
        <v>2</v>
      </c>
      <c r="B3" s="1" t="s">
        <v>24</v>
      </c>
      <c r="C3" s="1">
        <v>4</v>
      </c>
    </row>
    <row r="4" spans="1:3" x14ac:dyDescent="0.25">
      <c r="A4" s="1">
        <v>3</v>
      </c>
      <c r="B4" s="1" t="s">
        <v>25</v>
      </c>
      <c r="C4" s="1">
        <v>4</v>
      </c>
    </row>
    <row r="5" spans="1:3" x14ac:dyDescent="0.25">
      <c r="A5" s="1">
        <v>4</v>
      </c>
      <c r="B5" s="1" t="s">
        <v>26</v>
      </c>
      <c r="C5" s="1">
        <v>2</v>
      </c>
    </row>
    <row r="6" spans="1:3" x14ac:dyDescent="0.25">
      <c r="A6" s="1">
        <v>5</v>
      </c>
      <c r="B6" s="1" t="s">
        <v>27</v>
      </c>
      <c r="C6" s="1">
        <v>4</v>
      </c>
    </row>
    <row r="7" spans="1:3" x14ac:dyDescent="0.25">
      <c r="A7" s="1">
        <v>6</v>
      </c>
      <c r="B7" s="1" t="s">
        <v>28</v>
      </c>
      <c r="C7" s="1">
        <v>3</v>
      </c>
    </row>
    <row r="8" spans="1:3" x14ac:dyDescent="0.25">
      <c r="A8" s="1">
        <v>7</v>
      </c>
      <c r="B8" s="1" t="s">
        <v>29</v>
      </c>
      <c r="C8" s="1">
        <v>4</v>
      </c>
    </row>
    <row r="9" spans="1:3" x14ac:dyDescent="0.25">
      <c r="A9" s="1">
        <v>8</v>
      </c>
      <c r="B9" s="1" t="s">
        <v>30</v>
      </c>
      <c r="C9" s="1">
        <v>4</v>
      </c>
    </row>
    <row r="10" spans="1:3" x14ac:dyDescent="0.25">
      <c r="A10" s="1">
        <v>9</v>
      </c>
      <c r="B10" s="1" t="s">
        <v>31</v>
      </c>
      <c r="C10" s="1">
        <v>3</v>
      </c>
    </row>
    <row r="11" spans="1:3" x14ac:dyDescent="0.25">
      <c r="A11" s="1">
        <v>10</v>
      </c>
      <c r="B11" s="1" t="s">
        <v>32</v>
      </c>
      <c r="C11" s="1">
        <v>3</v>
      </c>
    </row>
    <row r="12" spans="1:3" x14ac:dyDescent="0.25">
      <c r="A12" s="1">
        <v>11</v>
      </c>
      <c r="B12" s="1" t="s">
        <v>33</v>
      </c>
      <c r="C12" s="1">
        <v>2</v>
      </c>
    </row>
    <row r="13" spans="1:3" x14ac:dyDescent="0.25">
      <c r="A13" s="1">
        <v>12</v>
      </c>
      <c r="B13" s="1" t="s">
        <v>34</v>
      </c>
      <c r="C13" s="1">
        <v>4</v>
      </c>
    </row>
    <row r="14" spans="1:3" x14ac:dyDescent="0.25">
      <c r="A14" s="1">
        <v>13</v>
      </c>
      <c r="B14" s="1" t="s">
        <v>35</v>
      </c>
      <c r="C14" s="1">
        <v>3</v>
      </c>
    </row>
    <row r="15" spans="1:3" x14ac:dyDescent="0.25">
      <c r="A15" s="1">
        <v>14</v>
      </c>
      <c r="B15" s="1" t="s">
        <v>36</v>
      </c>
      <c r="C15" s="1">
        <v>4</v>
      </c>
    </row>
    <row r="16" spans="1:3" x14ac:dyDescent="0.25">
      <c r="A16" s="1" t="s">
        <v>37</v>
      </c>
      <c r="C16" s="1">
        <f>SUM(C2:C15)</f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AJUSTE FI</vt:lpstr>
      <vt:lpstr>Evaluar factores de complejidad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ANDRES HERRADA MONTENEGRO</dc:creator>
  <cp:lastModifiedBy>SANTIAGO ANDRES HERRADA MONTENEGRO</cp:lastModifiedBy>
  <dcterms:created xsi:type="dcterms:W3CDTF">2025-10-28T17:42:47Z</dcterms:created>
  <dcterms:modified xsi:type="dcterms:W3CDTF">2025-10-29T03:59:01Z</dcterms:modified>
</cp:coreProperties>
</file>