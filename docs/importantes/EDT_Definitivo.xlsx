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C9E72502-22E3-4678-839E-A4F4E63A5F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Copia de Hoja1 1" sheetId="2" r:id="rId2"/>
    <sheet name="Copia de Hoja1" sheetId="3" r:id="rId3"/>
  </sheets>
  <calcPr calcId="191029"/>
  <pivotCaches>
    <pivotCache cacheId="6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2" l="1"/>
  <c r="F89" i="2"/>
  <c r="C89" i="2"/>
  <c r="K89" i="1"/>
  <c r="J89" i="1"/>
  <c r="I89" i="1"/>
  <c r="H89" i="1"/>
  <c r="G89" i="1"/>
  <c r="F89" i="1"/>
  <c r="C89" i="1"/>
</calcChain>
</file>

<file path=xl/sharedStrings.xml><?xml version="1.0" encoding="utf-8"?>
<sst xmlns="http://schemas.openxmlformats.org/spreadsheetml/2006/main" count="734" uniqueCount="96">
  <si>
    <t>Versión</t>
  </si>
  <si>
    <t>Fase / Etapa</t>
  </si>
  <si>
    <t>Actividades</t>
  </si>
  <si>
    <t>Responsable/s</t>
  </si>
  <si>
    <t>Tipo</t>
  </si>
  <si>
    <t>Tamaño en codigo</t>
  </si>
  <si>
    <t>Tamaño documentos REAL</t>
  </si>
  <si>
    <t>Tiempo (min) REAL</t>
  </si>
  <si>
    <t>Tamaño en codigo EST</t>
  </si>
  <si>
    <t>Tamaño documentos EST</t>
  </si>
  <si>
    <t>Tiempo (min) EST</t>
  </si>
  <si>
    <t>Lanzamiento / Iniciación</t>
  </si>
  <si>
    <t>Acta de iniciación</t>
  </si>
  <si>
    <t>LE, LP, LA, LC, LD, LS</t>
  </si>
  <si>
    <t>Unico</t>
  </si>
  <si>
    <t>Constitución del equipo</t>
  </si>
  <si>
    <t>LE</t>
  </si>
  <si>
    <t>Definición del objetivo</t>
  </si>
  <si>
    <t>Definición del problema</t>
  </si>
  <si>
    <t>Definición de roles y responsabilidades</t>
  </si>
  <si>
    <t>Log de defectos</t>
  </si>
  <si>
    <t>Común</t>
  </si>
  <si>
    <t>Control de asignaciones</t>
  </si>
  <si>
    <t>LP</t>
  </si>
  <si>
    <t>Desarrollo Pagina Web</t>
  </si>
  <si>
    <t>LE, LD</t>
  </si>
  <si>
    <t>Acta de reunión</t>
  </si>
  <si>
    <t>LC</t>
  </si>
  <si>
    <t>Script de procesos</t>
  </si>
  <si>
    <t>Subida de documentos</t>
  </si>
  <si>
    <t>Maestro de documentos</t>
  </si>
  <si>
    <t>Bitacoras</t>
  </si>
  <si>
    <t>Estrategia</t>
  </si>
  <si>
    <t>Lineamiento Estrategico</t>
  </si>
  <si>
    <t>Estrategia general y diseño conceptual</t>
  </si>
  <si>
    <t>LE, LA</t>
  </si>
  <si>
    <t>Plan de riesgos</t>
  </si>
  <si>
    <t>LP, LD</t>
  </si>
  <si>
    <t>Plan de administración de configuración</t>
  </si>
  <si>
    <t>LC, LS</t>
  </si>
  <si>
    <t>Plan de control de cambios</t>
  </si>
  <si>
    <t>Requerimientos</t>
  </si>
  <si>
    <t>Plan de administración de requerimientos</t>
  </si>
  <si>
    <t>Especificación de Requerimientos de software</t>
  </si>
  <si>
    <t>LP,LE</t>
  </si>
  <si>
    <t>Plantillas Casos de uso</t>
  </si>
  <si>
    <t>Diagrama de Caso de uso</t>
  </si>
  <si>
    <t>LD</t>
  </si>
  <si>
    <t>Plantilla de atributos de calidad</t>
  </si>
  <si>
    <t>LC,LS</t>
  </si>
  <si>
    <t>Modelo de Dominio</t>
  </si>
  <si>
    <t>Planeación</t>
  </si>
  <si>
    <t>Especificación detallada de tareas</t>
  </si>
  <si>
    <t>LP,LD</t>
  </si>
  <si>
    <t>Plan de calidad</t>
  </si>
  <si>
    <t>LE,LA</t>
  </si>
  <si>
    <t>Definir objetivo y alcance</t>
  </si>
  <si>
    <t>Control de cambios</t>
  </si>
  <si>
    <t>LS,LC</t>
  </si>
  <si>
    <t>Definir roles y responsabilidades</t>
  </si>
  <si>
    <t>Descomposición de tareas</t>
  </si>
  <si>
    <t>Arquitectura y diseño detallado</t>
  </si>
  <si>
    <t>Especificación de diseño de Software</t>
  </si>
  <si>
    <t>Arquitectura de la solución</t>
  </si>
  <si>
    <t>LA</t>
  </si>
  <si>
    <t>Diseño funcionales UML</t>
  </si>
  <si>
    <t>LD,LE,LP</t>
  </si>
  <si>
    <t>Implementación</t>
  </si>
  <si>
    <t>Plan de implementación</t>
  </si>
  <si>
    <t>Codificación</t>
  </si>
  <si>
    <t>Propuesta de testeos</t>
  </si>
  <si>
    <t>LA,LC</t>
  </si>
  <si>
    <t>Configuración del repositorio GitHub</t>
  </si>
  <si>
    <t>LE,LS</t>
  </si>
  <si>
    <t>Validaciones</t>
  </si>
  <si>
    <t>Pruebas</t>
  </si>
  <si>
    <t>Plan de pruebas</t>
  </si>
  <si>
    <t>Informes pruebas</t>
  </si>
  <si>
    <t>Testeo local</t>
  </si>
  <si>
    <t>Postmortem</t>
  </si>
  <si>
    <t>Informe de postmortem</t>
  </si>
  <si>
    <t>LE,LA,LS</t>
  </si>
  <si>
    <t>Presentación postmortem</t>
  </si>
  <si>
    <t>Recolección de documentos</t>
  </si>
  <si>
    <t>Correción y revisión</t>
  </si>
  <si>
    <t>SUMA</t>
  </si>
  <si>
    <t>Peso</t>
  </si>
  <si>
    <t>Tiempo (min)</t>
  </si>
  <si>
    <t>Etiquetas de fila</t>
  </si>
  <si>
    <t>Total general</t>
  </si>
  <si>
    <t>Suma de Tiempo (min) EST</t>
  </si>
  <si>
    <t>Suma de Tamaño documentos EST</t>
  </si>
  <si>
    <t>Suma de Tamaño en codigo EST</t>
  </si>
  <si>
    <t>Suma de Tiempo (min) REAL</t>
  </si>
  <si>
    <t>Suma de Tamaño documentos REAL</t>
  </si>
  <si>
    <t>Suma de Tamaño en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</si>
</sst>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rgb="FF00FF00"/>
        <bgColor rgb="FF00FF00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0" fontId="4" fillId="0" borderId="0" xfId="0" applyFont="1"/>
    <xf numFmtId="0" fontId="2" fillId="3" borderId="0" xfId="0" applyFont="1" applyFill="1"/>
    <xf numFmtId="0" fontId="2" fillId="4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4" fillId="5" borderId="0" xfId="0" applyFont="1" applyFill="1"/>
    <xf numFmtId="0" fontId="4" fillId="5" borderId="4" xfId="0" applyFont="1" applyFill="1" applyBorder="1"/>
    <xf numFmtId="0" fontId="3" fillId="5" borderId="4" xfId="0" applyFont="1" applyFill="1" applyBorder="1"/>
    <xf numFmtId="0" fontId="1" fillId="2" borderId="3" xfId="0" applyFont="1" applyFill="1" applyBorder="1"/>
    <xf numFmtId="0" fontId="0" fillId="0" borderId="5" xfId="0" applyBorder="1"/>
    <xf numFmtId="0" fontId="0" fillId="0" borderId="5" xfId="0" pivotButton="1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5" xfId="0" applyNumberFormat="1" applyBorder="1"/>
    <xf numFmtId="0" fontId="0" fillId="0" borderId="8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7" xfId="0" applyNumberFormat="1" applyBorder="1"/>
    <xf numFmtId="0" fontId="0" fillId="0" borderId="10" xfId="0" applyNumberFormat="1" applyBorder="1"/>
    <xf numFmtId="0" fontId="0" fillId="0" borderId="11" xfId="0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NumberFormat="1" applyBorder="1"/>
  </cellXfs>
  <cellStyles count="1">
    <cellStyle name="Normal" xfId="0" builtinId="0"/>
  </cellStyles>
  <dxfs count="9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1"/>
          <bgColor theme="1"/>
        </patternFill>
      </fill>
    </dxf>
  </dxfs>
  <tableStyles count="3">
    <tableStyle name="Hoja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Copia de Hoja1 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Copia de Hoja1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[EDT_Definitivo.xlsx]Hoja1!TablaDinámica11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Hoja1!$O$1</c:f>
              <c:strCache>
                <c:ptCount val="1"/>
                <c:pt idx="0">
                  <c:v>Suma de Tiempo (min) 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Hoja1!$N$2:$N$10</c:f>
              <c:strCache>
                <c:ptCount val="8"/>
                <c:pt idx="0">
                  <c:v>Arquitectura y diseño detallado</c:v>
                </c:pt>
                <c:pt idx="1">
                  <c:v>Estrategia</c:v>
                </c:pt>
                <c:pt idx="2">
                  <c:v>Implementación</c:v>
                </c:pt>
                <c:pt idx="3">
                  <c:v>Lanzamiento / Iniciación</c:v>
                </c:pt>
                <c:pt idx="4">
                  <c:v>Planeación</c:v>
                </c:pt>
                <c:pt idx="5">
                  <c:v>Postmortem</c:v>
                </c:pt>
                <c:pt idx="6">
                  <c:v>Pruebas</c:v>
                </c:pt>
                <c:pt idx="7">
                  <c:v>Requerimientos</c:v>
                </c:pt>
              </c:strCache>
            </c:strRef>
          </c:cat>
          <c:val>
            <c:numRef>
              <c:f>Hoja1!$O$2:$O$10</c:f>
              <c:numCache>
                <c:formatCode>General</c:formatCode>
                <c:ptCount val="8"/>
                <c:pt idx="0">
                  <c:v>300</c:v>
                </c:pt>
                <c:pt idx="1">
                  <c:v>360</c:v>
                </c:pt>
                <c:pt idx="2">
                  <c:v>445</c:v>
                </c:pt>
                <c:pt idx="3">
                  <c:v>560</c:v>
                </c:pt>
                <c:pt idx="4">
                  <c:v>330</c:v>
                </c:pt>
                <c:pt idx="5">
                  <c:v>300</c:v>
                </c:pt>
                <c:pt idx="6">
                  <c:v>270</c:v>
                </c:pt>
                <c:pt idx="7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F-4E3C-8078-2FB38843CD57}"/>
            </c:ext>
          </c:extLst>
        </c:ser>
        <c:ser>
          <c:idx val="1"/>
          <c:order val="1"/>
          <c:tx>
            <c:strRef>
              <c:f>Hoja1!$P$1</c:f>
              <c:strCache>
                <c:ptCount val="1"/>
                <c:pt idx="0">
                  <c:v>Suma de Tamaño documentos 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Hoja1!$N$2:$N$10</c:f>
              <c:strCache>
                <c:ptCount val="8"/>
                <c:pt idx="0">
                  <c:v>Arquitectura y diseño detallado</c:v>
                </c:pt>
                <c:pt idx="1">
                  <c:v>Estrategia</c:v>
                </c:pt>
                <c:pt idx="2">
                  <c:v>Implementación</c:v>
                </c:pt>
                <c:pt idx="3">
                  <c:v>Lanzamiento / Iniciación</c:v>
                </c:pt>
                <c:pt idx="4">
                  <c:v>Planeación</c:v>
                </c:pt>
                <c:pt idx="5">
                  <c:v>Postmortem</c:v>
                </c:pt>
                <c:pt idx="6">
                  <c:v>Pruebas</c:v>
                </c:pt>
                <c:pt idx="7">
                  <c:v>Requerimientos</c:v>
                </c:pt>
              </c:strCache>
            </c:strRef>
          </c:cat>
          <c:val>
            <c:numRef>
              <c:f>Hoja1!$P$2:$P$10</c:f>
              <c:numCache>
                <c:formatCode>General</c:formatCode>
                <c:ptCount val="8"/>
                <c:pt idx="0">
                  <c:v>15</c:v>
                </c:pt>
                <c:pt idx="1">
                  <c:v>19</c:v>
                </c:pt>
                <c:pt idx="2">
                  <c:v>18</c:v>
                </c:pt>
                <c:pt idx="3">
                  <c:v>24</c:v>
                </c:pt>
                <c:pt idx="4">
                  <c:v>19</c:v>
                </c:pt>
                <c:pt idx="5">
                  <c:v>22</c:v>
                </c:pt>
                <c:pt idx="6">
                  <c:v>16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F-4E3C-8078-2FB38843CD57}"/>
            </c:ext>
          </c:extLst>
        </c:ser>
        <c:ser>
          <c:idx val="2"/>
          <c:order val="2"/>
          <c:tx>
            <c:strRef>
              <c:f>Hoja1!$Q$1</c:f>
              <c:strCache>
                <c:ptCount val="1"/>
                <c:pt idx="0">
                  <c:v>Suma de Tamaño en codigo 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Hoja1!$N$2:$N$10</c:f>
              <c:strCache>
                <c:ptCount val="8"/>
                <c:pt idx="0">
                  <c:v>Arquitectura y diseño detallado</c:v>
                </c:pt>
                <c:pt idx="1">
                  <c:v>Estrategia</c:v>
                </c:pt>
                <c:pt idx="2">
                  <c:v>Implementación</c:v>
                </c:pt>
                <c:pt idx="3">
                  <c:v>Lanzamiento / Iniciación</c:v>
                </c:pt>
                <c:pt idx="4">
                  <c:v>Planeación</c:v>
                </c:pt>
                <c:pt idx="5">
                  <c:v>Postmortem</c:v>
                </c:pt>
                <c:pt idx="6">
                  <c:v>Pruebas</c:v>
                </c:pt>
                <c:pt idx="7">
                  <c:v>Requerimientos</c:v>
                </c:pt>
              </c:strCache>
            </c:strRef>
          </c:cat>
          <c:val>
            <c:numRef>
              <c:f>Hoja1!$Q$2:$Q$10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10</c:v>
                </c:pt>
                <c:pt idx="3">
                  <c:v>7</c:v>
                </c:pt>
                <c:pt idx="4">
                  <c:v>2</c:v>
                </c:pt>
                <c:pt idx="5">
                  <c:v>6</c:v>
                </c:pt>
                <c:pt idx="6">
                  <c:v>10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7F-4E3C-8078-2FB38843CD57}"/>
            </c:ext>
          </c:extLst>
        </c:ser>
        <c:ser>
          <c:idx val="3"/>
          <c:order val="3"/>
          <c:tx>
            <c:strRef>
              <c:f>Hoja1!$R$1</c:f>
              <c:strCache>
                <c:ptCount val="1"/>
                <c:pt idx="0">
                  <c:v>Suma de Tiempo (min)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Hoja1!$N$2:$N$10</c:f>
              <c:strCache>
                <c:ptCount val="8"/>
                <c:pt idx="0">
                  <c:v>Arquitectura y diseño detallado</c:v>
                </c:pt>
                <c:pt idx="1">
                  <c:v>Estrategia</c:v>
                </c:pt>
                <c:pt idx="2">
                  <c:v>Implementación</c:v>
                </c:pt>
                <c:pt idx="3">
                  <c:v>Lanzamiento / Iniciación</c:v>
                </c:pt>
                <c:pt idx="4">
                  <c:v>Planeación</c:v>
                </c:pt>
                <c:pt idx="5">
                  <c:v>Postmortem</c:v>
                </c:pt>
                <c:pt idx="6">
                  <c:v>Pruebas</c:v>
                </c:pt>
                <c:pt idx="7">
                  <c:v>Requerimientos</c:v>
                </c:pt>
              </c:strCache>
            </c:strRef>
          </c:cat>
          <c:val>
            <c:numRef>
              <c:f>Hoja1!$R$2:$R$10</c:f>
              <c:numCache>
                <c:formatCode>General</c:formatCode>
                <c:ptCount val="8"/>
                <c:pt idx="0">
                  <c:v>300</c:v>
                </c:pt>
                <c:pt idx="1">
                  <c:v>352</c:v>
                </c:pt>
                <c:pt idx="2">
                  <c:v>445</c:v>
                </c:pt>
                <c:pt idx="3">
                  <c:v>549</c:v>
                </c:pt>
                <c:pt idx="4">
                  <c:v>310</c:v>
                </c:pt>
                <c:pt idx="5">
                  <c:v>278</c:v>
                </c:pt>
                <c:pt idx="6">
                  <c:v>270</c:v>
                </c:pt>
                <c:pt idx="7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7F-4E3C-8078-2FB38843CD57}"/>
            </c:ext>
          </c:extLst>
        </c:ser>
        <c:ser>
          <c:idx val="4"/>
          <c:order val="4"/>
          <c:tx>
            <c:strRef>
              <c:f>Hoja1!$S$1</c:f>
              <c:strCache>
                <c:ptCount val="1"/>
                <c:pt idx="0">
                  <c:v>Suma de Tamaño documentos REAL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Hoja1!$N$2:$N$10</c:f>
              <c:strCache>
                <c:ptCount val="8"/>
                <c:pt idx="0">
                  <c:v>Arquitectura y diseño detallado</c:v>
                </c:pt>
                <c:pt idx="1">
                  <c:v>Estrategia</c:v>
                </c:pt>
                <c:pt idx="2">
                  <c:v>Implementación</c:v>
                </c:pt>
                <c:pt idx="3">
                  <c:v>Lanzamiento / Iniciación</c:v>
                </c:pt>
                <c:pt idx="4">
                  <c:v>Planeación</c:v>
                </c:pt>
                <c:pt idx="5">
                  <c:v>Postmortem</c:v>
                </c:pt>
                <c:pt idx="6">
                  <c:v>Pruebas</c:v>
                </c:pt>
                <c:pt idx="7">
                  <c:v>Requerimientos</c:v>
                </c:pt>
              </c:strCache>
            </c:strRef>
          </c:cat>
          <c:val>
            <c:numRef>
              <c:f>Hoja1!$S$2:$S$10</c:f>
              <c:numCache>
                <c:formatCode>General</c:formatCode>
                <c:ptCount val="8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21</c:v>
                </c:pt>
                <c:pt idx="4">
                  <c:v>18</c:v>
                </c:pt>
                <c:pt idx="5">
                  <c:v>15</c:v>
                </c:pt>
                <c:pt idx="6">
                  <c:v>9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7F-4E3C-8078-2FB38843CD57}"/>
            </c:ext>
          </c:extLst>
        </c:ser>
        <c:ser>
          <c:idx val="5"/>
          <c:order val="5"/>
          <c:tx>
            <c:strRef>
              <c:f>Hoja1!$T$1</c:f>
              <c:strCache>
                <c:ptCount val="1"/>
                <c:pt idx="0">
                  <c:v>Suma de Tamaño en codigo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Hoja1!$N$2:$N$10</c:f>
              <c:strCache>
                <c:ptCount val="8"/>
                <c:pt idx="0">
                  <c:v>Arquitectura y diseño detallado</c:v>
                </c:pt>
                <c:pt idx="1">
                  <c:v>Estrategia</c:v>
                </c:pt>
                <c:pt idx="2">
                  <c:v>Implementación</c:v>
                </c:pt>
                <c:pt idx="3">
                  <c:v>Lanzamiento / Iniciación</c:v>
                </c:pt>
                <c:pt idx="4">
                  <c:v>Planeación</c:v>
                </c:pt>
                <c:pt idx="5">
                  <c:v>Postmortem</c:v>
                </c:pt>
                <c:pt idx="6">
                  <c:v>Pruebas</c:v>
                </c:pt>
                <c:pt idx="7">
                  <c:v>Requerimientos</c:v>
                </c:pt>
              </c:strCache>
            </c:strRef>
          </c:cat>
          <c:val>
            <c:numRef>
              <c:f>Hoja1!$T$2:$T$10</c:f>
              <c:numCache>
                <c:formatCode>General</c:formatCode>
                <c:ptCount val="8"/>
                <c:pt idx="0">
                  <c:v>5</c:v>
                </c:pt>
                <c:pt idx="1">
                  <c:v>2</c:v>
                </c:pt>
                <c:pt idx="2">
                  <c:v>11</c:v>
                </c:pt>
                <c:pt idx="3">
                  <c:v>5</c:v>
                </c:pt>
                <c:pt idx="4">
                  <c:v>2</c:v>
                </c:pt>
                <c:pt idx="5">
                  <c:v>6</c:v>
                </c:pt>
                <c:pt idx="6">
                  <c:v>9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7F-4E3C-8078-2FB38843CD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003951"/>
        <c:axId val="542002031"/>
      </c:barChart>
      <c:catAx>
        <c:axId val="54200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002031"/>
        <c:crosses val="autoZero"/>
        <c:auto val="1"/>
        <c:lblAlgn val="ctr"/>
        <c:lblOffset val="100"/>
        <c:noMultiLvlLbl val="0"/>
      </c:catAx>
      <c:valAx>
        <c:axId val="54200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00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695325</xdr:colOff>
      <xdr:row>11</xdr:row>
      <xdr:rowOff>166687</xdr:rowOff>
    </xdr:from>
    <xdr:to>
      <xdr:col>19</xdr:col>
      <xdr:colOff>314325</xdr:colOff>
      <xdr:row>33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1D4210-79DF-5E2B-7B22-891DD6712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8.988582407408" createdVersion="8" refreshedVersion="8" minRefreshableVersion="3" recordCount="87" xr:uid="{F41B0B43-C7D2-46A3-BC12-39D384FD94DA}">
  <cacheSource type="worksheet">
    <worksheetSource ref="A1:K88" sheet="Hoja1"/>
  </cacheSource>
  <cacheFields count="11">
    <cacheField name="Versión" numFmtId="0">
      <sharedItems containsSemiMixedTypes="0" containsString="0" containsNumber="1" containsInteger="1" minValue="1" maxValue="8"/>
    </cacheField>
    <cacheField name="Fase / Etapa" numFmtId="0">
      <sharedItems count="8">
        <s v="Lanzamiento / Iniciación"/>
        <s v="Estrategia"/>
        <s v="Requerimientos"/>
        <s v="Planeación"/>
        <s v="Arquitectura y diseño detallado"/>
        <s v="Implementación"/>
        <s v="Pruebas"/>
        <s v="Postmortem"/>
      </sharedItems>
    </cacheField>
    <cacheField name="Actividades" numFmtId="0">
      <sharedItems count="45">
        <s v="Acta de iniciación"/>
        <s v="Constitución del equipo"/>
        <s v="Definición del objetivo"/>
        <s v="Definición del problema"/>
        <s v="Definición de roles y responsabilidades"/>
        <s v="Log de defectos"/>
        <s v="Control de asignaciones"/>
        <s v="Desarrollo Pagina Web"/>
        <s v="Acta de reunión"/>
        <s v="Script de procesos"/>
        <s v="Subida de documentos"/>
        <s v="Maestro de documentos"/>
        <s v="Bitacoras"/>
        <s v="Lineamiento Estrategico"/>
        <s v="Estrategia general y diseño conceptual"/>
        <s v="Plan de riesgos"/>
        <s v="Plan de administración de configuración"/>
        <s v="Plan de control de cambios"/>
        <s v="Plan de administración de requerimientos"/>
        <s v="Especificación de Requerimientos de software"/>
        <s v="Plantillas Casos de uso"/>
        <s v="Diagrama de Caso de uso"/>
        <s v="Plantilla de atributos de calidad"/>
        <s v="Modelo de Dominio"/>
        <s v="Especificación detallada de tareas"/>
        <s v="Plan de calidad"/>
        <s v="Definir objetivo y alcance"/>
        <s v="Control de cambios"/>
        <s v="Definir roles y responsabilidades"/>
        <s v="Descomposición de tareas"/>
        <s v="Especificación de diseño de Software"/>
        <s v="Arquitectura de la solución"/>
        <s v="Diseño funcionales UML"/>
        <s v="Plan de implementación"/>
        <s v="Codificación"/>
        <s v="Propuesta de testeos"/>
        <s v="Configuración del repositorio GitHub"/>
        <s v="Validaciones"/>
        <s v="Plan de pruebas"/>
        <s v="Informes pruebas"/>
        <s v="Testeo local"/>
        <s v="Informe de postmortem"/>
        <s v="Presentación postmortem"/>
        <s v="Recolección de documentos"/>
        <s v="Correción y revisión"/>
      </sharedItems>
    </cacheField>
    <cacheField name="Responsable/s" numFmtId="0">
      <sharedItems count="19">
        <s v="LE, LP, LA, LC, LD, LS"/>
        <s v="LE"/>
        <s v="LP"/>
        <s v="LE, LD"/>
        <s v="LC"/>
        <s v="LE, LA"/>
        <s v="LP, LD"/>
        <s v="LC, LS"/>
        <s v="LP,LE"/>
        <s v="LD"/>
        <s v="LC,LS"/>
        <s v="LP,LD"/>
        <s v="LE,LA"/>
        <s v="LS,LC"/>
        <s v="LA"/>
        <s v="LD,LE,LP"/>
        <s v="LA,LC"/>
        <s v="LE,LS"/>
        <s v="LE,LA,LS"/>
      </sharedItems>
    </cacheField>
    <cacheField name="Tipo" numFmtId="0">
      <sharedItems/>
    </cacheField>
    <cacheField name="Tamaño en codigo" numFmtId="0">
      <sharedItems containsSemiMixedTypes="0" containsString="0" containsNumber="1" containsInteger="1" minValue="0" maxValue="3"/>
    </cacheField>
    <cacheField name="Tamaño documentos REAL" numFmtId="0">
      <sharedItems containsSemiMixedTypes="0" containsString="0" containsNumber="1" containsInteger="1" minValue="0" maxValue="3"/>
    </cacheField>
    <cacheField name="Tiempo (min) REAL" numFmtId="0">
      <sharedItems containsSemiMixedTypes="0" containsString="0" containsNumber="1" containsInteger="1" minValue="10" maxValue="90"/>
    </cacheField>
    <cacheField name="Tamaño en codigo EST" numFmtId="0">
      <sharedItems containsSemiMixedTypes="0" containsString="0" containsNumber="1" containsInteger="1" minValue="0" maxValue="3"/>
    </cacheField>
    <cacheField name="Tamaño documentos EST" numFmtId="0">
      <sharedItems containsSemiMixedTypes="0" containsString="0" containsNumber="1" containsInteger="1" minValue="1" maxValue="3"/>
    </cacheField>
    <cacheField name="Tiempo (min) EST" numFmtId="0">
      <sharedItems containsSemiMixedTypes="0" containsString="0" containsNumber="1" containsInteger="1" minValue="20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1"/>
    <x v="0"/>
    <x v="0"/>
    <x v="0"/>
    <s v="Unico"/>
    <n v="0"/>
    <n v="3"/>
    <n v="60"/>
    <n v="0"/>
    <n v="3"/>
    <n v="60"/>
  </r>
  <r>
    <n v="1"/>
    <x v="0"/>
    <x v="1"/>
    <x v="1"/>
    <s v="Unico"/>
    <n v="0"/>
    <n v="1"/>
    <n v="58"/>
    <n v="0"/>
    <n v="1"/>
    <n v="60"/>
  </r>
  <r>
    <n v="1"/>
    <x v="0"/>
    <x v="2"/>
    <x v="0"/>
    <s v="Unico"/>
    <n v="0"/>
    <n v="3"/>
    <n v="60"/>
    <n v="1"/>
    <n v="3"/>
    <n v="60"/>
  </r>
  <r>
    <n v="1"/>
    <x v="0"/>
    <x v="3"/>
    <x v="0"/>
    <s v="Unico"/>
    <n v="0"/>
    <n v="3"/>
    <n v="65"/>
    <n v="0"/>
    <n v="3"/>
    <n v="60"/>
  </r>
  <r>
    <n v="1"/>
    <x v="0"/>
    <x v="4"/>
    <x v="1"/>
    <s v="Unico"/>
    <n v="0"/>
    <n v="1"/>
    <n v="30"/>
    <n v="0"/>
    <n v="1"/>
    <n v="30"/>
  </r>
  <r>
    <n v="1"/>
    <x v="0"/>
    <x v="5"/>
    <x v="1"/>
    <s v="Común"/>
    <n v="0"/>
    <n v="1"/>
    <n v="27"/>
    <n v="1"/>
    <n v="1"/>
    <n v="30"/>
  </r>
  <r>
    <n v="1"/>
    <x v="0"/>
    <x v="6"/>
    <x v="2"/>
    <s v="Común"/>
    <n v="0"/>
    <n v="1"/>
    <n v="30"/>
    <n v="1"/>
    <n v="1"/>
    <n v="30"/>
  </r>
  <r>
    <n v="1"/>
    <x v="0"/>
    <x v="7"/>
    <x v="3"/>
    <s v="Común"/>
    <n v="3"/>
    <n v="0"/>
    <n v="87"/>
    <n v="2"/>
    <n v="2"/>
    <n v="90"/>
  </r>
  <r>
    <n v="1"/>
    <x v="0"/>
    <x v="8"/>
    <x v="4"/>
    <s v="Común"/>
    <n v="0"/>
    <n v="1"/>
    <n v="30"/>
    <n v="0"/>
    <n v="1"/>
    <n v="30"/>
  </r>
  <r>
    <n v="1"/>
    <x v="0"/>
    <x v="9"/>
    <x v="4"/>
    <s v="Común"/>
    <n v="0"/>
    <n v="1"/>
    <n v="27"/>
    <n v="0"/>
    <n v="1"/>
    <n v="30"/>
  </r>
  <r>
    <n v="1"/>
    <x v="0"/>
    <x v="10"/>
    <x v="1"/>
    <s v="Común"/>
    <n v="2"/>
    <n v="0"/>
    <n v="30"/>
    <n v="2"/>
    <n v="1"/>
    <n v="30"/>
  </r>
  <r>
    <n v="1"/>
    <x v="0"/>
    <x v="11"/>
    <x v="0"/>
    <s v="Común"/>
    <n v="0"/>
    <n v="3"/>
    <n v="25"/>
    <n v="0"/>
    <n v="3"/>
    <n v="30"/>
  </r>
  <r>
    <n v="1"/>
    <x v="0"/>
    <x v="12"/>
    <x v="0"/>
    <s v="Común"/>
    <n v="0"/>
    <n v="3"/>
    <n v="20"/>
    <n v="0"/>
    <n v="3"/>
    <n v="20"/>
  </r>
  <r>
    <n v="2"/>
    <x v="1"/>
    <x v="13"/>
    <x v="1"/>
    <s v="Unico"/>
    <n v="0"/>
    <n v="1"/>
    <n v="30"/>
    <n v="0"/>
    <n v="1"/>
    <n v="30"/>
  </r>
  <r>
    <n v="2"/>
    <x v="1"/>
    <x v="14"/>
    <x v="5"/>
    <s v="Unico"/>
    <n v="0"/>
    <n v="2"/>
    <n v="26"/>
    <n v="0"/>
    <n v="2"/>
    <n v="30"/>
  </r>
  <r>
    <n v="2"/>
    <x v="1"/>
    <x v="15"/>
    <x v="6"/>
    <s v="Unico"/>
    <n v="0"/>
    <n v="2"/>
    <n v="30"/>
    <n v="0"/>
    <n v="2"/>
    <n v="30"/>
  </r>
  <r>
    <n v="2"/>
    <x v="1"/>
    <x v="16"/>
    <x v="7"/>
    <s v="Unico"/>
    <n v="0"/>
    <n v="2"/>
    <n v="60"/>
    <n v="0"/>
    <n v="2"/>
    <n v="60"/>
  </r>
  <r>
    <n v="2"/>
    <x v="1"/>
    <x v="17"/>
    <x v="7"/>
    <s v="Unico"/>
    <n v="0"/>
    <n v="2"/>
    <n v="27"/>
    <n v="0"/>
    <n v="2"/>
    <n v="30"/>
  </r>
  <r>
    <n v="2"/>
    <x v="1"/>
    <x v="5"/>
    <x v="1"/>
    <s v="Común"/>
    <n v="0"/>
    <n v="1"/>
    <n v="30"/>
    <n v="0"/>
    <n v="1"/>
    <n v="30"/>
  </r>
  <r>
    <n v="2"/>
    <x v="1"/>
    <x v="6"/>
    <x v="2"/>
    <s v="Común"/>
    <n v="0"/>
    <n v="1"/>
    <n v="28"/>
    <n v="0"/>
    <n v="1"/>
    <n v="30"/>
  </r>
  <r>
    <n v="2"/>
    <x v="1"/>
    <x v="11"/>
    <x v="0"/>
    <s v="Común"/>
    <n v="0"/>
    <n v="3"/>
    <n v="30"/>
    <n v="0"/>
    <n v="3"/>
    <n v="30"/>
  </r>
  <r>
    <n v="2"/>
    <x v="1"/>
    <x v="10"/>
    <x v="1"/>
    <s v="Común"/>
    <n v="0"/>
    <n v="1"/>
    <n v="30"/>
    <n v="0"/>
    <n v="1"/>
    <n v="30"/>
  </r>
  <r>
    <n v="2"/>
    <x v="1"/>
    <x v="8"/>
    <x v="4"/>
    <s v="Común"/>
    <n v="2"/>
    <n v="0"/>
    <n v="31"/>
    <n v="1"/>
    <n v="1"/>
    <n v="30"/>
  </r>
  <r>
    <n v="2"/>
    <x v="1"/>
    <x v="12"/>
    <x v="0"/>
    <s v="Común"/>
    <n v="0"/>
    <n v="3"/>
    <n v="30"/>
    <n v="0"/>
    <n v="3"/>
    <n v="30"/>
  </r>
  <r>
    <n v="3"/>
    <x v="2"/>
    <x v="18"/>
    <x v="4"/>
    <s v="Unico"/>
    <n v="0"/>
    <n v="1"/>
    <n v="34"/>
    <n v="0"/>
    <n v="1"/>
    <n v="30"/>
  </r>
  <r>
    <n v="3"/>
    <x v="2"/>
    <x v="19"/>
    <x v="8"/>
    <s v="Unico"/>
    <n v="0"/>
    <n v="2"/>
    <n v="60"/>
    <n v="0"/>
    <n v="2"/>
    <n v="60"/>
  </r>
  <r>
    <n v="3"/>
    <x v="2"/>
    <x v="20"/>
    <x v="0"/>
    <s v="Unico"/>
    <n v="0"/>
    <n v="3"/>
    <n v="39"/>
    <n v="0"/>
    <n v="3"/>
    <n v="30"/>
  </r>
  <r>
    <n v="3"/>
    <x v="2"/>
    <x v="21"/>
    <x v="9"/>
    <s v="Unico"/>
    <n v="0"/>
    <n v="1"/>
    <n v="30"/>
    <n v="0"/>
    <n v="1"/>
    <n v="30"/>
  </r>
  <r>
    <n v="3"/>
    <x v="2"/>
    <x v="22"/>
    <x v="10"/>
    <s v="Unico"/>
    <n v="0"/>
    <n v="2"/>
    <n v="33"/>
    <n v="0"/>
    <n v="2"/>
    <n v="30"/>
  </r>
  <r>
    <n v="3"/>
    <x v="2"/>
    <x v="23"/>
    <x v="0"/>
    <s v="Unico"/>
    <n v="0"/>
    <n v="3"/>
    <n v="30"/>
    <n v="0"/>
    <n v="3"/>
    <n v="30"/>
  </r>
  <r>
    <n v="3"/>
    <x v="2"/>
    <x v="5"/>
    <x v="1"/>
    <s v="Común"/>
    <n v="0"/>
    <n v="1"/>
    <n v="30"/>
    <n v="0"/>
    <n v="1"/>
    <n v="30"/>
  </r>
  <r>
    <n v="3"/>
    <x v="2"/>
    <x v="6"/>
    <x v="2"/>
    <s v="Común"/>
    <n v="0"/>
    <n v="1"/>
    <n v="30"/>
    <n v="0"/>
    <n v="1"/>
    <n v="30"/>
  </r>
  <r>
    <n v="3"/>
    <x v="2"/>
    <x v="10"/>
    <x v="1"/>
    <s v="Común"/>
    <n v="2"/>
    <n v="0"/>
    <n v="30"/>
    <n v="3"/>
    <n v="1"/>
    <n v="30"/>
  </r>
  <r>
    <n v="3"/>
    <x v="2"/>
    <x v="8"/>
    <x v="4"/>
    <s v="Común"/>
    <n v="0"/>
    <n v="1"/>
    <n v="25"/>
    <n v="0"/>
    <n v="1"/>
    <n v="30"/>
  </r>
  <r>
    <n v="3"/>
    <x v="2"/>
    <x v="11"/>
    <x v="0"/>
    <s v="Común"/>
    <n v="0"/>
    <n v="3"/>
    <n v="30"/>
    <n v="0"/>
    <n v="3"/>
    <n v="30"/>
  </r>
  <r>
    <n v="3"/>
    <x v="2"/>
    <x v="12"/>
    <x v="0"/>
    <s v="Común"/>
    <n v="0"/>
    <n v="3"/>
    <n v="20"/>
    <n v="0"/>
    <n v="3"/>
    <n v="20"/>
  </r>
  <r>
    <n v="4"/>
    <x v="3"/>
    <x v="24"/>
    <x v="11"/>
    <s v="Unico"/>
    <n v="0"/>
    <n v="2"/>
    <n v="10"/>
    <n v="0"/>
    <n v="2"/>
    <n v="20"/>
  </r>
  <r>
    <n v="4"/>
    <x v="3"/>
    <x v="25"/>
    <x v="12"/>
    <s v="Unico"/>
    <n v="0"/>
    <n v="2"/>
    <n v="25"/>
    <n v="0"/>
    <n v="2"/>
    <n v="25"/>
  </r>
  <r>
    <n v="4"/>
    <x v="3"/>
    <x v="26"/>
    <x v="4"/>
    <s v="Unico"/>
    <n v="0"/>
    <n v="1"/>
    <n v="25"/>
    <n v="0"/>
    <n v="1"/>
    <n v="25"/>
  </r>
  <r>
    <n v="4"/>
    <x v="3"/>
    <x v="27"/>
    <x v="13"/>
    <s v="Unico"/>
    <n v="0"/>
    <n v="2"/>
    <n v="20"/>
    <n v="0"/>
    <n v="2"/>
    <n v="20"/>
  </r>
  <r>
    <n v="4"/>
    <x v="3"/>
    <x v="28"/>
    <x v="1"/>
    <s v="Unico"/>
    <n v="0"/>
    <n v="1"/>
    <n v="30"/>
    <n v="0"/>
    <n v="1"/>
    <n v="30"/>
  </r>
  <r>
    <n v="4"/>
    <x v="3"/>
    <x v="29"/>
    <x v="2"/>
    <s v="Unico"/>
    <n v="0"/>
    <n v="1"/>
    <n v="30"/>
    <n v="0"/>
    <n v="1"/>
    <n v="30"/>
  </r>
  <r>
    <n v="4"/>
    <x v="3"/>
    <x v="5"/>
    <x v="1"/>
    <s v="Común"/>
    <n v="0"/>
    <n v="1"/>
    <n v="30"/>
    <n v="0"/>
    <n v="1"/>
    <n v="30"/>
  </r>
  <r>
    <n v="4"/>
    <x v="3"/>
    <x v="6"/>
    <x v="2"/>
    <s v="Común"/>
    <n v="0"/>
    <n v="1"/>
    <n v="20"/>
    <n v="0"/>
    <n v="1"/>
    <n v="30"/>
  </r>
  <r>
    <n v="4"/>
    <x v="3"/>
    <x v="8"/>
    <x v="4"/>
    <s v="Común"/>
    <n v="0"/>
    <n v="1"/>
    <n v="30"/>
    <n v="0"/>
    <n v="1"/>
    <n v="30"/>
  </r>
  <r>
    <n v="4"/>
    <x v="3"/>
    <x v="10"/>
    <x v="1"/>
    <s v="Común"/>
    <n v="2"/>
    <n v="0"/>
    <n v="30"/>
    <n v="2"/>
    <n v="1"/>
    <n v="30"/>
  </r>
  <r>
    <n v="4"/>
    <x v="3"/>
    <x v="11"/>
    <x v="0"/>
    <s v="Común"/>
    <n v="0"/>
    <n v="3"/>
    <n v="30"/>
    <n v="0"/>
    <n v="3"/>
    <n v="30"/>
  </r>
  <r>
    <n v="4"/>
    <x v="3"/>
    <x v="12"/>
    <x v="0"/>
    <s v="Común"/>
    <n v="0"/>
    <n v="3"/>
    <n v="30"/>
    <n v="0"/>
    <n v="3"/>
    <n v="30"/>
  </r>
  <r>
    <n v="5"/>
    <x v="4"/>
    <x v="30"/>
    <x v="2"/>
    <s v="Unico"/>
    <n v="0"/>
    <n v="1"/>
    <n v="30"/>
    <n v="0"/>
    <n v="1"/>
    <n v="30"/>
  </r>
  <r>
    <n v="5"/>
    <x v="4"/>
    <x v="31"/>
    <x v="14"/>
    <s v="Unico"/>
    <n v="3"/>
    <n v="0"/>
    <n v="30"/>
    <n v="3"/>
    <n v="1"/>
    <n v="30"/>
  </r>
  <r>
    <n v="5"/>
    <x v="4"/>
    <x v="32"/>
    <x v="15"/>
    <s v="Unico"/>
    <n v="0"/>
    <n v="3"/>
    <n v="60"/>
    <n v="0"/>
    <n v="3"/>
    <n v="60"/>
  </r>
  <r>
    <n v="5"/>
    <x v="4"/>
    <x v="5"/>
    <x v="1"/>
    <s v="Común"/>
    <n v="0"/>
    <n v="1"/>
    <n v="30"/>
    <n v="0"/>
    <n v="1"/>
    <n v="30"/>
  </r>
  <r>
    <n v="5"/>
    <x v="4"/>
    <x v="6"/>
    <x v="2"/>
    <s v="Común"/>
    <n v="0"/>
    <n v="1"/>
    <n v="30"/>
    <n v="0"/>
    <n v="1"/>
    <n v="30"/>
  </r>
  <r>
    <n v="5"/>
    <x v="4"/>
    <x v="8"/>
    <x v="4"/>
    <s v="Común"/>
    <n v="0"/>
    <n v="1"/>
    <n v="30"/>
    <n v="0"/>
    <n v="1"/>
    <n v="30"/>
  </r>
  <r>
    <n v="5"/>
    <x v="4"/>
    <x v="10"/>
    <x v="1"/>
    <s v="Común"/>
    <n v="2"/>
    <n v="0"/>
    <n v="30"/>
    <n v="1"/>
    <n v="1"/>
    <n v="30"/>
  </r>
  <r>
    <n v="5"/>
    <x v="4"/>
    <x v="11"/>
    <x v="0"/>
    <s v="Común"/>
    <n v="0"/>
    <n v="3"/>
    <n v="30"/>
    <n v="0"/>
    <n v="3"/>
    <n v="30"/>
  </r>
  <r>
    <n v="5"/>
    <x v="4"/>
    <x v="12"/>
    <x v="0"/>
    <s v="Común"/>
    <n v="0"/>
    <n v="3"/>
    <n v="30"/>
    <n v="0"/>
    <n v="3"/>
    <n v="30"/>
  </r>
  <r>
    <n v="6"/>
    <x v="5"/>
    <x v="33"/>
    <x v="8"/>
    <s v="Unico"/>
    <n v="0"/>
    <n v="2"/>
    <n v="60"/>
    <n v="0"/>
    <n v="2"/>
    <n v="60"/>
  </r>
  <r>
    <n v="6"/>
    <x v="5"/>
    <x v="34"/>
    <x v="9"/>
    <s v="Unico"/>
    <n v="3"/>
    <n v="0"/>
    <n v="90"/>
    <n v="3"/>
    <n v="1"/>
    <n v="90"/>
  </r>
  <r>
    <n v="6"/>
    <x v="5"/>
    <x v="35"/>
    <x v="16"/>
    <s v="Unico"/>
    <n v="2"/>
    <n v="0"/>
    <n v="60"/>
    <n v="2"/>
    <n v="2"/>
    <n v="60"/>
  </r>
  <r>
    <n v="6"/>
    <x v="5"/>
    <x v="36"/>
    <x v="17"/>
    <s v="Unico"/>
    <n v="2"/>
    <n v="0"/>
    <n v="25"/>
    <n v="2"/>
    <n v="2"/>
    <n v="25"/>
  </r>
  <r>
    <n v="6"/>
    <x v="5"/>
    <x v="37"/>
    <x v="4"/>
    <s v="Unico"/>
    <n v="2"/>
    <n v="0"/>
    <n v="30"/>
    <n v="1"/>
    <n v="1"/>
    <n v="30"/>
  </r>
  <r>
    <n v="6"/>
    <x v="5"/>
    <x v="5"/>
    <x v="1"/>
    <s v="Común"/>
    <n v="0"/>
    <n v="1"/>
    <n v="30"/>
    <n v="0"/>
    <n v="1"/>
    <n v="30"/>
  </r>
  <r>
    <n v="6"/>
    <x v="5"/>
    <x v="6"/>
    <x v="2"/>
    <s v="Común"/>
    <n v="0"/>
    <n v="1"/>
    <n v="30"/>
    <n v="0"/>
    <n v="1"/>
    <n v="30"/>
  </r>
  <r>
    <n v="6"/>
    <x v="5"/>
    <x v="8"/>
    <x v="4"/>
    <s v="Común"/>
    <n v="0"/>
    <n v="1"/>
    <n v="30"/>
    <n v="0"/>
    <n v="1"/>
    <n v="30"/>
  </r>
  <r>
    <n v="6"/>
    <x v="5"/>
    <x v="10"/>
    <x v="1"/>
    <s v="Común"/>
    <n v="2"/>
    <n v="0"/>
    <n v="30"/>
    <n v="2"/>
    <n v="1"/>
    <n v="30"/>
  </r>
  <r>
    <n v="6"/>
    <x v="5"/>
    <x v="11"/>
    <x v="0"/>
    <s v="Común"/>
    <n v="0"/>
    <n v="3"/>
    <n v="30"/>
    <n v="0"/>
    <n v="3"/>
    <n v="30"/>
  </r>
  <r>
    <n v="6"/>
    <x v="5"/>
    <x v="12"/>
    <x v="0"/>
    <s v="Común"/>
    <n v="0"/>
    <n v="3"/>
    <n v="30"/>
    <n v="0"/>
    <n v="3"/>
    <n v="30"/>
  </r>
  <r>
    <n v="7"/>
    <x v="6"/>
    <x v="38"/>
    <x v="4"/>
    <s v="Unico"/>
    <n v="3"/>
    <n v="0"/>
    <n v="30"/>
    <n v="3"/>
    <n v="1"/>
    <n v="30"/>
  </r>
  <r>
    <n v="7"/>
    <x v="6"/>
    <x v="39"/>
    <x v="10"/>
    <s v="Unico"/>
    <n v="1"/>
    <n v="0"/>
    <n v="30"/>
    <n v="2"/>
    <n v="2"/>
    <n v="30"/>
  </r>
  <r>
    <n v="7"/>
    <x v="6"/>
    <x v="40"/>
    <x v="0"/>
    <s v="Unico"/>
    <n v="3"/>
    <n v="0"/>
    <n v="30"/>
    <n v="2"/>
    <n v="3"/>
    <n v="30"/>
  </r>
  <r>
    <n v="7"/>
    <x v="6"/>
    <x v="5"/>
    <x v="1"/>
    <s v="Común"/>
    <n v="0"/>
    <n v="1"/>
    <n v="30"/>
    <n v="0"/>
    <n v="1"/>
    <n v="30"/>
  </r>
  <r>
    <n v="7"/>
    <x v="6"/>
    <x v="6"/>
    <x v="2"/>
    <s v="Común"/>
    <n v="0"/>
    <n v="1"/>
    <n v="30"/>
    <n v="0"/>
    <n v="1"/>
    <n v="30"/>
  </r>
  <r>
    <n v="7"/>
    <x v="6"/>
    <x v="8"/>
    <x v="4"/>
    <s v="Común"/>
    <n v="0"/>
    <n v="1"/>
    <n v="30"/>
    <n v="0"/>
    <n v="1"/>
    <n v="30"/>
  </r>
  <r>
    <n v="7"/>
    <x v="6"/>
    <x v="10"/>
    <x v="1"/>
    <s v="Común"/>
    <n v="2"/>
    <n v="0"/>
    <n v="30"/>
    <n v="3"/>
    <n v="1"/>
    <n v="30"/>
  </r>
  <r>
    <n v="7"/>
    <x v="6"/>
    <x v="11"/>
    <x v="0"/>
    <s v="Común"/>
    <n v="0"/>
    <n v="3"/>
    <n v="30"/>
    <n v="0"/>
    <n v="3"/>
    <n v="30"/>
  </r>
  <r>
    <n v="7"/>
    <x v="6"/>
    <x v="12"/>
    <x v="0"/>
    <s v="Común"/>
    <n v="0"/>
    <n v="3"/>
    <n v="30"/>
    <n v="0"/>
    <n v="3"/>
    <n v="30"/>
  </r>
  <r>
    <n v="8"/>
    <x v="7"/>
    <x v="41"/>
    <x v="18"/>
    <s v="Unico"/>
    <n v="1"/>
    <n v="0"/>
    <n v="30"/>
    <n v="1"/>
    <n v="3"/>
    <n v="30"/>
  </r>
  <r>
    <n v="8"/>
    <x v="7"/>
    <x v="42"/>
    <x v="0"/>
    <s v="Unico"/>
    <n v="0"/>
    <n v="3"/>
    <n v="30"/>
    <n v="0"/>
    <n v="3"/>
    <n v="30"/>
  </r>
  <r>
    <n v="8"/>
    <x v="7"/>
    <x v="43"/>
    <x v="0"/>
    <s v="Unico"/>
    <n v="0"/>
    <n v="3"/>
    <n v="30"/>
    <n v="0"/>
    <n v="3"/>
    <n v="30"/>
  </r>
  <r>
    <n v="8"/>
    <x v="7"/>
    <x v="44"/>
    <x v="0"/>
    <s v="Unico"/>
    <n v="3"/>
    <n v="0"/>
    <n v="24"/>
    <n v="3"/>
    <n v="3"/>
    <n v="30"/>
  </r>
  <r>
    <n v="8"/>
    <x v="7"/>
    <x v="5"/>
    <x v="1"/>
    <s v="Común"/>
    <n v="0"/>
    <n v="1"/>
    <n v="34"/>
    <n v="0"/>
    <n v="1"/>
    <n v="30"/>
  </r>
  <r>
    <n v="8"/>
    <x v="7"/>
    <x v="6"/>
    <x v="2"/>
    <s v="Común"/>
    <n v="0"/>
    <n v="1"/>
    <n v="30"/>
    <n v="0"/>
    <n v="1"/>
    <n v="30"/>
  </r>
  <r>
    <n v="8"/>
    <x v="7"/>
    <x v="8"/>
    <x v="4"/>
    <s v="Común"/>
    <n v="0"/>
    <n v="1"/>
    <n v="30"/>
    <n v="0"/>
    <n v="1"/>
    <n v="30"/>
  </r>
  <r>
    <n v="8"/>
    <x v="7"/>
    <x v="10"/>
    <x v="1"/>
    <s v="Común"/>
    <n v="2"/>
    <n v="0"/>
    <n v="30"/>
    <n v="2"/>
    <n v="1"/>
    <n v="30"/>
  </r>
  <r>
    <n v="8"/>
    <x v="7"/>
    <x v="11"/>
    <x v="0"/>
    <s v="Común"/>
    <n v="0"/>
    <n v="3"/>
    <n v="10"/>
    <n v="0"/>
    <n v="3"/>
    <n v="30"/>
  </r>
  <r>
    <n v="8"/>
    <x v="7"/>
    <x v="12"/>
    <x v="0"/>
    <s v="Común"/>
    <n v="0"/>
    <n v="3"/>
    <n v="30"/>
    <n v="0"/>
    <n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8E99C-579F-42DC-B977-25FD0CB10498}" name="TablaDinámica11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N1:T10" firstHeaderRow="0" firstDataRow="1" firstDataCol="1"/>
  <pivotFields count="11">
    <pivotField showAll="0"/>
    <pivotField axis="axisRow" showAll="0">
      <items count="9">
        <item x="4"/>
        <item x="1"/>
        <item x="5"/>
        <item x="0"/>
        <item x="3"/>
        <item x="7"/>
        <item x="6"/>
        <item x="2"/>
        <item t="default"/>
      </items>
    </pivotField>
    <pivotField showAll="0">
      <items count="46">
        <item x="0"/>
        <item x="8"/>
        <item x="31"/>
        <item x="12"/>
        <item x="34"/>
        <item x="36"/>
        <item x="1"/>
        <item x="6"/>
        <item x="27"/>
        <item x="44"/>
        <item x="4"/>
        <item x="2"/>
        <item x="3"/>
        <item x="26"/>
        <item x="28"/>
        <item x="7"/>
        <item x="29"/>
        <item x="21"/>
        <item x="32"/>
        <item x="30"/>
        <item x="19"/>
        <item x="24"/>
        <item x="14"/>
        <item x="41"/>
        <item x="39"/>
        <item x="13"/>
        <item x="5"/>
        <item x="11"/>
        <item x="23"/>
        <item x="16"/>
        <item x="18"/>
        <item x="25"/>
        <item x="17"/>
        <item x="33"/>
        <item x="38"/>
        <item x="15"/>
        <item x="22"/>
        <item x="20"/>
        <item x="42"/>
        <item x="35"/>
        <item x="43"/>
        <item x="9"/>
        <item x="10"/>
        <item x="40"/>
        <item x="37"/>
        <item t="default"/>
      </items>
    </pivotField>
    <pivotField showAll="0">
      <items count="20">
        <item x="14"/>
        <item x="16"/>
        <item x="4"/>
        <item x="7"/>
        <item x="10"/>
        <item x="9"/>
        <item x="15"/>
        <item x="1"/>
        <item x="5"/>
        <item x="3"/>
        <item x="0"/>
        <item x="12"/>
        <item x="18"/>
        <item x="17"/>
        <item x="2"/>
        <item x="6"/>
        <item x="11"/>
        <item x="8"/>
        <item x="1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iempo (min) EST" fld="10" baseField="0" baseItem="0"/>
    <dataField name="Suma de Tamaño documentos EST" fld="9" baseField="0" baseItem="0"/>
    <dataField name="Suma de Tamaño en codigo EST" fld="8" baseField="0" baseItem="0"/>
    <dataField name="Suma de Tiempo (min) REAL" fld="7" baseField="0" baseItem="0"/>
    <dataField name="Suma de Tamaño documentos REAL" fld="6" baseField="0" baseItem="0"/>
    <dataField name="Suma de Tamaño en codigo" fld="5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89">
  <tableColumns count="11">
    <tableColumn id="1" xr3:uid="{00000000-0010-0000-0000-000001000000}" name="Versión"/>
    <tableColumn id="2" xr3:uid="{00000000-0010-0000-0000-000002000000}" name="Fase / Etapa"/>
    <tableColumn id="3" xr3:uid="{00000000-0010-0000-0000-000003000000}" name="Actividades"/>
    <tableColumn id="4" xr3:uid="{00000000-0010-0000-0000-000004000000}" name="Responsable/s"/>
    <tableColumn id="5" xr3:uid="{00000000-0010-0000-0000-000005000000}" name="Tipo"/>
    <tableColumn id="6" xr3:uid="{00000000-0010-0000-0000-000006000000}" name="Tamaño en codigo"/>
    <tableColumn id="7" xr3:uid="{00000000-0010-0000-0000-000007000000}" name="Tamaño documentos REAL"/>
    <tableColumn id="8" xr3:uid="{00000000-0010-0000-0000-000008000000}" name="Tiempo (min) REAL"/>
    <tableColumn id="9" xr3:uid="{00000000-0010-0000-0000-000009000000}" name="Tamaño en codigo EST"/>
    <tableColumn id="10" xr3:uid="{00000000-0010-0000-0000-00000A000000}" name="Tamaño documentos EST"/>
    <tableColumn id="11" xr3:uid="{00000000-0010-0000-0000-00000B000000}" name="Tiempo (min) EST"/>
  </tableColumns>
  <tableStyleInfo name="Hoja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89">
  <tableColumns count="7">
    <tableColumn id="1" xr3:uid="{00000000-0010-0000-0100-000001000000}" name="Versión"/>
    <tableColumn id="2" xr3:uid="{00000000-0010-0000-0100-000002000000}" name="Fase / Etapa"/>
    <tableColumn id="3" xr3:uid="{00000000-0010-0000-0100-000003000000}" name="Actividades"/>
    <tableColumn id="4" xr3:uid="{00000000-0010-0000-0100-000004000000}" name="Responsable/s"/>
    <tableColumn id="5" xr3:uid="{00000000-0010-0000-0100-000005000000}" name="Tipo"/>
    <tableColumn id="6" xr3:uid="{00000000-0010-0000-0100-000006000000}" name="Peso"/>
    <tableColumn id="7" xr3:uid="{00000000-0010-0000-0100-000007000000}" name="Tiempo (min)"/>
  </tableColumns>
  <tableStyleInfo name="Copia de Hoja1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G49">
  <tableColumns count="7">
    <tableColumn id="1" xr3:uid="{00000000-0010-0000-0200-000001000000}" name="Versión"/>
    <tableColumn id="2" xr3:uid="{00000000-0010-0000-0200-000002000000}" name="Fase / Etapa"/>
    <tableColumn id="3" xr3:uid="{00000000-0010-0000-0200-000003000000}" name="Actividades"/>
    <tableColumn id="4" xr3:uid="{00000000-0010-0000-0200-000004000000}" name="Responsable/s"/>
    <tableColumn id="5" xr3:uid="{00000000-0010-0000-0200-000005000000}" name="Tipo"/>
    <tableColumn id="6" xr3:uid="{00000000-0010-0000-0200-000006000000}" name="Peso"/>
    <tableColumn id="7" xr3:uid="{00000000-0010-0000-0200-000007000000}" name="Tiempo (min)"/>
  </tableColumns>
  <tableStyleInfo name="Copia de Hoj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3"/>
  <sheetViews>
    <sheetView tabSelected="1" topLeftCell="M1" workbookViewId="0">
      <selection activeCell="T27" sqref="T27"/>
    </sheetView>
  </sheetViews>
  <sheetFormatPr baseColWidth="10" defaultColWidth="12.5703125" defaultRowHeight="15" customHeight="1" x14ac:dyDescent="0.25"/>
  <cols>
    <col min="1" max="1" width="8.140625" customWidth="1"/>
    <col min="2" max="2" width="26.140625" customWidth="1"/>
    <col min="3" max="3" width="38.42578125" customWidth="1"/>
    <col min="4" max="4" width="35" customWidth="1"/>
    <col min="5" max="5" width="11.85546875" customWidth="1"/>
    <col min="6" max="6" width="20.28515625" customWidth="1"/>
    <col min="7" max="7" width="27.42578125" customWidth="1"/>
    <col min="8" max="8" width="20.42578125" customWidth="1"/>
    <col min="9" max="9" width="23.28515625" customWidth="1"/>
    <col min="10" max="10" width="26.7109375" customWidth="1"/>
    <col min="11" max="11" width="19.42578125" customWidth="1"/>
    <col min="12" max="13" width="10.5703125" customWidth="1"/>
    <col min="14" max="14" width="28.85546875" bestFit="1" customWidth="1"/>
    <col min="15" max="15" width="24.5703125" bestFit="1" customWidth="1"/>
    <col min="16" max="16" width="31.7109375" bestFit="1" customWidth="1"/>
    <col min="17" max="17" width="29.140625" bestFit="1" customWidth="1"/>
    <col min="18" max="18" width="25.7109375" bestFit="1" customWidth="1"/>
    <col min="19" max="19" width="32.85546875" bestFit="1" customWidth="1"/>
    <col min="20" max="20" width="25.5703125" bestFit="1" customWidth="1"/>
    <col min="21" max="21" width="15.7109375" bestFit="1" customWidth="1"/>
    <col min="22" max="28" width="10.5703125" customWidth="1"/>
  </cols>
  <sheetData>
    <row r="1" spans="1:20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N1" s="17" t="s">
        <v>88</v>
      </c>
      <c r="O1" s="16" t="s">
        <v>90</v>
      </c>
      <c r="P1" s="28" t="s">
        <v>91</v>
      </c>
      <c r="Q1" s="28" t="s">
        <v>92</v>
      </c>
      <c r="R1" s="28" t="s">
        <v>93</v>
      </c>
      <c r="S1" s="28" t="s">
        <v>94</v>
      </c>
      <c r="T1" s="21" t="s">
        <v>95</v>
      </c>
    </row>
    <row r="2" spans="1:20" ht="14.25" customHeight="1" x14ac:dyDescent="0.25">
      <c r="A2" s="5">
        <v>1</v>
      </c>
      <c r="B2" s="6" t="s">
        <v>11</v>
      </c>
      <c r="C2" s="5" t="s">
        <v>12</v>
      </c>
      <c r="D2" s="6" t="s">
        <v>13</v>
      </c>
      <c r="E2" s="5" t="s">
        <v>14</v>
      </c>
      <c r="F2" s="6">
        <v>0</v>
      </c>
      <c r="G2" s="6">
        <v>3</v>
      </c>
      <c r="H2" s="6">
        <v>60</v>
      </c>
      <c r="I2" s="6">
        <v>0</v>
      </c>
      <c r="J2" s="6">
        <v>3</v>
      </c>
      <c r="K2" s="6">
        <v>60</v>
      </c>
      <c r="N2" s="18" t="s">
        <v>61</v>
      </c>
      <c r="O2" s="22">
        <v>300</v>
      </c>
      <c r="P2" s="29">
        <v>15</v>
      </c>
      <c r="Q2" s="29">
        <v>4</v>
      </c>
      <c r="R2" s="29">
        <v>300</v>
      </c>
      <c r="S2" s="29">
        <v>13</v>
      </c>
      <c r="T2" s="23">
        <v>5</v>
      </c>
    </row>
    <row r="3" spans="1:20" ht="14.25" customHeight="1" x14ac:dyDescent="0.25">
      <c r="A3" s="5">
        <v>1</v>
      </c>
      <c r="B3" s="6" t="s">
        <v>11</v>
      </c>
      <c r="C3" s="5" t="s">
        <v>15</v>
      </c>
      <c r="D3" s="6" t="s">
        <v>16</v>
      </c>
      <c r="E3" s="5" t="s">
        <v>14</v>
      </c>
      <c r="F3" s="6">
        <v>0</v>
      </c>
      <c r="G3" s="6">
        <v>1</v>
      </c>
      <c r="H3" s="6">
        <v>58</v>
      </c>
      <c r="I3" s="6">
        <v>0</v>
      </c>
      <c r="J3" s="6">
        <v>1</v>
      </c>
      <c r="K3" s="6">
        <v>60</v>
      </c>
      <c r="N3" s="19" t="s">
        <v>32</v>
      </c>
      <c r="O3" s="24">
        <v>360</v>
      </c>
      <c r="P3" s="30">
        <v>19</v>
      </c>
      <c r="Q3" s="30">
        <v>1</v>
      </c>
      <c r="R3" s="30">
        <v>352</v>
      </c>
      <c r="S3" s="30">
        <v>18</v>
      </c>
      <c r="T3" s="25">
        <v>2</v>
      </c>
    </row>
    <row r="4" spans="1:20" ht="14.25" customHeight="1" x14ac:dyDescent="0.25">
      <c r="A4" s="5">
        <v>1</v>
      </c>
      <c r="B4" s="6" t="s">
        <v>11</v>
      </c>
      <c r="C4" s="5" t="s">
        <v>17</v>
      </c>
      <c r="D4" s="6" t="s">
        <v>13</v>
      </c>
      <c r="E4" s="6" t="s">
        <v>14</v>
      </c>
      <c r="F4" s="6">
        <v>0</v>
      </c>
      <c r="G4" s="6">
        <v>3</v>
      </c>
      <c r="H4" s="6">
        <v>60</v>
      </c>
      <c r="I4" s="6">
        <v>1</v>
      </c>
      <c r="J4" s="6">
        <v>3</v>
      </c>
      <c r="K4" s="6">
        <v>60</v>
      </c>
      <c r="N4" s="19" t="s">
        <v>67</v>
      </c>
      <c r="O4" s="24">
        <v>445</v>
      </c>
      <c r="P4" s="30">
        <v>18</v>
      </c>
      <c r="Q4" s="30">
        <v>10</v>
      </c>
      <c r="R4" s="30">
        <v>445</v>
      </c>
      <c r="S4" s="30">
        <v>11</v>
      </c>
      <c r="T4" s="25">
        <v>11</v>
      </c>
    </row>
    <row r="5" spans="1:20" ht="14.25" customHeight="1" x14ac:dyDescent="0.25">
      <c r="A5" s="5">
        <v>1</v>
      </c>
      <c r="B5" s="6" t="s">
        <v>11</v>
      </c>
      <c r="C5" s="5" t="s">
        <v>18</v>
      </c>
      <c r="D5" s="6" t="s">
        <v>13</v>
      </c>
      <c r="E5" s="5" t="s">
        <v>14</v>
      </c>
      <c r="F5" s="6">
        <v>0</v>
      </c>
      <c r="G5" s="6">
        <v>3</v>
      </c>
      <c r="H5" s="6">
        <v>65</v>
      </c>
      <c r="I5" s="6">
        <v>0</v>
      </c>
      <c r="J5" s="6">
        <v>3</v>
      </c>
      <c r="K5" s="6">
        <v>60</v>
      </c>
      <c r="N5" s="19" t="s">
        <v>11</v>
      </c>
      <c r="O5" s="24">
        <v>560</v>
      </c>
      <c r="P5" s="30">
        <v>24</v>
      </c>
      <c r="Q5" s="30">
        <v>7</v>
      </c>
      <c r="R5" s="30">
        <v>549</v>
      </c>
      <c r="S5" s="30">
        <v>21</v>
      </c>
      <c r="T5" s="25">
        <v>5</v>
      </c>
    </row>
    <row r="6" spans="1:20" ht="14.25" customHeight="1" x14ac:dyDescent="0.25">
      <c r="A6" s="5">
        <v>1</v>
      </c>
      <c r="B6" s="6" t="s">
        <v>11</v>
      </c>
      <c r="C6" s="5" t="s">
        <v>19</v>
      </c>
      <c r="D6" s="6" t="s">
        <v>16</v>
      </c>
      <c r="E6" s="5" t="s">
        <v>14</v>
      </c>
      <c r="F6" s="6">
        <v>0</v>
      </c>
      <c r="G6" s="6">
        <v>1</v>
      </c>
      <c r="H6" s="6">
        <v>30</v>
      </c>
      <c r="I6" s="6">
        <v>0</v>
      </c>
      <c r="J6" s="6">
        <v>1</v>
      </c>
      <c r="K6" s="6">
        <v>30</v>
      </c>
      <c r="N6" s="19" t="s">
        <v>51</v>
      </c>
      <c r="O6" s="24">
        <v>330</v>
      </c>
      <c r="P6" s="30">
        <v>19</v>
      </c>
      <c r="Q6" s="30">
        <v>2</v>
      </c>
      <c r="R6" s="30">
        <v>310</v>
      </c>
      <c r="S6" s="30">
        <v>18</v>
      </c>
      <c r="T6" s="25">
        <v>2</v>
      </c>
    </row>
    <row r="7" spans="1:20" ht="14.25" customHeight="1" x14ac:dyDescent="0.25">
      <c r="A7" s="5">
        <v>1</v>
      </c>
      <c r="B7" s="6" t="s">
        <v>11</v>
      </c>
      <c r="C7" s="5" t="s">
        <v>20</v>
      </c>
      <c r="D7" s="6" t="s">
        <v>16</v>
      </c>
      <c r="E7" s="6" t="s">
        <v>21</v>
      </c>
      <c r="F7" s="6">
        <v>0</v>
      </c>
      <c r="G7" s="6">
        <v>1</v>
      </c>
      <c r="H7" s="6">
        <v>27</v>
      </c>
      <c r="I7" s="6">
        <v>1</v>
      </c>
      <c r="J7" s="6">
        <v>1</v>
      </c>
      <c r="K7" s="6">
        <v>30</v>
      </c>
      <c r="N7" s="19" t="s">
        <v>79</v>
      </c>
      <c r="O7" s="24">
        <v>300</v>
      </c>
      <c r="P7" s="30">
        <v>22</v>
      </c>
      <c r="Q7" s="30">
        <v>6</v>
      </c>
      <c r="R7" s="30">
        <v>278</v>
      </c>
      <c r="S7" s="30">
        <v>15</v>
      </c>
      <c r="T7" s="25">
        <v>6</v>
      </c>
    </row>
    <row r="8" spans="1:20" ht="14.25" customHeight="1" x14ac:dyDescent="0.25">
      <c r="A8" s="5">
        <v>1</v>
      </c>
      <c r="B8" s="6" t="s">
        <v>11</v>
      </c>
      <c r="C8" s="5" t="s">
        <v>22</v>
      </c>
      <c r="D8" s="6" t="s">
        <v>23</v>
      </c>
      <c r="E8" s="6" t="s">
        <v>21</v>
      </c>
      <c r="F8" s="6">
        <v>0</v>
      </c>
      <c r="G8" s="6">
        <v>1</v>
      </c>
      <c r="H8" s="6">
        <v>30</v>
      </c>
      <c r="I8" s="6">
        <v>1</v>
      </c>
      <c r="J8" s="6">
        <v>1</v>
      </c>
      <c r="K8" s="6">
        <v>30</v>
      </c>
      <c r="N8" s="19" t="s">
        <v>75</v>
      </c>
      <c r="O8" s="24">
        <v>270</v>
      </c>
      <c r="P8" s="30">
        <v>16</v>
      </c>
      <c r="Q8" s="30">
        <v>10</v>
      </c>
      <c r="R8" s="30">
        <v>270</v>
      </c>
      <c r="S8" s="30">
        <v>9</v>
      </c>
      <c r="T8" s="25">
        <v>9</v>
      </c>
    </row>
    <row r="9" spans="1:20" ht="14.25" customHeight="1" x14ac:dyDescent="0.25">
      <c r="A9" s="5">
        <v>1</v>
      </c>
      <c r="B9" s="6" t="s">
        <v>11</v>
      </c>
      <c r="C9" s="5" t="s">
        <v>24</v>
      </c>
      <c r="D9" s="6" t="s">
        <v>25</v>
      </c>
      <c r="E9" s="6" t="s">
        <v>21</v>
      </c>
      <c r="F9" s="6">
        <v>3</v>
      </c>
      <c r="G9" s="6">
        <v>0</v>
      </c>
      <c r="H9" s="6">
        <v>87</v>
      </c>
      <c r="I9" s="6">
        <v>2</v>
      </c>
      <c r="J9" s="6">
        <v>2</v>
      </c>
      <c r="K9" s="6">
        <v>90</v>
      </c>
      <c r="N9" s="19" t="s">
        <v>41</v>
      </c>
      <c r="O9" s="24">
        <v>380</v>
      </c>
      <c r="P9" s="30">
        <v>22</v>
      </c>
      <c r="Q9" s="30">
        <v>3</v>
      </c>
      <c r="R9" s="30">
        <v>391</v>
      </c>
      <c r="S9" s="30">
        <v>21</v>
      </c>
      <c r="T9" s="25">
        <v>2</v>
      </c>
    </row>
    <row r="10" spans="1:20" ht="14.25" customHeight="1" x14ac:dyDescent="0.25">
      <c r="A10" s="5">
        <v>1</v>
      </c>
      <c r="B10" s="6" t="s">
        <v>11</v>
      </c>
      <c r="C10" s="5" t="s">
        <v>26</v>
      </c>
      <c r="D10" s="6" t="s">
        <v>27</v>
      </c>
      <c r="E10" s="6" t="s">
        <v>21</v>
      </c>
      <c r="F10" s="6">
        <v>0</v>
      </c>
      <c r="G10" s="6">
        <v>1</v>
      </c>
      <c r="H10" s="6">
        <v>30</v>
      </c>
      <c r="I10" s="6">
        <v>0</v>
      </c>
      <c r="J10" s="6">
        <v>1</v>
      </c>
      <c r="K10" s="6">
        <v>30</v>
      </c>
      <c r="N10" s="20" t="s">
        <v>89</v>
      </c>
      <c r="O10" s="26">
        <v>2945</v>
      </c>
      <c r="P10" s="31">
        <v>155</v>
      </c>
      <c r="Q10" s="31">
        <v>43</v>
      </c>
      <c r="R10" s="31">
        <v>2895</v>
      </c>
      <c r="S10" s="31">
        <v>126</v>
      </c>
      <c r="T10" s="27">
        <v>42</v>
      </c>
    </row>
    <row r="11" spans="1:20" ht="14.25" customHeight="1" x14ac:dyDescent="0.25">
      <c r="A11" s="5">
        <v>1</v>
      </c>
      <c r="B11" s="6" t="s">
        <v>11</v>
      </c>
      <c r="C11" s="5" t="s">
        <v>28</v>
      </c>
      <c r="D11" s="6" t="s">
        <v>27</v>
      </c>
      <c r="E11" s="6" t="s">
        <v>21</v>
      </c>
      <c r="F11" s="6">
        <v>0</v>
      </c>
      <c r="G11" s="6">
        <v>1</v>
      </c>
      <c r="H11" s="6">
        <v>27</v>
      </c>
      <c r="I11" s="6">
        <v>0</v>
      </c>
      <c r="J11" s="6">
        <v>1</v>
      </c>
      <c r="K11" s="6">
        <v>30</v>
      </c>
    </row>
    <row r="12" spans="1:20" ht="14.25" customHeight="1" x14ac:dyDescent="0.25">
      <c r="A12" s="5">
        <v>1</v>
      </c>
      <c r="B12" s="6" t="s">
        <v>11</v>
      </c>
      <c r="C12" s="6" t="s">
        <v>29</v>
      </c>
      <c r="D12" s="6" t="s">
        <v>16</v>
      </c>
      <c r="E12" s="6" t="s">
        <v>21</v>
      </c>
      <c r="F12" s="6">
        <v>2</v>
      </c>
      <c r="G12" s="6">
        <v>0</v>
      </c>
      <c r="H12" s="6">
        <v>30</v>
      </c>
      <c r="I12" s="6">
        <v>2</v>
      </c>
      <c r="J12" s="6">
        <v>1</v>
      </c>
      <c r="K12" s="6">
        <v>30</v>
      </c>
    </row>
    <row r="13" spans="1:20" ht="14.25" customHeight="1" x14ac:dyDescent="0.25">
      <c r="A13" s="5">
        <v>1</v>
      </c>
      <c r="B13" s="6" t="s">
        <v>11</v>
      </c>
      <c r="C13" s="5" t="s">
        <v>30</v>
      </c>
      <c r="D13" s="6" t="s">
        <v>13</v>
      </c>
      <c r="E13" s="6" t="s">
        <v>21</v>
      </c>
      <c r="F13" s="6">
        <v>0</v>
      </c>
      <c r="G13" s="6">
        <v>3</v>
      </c>
      <c r="H13" s="6">
        <v>25</v>
      </c>
      <c r="I13" s="6">
        <v>0</v>
      </c>
      <c r="J13" s="6">
        <v>3</v>
      </c>
      <c r="K13" s="6">
        <v>30</v>
      </c>
    </row>
    <row r="14" spans="1:20" ht="14.25" customHeight="1" x14ac:dyDescent="0.25">
      <c r="A14" s="5">
        <v>1</v>
      </c>
      <c r="B14" s="6" t="s">
        <v>11</v>
      </c>
      <c r="C14" s="5" t="s">
        <v>31</v>
      </c>
      <c r="D14" s="6" t="s">
        <v>13</v>
      </c>
      <c r="E14" s="6" t="s">
        <v>21</v>
      </c>
      <c r="F14" s="6">
        <v>0</v>
      </c>
      <c r="G14" s="6">
        <v>3</v>
      </c>
      <c r="H14" s="6">
        <v>20</v>
      </c>
      <c r="I14" s="6">
        <v>0</v>
      </c>
      <c r="J14" s="6">
        <v>3</v>
      </c>
      <c r="K14" s="6">
        <v>20</v>
      </c>
    </row>
    <row r="15" spans="1:20" ht="14.25" customHeight="1" x14ac:dyDescent="0.25">
      <c r="A15" s="5">
        <v>2</v>
      </c>
      <c r="B15" s="5" t="s">
        <v>32</v>
      </c>
      <c r="C15" s="5" t="s">
        <v>33</v>
      </c>
      <c r="D15" s="6" t="s">
        <v>16</v>
      </c>
      <c r="E15" s="6" t="s">
        <v>14</v>
      </c>
      <c r="F15" s="6">
        <v>0</v>
      </c>
      <c r="G15" s="6">
        <v>1</v>
      </c>
      <c r="H15" s="6">
        <v>30</v>
      </c>
      <c r="I15" s="6">
        <v>0</v>
      </c>
      <c r="J15" s="6">
        <v>1</v>
      </c>
      <c r="K15" s="6">
        <v>30</v>
      </c>
    </row>
    <row r="16" spans="1:20" ht="14.25" customHeight="1" x14ac:dyDescent="0.25">
      <c r="A16" s="5">
        <v>2</v>
      </c>
      <c r="B16" s="5" t="s">
        <v>32</v>
      </c>
      <c r="C16" s="5" t="s">
        <v>34</v>
      </c>
      <c r="D16" s="6" t="s">
        <v>35</v>
      </c>
      <c r="E16" s="6" t="s">
        <v>14</v>
      </c>
      <c r="F16" s="6">
        <v>0</v>
      </c>
      <c r="G16" s="6">
        <v>2</v>
      </c>
      <c r="H16" s="6">
        <v>26</v>
      </c>
      <c r="I16" s="6">
        <v>0</v>
      </c>
      <c r="J16" s="6">
        <v>2</v>
      </c>
      <c r="K16" s="6">
        <v>30</v>
      </c>
    </row>
    <row r="17" spans="1:11" ht="14.25" customHeight="1" x14ac:dyDescent="0.25">
      <c r="A17" s="5">
        <v>2</v>
      </c>
      <c r="B17" s="5" t="s">
        <v>32</v>
      </c>
      <c r="C17" s="5" t="s">
        <v>36</v>
      </c>
      <c r="D17" s="6" t="s">
        <v>37</v>
      </c>
      <c r="E17" s="6" t="s">
        <v>14</v>
      </c>
      <c r="F17" s="6">
        <v>0</v>
      </c>
      <c r="G17" s="6">
        <v>2</v>
      </c>
      <c r="H17" s="6">
        <v>30</v>
      </c>
      <c r="I17" s="6">
        <v>0</v>
      </c>
      <c r="J17" s="6">
        <v>2</v>
      </c>
      <c r="K17" s="6">
        <v>30</v>
      </c>
    </row>
    <row r="18" spans="1:11" ht="14.25" customHeight="1" x14ac:dyDescent="0.25">
      <c r="A18" s="5">
        <v>2</v>
      </c>
      <c r="B18" s="5" t="s">
        <v>32</v>
      </c>
      <c r="C18" s="5" t="s">
        <v>38</v>
      </c>
      <c r="D18" s="6" t="s">
        <v>39</v>
      </c>
      <c r="E18" s="6" t="s">
        <v>14</v>
      </c>
      <c r="F18" s="6">
        <v>0</v>
      </c>
      <c r="G18" s="6">
        <v>2</v>
      </c>
      <c r="H18" s="6">
        <v>60</v>
      </c>
      <c r="I18" s="6">
        <v>0</v>
      </c>
      <c r="J18" s="6">
        <v>2</v>
      </c>
      <c r="K18" s="6">
        <v>60</v>
      </c>
    </row>
    <row r="19" spans="1:11" ht="14.25" customHeight="1" x14ac:dyDescent="0.25">
      <c r="A19" s="5">
        <v>2</v>
      </c>
      <c r="B19" s="5" t="s">
        <v>32</v>
      </c>
      <c r="C19" s="5" t="s">
        <v>40</v>
      </c>
      <c r="D19" s="6" t="s">
        <v>39</v>
      </c>
      <c r="E19" s="6" t="s">
        <v>14</v>
      </c>
      <c r="F19" s="6">
        <v>0</v>
      </c>
      <c r="G19" s="6">
        <v>2</v>
      </c>
      <c r="H19" s="6">
        <v>27</v>
      </c>
      <c r="I19" s="6">
        <v>0</v>
      </c>
      <c r="J19" s="6">
        <v>2</v>
      </c>
      <c r="K19" s="6">
        <v>30</v>
      </c>
    </row>
    <row r="20" spans="1:11" ht="14.25" customHeight="1" x14ac:dyDescent="0.25">
      <c r="A20" s="5">
        <v>2</v>
      </c>
      <c r="B20" s="5" t="s">
        <v>32</v>
      </c>
      <c r="C20" s="5" t="s">
        <v>20</v>
      </c>
      <c r="D20" s="6" t="s">
        <v>16</v>
      </c>
      <c r="E20" s="6" t="s">
        <v>21</v>
      </c>
      <c r="F20" s="6">
        <v>0</v>
      </c>
      <c r="G20" s="6">
        <v>1</v>
      </c>
      <c r="H20" s="6">
        <v>30</v>
      </c>
      <c r="I20" s="6">
        <v>0</v>
      </c>
      <c r="J20" s="6">
        <v>1</v>
      </c>
      <c r="K20" s="6">
        <v>30</v>
      </c>
    </row>
    <row r="21" spans="1:11" ht="14.25" customHeight="1" x14ac:dyDescent="0.25">
      <c r="A21" s="5">
        <v>2</v>
      </c>
      <c r="B21" s="5" t="s">
        <v>32</v>
      </c>
      <c r="C21" s="5" t="s">
        <v>22</v>
      </c>
      <c r="D21" s="6" t="s">
        <v>23</v>
      </c>
      <c r="E21" s="6" t="s">
        <v>21</v>
      </c>
      <c r="F21" s="6">
        <v>0</v>
      </c>
      <c r="G21" s="6">
        <v>1</v>
      </c>
      <c r="H21" s="6">
        <v>28</v>
      </c>
      <c r="I21" s="6">
        <v>0</v>
      </c>
      <c r="J21" s="6">
        <v>1</v>
      </c>
      <c r="K21" s="6">
        <v>30</v>
      </c>
    </row>
    <row r="22" spans="1:11" ht="14.25" customHeight="1" x14ac:dyDescent="0.25">
      <c r="A22" s="5">
        <v>2</v>
      </c>
      <c r="B22" s="5" t="s">
        <v>32</v>
      </c>
      <c r="C22" s="5" t="s">
        <v>30</v>
      </c>
      <c r="D22" s="6" t="s">
        <v>13</v>
      </c>
      <c r="E22" s="6" t="s">
        <v>21</v>
      </c>
      <c r="F22" s="6">
        <v>0</v>
      </c>
      <c r="G22" s="6">
        <v>3</v>
      </c>
      <c r="H22" s="6">
        <v>30</v>
      </c>
      <c r="I22" s="6">
        <v>0</v>
      </c>
      <c r="J22" s="6">
        <v>3</v>
      </c>
      <c r="K22" s="6">
        <v>30</v>
      </c>
    </row>
    <row r="23" spans="1:11" ht="14.25" customHeight="1" x14ac:dyDescent="0.25">
      <c r="A23" s="5">
        <v>2</v>
      </c>
      <c r="B23" s="5" t="s">
        <v>32</v>
      </c>
      <c r="C23" s="6" t="s">
        <v>29</v>
      </c>
      <c r="D23" s="6" t="s">
        <v>16</v>
      </c>
      <c r="E23" s="6" t="s">
        <v>21</v>
      </c>
      <c r="F23" s="6">
        <v>0</v>
      </c>
      <c r="G23" s="6">
        <v>1</v>
      </c>
      <c r="H23" s="6">
        <v>30</v>
      </c>
      <c r="I23" s="6">
        <v>0</v>
      </c>
      <c r="J23" s="6">
        <v>1</v>
      </c>
      <c r="K23" s="6">
        <v>30</v>
      </c>
    </row>
    <row r="24" spans="1:11" ht="14.25" customHeight="1" x14ac:dyDescent="0.25">
      <c r="A24" s="5">
        <v>2</v>
      </c>
      <c r="B24" s="5" t="s">
        <v>32</v>
      </c>
      <c r="C24" s="5" t="s">
        <v>26</v>
      </c>
      <c r="D24" s="6" t="s">
        <v>27</v>
      </c>
      <c r="E24" s="6" t="s">
        <v>21</v>
      </c>
      <c r="F24" s="6">
        <v>2</v>
      </c>
      <c r="G24" s="6">
        <v>0</v>
      </c>
      <c r="H24" s="6">
        <v>31</v>
      </c>
      <c r="I24" s="6">
        <v>1</v>
      </c>
      <c r="J24" s="6">
        <v>1</v>
      </c>
      <c r="K24" s="6">
        <v>30</v>
      </c>
    </row>
    <row r="25" spans="1:11" ht="14.25" customHeight="1" x14ac:dyDescent="0.25">
      <c r="A25" s="5">
        <v>2</v>
      </c>
      <c r="B25" s="5" t="s">
        <v>32</v>
      </c>
      <c r="C25" s="5" t="s">
        <v>31</v>
      </c>
      <c r="D25" s="6" t="s">
        <v>13</v>
      </c>
      <c r="E25" s="6" t="s">
        <v>21</v>
      </c>
      <c r="F25" s="6">
        <v>0</v>
      </c>
      <c r="G25" s="6">
        <v>3</v>
      </c>
      <c r="H25" s="6">
        <v>30</v>
      </c>
      <c r="I25" s="6">
        <v>0</v>
      </c>
      <c r="J25" s="6">
        <v>3</v>
      </c>
      <c r="K25" s="6">
        <v>30</v>
      </c>
    </row>
    <row r="26" spans="1:11" ht="14.25" customHeight="1" x14ac:dyDescent="0.25">
      <c r="A26" s="5">
        <v>3</v>
      </c>
      <c r="B26" s="5" t="s">
        <v>41</v>
      </c>
      <c r="C26" s="5" t="s">
        <v>42</v>
      </c>
      <c r="D26" s="6" t="s">
        <v>27</v>
      </c>
      <c r="E26" s="6" t="s">
        <v>14</v>
      </c>
      <c r="F26" s="6">
        <v>0</v>
      </c>
      <c r="G26" s="6">
        <v>1</v>
      </c>
      <c r="H26" s="6">
        <v>34</v>
      </c>
      <c r="I26" s="6">
        <v>0</v>
      </c>
      <c r="J26" s="6">
        <v>1</v>
      </c>
      <c r="K26" s="6">
        <v>30</v>
      </c>
    </row>
    <row r="27" spans="1:11" ht="14.25" customHeight="1" x14ac:dyDescent="0.25">
      <c r="A27" s="5">
        <v>3</v>
      </c>
      <c r="B27" s="5" t="s">
        <v>41</v>
      </c>
      <c r="C27" s="5" t="s">
        <v>43</v>
      </c>
      <c r="D27" s="6" t="s">
        <v>44</v>
      </c>
      <c r="E27" s="6" t="s">
        <v>14</v>
      </c>
      <c r="F27" s="6">
        <v>0</v>
      </c>
      <c r="G27" s="6">
        <v>2</v>
      </c>
      <c r="H27" s="6">
        <v>60</v>
      </c>
      <c r="I27" s="6">
        <v>0</v>
      </c>
      <c r="J27" s="6">
        <v>2</v>
      </c>
      <c r="K27" s="6">
        <v>60</v>
      </c>
    </row>
    <row r="28" spans="1:11" ht="14.25" customHeight="1" x14ac:dyDescent="0.25">
      <c r="A28" s="5">
        <v>3</v>
      </c>
      <c r="B28" s="5" t="s">
        <v>41</v>
      </c>
      <c r="C28" s="5" t="s">
        <v>45</v>
      </c>
      <c r="D28" s="6" t="s">
        <v>13</v>
      </c>
      <c r="E28" s="6" t="s">
        <v>14</v>
      </c>
      <c r="F28" s="6">
        <v>0</v>
      </c>
      <c r="G28" s="6">
        <v>3</v>
      </c>
      <c r="H28" s="6">
        <v>39</v>
      </c>
      <c r="I28" s="6">
        <v>0</v>
      </c>
      <c r="J28" s="6">
        <v>3</v>
      </c>
      <c r="K28" s="6">
        <v>30</v>
      </c>
    </row>
    <row r="29" spans="1:11" ht="14.25" customHeight="1" x14ac:dyDescent="0.25">
      <c r="A29" s="5">
        <v>3</v>
      </c>
      <c r="B29" s="5" t="s">
        <v>41</v>
      </c>
      <c r="C29" s="5" t="s">
        <v>46</v>
      </c>
      <c r="D29" s="6" t="s">
        <v>47</v>
      </c>
      <c r="E29" s="6" t="s">
        <v>14</v>
      </c>
      <c r="F29" s="6">
        <v>0</v>
      </c>
      <c r="G29" s="6">
        <v>1</v>
      </c>
      <c r="H29" s="6">
        <v>30</v>
      </c>
      <c r="I29" s="6">
        <v>0</v>
      </c>
      <c r="J29" s="6">
        <v>1</v>
      </c>
      <c r="K29" s="6">
        <v>30</v>
      </c>
    </row>
    <row r="30" spans="1:11" ht="14.25" customHeight="1" x14ac:dyDescent="0.25">
      <c r="A30" s="5">
        <v>3</v>
      </c>
      <c r="B30" s="5" t="s">
        <v>41</v>
      </c>
      <c r="C30" s="5" t="s">
        <v>48</v>
      </c>
      <c r="D30" s="6" t="s">
        <v>49</v>
      </c>
      <c r="E30" s="6" t="s">
        <v>14</v>
      </c>
      <c r="F30" s="6">
        <v>0</v>
      </c>
      <c r="G30" s="6">
        <v>2</v>
      </c>
      <c r="H30" s="6">
        <v>33</v>
      </c>
      <c r="I30" s="6">
        <v>0</v>
      </c>
      <c r="J30" s="6">
        <v>2</v>
      </c>
      <c r="K30" s="6">
        <v>30</v>
      </c>
    </row>
    <row r="31" spans="1:11" ht="14.25" customHeight="1" x14ac:dyDescent="0.25">
      <c r="A31" s="5">
        <v>3</v>
      </c>
      <c r="B31" s="5" t="s">
        <v>41</v>
      </c>
      <c r="C31" s="5" t="s">
        <v>50</v>
      </c>
      <c r="D31" s="6" t="s">
        <v>13</v>
      </c>
      <c r="E31" s="6" t="s">
        <v>14</v>
      </c>
      <c r="F31" s="6">
        <v>0</v>
      </c>
      <c r="G31" s="6">
        <v>3</v>
      </c>
      <c r="H31" s="6">
        <v>30</v>
      </c>
      <c r="I31" s="6">
        <v>0</v>
      </c>
      <c r="J31" s="6">
        <v>3</v>
      </c>
      <c r="K31" s="6">
        <v>30</v>
      </c>
    </row>
    <row r="32" spans="1:11" ht="14.25" customHeight="1" x14ac:dyDescent="0.25">
      <c r="A32" s="5">
        <v>3</v>
      </c>
      <c r="B32" s="5" t="s">
        <v>41</v>
      </c>
      <c r="C32" s="5" t="s">
        <v>20</v>
      </c>
      <c r="D32" s="6" t="s">
        <v>16</v>
      </c>
      <c r="E32" s="6" t="s">
        <v>21</v>
      </c>
      <c r="F32" s="6">
        <v>0</v>
      </c>
      <c r="G32" s="6">
        <v>1</v>
      </c>
      <c r="H32" s="6">
        <v>30</v>
      </c>
      <c r="I32" s="6">
        <v>0</v>
      </c>
      <c r="J32" s="6">
        <v>1</v>
      </c>
      <c r="K32" s="6">
        <v>30</v>
      </c>
    </row>
    <row r="33" spans="1:11" ht="14.25" customHeight="1" x14ac:dyDescent="0.25">
      <c r="A33" s="5">
        <v>3</v>
      </c>
      <c r="B33" s="5" t="s">
        <v>41</v>
      </c>
      <c r="C33" s="5" t="s">
        <v>22</v>
      </c>
      <c r="D33" s="6" t="s">
        <v>23</v>
      </c>
      <c r="E33" s="6" t="s">
        <v>21</v>
      </c>
      <c r="F33" s="6">
        <v>0</v>
      </c>
      <c r="G33" s="6">
        <v>1</v>
      </c>
      <c r="H33" s="6">
        <v>30</v>
      </c>
      <c r="I33" s="6">
        <v>0</v>
      </c>
      <c r="J33" s="6">
        <v>1</v>
      </c>
      <c r="K33" s="6">
        <v>30</v>
      </c>
    </row>
    <row r="34" spans="1:11" ht="14.25" customHeight="1" x14ac:dyDescent="0.25">
      <c r="A34" s="5">
        <v>3</v>
      </c>
      <c r="B34" s="5" t="s">
        <v>41</v>
      </c>
      <c r="C34" s="6" t="s">
        <v>29</v>
      </c>
      <c r="D34" s="6" t="s">
        <v>16</v>
      </c>
      <c r="E34" s="6" t="s">
        <v>21</v>
      </c>
      <c r="F34" s="6">
        <v>2</v>
      </c>
      <c r="G34" s="6">
        <v>0</v>
      </c>
      <c r="H34" s="6">
        <v>30</v>
      </c>
      <c r="I34" s="6">
        <v>3</v>
      </c>
      <c r="J34" s="6">
        <v>1</v>
      </c>
      <c r="K34" s="6">
        <v>30</v>
      </c>
    </row>
    <row r="35" spans="1:11" ht="14.25" customHeight="1" x14ac:dyDescent="0.25">
      <c r="A35" s="5">
        <v>3</v>
      </c>
      <c r="B35" s="5" t="s">
        <v>41</v>
      </c>
      <c r="C35" s="6" t="s">
        <v>26</v>
      </c>
      <c r="D35" s="6" t="s">
        <v>27</v>
      </c>
      <c r="E35" s="6" t="s">
        <v>21</v>
      </c>
      <c r="F35" s="6">
        <v>0</v>
      </c>
      <c r="G35" s="6">
        <v>1</v>
      </c>
      <c r="H35" s="6">
        <v>25</v>
      </c>
      <c r="I35" s="6">
        <v>0</v>
      </c>
      <c r="J35" s="6">
        <v>1</v>
      </c>
      <c r="K35" s="6">
        <v>30</v>
      </c>
    </row>
    <row r="36" spans="1:11" ht="14.25" customHeight="1" x14ac:dyDescent="0.25">
      <c r="A36" s="5">
        <v>3</v>
      </c>
      <c r="B36" s="5" t="s">
        <v>41</v>
      </c>
      <c r="C36" s="6" t="s">
        <v>30</v>
      </c>
      <c r="D36" s="6" t="s">
        <v>13</v>
      </c>
      <c r="E36" s="6" t="s">
        <v>21</v>
      </c>
      <c r="F36" s="6">
        <v>0</v>
      </c>
      <c r="G36" s="6">
        <v>3</v>
      </c>
      <c r="H36" s="6">
        <v>30</v>
      </c>
      <c r="I36" s="6">
        <v>0</v>
      </c>
      <c r="J36" s="6">
        <v>3</v>
      </c>
      <c r="K36" s="6">
        <v>30</v>
      </c>
    </row>
    <row r="37" spans="1:11" ht="14.25" customHeight="1" x14ac:dyDescent="0.25">
      <c r="A37" s="5">
        <v>3</v>
      </c>
      <c r="B37" s="5" t="s">
        <v>41</v>
      </c>
      <c r="C37" s="6" t="s">
        <v>31</v>
      </c>
      <c r="D37" s="6" t="s">
        <v>13</v>
      </c>
      <c r="E37" s="6" t="s">
        <v>21</v>
      </c>
      <c r="F37" s="6">
        <v>0</v>
      </c>
      <c r="G37" s="6">
        <v>3</v>
      </c>
      <c r="H37" s="6">
        <v>20</v>
      </c>
      <c r="I37" s="6">
        <v>0</v>
      </c>
      <c r="J37" s="6">
        <v>3</v>
      </c>
      <c r="K37" s="6">
        <v>20</v>
      </c>
    </row>
    <row r="38" spans="1:11" ht="14.25" customHeight="1" x14ac:dyDescent="0.25">
      <c r="A38" s="5">
        <v>4</v>
      </c>
      <c r="B38" s="5" t="s">
        <v>51</v>
      </c>
      <c r="C38" s="6" t="s">
        <v>52</v>
      </c>
      <c r="D38" s="6" t="s">
        <v>53</v>
      </c>
      <c r="E38" s="6" t="s">
        <v>14</v>
      </c>
      <c r="F38" s="6">
        <v>0</v>
      </c>
      <c r="G38" s="6">
        <v>2</v>
      </c>
      <c r="H38" s="6">
        <v>10</v>
      </c>
      <c r="I38" s="6">
        <v>0</v>
      </c>
      <c r="J38" s="6">
        <v>2</v>
      </c>
      <c r="K38" s="6">
        <v>20</v>
      </c>
    </row>
    <row r="39" spans="1:11" ht="14.25" customHeight="1" x14ac:dyDescent="0.25">
      <c r="A39" s="5">
        <v>4</v>
      </c>
      <c r="B39" s="5" t="s">
        <v>51</v>
      </c>
      <c r="C39" s="6" t="s">
        <v>54</v>
      </c>
      <c r="D39" s="6" t="s">
        <v>55</v>
      </c>
      <c r="E39" s="6" t="s">
        <v>14</v>
      </c>
      <c r="F39" s="6">
        <v>0</v>
      </c>
      <c r="G39" s="6">
        <v>2</v>
      </c>
      <c r="H39" s="6">
        <v>25</v>
      </c>
      <c r="I39" s="6">
        <v>0</v>
      </c>
      <c r="J39" s="6">
        <v>2</v>
      </c>
      <c r="K39" s="6">
        <v>25</v>
      </c>
    </row>
    <row r="40" spans="1:11" ht="14.25" customHeight="1" x14ac:dyDescent="0.25">
      <c r="A40" s="5">
        <v>4</v>
      </c>
      <c r="B40" s="5" t="s">
        <v>51</v>
      </c>
      <c r="C40" s="6" t="s">
        <v>56</v>
      </c>
      <c r="D40" s="6" t="s">
        <v>27</v>
      </c>
      <c r="E40" s="6" t="s">
        <v>14</v>
      </c>
      <c r="F40" s="6">
        <v>0</v>
      </c>
      <c r="G40" s="6">
        <v>1</v>
      </c>
      <c r="H40" s="6">
        <v>25</v>
      </c>
      <c r="I40" s="6">
        <v>0</v>
      </c>
      <c r="J40" s="6">
        <v>1</v>
      </c>
      <c r="K40" s="6">
        <v>25</v>
      </c>
    </row>
    <row r="41" spans="1:11" ht="14.25" customHeight="1" x14ac:dyDescent="0.25">
      <c r="A41" s="5">
        <v>4</v>
      </c>
      <c r="B41" s="5" t="s">
        <v>51</v>
      </c>
      <c r="C41" s="6" t="s">
        <v>57</v>
      </c>
      <c r="D41" s="6" t="s">
        <v>58</v>
      </c>
      <c r="E41" s="6" t="s">
        <v>14</v>
      </c>
      <c r="F41" s="6">
        <v>0</v>
      </c>
      <c r="G41" s="6">
        <v>2</v>
      </c>
      <c r="H41" s="6">
        <v>20</v>
      </c>
      <c r="I41" s="6">
        <v>0</v>
      </c>
      <c r="J41" s="6">
        <v>2</v>
      </c>
      <c r="K41" s="6">
        <v>20</v>
      </c>
    </row>
    <row r="42" spans="1:11" ht="14.25" customHeight="1" x14ac:dyDescent="0.25">
      <c r="A42" s="5">
        <v>4</v>
      </c>
      <c r="B42" s="5" t="s">
        <v>51</v>
      </c>
      <c r="C42" s="6" t="s">
        <v>59</v>
      </c>
      <c r="D42" s="6" t="s">
        <v>16</v>
      </c>
      <c r="E42" s="6" t="s">
        <v>14</v>
      </c>
      <c r="F42" s="6">
        <v>0</v>
      </c>
      <c r="G42" s="6">
        <v>1</v>
      </c>
      <c r="H42" s="6">
        <v>30</v>
      </c>
      <c r="I42" s="6">
        <v>0</v>
      </c>
      <c r="J42" s="6">
        <v>1</v>
      </c>
      <c r="K42" s="6">
        <v>30</v>
      </c>
    </row>
    <row r="43" spans="1:11" ht="14.25" customHeight="1" x14ac:dyDescent="0.25">
      <c r="A43" s="5">
        <v>4</v>
      </c>
      <c r="B43" s="5" t="s">
        <v>51</v>
      </c>
      <c r="C43" s="6" t="s">
        <v>60</v>
      </c>
      <c r="D43" s="6" t="s">
        <v>23</v>
      </c>
      <c r="E43" s="6" t="s">
        <v>14</v>
      </c>
      <c r="F43" s="6">
        <v>0</v>
      </c>
      <c r="G43" s="6">
        <v>1</v>
      </c>
      <c r="H43" s="6">
        <v>30</v>
      </c>
      <c r="I43" s="6">
        <v>0</v>
      </c>
      <c r="J43" s="6">
        <v>1</v>
      </c>
      <c r="K43" s="6">
        <v>30</v>
      </c>
    </row>
    <row r="44" spans="1:11" ht="14.25" customHeight="1" x14ac:dyDescent="0.25">
      <c r="A44" s="5">
        <v>4</v>
      </c>
      <c r="B44" s="5" t="s">
        <v>51</v>
      </c>
      <c r="C44" s="6" t="s">
        <v>20</v>
      </c>
      <c r="D44" s="6" t="s">
        <v>16</v>
      </c>
      <c r="E44" s="6" t="s">
        <v>21</v>
      </c>
      <c r="F44" s="6">
        <v>0</v>
      </c>
      <c r="G44" s="6">
        <v>1</v>
      </c>
      <c r="H44" s="6">
        <v>30</v>
      </c>
      <c r="I44" s="6">
        <v>0</v>
      </c>
      <c r="J44" s="6">
        <v>1</v>
      </c>
      <c r="K44" s="6">
        <v>30</v>
      </c>
    </row>
    <row r="45" spans="1:11" ht="14.25" customHeight="1" x14ac:dyDescent="0.25">
      <c r="A45" s="5">
        <v>4</v>
      </c>
      <c r="B45" s="5" t="s">
        <v>51</v>
      </c>
      <c r="C45" s="6" t="s">
        <v>22</v>
      </c>
      <c r="D45" s="6" t="s">
        <v>23</v>
      </c>
      <c r="E45" s="6" t="s">
        <v>21</v>
      </c>
      <c r="F45" s="6">
        <v>0</v>
      </c>
      <c r="G45" s="6">
        <v>1</v>
      </c>
      <c r="H45" s="6">
        <v>20</v>
      </c>
      <c r="I45" s="6">
        <v>0</v>
      </c>
      <c r="J45" s="6">
        <v>1</v>
      </c>
      <c r="K45" s="6">
        <v>30</v>
      </c>
    </row>
    <row r="46" spans="1:11" ht="14.25" customHeight="1" x14ac:dyDescent="0.25">
      <c r="A46" s="5">
        <v>4</v>
      </c>
      <c r="B46" s="5" t="s">
        <v>51</v>
      </c>
      <c r="C46" s="5" t="s">
        <v>26</v>
      </c>
      <c r="D46" s="6" t="s">
        <v>27</v>
      </c>
      <c r="E46" s="6" t="s">
        <v>21</v>
      </c>
      <c r="F46" s="6">
        <v>0</v>
      </c>
      <c r="G46" s="6">
        <v>1</v>
      </c>
      <c r="H46" s="6">
        <v>30</v>
      </c>
      <c r="I46" s="6">
        <v>0</v>
      </c>
      <c r="J46" s="6">
        <v>1</v>
      </c>
      <c r="K46" s="6">
        <v>30</v>
      </c>
    </row>
    <row r="47" spans="1:11" ht="14.25" customHeight="1" x14ac:dyDescent="0.25">
      <c r="A47" s="5">
        <v>4</v>
      </c>
      <c r="B47" s="5" t="s">
        <v>51</v>
      </c>
      <c r="C47" s="6" t="s">
        <v>29</v>
      </c>
      <c r="D47" s="6" t="s">
        <v>16</v>
      </c>
      <c r="E47" s="6" t="s">
        <v>21</v>
      </c>
      <c r="F47" s="6">
        <v>2</v>
      </c>
      <c r="G47" s="6">
        <v>0</v>
      </c>
      <c r="H47" s="6">
        <v>30</v>
      </c>
      <c r="I47" s="6">
        <v>2</v>
      </c>
      <c r="J47" s="6">
        <v>1</v>
      </c>
      <c r="K47" s="6">
        <v>30</v>
      </c>
    </row>
    <row r="48" spans="1:11" ht="14.25" customHeight="1" x14ac:dyDescent="0.25">
      <c r="A48" s="5">
        <v>4</v>
      </c>
      <c r="B48" s="5" t="s">
        <v>51</v>
      </c>
      <c r="C48" s="5" t="s">
        <v>30</v>
      </c>
      <c r="D48" s="6" t="s">
        <v>13</v>
      </c>
      <c r="E48" s="6" t="s">
        <v>21</v>
      </c>
      <c r="F48" s="6">
        <v>0</v>
      </c>
      <c r="G48" s="6">
        <v>3</v>
      </c>
      <c r="H48" s="6">
        <v>30</v>
      </c>
      <c r="I48" s="6">
        <v>0</v>
      </c>
      <c r="J48" s="6">
        <v>3</v>
      </c>
      <c r="K48" s="6">
        <v>30</v>
      </c>
    </row>
    <row r="49" spans="1:11" ht="14.25" customHeight="1" x14ac:dyDescent="0.25">
      <c r="A49" s="5">
        <v>4</v>
      </c>
      <c r="B49" s="5" t="s">
        <v>51</v>
      </c>
      <c r="C49" s="5" t="s">
        <v>31</v>
      </c>
      <c r="D49" s="6" t="s">
        <v>13</v>
      </c>
      <c r="E49" s="6" t="s">
        <v>21</v>
      </c>
      <c r="F49" s="6">
        <v>0</v>
      </c>
      <c r="G49" s="6">
        <v>3</v>
      </c>
      <c r="H49" s="6">
        <v>30</v>
      </c>
      <c r="I49" s="6">
        <v>0</v>
      </c>
      <c r="J49" s="6">
        <v>3</v>
      </c>
      <c r="K49" s="6">
        <v>30</v>
      </c>
    </row>
    <row r="50" spans="1:11" ht="14.25" customHeight="1" x14ac:dyDescent="0.25">
      <c r="A50" s="6">
        <v>5</v>
      </c>
      <c r="B50" s="6" t="s">
        <v>61</v>
      </c>
      <c r="C50" s="6" t="s">
        <v>62</v>
      </c>
      <c r="D50" s="6" t="s">
        <v>23</v>
      </c>
      <c r="E50" s="6" t="s">
        <v>14</v>
      </c>
      <c r="F50" s="6">
        <v>0</v>
      </c>
      <c r="G50" s="6">
        <v>1</v>
      </c>
      <c r="H50" s="6">
        <v>30</v>
      </c>
      <c r="I50" s="6">
        <v>0</v>
      </c>
      <c r="J50" s="6">
        <v>1</v>
      </c>
      <c r="K50" s="6">
        <v>30</v>
      </c>
    </row>
    <row r="51" spans="1:11" ht="14.25" customHeight="1" x14ac:dyDescent="0.25">
      <c r="A51" s="6">
        <v>5</v>
      </c>
      <c r="B51" s="6" t="s">
        <v>61</v>
      </c>
      <c r="C51" s="6" t="s">
        <v>63</v>
      </c>
      <c r="D51" s="6" t="s">
        <v>64</v>
      </c>
      <c r="E51" s="6" t="s">
        <v>14</v>
      </c>
      <c r="F51" s="6">
        <v>3</v>
      </c>
      <c r="G51" s="6">
        <v>0</v>
      </c>
      <c r="H51" s="6">
        <v>30</v>
      </c>
      <c r="I51" s="6">
        <v>3</v>
      </c>
      <c r="J51" s="6">
        <v>1</v>
      </c>
      <c r="K51" s="6">
        <v>30</v>
      </c>
    </row>
    <row r="52" spans="1:11" ht="14.25" customHeight="1" x14ac:dyDescent="0.25">
      <c r="A52" s="6">
        <v>5</v>
      </c>
      <c r="B52" s="6" t="s">
        <v>61</v>
      </c>
      <c r="C52" s="6" t="s">
        <v>65</v>
      </c>
      <c r="D52" s="6" t="s">
        <v>66</v>
      </c>
      <c r="E52" s="6" t="s">
        <v>14</v>
      </c>
      <c r="F52" s="6">
        <v>0</v>
      </c>
      <c r="G52" s="6">
        <v>3</v>
      </c>
      <c r="H52" s="6">
        <v>60</v>
      </c>
      <c r="I52" s="6">
        <v>0</v>
      </c>
      <c r="J52" s="6">
        <v>3</v>
      </c>
      <c r="K52" s="6">
        <v>60</v>
      </c>
    </row>
    <row r="53" spans="1:11" ht="14.25" customHeight="1" x14ac:dyDescent="0.25">
      <c r="A53" s="6">
        <v>5</v>
      </c>
      <c r="B53" s="6" t="s">
        <v>61</v>
      </c>
      <c r="C53" s="6" t="s">
        <v>20</v>
      </c>
      <c r="D53" s="6" t="s">
        <v>16</v>
      </c>
      <c r="E53" s="6" t="s">
        <v>21</v>
      </c>
      <c r="F53" s="6">
        <v>0</v>
      </c>
      <c r="G53" s="6">
        <v>1</v>
      </c>
      <c r="H53" s="6">
        <v>30</v>
      </c>
      <c r="I53" s="6">
        <v>0</v>
      </c>
      <c r="J53" s="6">
        <v>1</v>
      </c>
      <c r="K53" s="6">
        <v>30</v>
      </c>
    </row>
    <row r="54" spans="1:11" ht="14.25" customHeight="1" x14ac:dyDescent="0.25">
      <c r="A54" s="6">
        <v>5</v>
      </c>
      <c r="B54" s="6" t="s">
        <v>61</v>
      </c>
      <c r="C54" s="6" t="s">
        <v>22</v>
      </c>
      <c r="D54" s="6" t="s">
        <v>23</v>
      </c>
      <c r="E54" s="6" t="s">
        <v>21</v>
      </c>
      <c r="F54" s="6">
        <v>0</v>
      </c>
      <c r="G54" s="6">
        <v>1</v>
      </c>
      <c r="H54" s="6">
        <v>30</v>
      </c>
      <c r="I54" s="6">
        <v>0</v>
      </c>
      <c r="J54" s="6">
        <v>1</v>
      </c>
      <c r="K54" s="6">
        <v>30</v>
      </c>
    </row>
    <row r="55" spans="1:11" ht="14.25" customHeight="1" x14ac:dyDescent="0.25">
      <c r="A55" s="6">
        <v>5</v>
      </c>
      <c r="B55" s="6" t="s">
        <v>61</v>
      </c>
      <c r="C55" s="5" t="s">
        <v>26</v>
      </c>
      <c r="D55" s="6" t="s">
        <v>27</v>
      </c>
      <c r="E55" s="6" t="s">
        <v>21</v>
      </c>
      <c r="F55" s="6">
        <v>0</v>
      </c>
      <c r="G55" s="6">
        <v>1</v>
      </c>
      <c r="H55" s="6">
        <v>30</v>
      </c>
      <c r="I55" s="6">
        <v>0</v>
      </c>
      <c r="J55" s="6">
        <v>1</v>
      </c>
      <c r="K55" s="6">
        <v>30</v>
      </c>
    </row>
    <row r="56" spans="1:11" ht="14.25" customHeight="1" x14ac:dyDescent="0.25">
      <c r="A56" s="6">
        <v>5</v>
      </c>
      <c r="B56" s="6" t="s">
        <v>61</v>
      </c>
      <c r="C56" s="6" t="s">
        <v>29</v>
      </c>
      <c r="D56" s="6" t="s">
        <v>16</v>
      </c>
      <c r="E56" s="6" t="s">
        <v>21</v>
      </c>
      <c r="F56" s="6">
        <v>2</v>
      </c>
      <c r="G56" s="6">
        <v>0</v>
      </c>
      <c r="H56" s="6">
        <v>30</v>
      </c>
      <c r="I56" s="6">
        <v>1</v>
      </c>
      <c r="J56" s="6">
        <v>1</v>
      </c>
      <c r="K56" s="6">
        <v>30</v>
      </c>
    </row>
    <row r="57" spans="1:11" ht="14.25" customHeight="1" x14ac:dyDescent="0.25">
      <c r="A57" s="6">
        <v>5</v>
      </c>
      <c r="B57" s="6" t="s">
        <v>61</v>
      </c>
      <c r="C57" s="5" t="s">
        <v>30</v>
      </c>
      <c r="D57" s="6" t="s">
        <v>13</v>
      </c>
      <c r="E57" s="6" t="s">
        <v>21</v>
      </c>
      <c r="F57" s="6">
        <v>0</v>
      </c>
      <c r="G57" s="6">
        <v>3</v>
      </c>
      <c r="H57" s="6">
        <v>30</v>
      </c>
      <c r="I57" s="6">
        <v>0</v>
      </c>
      <c r="J57" s="6">
        <v>3</v>
      </c>
      <c r="K57" s="6">
        <v>30</v>
      </c>
    </row>
    <row r="58" spans="1:11" ht="14.25" customHeight="1" x14ac:dyDescent="0.25">
      <c r="A58" s="6">
        <v>5</v>
      </c>
      <c r="B58" s="6" t="s">
        <v>61</v>
      </c>
      <c r="C58" s="5" t="s">
        <v>31</v>
      </c>
      <c r="D58" s="6" t="s">
        <v>13</v>
      </c>
      <c r="E58" s="6" t="s">
        <v>21</v>
      </c>
      <c r="F58" s="6">
        <v>0</v>
      </c>
      <c r="G58" s="6">
        <v>3</v>
      </c>
      <c r="H58" s="6">
        <v>30</v>
      </c>
      <c r="I58" s="6">
        <v>0</v>
      </c>
      <c r="J58" s="6">
        <v>3</v>
      </c>
      <c r="K58" s="6">
        <v>30</v>
      </c>
    </row>
    <row r="59" spans="1:11" ht="14.25" customHeight="1" x14ac:dyDescent="0.25">
      <c r="A59" s="6">
        <v>6</v>
      </c>
      <c r="B59" s="6" t="s">
        <v>67</v>
      </c>
      <c r="C59" s="6" t="s">
        <v>68</v>
      </c>
      <c r="D59" s="6" t="s">
        <v>44</v>
      </c>
      <c r="E59" s="6" t="s">
        <v>14</v>
      </c>
      <c r="F59" s="6">
        <v>0</v>
      </c>
      <c r="G59" s="6">
        <v>2</v>
      </c>
      <c r="H59" s="6">
        <v>60</v>
      </c>
      <c r="I59" s="6">
        <v>0</v>
      </c>
      <c r="J59" s="6">
        <v>2</v>
      </c>
      <c r="K59" s="6">
        <v>60</v>
      </c>
    </row>
    <row r="60" spans="1:11" ht="14.25" customHeight="1" x14ac:dyDescent="0.25">
      <c r="A60" s="6">
        <v>6</v>
      </c>
      <c r="B60" s="6" t="s">
        <v>67</v>
      </c>
      <c r="C60" s="6" t="s">
        <v>69</v>
      </c>
      <c r="D60" s="6" t="s">
        <v>47</v>
      </c>
      <c r="E60" s="6" t="s">
        <v>14</v>
      </c>
      <c r="F60" s="6">
        <v>3</v>
      </c>
      <c r="G60" s="6">
        <v>0</v>
      </c>
      <c r="H60" s="6">
        <v>90</v>
      </c>
      <c r="I60" s="6">
        <v>3</v>
      </c>
      <c r="J60" s="6">
        <v>1</v>
      </c>
      <c r="K60" s="6">
        <v>90</v>
      </c>
    </row>
    <row r="61" spans="1:11" ht="14.25" customHeight="1" x14ac:dyDescent="0.25">
      <c r="A61" s="6">
        <v>6</v>
      </c>
      <c r="B61" s="6" t="s">
        <v>67</v>
      </c>
      <c r="C61" s="6" t="s">
        <v>70</v>
      </c>
      <c r="D61" s="6" t="s">
        <v>71</v>
      </c>
      <c r="E61" s="6" t="s">
        <v>14</v>
      </c>
      <c r="F61" s="6">
        <v>2</v>
      </c>
      <c r="G61" s="6">
        <v>0</v>
      </c>
      <c r="H61" s="6">
        <v>60</v>
      </c>
      <c r="I61" s="6">
        <v>2</v>
      </c>
      <c r="J61" s="6">
        <v>2</v>
      </c>
      <c r="K61" s="6">
        <v>60</v>
      </c>
    </row>
    <row r="62" spans="1:11" ht="14.25" customHeight="1" x14ac:dyDescent="0.25">
      <c r="A62" s="6">
        <v>6</v>
      </c>
      <c r="B62" s="6" t="s">
        <v>67</v>
      </c>
      <c r="C62" s="6" t="s">
        <v>72</v>
      </c>
      <c r="D62" s="6" t="s">
        <v>73</v>
      </c>
      <c r="E62" s="6" t="s">
        <v>14</v>
      </c>
      <c r="F62" s="6">
        <v>2</v>
      </c>
      <c r="G62" s="6">
        <v>0</v>
      </c>
      <c r="H62" s="6">
        <v>25</v>
      </c>
      <c r="I62" s="6">
        <v>2</v>
      </c>
      <c r="J62" s="6">
        <v>2</v>
      </c>
      <c r="K62" s="6">
        <v>25</v>
      </c>
    </row>
    <row r="63" spans="1:11" ht="14.25" customHeight="1" x14ac:dyDescent="0.25">
      <c r="A63" s="6">
        <v>6</v>
      </c>
      <c r="B63" s="6" t="s">
        <v>67</v>
      </c>
      <c r="C63" s="6" t="s">
        <v>74</v>
      </c>
      <c r="D63" s="6" t="s">
        <v>27</v>
      </c>
      <c r="E63" s="6" t="s">
        <v>14</v>
      </c>
      <c r="F63" s="6">
        <v>2</v>
      </c>
      <c r="G63" s="6">
        <v>0</v>
      </c>
      <c r="H63" s="6">
        <v>30</v>
      </c>
      <c r="I63" s="6">
        <v>1</v>
      </c>
      <c r="J63" s="6">
        <v>1</v>
      </c>
      <c r="K63" s="6">
        <v>30</v>
      </c>
    </row>
    <row r="64" spans="1:11" ht="14.25" customHeight="1" x14ac:dyDescent="0.25">
      <c r="A64" s="6">
        <v>6</v>
      </c>
      <c r="B64" s="6" t="s">
        <v>67</v>
      </c>
      <c r="C64" s="7" t="s">
        <v>20</v>
      </c>
      <c r="D64" s="6" t="s">
        <v>16</v>
      </c>
      <c r="E64" s="6" t="s">
        <v>21</v>
      </c>
      <c r="F64" s="6">
        <v>0</v>
      </c>
      <c r="G64" s="6">
        <v>1</v>
      </c>
      <c r="H64" s="6">
        <v>30</v>
      </c>
      <c r="I64" s="6">
        <v>0</v>
      </c>
      <c r="J64" s="6">
        <v>1</v>
      </c>
      <c r="K64" s="6">
        <v>30</v>
      </c>
    </row>
    <row r="65" spans="1:11" ht="14.25" customHeight="1" x14ac:dyDescent="0.25">
      <c r="A65" s="6">
        <v>6</v>
      </c>
      <c r="B65" s="6" t="s">
        <v>67</v>
      </c>
      <c r="C65" s="8" t="s">
        <v>22</v>
      </c>
      <c r="D65" s="6" t="s">
        <v>23</v>
      </c>
      <c r="E65" s="6" t="s">
        <v>21</v>
      </c>
      <c r="F65" s="6">
        <v>0</v>
      </c>
      <c r="G65" s="6">
        <v>1</v>
      </c>
      <c r="H65" s="6">
        <v>30</v>
      </c>
      <c r="I65" s="6">
        <v>0</v>
      </c>
      <c r="J65" s="6">
        <v>1</v>
      </c>
      <c r="K65" s="6">
        <v>30</v>
      </c>
    </row>
    <row r="66" spans="1:11" ht="14.25" customHeight="1" x14ac:dyDescent="0.25">
      <c r="A66" s="6">
        <v>6</v>
      </c>
      <c r="B66" s="6" t="s">
        <v>67</v>
      </c>
      <c r="C66" s="9" t="s">
        <v>26</v>
      </c>
      <c r="D66" s="6" t="s">
        <v>27</v>
      </c>
      <c r="E66" s="6" t="s">
        <v>21</v>
      </c>
      <c r="F66" s="6">
        <v>0</v>
      </c>
      <c r="G66" s="6">
        <v>1</v>
      </c>
      <c r="H66" s="6">
        <v>30</v>
      </c>
      <c r="I66" s="6">
        <v>0</v>
      </c>
      <c r="J66" s="6">
        <v>1</v>
      </c>
      <c r="K66" s="6">
        <v>30</v>
      </c>
    </row>
    <row r="67" spans="1:11" ht="14.25" customHeight="1" x14ac:dyDescent="0.25">
      <c r="A67" s="6">
        <v>6</v>
      </c>
      <c r="B67" s="6" t="s">
        <v>67</v>
      </c>
      <c r="C67" s="8" t="s">
        <v>29</v>
      </c>
      <c r="D67" s="6" t="s">
        <v>16</v>
      </c>
      <c r="E67" s="6" t="s">
        <v>21</v>
      </c>
      <c r="F67" s="6">
        <v>2</v>
      </c>
      <c r="G67" s="6">
        <v>0</v>
      </c>
      <c r="H67" s="6">
        <v>30</v>
      </c>
      <c r="I67" s="6">
        <v>2</v>
      </c>
      <c r="J67" s="6">
        <v>1</v>
      </c>
      <c r="K67" s="6">
        <v>30</v>
      </c>
    </row>
    <row r="68" spans="1:11" ht="14.25" customHeight="1" x14ac:dyDescent="0.25">
      <c r="A68" s="6">
        <v>6</v>
      </c>
      <c r="B68" s="6" t="s">
        <v>67</v>
      </c>
      <c r="C68" s="9" t="s">
        <v>30</v>
      </c>
      <c r="D68" s="6" t="s">
        <v>13</v>
      </c>
      <c r="E68" s="6" t="s">
        <v>21</v>
      </c>
      <c r="F68" s="6">
        <v>0</v>
      </c>
      <c r="G68" s="6">
        <v>3</v>
      </c>
      <c r="H68" s="6">
        <v>30</v>
      </c>
      <c r="I68" s="6">
        <v>0</v>
      </c>
      <c r="J68" s="6">
        <v>3</v>
      </c>
      <c r="K68" s="6">
        <v>30</v>
      </c>
    </row>
    <row r="69" spans="1:11" ht="14.25" customHeight="1" x14ac:dyDescent="0.25">
      <c r="A69" s="6">
        <v>6</v>
      </c>
      <c r="B69" s="6" t="s">
        <v>67</v>
      </c>
      <c r="C69" s="10" t="s">
        <v>31</v>
      </c>
      <c r="D69" s="6" t="s">
        <v>13</v>
      </c>
      <c r="E69" s="6" t="s">
        <v>21</v>
      </c>
      <c r="F69" s="6">
        <v>0</v>
      </c>
      <c r="G69" s="6">
        <v>3</v>
      </c>
      <c r="H69" s="6">
        <v>30</v>
      </c>
      <c r="I69" s="6">
        <v>0</v>
      </c>
      <c r="J69" s="6">
        <v>3</v>
      </c>
      <c r="K69" s="6">
        <v>30</v>
      </c>
    </row>
    <row r="70" spans="1:11" ht="14.25" customHeight="1" x14ac:dyDescent="0.25">
      <c r="A70" s="6">
        <v>7</v>
      </c>
      <c r="B70" s="6" t="s">
        <v>75</v>
      </c>
      <c r="C70" s="8" t="s">
        <v>76</v>
      </c>
      <c r="D70" s="6" t="s">
        <v>27</v>
      </c>
      <c r="E70" s="6" t="s">
        <v>14</v>
      </c>
      <c r="F70" s="6">
        <v>3</v>
      </c>
      <c r="G70" s="6">
        <v>0</v>
      </c>
      <c r="H70" s="6">
        <v>30</v>
      </c>
      <c r="I70" s="6">
        <v>3</v>
      </c>
      <c r="J70" s="6">
        <v>1</v>
      </c>
      <c r="K70" s="6">
        <v>30</v>
      </c>
    </row>
    <row r="71" spans="1:11" ht="14.25" customHeight="1" x14ac:dyDescent="0.25">
      <c r="A71" s="6">
        <v>7</v>
      </c>
      <c r="B71" s="6" t="s">
        <v>75</v>
      </c>
      <c r="C71" s="8" t="s">
        <v>77</v>
      </c>
      <c r="D71" s="6" t="s">
        <v>49</v>
      </c>
      <c r="E71" s="6" t="s">
        <v>14</v>
      </c>
      <c r="F71" s="6">
        <v>1</v>
      </c>
      <c r="G71" s="6">
        <v>0</v>
      </c>
      <c r="H71" s="6">
        <v>30</v>
      </c>
      <c r="I71" s="6">
        <v>2</v>
      </c>
      <c r="J71" s="6">
        <v>2</v>
      </c>
      <c r="K71" s="6">
        <v>30</v>
      </c>
    </row>
    <row r="72" spans="1:11" ht="14.25" customHeight="1" x14ac:dyDescent="0.25">
      <c r="A72" s="6">
        <v>7</v>
      </c>
      <c r="B72" s="6" t="s">
        <v>75</v>
      </c>
      <c r="C72" s="8" t="s">
        <v>78</v>
      </c>
      <c r="D72" s="6" t="s">
        <v>13</v>
      </c>
      <c r="E72" s="6" t="s">
        <v>14</v>
      </c>
      <c r="F72" s="6">
        <v>3</v>
      </c>
      <c r="G72" s="6">
        <v>0</v>
      </c>
      <c r="H72" s="6">
        <v>30</v>
      </c>
      <c r="I72" s="6">
        <v>2</v>
      </c>
      <c r="J72" s="6">
        <v>3</v>
      </c>
      <c r="K72" s="6">
        <v>30</v>
      </c>
    </row>
    <row r="73" spans="1:11" ht="14.25" customHeight="1" x14ac:dyDescent="0.25">
      <c r="A73" s="6">
        <v>7</v>
      </c>
      <c r="B73" s="6" t="s">
        <v>75</v>
      </c>
      <c r="C73" s="7" t="s">
        <v>20</v>
      </c>
      <c r="D73" s="6" t="s">
        <v>16</v>
      </c>
      <c r="E73" s="6" t="s">
        <v>21</v>
      </c>
      <c r="F73" s="6">
        <v>0</v>
      </c>
      <c r="G73" s="6">
        <v>1</v>
      </c>
      <c r="H73" s="6">
        <v>30</v>
      </c>
      <c r="I73" s="6">
        <v>0</v>
      </c>
      <c r="J73" s="6">
        <v>1</v>
      </c>
      <c r="K73" s="6">
        <v>30</v>
      </c>
    </row>
    <row r="74" spans="1:11" ht="14.25" customHeight="1" x14ac:dyDescent="0.25">
      <c r="A74" s="6">
        <v>7</v>
      </c>
      <c r="B74" s="6" t="s">
        <v>75</v>
      </c>
      <c r="C74" s="8" t="s">
        <v>22</v>
      </c>
      <c r="D74" s="6" t="s">
        <v>23</v>
      </c>
      <c r="E74" s="6" t="s">
        <v>21</v>
      </c>
      <c r="F74" s="6">
        <v>0</v>
      </c>
      <c r="G74" s="6">
        <v>1</v>
      </c>
      <c r="H74" s="6">
        <v>30</v>
      </c>
      <c r="I74" s="6">
        <v>0</v>
      </c>
      <c r="J74" s="6">
        <v>1</v>
      </c>
      <c r="K74" s="6">
        <v>30</v>
      </c>
    </row>
    <row r="75" spans="1:11" ht="14.25" customHeight="1" x14ac:dyDescent="0.25">
      <c r="A75" s="6">
        <v>7</v>
      </c>
      <c r="B75" s="6" t="s">
        <v>75</v>
      </c>
      <c r="C75" s="9" t="s">
        <v>26</v>
      </c>
      <c r="D75" s="6" t="s">
        <v>27</v>
      </c>
      <c r="E75" s="6" t="s">
        <v>21</v>
      </c>
      <c r="F75" s="6">
        <v>0</v>
      </c>
      <c r="G75" s="6">
        <v>1</v>
      </c>
      <c r="H75" s="6">
        <v>30</v>
      </c>
      <c r="I75" s="6">
        <v>0</v>
      </c>
      <c r="J75" s="6">
        <v>1</v>
      </c>
      <c r="K75" s="6">
        <v>30</v>
      </c>
    </row>
    <row r="76" spans="1:11" ht="14.25" customHeight="1" x14ac:dyDescent="0.25">
      <c r="A76" s="6">
        <v>7</v>
      </c>
      <c r="B76" s="6" t="s">
        <v>75</v>
      </c>
      <c r="C76" s="8" t="s">
        <v>29</v>
      </c>
      <c r="D76" s="6" t="s">
        <v>16</v>
      </c>
      <c r="E76" s="6" t="s">
        <v>21</v>
      </c>
      <c r="F76" s="6">
        <v>2</v>
      </c>
      <c r="G76" s="6">
        <v>0</v>
      </c>
      <c r="H76" s="6">
        <v>30</v>
      </c>
      <c r="I76" s="6">
        <v>3</v>
      </c>
      <c r="J76" s="6">
        <v>1</v>
      </c>
      <c r="K76" s="6">
        <v>30</v>
      </c>
    </row>
    <row r="77" spans="1:11" ht="14.25" customHeight="1" x14ac:dyDescent="0.25">
      <c r="A77" s="6">
        <v>7</v>
      </c>
      <c r="B77" s="6" t="s">
        <v>75</v>
      </c>
      <c r="C77" s="9" t="s">
        <v>30</v>
      </c>
      <c r="D77" s="6" t="s">
        <v>13</v>
      </c>
      <c r="E77" s="6" t="s">
        <v>21</v>
      </c>
      <c r="F77" s="6">
        <v>0</v>
      </c>
      <c r="G77" s="6">
        <v>3</v>
      </c>
      <c r="H77" s="6">
        <v>30</v>
      </c>
      <c r="I77" s="6">
        <v>0</v>
      </c>
      <c r="J77" s="6">
        <v>3</v>
      </c>
      <c r="K77" s="6">
        <v>30</v>
      </c>
    </row>
    <row r="78" spans="1:11" ht="14.25" customHeight="1" x14ac:dyDescent="0.25">
      <c r="A78" s="6">
        <v>7</v>
      </c>
      <c r="B78" s="6" t="s">
        <v>75</v>
      </c>
      <c r="C78" s="10" t="s">
        <v>31</v>
      </c>
      <c r="D78" s="6" t="s">
        <v>13</v>
      </c>
      <c r="E78" s="6" t="s">
        <v>21</v>
      </c>
      <c r="F78" s="6">
        <v>0</v>
      </c>
      <c r="G78" s="6">
        <v>3</v>
      </c>
      <c r="H78" s="6">
        <v>30</v>
      </c>
      <c r="I78" s="6">
        <v>0</v>
      </c>
      <c r="J78" s="6">
        <v>3</v>
      </c>
      <c r="K78" s="6">
        <v>30</v>
      </c>
    </row>
    <row r="79" spans="1:11" ht="14.25" customHeight="1" x14ac:dyDescent="0.25">
      <c r="A79" s="6">
        <v>8</v>
      </c>
      <c r="B79" s="6" t="s">
        <v>79</v>
      </c>
      <c r="C79" s="8" t="s">
        <v>80</v>
      </c>
      <c r="D79" s="6" t="s">
        <v>81</v>
      </c>
      <c r="E79" s="6" t="s">
        <v>14</v>
      </c>
      <c r="F79" s="6">
        <v>1</v>
      </c>
      <c r="G79" s="6">
        <v>0</v>
      </c>
      <c r="H79" s="6">
        <v>30</v>
      </c>
      <c r="I79" s="6">
        <v>1</v>
      </c>
      <c r="J79" s="6">
        <v>3</v>
      </c>
      <c r="K79" s="6">
        <v>30</v>
      </c>
    </row>
    <row r="80" spans="1:11" ht="14.25" customHeight="1" x14ac:dyDescent="0.25">
      <c r="A80" s="6">
        <v>8</v>
      </c>
      <c r="B80" s="6" t="s">
        <v>79</v>
      </c>
      <c r="C80" s="8" t="s">
        <v>82</v>
      </c>
      <c r="D80" s="6" t="s">
        <v>13</v>
      </c>
      <c r="E80" s="6" t="s">
        <v>14</v>
      </c>
      <c r="F80" s="6">
        <v>0</v>
      </c>
      <c r="G80" s="6">
        <v>3</v>
      </c>
      <c r="H80" s="6">
        <v>30</v>
      </c>
      <c r="I80" s="6">
        <v>0</v>
      </c>
      <c r="J80" s="6">
        <v>3</v>
      </c>
      <c r="K80" s="6">
        <v>30</v>
      </c>
    </row>
    <row r="81" spans="1:11" ht="14.25" customHeight="1" x14ac:dyDescent="0.25">
      <c r="A81" s="6">
        <v>8</v>
      </c>
      <c r="B81" s="6" t="s">
        <v>79</v>
      </c>
      <c r="C81" s="8" t="s">
        <v>83</v>
      </c>
      <c r="D81" s="6" t="s">
        <v>13</v>
      </c>
      <c r="E81" s="6" t="s">
        <v>14</v>
      </c>
      <c r="F81" s="6">
        <v>0</v>
      </c>
      <c r="G81" s="6">
        <v>3</v>
      </c>
      <c r="H81" s="6">
        <v>30</v>
      </c>
      <c r="I81" s="6">
        <v>0</v>
      </c>
      <c r="J81" s="6">
        <v>3</v>
      </c>
      <c r="K81" s="6">
        <v>30</v>
      </c>
    </row>
    <row r="82" spans="1:11" ht="14.25" customHeight="1" x14ac:dyDescent="0.25">
      <c r="A82" s="6">
        <v>8</v>
      </c>
      <c r="B82" s="6" t="s">
        <v>79</v>
      </c>
      <c r="C82" s="8" t="s">
        <v>84</v>
      </c>
      <c r="D82" s="6" t="s">
        <v>13</v>
      </c>
      <c r="E82" s="6" t="s">
        <v>14</v>
      </c>
      <c r="F82" s="6">
        <v>3</v>
      </c>
      <c r="G82" s="6">
        <v>0</v>
      </c>
      <c r="H82" s="6">
        <v>24</v>
      </c>
      <c r="I82" s="6">
        <v>3</v>
      </c>
      <c r="J82" s="6">
        <v>3</v>
      </c>
      <c r="K82" s="6">
        <v>30</v>
      </c>
    </row>
    <row r="83" spans="1:11" ht="14.25" customHeight="1" x14ac:dyDescent="0.25">
      <c r="A83" s="6">
        <v>8</v>
      </c>
      <c r="B83" s="6" t="s">
        <v>79</v>
      </c>
      <c r="C83" s="7" t="s">
        <v>20</v>
      </c>
      <c r="D83" s="6" t="s">
        <v>16</v>
      </c>
      <c r="E83" s="6" t="s">
        <v>21</v>
      </c>
      <c r="F83" s="6">
        <v>0</v>
      </c>
      <c r="G83" s="6">
        <v>1</v>
      </c>
      <c r="H83" s="6">
        <v>34</v>
      </c>
      <c r="I83" s="6">
        <v>0</v>
      </c>
      <c r="J83" s="6">
        <v>1</v>
      </c>
      <c r="K83" s="6">
        <v>30</v>
      </c>
    </row>
    <row r="84" spans="1:11" ht="14.25" customHeight="1" x14ac:dyDescent="0.25">
      <c r="A84" s="6">
        <v>8</v>
      </c>
      <c r="B84" s="6" t="s">
        <v>79</v>
      </c>
      <c r="C84" s="8" t="s">
        <v>22</v>
      </c>
      <c r="D84" s="6" t="s">
        <v>23</v>
      </c>
      <c r="E84" s="6" t="s">
        <v>21</v>
      </c>
      <c r="F84" s="6">
        <v>0</v>
      </c>
      <c r="G84" s="6">
        <v>1</v>
      </c>
      <c r="H84" s="6">
        <v>30</v>
      </c>
      <c r="I84" s="6">
        <v>0</v>
      </c>
      <c r="J84" s="6">
        <v>1</v>
      </c>
      <c r="K84" s="6">
        <v>30</v>
      </c>
    </row>
    <row r="85" spans="1:11" ht="14.25" customHeight="1" x14ac:dyDescent="0.25">
      <c r="A85" s="6">
        <v>8</v>
      </c>
      <c r="B85" s="6" t="s">
        <v>79</v>
      </c>
      <c r="C85" s="9" t="s">
        <v>26</v>
      </c>
      <c r="D85" s="6" t="s">
        <v>27</v>
      </c>
      <c r="E85" s="6" t="s">
        <v>21</v>
      </c>
      <c r="F85" s="6">
        <v>0</v>
      </c>
      <c r="G85" s="6">
        <v>1</v>
      </c>
      <c r="H85" s="6">
        <v>30</v>
      </c>
      <c r="I85" s="6">
        <v>0</v>
      </c>
      <c r="J85" s="6">
        <v>1</v>
      </c>
      <c r="K85" s="6">
        <v>30</v>
      </c>
    </row>
    <row r="86" spans="1:11" ht="14.25" customHeight="1" x14ac:dyDescent="0.25">
      <c r="A86" s="6">
        <v>8</v>
      </c>
      <c r="B86" s="6" t="s">
        <v>79</v>
      </c>
      <c r="C86" s="8" t="s">
        <v>29</v>
      </c>
      <c r="D86" s="6" t="s">
        <v>16</v>
      </c>
      <c r="E86" s="6" t="s">
        <v>21</v>
      </c>
      <c r="F86" s="6">
        <v>2</v>
      </c>
      <c r="G86" s="6">
        <v>0</v>
      </c>
      <c r="H86" s="6">
        <v>30</v>
      </c>
      <c r="I86" s="6">
        <v>2</v>
      </c>
      <c r="J86" s="6">
        <v>1</v>
      </c>
      <c r="K86" s="6">
        <v>30</v>
      </c>
    </row>
    <row r="87" spans="1:11" ht="14.25" customHeight="1" x14ac:dyDescent="0.25">
      <c r="A87" s="6">
        <v>8</v>
      </c>
      <c r="B87" s="6" t="s">
        <v>79</v>
      </c>
      <c r="C87" s="9" t="s">
        <v>30</v>
      </c>
      <c r="D87" s="6" t="s">
        <v>13</v>
      </c>
      <c r="E87" s="6" t="s">
        <v>21</v>
      </c>
      <c r="F87" s="6">
        <v>0</v>
      </c>
      <c r="G87" s="6">
        <v>3</v>
      </c>
      <c r="H87" s="6">
        <v>10</v>
      </c>
      <c r="I87" s="6">
        <v>0</v>
      </c>
      <c r="J87" s="6">
        <v>3</v>
      </c>
      <c r="K87" s="6">
        <v>30</v>
      </c>
    </row>
    <row r="88" spans="1:11" ht="14.25" customHeight="1" x14ac:dyDescent="0.25">
      <c r="A88" s="6">
        <v>8</v>
      </c>
      <c r="B88" s="6" t="s">
        <v>79</v>
      </c>
      <c r="C88" s="10" t="s">
        <v>31</v>
      </c>
      <c r="D88" s="6" t="s">
        <v>13</v>
      </c>
      <c r="E88" s="6" t="s">
        <v>21</v>
      </c>
      <c r="F88" s="6">
        <v>0</v>
      </c>
      <c r="G88" s="6">
        <v>3</v>
      </c>
      <c r="H88" s="6">
        <v>30</v>
      </c>
      <c r="I88" s="6">
        <v>0</v>
      </c>
      <c r="J88" s="6">
        <v>3</v>
      </c>
      <c r="K88" s="6">
        <v>30</v>
      </c>
    </row>
    <row r="89" spans="1:11" ht="14.25" customHeight="1" x14ac:dyDescent="0.25">
      <c r="A89" s="6" t="s">
        <v>85</v>
      </c>
      <c r="B89" s="6"/>
      <c r="C89" s="11">
        <f>COUNTA(C3:C88)</f>
        <v>86</v>
      </c>
      <c r="D89" s="6"/>
      <c r="E89" s="6"/>
      <c r="F89" s="12">
        <f>SUM(F2:F88)</f>
        <v>42</v>
      </c>
      <c r="G89" s="13">
        <f>SUM(G3:G88)</f>
        <v>123</v>
      </c>
      <c r="H89" s="14">
        <f t="shared" ref="H89:I89" si="0">SUM(H2:H88)</f>
        <v>2895</v>
      </c>
      <c r="I89" s="13">
        <f t="shared" si="0"/>
        <v>43</v>
      </c>
      <c r="J89" s="13">
        <f>SUM(J3:J88)</f>
        <v>152</v>
      </c>
      <c r="K89" s="14">
        <f>SUM(K2:K88)</f>
        <v>2945</v>
      </c>
    </row>
    <row r="90" spans="1:11" ht="14.25" customHeight="1" x14ac:dyDescent="0.25"/>
    <row r="91" spans="1:11" ht="14.25" customHeight="1" x14ac:dyDescent="0.25"/>
    <row r="92" spans="1:11" ht="14.25" customHeight="1" x14ac:dyDescent="0.25"/>
    <row r="93" spans="1:11" ht="14.25" customHeight="1" x14ac:dyDescent="0.25"/>
    <row r="94" spans="1:11" ht="14.25" customHeight="1" x14ac:dyDescent="0.25"/>
    <row r="95" spans="1:11" ht="14.25" customHeight="1" x14ac:dyDescent="0.25"/>
    <row r="96" spans="1:11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dataValidations count="2">
    <dataValidation type="list" allowBlank="1" showErrorMessage="1" sqref="E2:E88" xr:uid="{00000000-0002-0000-0000-000000000000}">
      <formula1>"Unico,Común"</formula1>
    </dataValidation>
    <dataValidation type="list" allowBlank="1" showErrorMessage="1" sqref="F2:G88 I2:J88" xr:uid="{00000000-0002-0000-0000-000001000000}">
      <formula1>"3,1,2,0"</formula1>
    </dataValidation>
  </dataValidations>
  <pageMargins left="0.7" right="0.7" top="0.75" bottom="0.75" header="0" footer="0"/>
  <pageSetup orientation="landscape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3"/>
  <sheetViews>
    <sheetView workbookViewId="0"/>
  </sheetViews>
  <sheetFormatPr baseColWidth="10" defaultColWidth="12.5703125" defaultRowHeight="15" customHeight="1" x14ac:dyDescent="0.25"/>
  <cols>
    <col min="1" max="1" width="7" customWidth="1"/>
    <col min="2" max="2" width="26.140625" customWidth="1"/>
    <col min="3" max="3" width="38.42578125" customWidth="1"/>
    <col min="4" max="4" width="35" customWidth="1"/>
    <col min="5" max="5" width="11.85546875" customWidth="1"/>
    <col min="6" max="6" width="7.85546875" customWidth="1"/>
    <col min="7" max="7" width="18.7109375" customWidth="1"/>
    <col min="8" max="26" width="10.5703125" customWidth="1"/>
  </cols>
  <sheetData>
    <row r="1" spans="1:7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86</v>
      </c>
      <c r="G1" s="15" t="s">
        <v>87</v>
      </c>
    </row>
    <row r="2" spans="1:7" ht="14.25" customHeight="1" x14ac:dyDescent="0.25">
      <c r="A2" s="5">
        <v>1</v>
      </c>
      <c r="B2" s="6" t="s">
        <v>11</v>
      </c>
      <c r="C2" s="5" t="s">
        <v>12</v>
      </c>
      <c r="D2" s="6" t="s">
        <v>13</v>
      </c>
      <c r="E2" s="5" t="s">
        <v>14</v>
      </c>
      <c r="F2" s="6">
        <v>3</v>
      </c>
      <c r="G2" s="6">
        <v>60</v>
      </c>
    </row>
    <row r="3" spans="1:7" ht="14.25" customHeight="1" x14ac:dyDescent="0.25">
      <c r="A3" s="5"/>
      <c r="B3" s="5"/>
      <c r="C3" s="5" t="s">
        <v>15</v>
      </c>
      <c r="D3" s="6" t="s">
        <v>16</v>
      </c>
      <c r="E3" s="5" t="s">
        <v>14</v>
      </c>
      <c r="F3" s="6">
        <v>1</v>
      </c>
      <c r="G3" s="6">
        <v>60</v>
      </c>
    </row>
    <row r="4" spans="1:7" ht="14.25" customHeight="1" x14ac:dyDescent="0.25">
      <c r="A4" s="5"/>
      <c r="B4" s="5"/>
      <c r="C4" s="5" t="s">
        <v>17</v>
      </c>
      <c r="D4" s="6" t="s">
        <v>13</v>
      </c>
      <c r="E4" s="5" t="s">
        <v>14</v>
      </c>
      <c r="F4" s="6">
        <v>3</v>
      </c>
      <c r="G4" s="5"/>
    </row>
    <row r="5" spans="1:7" ht="14.25" customHeight="1" x14ac:dyDescent="0.25">
      <c r="A5" s="5"/>
      <c r="B5" s="5"/>
      <c r="C5" s="5" t="s">
        <v>18</v>
      </c>
      <c r="D5" s="6" t="s">
        <v>13</v>
      </c>
      <c r="E5" s="5" t="s">
        <v>14</v>
      </c>
      <c r="F5" s="6">
        <v>3</v>
      </c>
      <c r="G5" s="5"/>
    </row>
    <row r="6" spans="1:7" ht="14.25" customHeight="1" x14ac:dyDescent="0.25">
      <c r="A6" s="5"/>
      <c r="B6" s="5"/>
      <c r="C6" s="5" t="s">
        <v>19</v>
      </c>
      <c r="D6" s="6" t="s">
        <v>16</v>
      </c>
      <c r="E6" s="5" t="s">
        <v>14</v>
      </c>
      <c r="F6" s="6">
        <v>1</v>
      </c>
      <c r="G6" s="5"/>
    </row>
    <row r="7" spans="1:7" ht="14.25" customHeight="1" x14ac:dyDescent="0.25">
      <c r="A7" s="5"/>
      <c r="B7" s="5"/>
      <c r="C7" s="5" t="s">
        <v>20</v>
      </c>
      <c r="D7" s="6" t="s">
        <v>16</v>
      </c>
      <c r="E7" s="6" t="s">
        <v>21</v>
      </c>
      <c r="F7" s="6">
        <v>1</v>
      </c>
      <c r="G7" s="5"/>
    </row>
    <row r="8" spans="1:7" ht="14.25" customHeight="1" x14ac:dyDescent="0.25">
      <c r="A8" s="5"/>
      <c r="B8" s="5"/>
      <c r="C8" s="5" t="s">
        <v>22</v>
      </c>
      <c r="D8" s="6" t="s">
        <v>23</v>
      </c>
      <c r="E8" s="6" t="s">
        <v>21</v>
      </c>
      <c r="F8" s="6">
        <v>1</v>
      </c>
      <c r="G8" s="5"/>
    </row>
    <row r="9" spans="1:7" ht="14.25" customHeight="1" x14ac:dyDescent="0.25">
      <c r="A9" s="5"/>
      <c r="B9" s="5"/>
      <c r="C9" s="5" t="s">
        <v>24</v>
      </c>
      <c r="D9" s="6" t="s">
        <v>25</v>
      </c>
      <c r="E9" s="6" t="s">
        <v>21</v>
      </c>
      <c r="F9" s="6">
        <v>2</v>
      </c>
      <c r="G9" s="5"/>
    </row>
    <row r="10" spans="1:7" ht="14.25" customHeight="1" x14ac:dyDescent="0.25">
      <c r="A10" s="5"/>
      <c r="B10" s="5"/>
      <c r="C10" s="5" t="s">
        <v>26</v>
      </c>
      <c r="D10" s="6" t="s">
        <v>27</v>
      </c>
      <c r="E10" s="6" t="s">
        <v>21</v>
      </c>
      <c r="F10" s="6">
        <v>1</v>
      </c>
      <c r="G10" s="5"/>
    </row>
    <row r="11" spans="1:7" ht="14.25" customHeight="1" x14ac:dyDescent="0.25">
      <c r="A11" s="5"/>
      <c r="B11" s="5"/>
      <c r="C11" s="5" t="s">
        <v>28</v>
      </c>
      <c r="D11" s="6" t="s">
        <v>27</v>
      </c>
      <c r="E11" s="6" t="s">
        <v>21</v>
      </c>
      <c r="F11" s="6">
        <v>1</v>
      </c>
      <c r="G11" s="5"/>
    </row>
    <row r="12" spans="1:7" ht="14.25" customHeight="1" x14ac:dyDescent="0.25">
      <c r="A12" s="5"/>
      <c r="B12" s="5"/>
      <c r="C12" s="6" t="s">
        <v>29</v>
      </c>
      <c r="D12" s="6" t="s">
        <v>16</v>
      </c>
      <c r="E12" s="6" t="s">
        <v>21</v>
      </c>
      <c r="F12" s="6">
        <v>1</v>
      </c>
      <c r="G12" s="5"/>
    </row>
    <row r="13" spans="1:7" ht="14.25" customHeight="1" x14ac:dyDescent="0.25">
      <c r="A13" s="5"/>
      <c r="B13" s="5"/>
      <c r="C13" s="5" t="s">
        <v>30</v>
      </c>
      <c r="D13" s="6" t="s">
        <v>13</v>
      </c>
      <c r="E13" s="6" t="s">
        <v>21</v>
      </c>
      <c r="F13" s="6">
        <v>3</v>
      </c>
      <c r="G13" s="5"/>
    </row>
    <row r="14" spans="1:7" ht="14.25" customHeight="1" x14ac:dyDescent="0.25">
      <c r="A14" s="5"/>
      <c r="B14" s="5"/>
      <c r="C14" s="5" t="s">
        <v>31</v>
      </c>
      <c r="D14" s="6" t="s">
        <v>13</v>
      </c>
      <c r="E14" s="6" t="s">
        <v>21</v>
      </c>
      <c r="F14" s="6">
        <v>3</v>
      </c>
      <c r="G14" s="5"/>
    </row>
    <row r="15" spans="1:7" ht="14.25" customHeight="1" x14ac:dyDescent="0.25">
      <c r="A15" s="5">
        <v>2</v>
      </c>
      <c r="B15" s="5" t="s">
        <v>32</v>
      </c>
      <c r="C15" s="5" t="s">
        <v>33</v>
      </c>
      <c r="D15" s="6" t="s">
        <v>16</v>
      </c>
      <c r="E15" s="6" t="s">
        <v>14</v>
      </c>
      <c r="F15" s="6">
        <v>1</v>
      </c>
      <c r="G15" s="5"/>
    </row>
    <row r="16" spans="1:7" ht="14.25" customHeight="1" x14ac:dyDescent="0.25">
      <c r="A16" s="5"/>
      <c r="B16" s="5"/>
      <c r="C16" s="5" t="s">
        <v>34</v>
      </c>
      <c r="D16" s="6" t="s">
        <v>35</v>
      </c>
      <c r="E16" s="6" t="s">
        <v>14</v>
      </c>
      <c r="F16" s="6">
        <v>2</v>
      </c>
      <c r="G16" s="5"/>
    </row>
    <row r="17" spans="1:7" ht="14.25" customHeight="1" x14ac:dyDescent="0.25">
      <c r="A17" s="5"/>
      <c r="B17" s="5"/>
      <c r="C17" s="5" t="s">
        <v>36</v>
      </c>
      <c r="D17" s="6" t="s">
        <v>37</v>
      </c>
      <c r="E17" s="6" t="s">
        <v>14</v>
      </c>
      <c r="F17" s="6">
        <v>2</v>
      </c>
      <c r="G17" s="5"/>
    </row>
    <row r="18" spans="1:7" ht="14.25" customHeight="1" x14ac:dyDescent="0.25">
      <c r="A18" s="5"/>
      <c r="B18" s="5"/>
      <c r="C18" s="5" t="s">
        <v>38</v>
      </c>
      <c r="D18" s="6" t="s">
        <v>39</v>
      </c>
      <c r="E18" s="6" t="s">
        <v>14</v>
      </c>
      <c r="F18" s="6">
        <v>2</v>
      </c>
      <c r="G18" s="5"/>
    </row>
    <row r="19" spans="1:7" ht="14.25" customHeight="1" x14ac:dyDescent="0.25">
      <c r="A19" s="5"/>
      <c r="B19" s="5"/>
      <c r="C19" s="5" t="s">
        <v>40</v>
      </c>
      <c r="D19" s="6" t="s">
        <v>39</v>
      </c>
      <c r="E19" s="6" t="s">
        <v>14</v>
      </c>
      <c r="F19" s="6">
        <v>2</v>
      </c>
      <c r="G19" s="5"/>
    </row>
    <row r="20" spans="1:7" ht="14.25" customHeight="1" x14ac:dyDescent="0.25">
      <c r="A20" s="5"/>
      <c r="B20" s="5"/>
      <c r="C20" s="5" t="s">
        <v>20</v>
      </c>
      <c r="D20" s="6" t="s">
        <v>16</v>
      </c>
      <c r="E20" s="6" t="s">
        <v>21</v>
      </c>
      <c r="F20" s="6">
        <v>1</v>
      </c>
      <c r="G20" s="5"/>
    </row>
    <row r="21" spans="1:7" ht="14.25" customHeight="1" x14ac:dyDescent="0.25">
      <c r="A21" s="5"/>
      <c r="B21" s="5"/>
      <c r="C21" s="5" t="s">
        <v>22</v>
      </c>
      <c r="D21" s="6" t="s">
        <v>23</v>
      </c>
      <c r="E21" s="6" t="s">
        <v>21</v>
      </c>
      <c r="F21" s="6">
        <v>1</v>
      </c>
      <c r="G21" s="5"/>
    </row>
    <row r="22" spans="1:7" ht="14.25" customHeight="1" x14ac:dyDescent="0.25">
      <c r="A22" s="5"/>
      <c r="B22" s="5"/>
      <c r="C22" s="5" t="s">
        <v>30</v>
      </c>
      <c r="D22" s="6" t="s">
        <v>13</v>
      </c>
      <c r="E22" s="6" t="s">
        <v>21</v>
      </c>
      <c r="F22" s="6">
        <v>3</v>
      </c>
      <c r="G22" s="5"/>
    </row>
    <row r="23" spans="1:7" ht="14.25" customHeight="1" x14ac:dyDescent="0.25">
      <c r="A23" s="5"/>
      <c r="B23" s="5"/>
      <c r="C23" s="6" t="s">
        <v>29</v>
      </c>
      <c r="D23" s="6" t="s">
        <v>16</v>
      </c>
      <c r="E23" s="6" t="s">
        <v>21</v>
      </c>
      <c r="F23" s="6">
        <v>1</v>
      </c>
      <c r="G23" s="5"/>
    </row>
    <row r="24" spans="1:7" ht="14.25" customHeight="1" x14ac:dyDescent="0.25">
      <c r="A24" s="5"/>
      <c r="B24" s="5"/>
      <c r="C24" s="5" t="s">
        <v>26</v>
      </c>
      <c r="D24" s="6" t="s">
        <v>27</v>
      </c>
      <c r="E24" s="6" t="s">
        <v>21</v>
      </c>
      <c r="F24" s="6">
        <v>1</v>
      </c>
      <c r="G24" s="5"/>
    </row>
    <row r="25" spans="1:7" ht="14.25" customHeight="1" x14ac:dyDescent="0.25">
      <c r="A25" s="5"/>
      <c r="B25" s="5"/>
      <c r="C25" s="5" t="s">
        <v>31</v>
      </c>
      <c r="D25" s="6" t="s">
        <v>13</v>
      </c>
      <c r="E25" s="6" t="s">
        <v>21</v>
      </c>
      <c r="F25" s="6">
        <v>3</v>
      </c>
      <c r="G25" s="5"/>
    </row>
    <row r="26" spans="1:7" ht="14.25" customHeight="1" x14ac:dyDescent="0.25">
      <c r="A26" s="5">
        <v>3</v>
      </c>
      <c r="B26" s="5" t="s">
        <v>41</v>
      </c>
      <c r="C26" s="5" t="s">
        <v>42</v>
      </c>
      <c r="D26" s="6" t="s">
        <v>27</v>
      </c>
      <c r="E26" s="6" t="s">
        <v>14</v>
      </c>
      <c r="F26" s="6">
        <v>1</v>
      </c>
      <c r="G26" s="5"/>
    </row>
    <row r="27" spans="1:7" ht="14.25" customHeight="1" x14ac:dyDescent="0.25">
      <c r="A27" s="5"/>
      <c r="B27" s="5"/>
      <c r="C27" s="5" t="s">
        <v>43</v>
      </c>
      <c r="D27" s="6" t="s">
        <v>44</v>
      </c>
      <c r="E27" s="6" t="s">
        <v>14</v>
      </c>
      <c r="F27" s="6">
        <v>2</v>
      </c>
      <c r="G27" s="5"/>
    </row>
    <row r="28" spans="1:7" ht="14.25" customHeight="1" x14ac:dyDescent="0.25">
      <c r="A28" s="5"/>
      <c r="B28" s="5"/>
      <c r="C28" s="5" t="s">
        <v>45</v>
      </c>
      <c r="D28" s="6" t="s">
        <v>13</v>
      </c>
      <c r="E28" s="6" t="s">
        <v>14</v>
      </c>
      <c r="F28" s="6">
        <v>3</v>
      </c>
      <c r="G28" s="5"/>
    </row>
    <row r="29" spans="1:7" ht="14.25" customHeight="1" x14ac:dyDescent="0.25">
      <c r="A29" s="5"/>
      <c r="B29" s="5"/>
      <c r="C29" s="5" t="s">
        <v>46</v>
      </c>
      <c r="D29" s="6" t="s">
        <v>47</v>
      </c>
      <c r="E29" s="6" t="s">
        <v>14</v>
      </c>
      <c r="F29" s="6">
        <v>1</v>
      </c>
      <c r="G29" s="5"/>
    </row>
    <row r="30" spans="1:7" ht="14.25" customHeight="1" x14ac:dyDescent="0.25">
      <c r="A30" s="5"/>
      <c r="B30" s="5"/>
      <c r="C30" s="5" t="s">
        <v>48</v>
      </c>
      <c r="D30" s="6" t="s">
        <v>49</v>
      </c>
      <c r="E30" s="6" t="s">
        <v>14</v>
      </c>
      <c r="F30" s="6">
        <v>2</v>
      </c>
      <c r="G30" s="5"/>
    </row>
    <row r="31" spans="1:7" ht="14.25" customHeight="1" x14ac:dyDescent="0.25">
      <c r="A31" s="5"/>
      <c r="B31" s="5"/>
      <c r="C31" s="5" t="s">
        <v>50</v>
      </c>
      <c r="D31" s="6" t="s">
        <v>13</v>
      </c>
      <c r="E31" s="6" t="s">
        <v>14</v>
      </c>
      <c r="F31" s="6">
        <v>3</v>
      </c>
      <c r="G31" s="5"/>
    </row>
    <row r="32" spans="1:7" ht="14.25" customHeight="1" x14ac:dyDescent="0.25">
      <c r="A32" s="5"/>
      <c r="B32" s="5"/>
      <c r="C32" s="5" t="s">
        <v>20</v>
      </c>
      <c r="D32" s="6" t="s">
        <v>16</v>
      </c>
      <c r="E32" s="6" t="s">
        <v>21</v>
      </c>
      <c r="F32" s="6">
        <v>1</v>
      </c>
      <c r="G32" s="5"/>
    </row>
    <row r="33" spans="1:7" ht="14.25" customHeight="1" x14ac:dyDescent="0.25">
      <c r="A33" s="5"/>
      <c r="B33" s="5"/>
      <c r="C33" s="5" t="s">
        <v>22</v>
      </c>
      <c r="D33" s="6" t="s">
        <v>23</v>
      </c>
      <c r="E33" s="6" t="s">
        <v>21</v>
      </c>
      <c r="F33" s="6">
        <v>1</v>
      </c>
      <c r="G33" s="5"/>
    </row>
    <row r="34" spans="1:7" ht="14.25" customHeight="1" x14ac:dyDescent="0.25">
      <c r="A34" s="5"/>
      <c r="B34" s="5"/>
      <c r="C34" s="6" t="s">
        <v>29</v>
      </c>
      <c r="D34" s="6" t="s">
        <v>16</v>
      </c>
      <c r="E34" s="6" t="s">
        <v>21</v>
      </c>
      <c r="F34" s="6">
        <v>1</v>
      </c>
      <c r="G34" s="5"/>
    </row>
    <row r="35" spans="1:7" ht="14.25" customHeight="1" x14ac:dyDescent="0.25">
      <c r="A35" s="5"/>
      <c r="B35" s="5"/>
      <c r="C35" s="6" t="s">
        <v>26</v>
      </c>
      <c r="D35" s="6" t="s">
        <v>27</v>
      </c>
      <c r="E35" s="6" t="s">
        <v>21</v>
      </c>
      <c r="F35" s="6">
        <v>1</v>
      </c>
      <c r="G35" s="5"/>
    </row>
    <row r="36" spans="1:7" ht="14.25" customHeight="1" x14ac:dyDescent="0.25">
      <c r="A36" s="5"/>
      <c r="B36" s="5"/>
      <c r="C36" s="6" t="s">
        <v>30</v>
      </c>
      <c r="D36" s="6" t="s">
        <v>13</v>
      </c>
      <c r="E36" s="6" t="s">
        <v>21</v>
      </c>
      <c r="F36" s="6">
        <v>3</v>
      </c>
      <c r="G36" s="5"/>
    </row>
    <row r="37" spans="1:7" ht="14.25" customHeight="1" x14ac:dyDescent="0.25">
      <c r="A37" s="5"/>
      <c r="B37" s="5"/>
      <c r="C37" s="6" t="s">
        <v>31</v>
      </c>
      <c r="D37" s="6" t="s">
        <v>13</v>
      </c>
      <c r="E37" s="6" t="s">
        <v>21</v>
      </c>
      <c r="F37" s="6">
        <v>3</v>
      </c>
      <c r="G37" s="5"/>
    </row>
    <row r="38" spans="1:7" ht="14.25" customHeight="1" x14ac:dyDescent="0.25">
      <c r="A38" s="5">
        <v>4</v>
      </c>
      <c r="B38" s="5" t="s">
        <v>51</v>
      </c>
      <c r="C38" s="6" t="s">
        <v>52</v>
      </c>
      <c r="D38" s="6" t="s">
        <v>53</v>
      </c>
      <c r="E38" s="6" t="s">
        <v>14</v>
      </c>
      <c r="F38" s="6">
        <v>2</v>
      </c>
      <c r="G38" s="5"/>
    </row>
    <row r="39" spans="1:7" ht="14.25" customHeight="1" x14ac:dyDescent="0.25">
      <c r="A39" s="5"/>
      <c r="B39" s="5"/>
      <c r="C39" s="6" t="s">
        <v>54</v>
      </c>
      <c r="D39" s="6" t="s">
        <v>55</v>
      </c>
      <c r="E39" s="6" t="s">
        <v>14</v>
      </c>
      <c r="F39" s="6">
        <v>2</v>
      </c>
      <c r="G39" s="5"/>
    </row>
    <row r="40" spans="1:7" ht="14.25" customHeight="1" x14ac:dyDescent="0.25">
      <c r="A40" s="5"/>
      <c r="B40" s="5"/>
      <c r="C40" s="6" t="s">
        <v>56</v>
      </c>
      <c r="D40" s="6" t="s">
        <v>27</v>
      </c>
      <c r="E40" s="6" t="s">
        <v>14</v>
      </c>
      <c r="F40" s="6">
        <v>1</v>
      </c>
      <c r="G40" s="5"/>
    </row>
    <row r="41" spans="1:7" ht="14.25" customHeight="1" x14ac:dyDescent="0.25">
      <c r="A41" s="5"/>
      <c r="B41" s="5"/>
      <c r="C41" s="6" t="s">
        <v>57</v>
      </c>
      <c r="D41" s="6" t="s">
        <v>58</v>
      </c>
      <c r="E41" s="6" t="s">
        <v>14</v>
      </c>
      <c r="F41" s="6">
        <v>2</v>
      </c>
      <c r="G41" s="5"/>
    </row>
    <row r="42" spans="1:7" ht="14.25" customHeight="1" x14ac:dyDescent="0.25">
      <c r="A42" s="5"/>
      <c r="B42" s="5"/>
      <c r="C42" s="6" t="s">
        <v>59</v>
      </c>
      <c r="D42" s="6" t="s">
        <v>16</v>
      </c>
      <c r="E42" s="6" t="s">
        <v>14</v>
      </c>
      <c r="F42" s="6">
        <v>1</v>
      </c>
      <c r="G42" s="5"/>
    </row>
    <row r="43" spans="1:7" ht="14.25" customHeight="1" x14ac:dyDescent="0.25">
      <c r="A43" s="5"/>
      <c r="B43" s="5"/>
      <c r="C43" s="6" t="s">
        <v>60</v>
      </c>
      <c r="D43" s="6" t="s">
        <v>23</v>
      </c>
      <c r="E43" s="6" t="s">
        <v>14</v>
      </c>
      <c r="F43" s="6">
        <v>1</v>
      </c>
      <c r="G43" s="5"/>
    </row>
    <row r="44" spans="1:7" ht="14.25" customHeight="1" x14ac:dyDescent="0.25">
      <c r="A44" s="5"/>
      <c r="B44" s="5"/>
      <c r="C44" s="6" t="s">
        <v>20</v>
      </c>
      <c r="D44" s="6" t="s">
        <v>16</v>
      </c>
      <c r="E44" s="6" t="s">
        <v>21</v>
      </c>
      <c r="F44" s="6">
        <v>1</v>
      </c>
      <c r="G44" s="5"/>
    </row>
    <row r="45" spans="1:7" ht="14.25" customHeight="1" x14ac:dyDescent="0.25">
      <c r="A45" s="5"/>
      <c r="B45" s="5"/>
      <c r="C45" s="6" t="s">
        <v>22</v>
      </c>
      <c r="D45" s="6" t="s">
        <v>23</v>
      </c>
      <c r="E45" s="6" t="s">
        <v>21</v>
      </c>
      <c r="F45" s="6">
        <v>1</v>
      </c>
      <c r="G45" s="5"/>
    </row>
    <row r="46" spans="1:7" ht="14.25" customHeight="1" x14ac:dyDescent="0.25">
      <c r="A46" s="5"/>
      <c r="B46" s="5"/>
      <c r="C46" s="5" t="s">
        <v>26</v>
      </c>
      <c r="D46" s="6" t="s">
        <v>27</v>
      </c>
      <c r="E46" s="6" t="s">
        <v>21</v>
      </c>
      <c r="F46" s="6">
        <v>1</v>
      </c>
      <c r="G46" s="5"/>
    </row>
    <row r="47" spans="1:7" ht="14.25" customHeight="1" x14ac:dyDescent="0.25">
      <c r="A47" s="5"/>
      <c r="B47" s="5"/>
      <c r="C47" s="6" t="s">
        <v>29</v>
      </c>
      <c r="D47" s="6" t="s">
        <v>16</v>
      </c>
      <c r="E47" s="6" t="s">
        <v>21</v>
      </c>
      <c r="F47" s="6">
        <v>1</v>
      </c>
      <c r="G47" s="5"/>
    </row>
    <row r="48" spans="1:7" ht="14.25" customHeight="1" x14ac:dyDescent="0.25">
      <c r="A48" s="5"/>
      <c r="B48" s="5"/>
      <c r="C48" s="5" t="s">
        <v>30</v>
      </c>
      <c r="D48" s="6" t="s">
        <v>13</v>
      </c>
      <c r="E48" s="6" t="s">
        <v>21</v>
      </c>
      <c r="F48" s="6">
        <v>3</v>
      </c>
      <c r="G48" s="5"/>
    </row>
    <row r="49" spans="1:7" ht="14.25" customHeight="1" x14ac:dyDescent="0.25">
      <c r="A49" s="5"/>
      <c r="B49" s="5"/>
      <c r="C49" s="5" t="s">
        <v>31</v>
      </c>
      <c r="D49" s="6" t="s">
        <v>13</v>
      </c>
      <c r="E49" s="6" t="s">
        <v>21</v>
      </c>
      <c r="F49" s="6">
        <v>3</v>
      </c>
      <c r="G49" s="5"/>
    </row>
    <row r="50" spans="1:7" ht="14.25" customHeight="1" x14ac:dyDescent="0.25">
      <c r="A50" s="6">
        <v>5</v>
      </c>
      <c r="B50" s="6" t="s">
        <v>61</v>
      </c>
      <c r="C50" s="6" t="s">
        <v>62</v>
      </c>
      <c r="D50" s="6" t="s">
        <v>23</v>
      </c>
      <c r="E50" s="6" t="s">
        <v>14</v>
      </c>
      <c r="F50" s="6">
        <v>1</v>
      </c>
      <c r="G50" s="5"/>
    </row>
    <row r="51" spans="1:7" ht="14.25" customHeight="1" x14ac:dyDescent="0.25">
      <c r="A51" s="6"/>
      <c r="B51" s="6"/>
      <c r="C51" s="6" t="s">
        <v>63</v>
      </c>
      <c r="D51" s="6" t="s">
        <v>64</v>
      </c>
      <c r="E51" s="6" t="s">
        <v>14</v>
      </c>
      <c r="F51" s="6">
        <v>1</v>
      </c>
      <c r="G51" s="5"/>
    </row>
    <row r="52" spans="1:7" ht="14.25" customHeight="1" x14ac:dyDescent="0.25">
      <c r="A52" s="6"/>
      <c r="B52" s="6"/>
      <c r="C52" s="6" t="s">
        <v>65</v>
      </c>
      <c r="D52" s="6" t="s">
        <v>66</v>
      </c>
      <c r="E52" s="6" t="s">
        <v>14</v>
      </c>
      <c r="F52" s="6">
        <v>3</v>
      </c>
      <c r="G52" s="5"/>
    </row>
    <row r="53" spans="1:7" ht="14.25" customHeight="1" x14ac:dyDescent="0.25">
      <c r="A53" s="6"/>
      <c r="B53" s="6"/>
      <c r="C53" s="6" t="s">
        <v>20</v>
      </c>
      <c r="D53" s="6" t="s">
        <v>16</v>
      </c>
      <c r="E53" s="6" t="s">
        <v>21</v>
      </c>
      <c r="F53" s="6">
        <v>1</v>
      </c>
      <c r="G53" s="5"/>
    </row>
    <row r="54" spans="1:7" ht="14.25" customHeight="1" x14ac:dyDescent="0.25">
      <c r="A54" s="6"/>
      <c r="B54" s="6"/>
      <c r="C54" s="6" t="s">
        <v>22</v>
      </c>
      <c r="D54" s="6" t="s">
        <v>23</v>
      </c>
      <c r="E54" s="6" t="s">
        <v>21</v>
      </c>
      <c r="F54" s="6">
        <v>1</v>
      </c>
      <c r="G54" s="5"/>
    </row>
    <row r="55" spans="1:7" ht="14.25" customHeight="1" x14ac:dyDescent="0.25">
      <c r="A55" s="6"/>
      <c r="B55" s="6"/>
      <c r="C55" s="5" t="s">
        <v>26</v>
      </c>
      <c r="D55" s="6" t="s">
        <v>27</v>
      </c>
      <c r="E55" s="6" t="s">
        <v>21</v>
      </c>
      <c r="F55" s="6">
        <v>1</v>
      </c>
      <c r="G55" s="5"/>
    </row>
    <row r="56" spans="1:7" ht="14.25" customHeight="1" x14ac:dyDescent="0.25">
      <c r="A56" s="6"/>
      <c r="B56" s="6"/>
      <c r="C56" s="6" t="s">
        <v>29</v>
      </c>
      <c r="D56" s="6" t="s">
        <v>16</v>
      </c>
      <c r="E56" s="6" t="s">
        <v>21</v>
      </c>
      <c r="F56" s="6">
        <v>1</v>
      </c>
      <c r="G56" s="5"/>
    </row>
    <row r="57" spans="1:7" ht="14.25" customHeight="1" x14ac:dyDescent="0.25">
      <c r="A57" s="6"/>
      <c r="B57" s="6"/>
      <c r="C57" s="5" t="s">
        <v>30</v>
      </c>
      <c r="D57" s="6" t="s">
        <v>13</v>
      </c>
      <c r="E57" s="6" t="s">
        <v>21</v>
      </c>
      <c r="F57" s="6">
        <v>3</v>
      </c>
      <c r="G57" s="5"/>
    </row>
    <row r="58" spans="1:7" ht="14.25" customHeight="1" x14ac:dyDescent="0.25">
      <c r="A58" s="6"/>
      <c r="B58" s="6"/>
      <c r="C58" s="5" t="s">
        <v>31</v>
      </c>
      <c r="D58" s="6" t="s">
        <v>13</v>
      </c>
      <c r="E58" s="6" t="s">
        <v>21</v>
      </c>
      <c r="F58" s="6">
        <v>3</v>
      </c>
      <c r="G58" s="5"/>
    </row>
    <row r="59" spans="1:7" ht="14.25" customHeight="1" x14ac:dyDescent="0.25">
      <c r="A59" s="6">
        <v>6</v>
      </c>
      <c r="B59" s="6" t="s">
        <v>67</v>
      </c>
      <c r="C59" s="6" t="s">
        <v>68</v>
      </c>
      <c r="D59" s="6" t="s">
        <v>44</v>
      </c>
      <c r="E59" s="6" t="s">
        <v>14</v>
      </c>
      <c r="F59" s="6">
        <v>2</v>
      </c>
      <c r="G59" s="5"/>
    </row>
    <row r="60" spans="1:7" ht="14.25" customHeight="1" x14ac:dyDescent="0.25">
      <c r="A60" s="6"/>
      <c r="B60" s="6"/>
      <c r="C60" s="6" t="s">
        <v>69</v>
      </c>
      <c r="D60" s="6" t="s">
        <v>47</v>
      </c>
      <c r="E60" s="6" t="s">
        <v>14</v>
      </c>
      <c r="F60" s="6">
        <v>1</v>
      </c>
      <c r="G60" s="5"/>
    </row>
    <row r="61" spans="1:7" ht="14.25" customHeight="1" x14ac:dyDescent="0.25">
      <c r="A61" s="6"/>
      <c r="B61" s="6"/>
      <c r="C61" s="6" t="s">
        <v>70</v>
      </c>
      <c r="D61" s="6" t="s">
        <v>71</v>
      </c>
      <c r="E61" s="6" t="s">
        <v>14</v>
      </c>
      <c r="F61" s="6">
        <v>2</v>
      </c>
      <c r="G61" s="5"/>
    </row>
    <row r="62" spans="1:7" ht="14.25" customHeight="1" x14ac:dyDescent="0.25">
      <c r="A62" s="6"/>
      <c r="B62" s="6"/>
      <c r="C62" s="6" t="s">
        <v>72</v>
      </c>
      <c r="D62" s="6" t="s">
        <v>73</v>
      </c>
      <c r="E62" s="6" t="s">
        <v>14</v>
      </c>
      <c r="F62" s="6">
        <v>2</v>
      </c>
      <c r="G62" s="5"/>
    </row>
    <row r="63" spans="1:7" ht="14.25" customHeight="1" x14ac:dyDescent="0.25">
      <c r="A63" s="6"/>
      <c r="B63" s="6"/>
      <c r="C63" s="6" t="s">
        <v>74</v>
      </c>
      <c r="D63" s="6" t="s">
        <v>27</v>
      </c>
      <c r="E63" s="6" t="s">
        <v>14</v>
      </c>
      <c r="F63" s="6">
        <v>1</v>
      </c>
      <c r="G63" s="5"/>
    </row>
    <row r="64" spans="1:7" ht="14.25" customHeight="1" x14ac:dyDescent="0.25">
      <c r="A64" s="6"/>
      <c r="B64" s="6"/>
      <c r="C64" s="7" t="s">
        <v>20</v>
      </c>
      <c r="D64" s="6" t="s">
        <v>16</v>
      </c>
      <c r="E64" s="6" t="s">
        <v>21</v>
      </c>
      <c r="F64" s="6">
        <v>1</v>
      </c>
      <c r="G64" s="5"/>
    </row>
    <row r="65" spans="1:7" ht="14.25" customHeight="1" x14ac:dyDescent="0.25">
      <c r="A65" s="6"/>
      <c r="B65" s="6"/>
      <c r="C65" s="8" t="s">
        <v>22</v>
      </c>
      <c r="D65" s="6" t="s">
        <v>23</v>
      </c>
      <c r="E65" s="6" t="s">
        <v>21</v>
      </c>
      <c r="F65" s="6">
        <v>1</v>
      </c>
      <c r="G65" s="5"/>
    </row>
    <row r="66" spans="1:7" ht="14.25" customHeight="1" x14ac:dyDescent="0.25">
      <c r="A66" s="6"/>
      <c r="B66" s="6"/>
      <c r="C66" s="9" t="s">
        <v>26</v>
      </c>
      <c r="D66" s="6" t="s">
        <v>27</v>
      </c>
      <c r="E66" s="6" t="s">
        <v>21</v>
      </c>
      <c r="F66" s="6">
        <v>1</v>
      </c>
      <c r="G66" s="5"/>
    </row>
    <row r="67" spans="1:7" ht="14.25" customHeight="1" x14ac:dyDescent="0.25">
      <c r="A67" s="6"/>
      <c r="B67" s="6"/>
      <c r="C67" s="8" t="s">
        <v>29</v>
      </c>
      <c r="D67" s="6" t="s">
        <v>16</v>
      </c>
      <c r="E67" s="6" t="s">
        <v>21</v>
      </c>
      <c r="F67" s="6">
        <v>1</v>
      </c>
      <c r="G67" s="5"/>
    </row>
    <row r="68" spans="1:7" ht="14.25" customHeight="1" x14ac:dyDescent="0.25">
      <c r="A68" s="6"/>
      <c r="B68" s="6"/>
      <c r="C68" s="9" t="s">
        <v>30</v>
      </c>
      <c r="D68" s="6" t="s">
        <v>13</v>
      </c>
      <c r="E68" s="6" t="s">
        <v>21</v>
      </c>
      <c r="F68" s="6">
        <v>3</v>
      </c>
      <c r="G68" s="5"/>
    </row>
    <row r="69" spans="1:7" ht="14.25" customHeight="1" x14ac:dyDescent="0.25">
      <c r="A69" s="6"/>
      <c r="B69" s="6"/>
      <c r="C69" s="10" t="s">
        <v>31</v>
      </c>
      <c r="D69" s="6" t="s">
        <v>13</v>
      </c>
      <c r="E69" s="6" t="s">
        <v>21</v>
      </c>
      <c r="F69" s="6">
        <v>3</v>
      </c>
      <c r="G69" s="5"/>
    </row>
    <row r="70" spans="1:7" ht="14.25" customHeight="1" x14ac:dyDescent="0.25">
      <c r="A70" s="6">
        <v>7</v>
      </c>
      <c r="B70" s="6" t="s">
        <v>75</v>
      </c>
      <c r="C70" s="8" t="s">
        <v>76</v>
      </c>
      <c r="D70" s="6" t="s">
        <v>27</v>
      </c>
      <c r="E70" s="6" t="s">
        <v>14</v>
      </c>
      <c r="F70" s="6">
        <v>1</v>
      </c>
      <c r="G70" s="5"/>
    </row>
    <row r="71" spans="1:7" ht="14.25" customHeight="1" x14ac:dyDescent="0.25">
      <c r="A71" s="6"/>
      <c r="B71" s="6"/>
      <c r="C71" s="8" t="s">
        <v>77</v>
      </c>
      <c r="D71" s="6" t="s">
        <v>49</v>
      </c>
      <c r="E71" s="6" t="s">
        <v>14</v>
      </c>
      <c r="F71" s="6">
        <v>2</v>
      </c>
      <c r="G71" s="5"/>
    </row>
    <row r="72" spans="1:7" ht="14.25" customHeight="1" x14ac:dyDescent="0.25">
      <c r="A72" s="6"/>
      <c r="B72" s="6"/>
      <c r="C72" s="8" t="s">
        <v>78</v>
      </c>
      <c r="D72" s="6" t="s">
        <v>13</v>
      </c>
      <c r="E72" s="6" t="s">
        <v>14</v>
      </c>
      <c r="F72" s="6">
        <v>3</v>
      </c>
      <c r="G72" s="5"/>
    </row>
    <row r="73" spans="1:7" ht="14.25" customHeight="1" x14ac:dyDescent="0.25">
      <c r="A73" s="6"/>
      <c r="B73" s="6"/>
      <c r="C73" s="7" t="s">
        <v>20</v>
      </c>
      <c r="D73" s="6" t="s">
        <v>16</v>
      </c>
      <c r="E73" s="6" t="s">
        <v>21</v>
      </c>
      <c r="F73" s="6">
        <v>1</v>
      </c>
      <c r="G73" s="5"/>
    </row>
    <row r="74" spans="1:7" ht="14.25" customHeight="1" x14ac:dyDescent="0.25">
      <c r="A74" s="6"/>
      <c r="B74" s="6"/>
      <c r="C74" s="8" t="s">
        <v>22</v>
      </c>
      <c r="D74" s="6" t="s">
        <v>23</v>
      </c>
      <c r="E74" s="6" t="s">
        <v>21</v>
      </c>
      <c r="F74" s="6">
        <v>1</v>
      </c>
      <c r="G74" s="5"/>
    </row>
    <row r="75" spans="1:7" ht="14.25" customHeight="1" x14ac:dyDescent="0.25">
      <c r="A75" s="6"/>
      <c r="B75" s="6"/>
      <c r="C75" s="9" t="s">
        <v>26</v>
      </c>
      <c r="D75" s="6" t="s">
        <v>27</v>
      </c>
      <c r="E75" s="6" t="s">
        <v>21</v>
      </c>
      <c r="F75" s="6">
        <v>1</v>
      </c>
      <c r="G75" s="5"/>
    </row>
    <row r="76" spans="1:7" ht="14.25" customHeight="1" x14ac:dyDescent="0.25">
      <c r="A76" s="6"/>
      <c r="B76" s="6"/>
      <c r="C76" s="8" t="s">
        <v>29</v>
      </c>
      <c r="D76" s="6" t="s">
        <v>16</v>
      </c>
      <c r="E76" s="6" t="s">
        <v>21</v>
      </c>
      <c r="F76" s="6">
        <v>1</v>
      </c>
      <c r="G76" s="5"/>
    </row>
    <row r="77" spans="1:7" ht="14.25" customHeight="1" x14ac:dyDescent="0.25">
      <c r="A77" s="6"/>
      <c r="B77" s="6"/>
      <c r="C77" s="9" t="s">
        <v>30</v>
      </c>
      <c r="D77" s="6" t="s">
        <v>13</v>
      </c>
      <c r="E77" s="6" t="s">
        <v>21</v>
      </c>
      <c r="F77" s="6">
        <v>3</v>
      </c>
      <c r="G77" s="5"/>
    </row>
    <row r="78" spans="1:7" ht="14.25" customHeight="1" x14ac:dyDescent="0.25">
      <c r="A78" s="6"/>
      <c r="B78" s="6"/>
      <c r="C78" s="10" t="s">
        <v>31</v>
      </c>
      <c r="D78" s="6" t="s">
        <v>13</v>
      </c>
      <c r="E78" s="6" t="s">
        <v>21</v>
      </c>
      <c r="F78" s="6">
        <v>3</v>
      </c>
      <c r="G78" s="5"/>
    </row>
    <row r="79" spans="1:7" ht="14.25" customHeight="1" x14ac:dyDescent="0.25">
      <c r="A79" s="6">
        <v>8</v>
      </c>
      <c r="B79" s="6" t="s">
        <v>79</v>
      </c>
      <c r="C79" s="8" t="s">
        <v>80</v>
      </c>
      <c r="D79" s="6" t="s">
        <v>81</v>
      </c>
      <c r="E79" s="6" t="s">
        <v>14</v>
      </c>
      <c r="F79" s="6">
        <v>3</v>
      </c>
      <c r="G79" s="5"/>
    </row>
    <row r="80" spans="1:7" ht="14.25" customHeight="1" x14ac:dyDescent="0.25">
      <c r="A80" s="6"/>
      <c r="B80" s="6"/>
      <c r="C80" s="8" t="s">
        <v>82</v>
      </c>
      <c r="D80" s="6" t="s">
        <v>13</v>
      </c>
      <c r="E80" s="6" t="s">
        <v>14</v>
      </c>
      <c r="F80" s="6">
        <v>3</v>
      </c>
      <c r="G80" s="5"/>
    </row>
    <row r="81" spans="1:7" ht="14.25" customHeight="1" x14ac:dyDescent="0.25">
      <c r="A81" s="6"/>
      <c r="B81" s="6"/>
      <c r="C81" s="8" t="s">
        <v>83</v>
      </c>
      <c r="D81" s="6" t="s">
        <v>13</v>
      </c>
      <c r="E81" s="6" t="s">
        <v>14</v>
      </c>
      <c r="F81" s="6">
        <v>3</v>
      </c>
      <c r="G81" s="5"/>
    </row>
    <row r="82" spans="1:7" ht="14.25" customHeight="1" x14ac:dyDescent="0.25">
      <c r="A82" s="6"/>
      <c r="B82" s="6"/>
      <c r="C82" s="8" t="s">
        <v>84</v>
      </c>
      <c r="D82" s="6" t="s">
        <v>13</v>
      </c>
      <c r="E82" s="6" t="s">
        <v>14</v>
      </c>
      <c r="F82" s="6">
        <v>3</v>
      </c>
      <c r="G82" s="5"/>
    </row>
    <row r="83" spans="1:7" ht="14.25" customHeight="1" x14ac:dyDescent="0.25">
      <c r="A83" s="6"/>
      <c r="B83" s="6"/>
      <c r="C83" s="7" t="s">
        <v>20</v>
      </c>
      <c r="D83" s="6" t="s">
        <v>16</v>
      </c>
      <c r="E83" s="6" t="s">
        <v>21</v>
      </c>
      <c r="F83" s="6">
        <v>1</v>
      </c>
      <c r="G83" s="5"/>
    </row>
    <row r="84" spans="1:7" ht="14.25" customHeight="1" x14ac:dyDescent="0.25">
      <c r="A84" s="6"/>
      <c r="B84" s="6"/>
      <c r="C84" s="8" t="s">
        <v>22</v>
      </c>
      <c r="D84" s="6" t="s">
        <v>23</v>
      </c>
      <c r="E84" s="6" t="s">
        <v>21</v>
      </c>
      <c r="F84" s="6">
        <v>1</v>
      </c>
      <c r="G84" s="5"/>
    </row>
    <row r="85" spans="1:7" ht="14.25" customHeight="1" x14ac:dyDescent="0.25">
      <c r="A85" s="6"/>
      <c r="B85" s="6"/>
      <c r="C85" s="9" t="s">
        <v>26</v>
      </c>
      <c r="D85" s="6" t="s">
        <v>27</v>
      </c>
      <c r="E85" s="6" t="s">
        <v>21</v>
      </c>
      <c r="F85" s="6">
        <v>1</v>
      </c>
      <c r="G85" s="5"/>
    </row>
    <row r="86" spans="1:7" ht="14.25" customHeight="1" x14ac:dyDescent="0.25">
      <c r="A86" s="6"/>
      <c r="B86" s="6"/>
      <c r="C86" s="8" t="s">
        <v>29</v>
      </c>
      <c r="D86" s="6" t="s">
        <v>16</v>
      </c>
      <c r="E86" s="6" t="s">
        <v>21</v>
      </c>
      <c r="F86" s="6">
        <v>1</v>
      </c>
      <c r="G86" s="5"/>
    </row>
    <row r="87" spans="1:7" ht="14.25" customHeight="1" x14ac:dyDescent="0.25">
      <c r="A87" s="6"/>
      <c r="B87" s="6"/>
      <c r="C87" s="9" t="s">
        <v>30</v>
      </c>
      <c r="D87" s="6" t="s">
        <v>13</v>
      </c>
      <c r="E87" s="6" t="s">
        <v>21</v>
      </c>
      <c r="F87" s="6">
        <v>3</v>
      </c>
      <c r="G87" s="5"/>
    </row>
    <row r="88" spans="1:7" ht="14.25" customHeight="1" x14ac:dyDescent="0.25">
      <c r="A88" s="6"/>
      <c r="B88" s="6"/>
      <c r="C88" s="10" t="s">
        <v>31</v>
      </c>
      <c r="D88" s="6" t="s">
        <v>13</v>
      </c>
      <c r="E88" s="6" t="s">
        <v>21</v>
      </c>
      <c r="F88" s="6">
        <v>3</v>
      </c>
      <c r="G88" s="5"/>
    </row>
    <row r="89" spans="1:7" ht="14.25" customHeight="1" x14ac:dyDescent="0.25">
      <c r="A89" s="6" t="s">
        <v>85</v>
      </c>
      <c r="B89" s="6"/>
      <c r="C89" s="11">
        <f>COUNTA(C3:C88)</f>
        <v>86</v>
      </c>
      <c r="D89" s="6"/>
      <c r="E89" s="6"/>
      <c r="F89" s="13">
        <f>SUM(F3:F88)</f>
        <v>152</v>
      </c>
      <c r="G89" s="14">
        <f>SUM(G2:G88)</f>
        <v>120</v>
      </c>
    </row>
    <row r="90" spans="1:7" ht="14.25" customHeight="1" x14ac:dyDescent="0.25"/>
    <row r="91" spans="1:7" ht="14.25" customHeight="1" x14ac:dyDescent="0.25"/>
    <row r="92" spans="1:7" ht="14.25" customHeight="1" x14ac:dyDescent="0.25"/>
    <row r="93" spans="1:7" ht="14.25" customHeight="1" x14ac:dyDescent="0.25"/>
    <row r="94" spans="1:7" ht="14.25" customHeight="1" x14ac:dyDescent="0.25"/>
    <row r="95" spans="1:7" ht="14.25" customHeight="1" x14ac:dyDescent="0.25"/>
    <row r="96" spans="1:7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dataValidations count="2">
    <dataValidation type="list" allowBlank="1" showErrorMessage="1" sqref="E2:E88" xr:uid="{00000000-0002-0000-0100-000000000000}">
      <formula1>"Unico,Común"</formula1>
    </dataValidation>
    <dataValidation type="list" allowBlank="1" showErrorMessage="1" sqref="F2:F88" xr:uid="{00000000-0002-0000-0100-000001000000}">
      <formula1>"3,1,2"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4"/>
  <sheetViews>
    <sheetView workbookViewId="0"/>
  </sheetViews>
  <sheetFormatPr baseColWidth="10" defaultColWidth="12.5703125" defaultRowHeight="15" customHeight="1" x14ac:dyDescent="0.25"/>
  <cols>
    <col min="1" max="1" width="7" customWidth="1"/>
    <col min="2" max="2" width="23.140625" customWidth="1"/>
    <col min="3" max="3" width="38.42578125" customWidth="1"/>
    <col min="4" max="4" width="35" customWidth="1"/>
    <col min="5" max="5" width="10.5703125" customWidth="1"/>
    <col min="6" max="6" width="18.42578125" customWidth="1"/>
    <col min="7" max="7" width="18.7109375" customWidth="1"/>
    <col min="8" max="26" width="10.5703125" customWidth="1"/>
  </cols>
  <sheetData>
    <row r="1" spans="1:7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86</v>
      </c>
      <c r="G1" s="15" t="s">
        <v>87</v>
      </c>
    </row>
    <row r="2" spans="1:7" ht="14.25" customHeight="1" x14ac:dyDescent="0.25">
      <c r="A2" s="5">
        <v>1</v>
      </c>
      <c r="B2" s="5" t="s">
        <v>11</v>
      </c>
      <c r="C2" s="5" t="s">
        <v>12</v>
      </c>
      <c r="D2" s="6" t="s">
        <v>13</v>
      </c>
      <c r="E2" s="5" t="s">
        <v>14</v>
      </c>
      <c r="F2" s="5"/>
      <c r="G2" s="5"/>
    </row>
    <row r="3" spans="1:7" ht="14.25" customHeight="1" x14ac:dyDescent="0.25">
      <c r="A3" s="5"/>
      <c r="B3" s="5"/>
      <c r="C3" s="5" t="s">
        <v>15</v>
      </c>
      <c r="D3" s="6" t="s">
        <v>16</v>
      </c>
      <c r="E3" s="5"/>
      <c r="F3" s="5"/>
      <c r="G3" s="5"/>
    </row>
    <row r="4" spans="1:7" ht="14.25" customHeight="1" x14ac:dyDescent="0.25">
      <c r="A4" s="5"/>
      <c r="B4" s="5"/>
      <c r="C4" s="5" t="s">
        <v>17</v>
      </c>
      <c r="D4" s="6" t="s">
        <v>13</v>
      </c>
      <c r="E4" s="5"/>
      <c r="F4" s="5"/>
      <c r="G4" s="5"/>
    </row>
    <row r="5" spans="1:7" ht="14.25" customHeight="1" x14ac:dyDescent="0.25">
      <c r="A5" s="5"/>
      <c r="B5" s="5"/>
      <c r="C5" s="5" t="s">
        <v>18</v>
      </c>
      <c r="D5" s="6" t="s">
        <v>13</v>
      </c>
      <c r="E5" s="5"/>
      <c r="F5" s="5"/>
      <c r="G5" s="5"/>
    </row>
    <row r="6" spans="1:7" ht="14.25" customHeight="1" x14ac:dyDescent="0.25">
      <c r="A6" s="5"/>
      <c r="B6" s="5"/>
      <c r="C6" s="5" t="s">
        <v>19</v>
      </c>
      <c r="D6" s="6" t="s">
        <v>16</v>
      </c>
      <c r="E6" s="5"/>
      <c r="F6" s="5"/>
      <c r="G6" s="5"/>
    </row>
    <row r="7" spans="1:7" ht="14.25" customHeight="1" x14ac:dyDescent="0.25">
      <c r="A7" s="5"/>
      <c r="B7" s="5"/>
      <c r="C7" s="5" t="s">
        <v>20</v>
      </c>
      <c r="D7" s="6" t="s">
        <v>16</v>
      </c>
      <c r="E7" s="5"/>
      <c r="F7" s="5"/>
      <c r="G7" s="5"/>
    </row>
    <row r="8" spans="1:7" ht="14.25" customHeight="1" x14ac:dyDescent="0.25">
      <c r="A8" s="5"/>
      <c r="B8" s="5"/>
      <c r="C8" s="5" t="s">
        <v>22</v>
      </c>
      <c r="D8" s="6" t="s">
        <v>23</v>
      </c>
      <c r="E8" s="5"/>
      <c r="F8" s="5"/>
      <c r="G8" s="5"/>
    </row>
    <row r="9" spans="1:7" ht="14.25" customHeight="1" x14ac:dyDescent="0.25">
      <c r="A9" s="5"/>
      <c r="B9" s="5"/>
      <c r="C9" s="5" t="s">
        <v>24</v>
      </c>
      <c r="D9" s="6" t="s">
        <v>25</v>
      </c>
      <c r="E9" s="5"/>
      <c r="F9" s="5"/>
      <c r="G9" s="5"/>
    </row>
    <row r="10" spans="1:7" ht="14.25" customHeight="1" x14ac:dyDescent="0.25">
      <c r="A10" s="5"/>
      <c r="B10" s="5"/>
      <c r="C10" s="5" t="s">
        <v>26</v>
      </c>
      <c r="D10" s="6" t="s">
        <v>27</v>
      </c>
      <c r="E10" s="5"/>
      <c r="F10" s="5"/>
      <c r="G10" s="5"/>
    </row>
    <row r="11" spans="1:7" ht="14.25" customHeight="1" x14ac:dyDescent="0.25">
      <c r="A11" s="5"/>
      <c r="B11" s="5"/>
      <c r="C11" s="5" t="s">
        <v>28</v>
      </c>
      <c r="D11" s="6" t="s">
        <v>27</v>
      </c>
      <c r="E11" s="5"/>
      <c r="F11" s="5"/>
      <c r="G11" s="5"/>
    </row>
    <row r="12" spans="1:7" ht="14.25" customHeight="1" x14ac:dyDescent="0.25">
      <c r="A12" s="5"/>
      <c r="B12" s="5"/>
      <c r="C12" s="6" t="s">
        <v>29</v>
      </c>
      <c r="D12" s="6" t="s">
        <v>16</v>
      </c>
      <c r="E12" s="5"/>
      <c r="F12" s="5"/>
      <c r="G12" s="5"/>
    </row>
    <row r="13" spans="1:7" ht="14.25" customHeight="1" x14ac:dyDescent="0.25">
      <c r="A13" s="5"/>
      <c r="B13" s="5"/>
      <c r="C13" s="5" t="s">
        <v>30</v>
      </c>
      <c r="D13" s="6" t="s">
        <v>13</v>
      </c>
      <c r="E13" s="5"/>
      <c r="F13" s="5"/>
      <c r="G13" s="5"/>
    </row>
    <row r="14" spans="1:7" ht="14.25" customHeight="1" x14ac:dyDescent="0.25">
      <c r="A14" s="5"/>
      <c r="B14" s="5"/>
      <c r="C14" s="5" t="s">
        <v>31</v>
      </c>
      <c r="D14" s="6" t="s">
        <v>13</v>
      </c>
      <c r="E14" s="5"/>
      <c r="F14" s="5"/>
      <c r="G14" s="5"/>
    </row>
    <row r="15" spans="1:7" ht="14.25" customHeight="1" x14ac:dyDescent="0.25">
      <c r="A15" s="5">
        <v>2</v>
      </c>
      <c r="B15" s="5" t="s">
        <v>32</v>
      </c>
      <c r="C15" s="5" t="s">
        <v>33</v>
      </c>
      <c r="D15" s="6" t="s">
        <v>16</v>
      </c>
      <c r="E15" s="5"/>
      <c r="F15" s="5"/>
      <c r="G15" s="5"/>
    </row>
    <row r="16" spans="1:7" ht="14.25" customHeight="1" x14ac:dyDescent="0.25">
      <c r="A16" s="5"/>
      <c r="B16" s="5"/>
      <c r="C16" s="5" t="s">
        <v>34</v>
      </c>
      <c r="D16" s="6" t="s">
        <v>35</v>
      </c>
      <c r="E16" s="5"/>
      <c r="F16" s="5"/>
      <c r="G16" s="5"/>
    </row>
    <row r="17" spans="1:7" ht="14.25" customHeight="1" x14ac:dyDescent="0.25">
      <c r="A17" s="5"/>
      <c r="B17" s="5"/>
      <c r="C17" s="5" t="s">
        <v>36</v>
      </c>
      <c r="D17" s="6" t="s">
        <v>37</v>
      </c>
      <c r="E17" s="5"/>
      <c r="F17" s="5"/>
      <c r="G17" s="5"/>
    </row>
    <row r="18" spans="1:7" ht="14.25" customHeight="1" x14ac:dyDescent="0.25">
      <c r="A18" s="5"/>
      <c r="B18" s="5"/>
      <c r="C18" s="5" t="s">
        <v>38</v>
      </c>
      <c r="D18" s="6" t="s">
        <v>39</v>
      </c>
      <c r="E18" s="5"/>
      <c r="F18" s="5"/>
      <c r="G18" s="5"/>
    </row>
    <row r="19" spans="1:7" ht="14.25" customHeight="1" x14ac:dyDescent="0.25">
      <c r="A19" s="5"/>
      <c r="B19" s="5"/>
      <c r="C19" s="5" t="s">
        <v>40</v>
      </c>
      <c r="D19" s="6" t="s">
        <v>39</v>
      </c>
      <c r="E19" s="5"/>
      <c r="F19" s="5"/>
      <c r="G19" s="5"/>
    </row>
    <row r="20" spans="1:7" ht="14.25" customHeight="1" x14ac:dyDescent="0.25">
      <c r="A20" s="5"/>
      <c r="B20" s="5"/>
      <c r="C20" s="5" t="s">
        <v>20</v>
      </c>
      <c r="D20" s="6" t="s">
        <v>16</v>
      </c>
      <c r="E20" s="5"/>
      <c r="F20" s="5"/>
      <c r="G20" s="5"/>
    </row>
    <row r="21" spans="1:7" ht="14.25" customHeight="1" x14ac:dyDescent="0.25">
      <c r="A21" s="5"/>
      <c r="B21" s="5"/>
      <c r="C21" s="5" t="s">
        <v>22</v>
      </c>
      <c r="D21" s="6" t="s">
        <v>23</v>
      </c>
      <c r="E21" s="5"/>
      <c r="F21" s="5"/>
      <c r="G21" s="5"/>
    </row>
    <row r="22" spans="1:7" ht="14.25" customHeight="1" x14ac:dyDescent="0.25">
      <c r="A22" s="5"/>
      <c r="B22" s="5"/>
      <c r="C22" s="5" t="s">
        <v>30</v>
      </c>
      <c r="D22" s="6" t="s">
        <v>16</v>
      </c>
      <c r="E22" s="5"/>
      <c r="F22" s="5"/>
      <c r="G22" s="5"/>
    </row>
    <row r="23" spans="1:7" ht="14.25" customHeight="1" x14ac:dyDescent="0.25">
      <c r="A23" s="5"/>
      <c r="B23" s="5"/>
      <c r="C23" s="6" t="s">
        <v>29</v>
      </c>
      <c r="D23" s="5"/>
      <c r="E23" s="5"/>
      <c r="F23" s="5"/>
      <c r="G23" s="5"/>
    </row>
    <row r="24" spans="1:7" ht="14.25" customHeight="1" x14ac:dyDescent="0.25">
      <c r="A24" s="5"/>
      <c r="B24" s="5"/>
      <c r="C24" s="5" t="s">
        <v>26</v>
      </c>
      <c r="D24" s="5"/>
      <c r="E24" s="5"/>
      <c r="F24" s="5"/>
      <c r="G24" s="5"/>
    </row>
    <row r="25" spans="1:7" ht="14.25" customHeight="1" x14ac:dyDescent="0.25">
      <c r="A25" s="5"/>
      <c r="B25" s="5"/>
      <c r="C25" s="5" t="s">
        <v>31</v>
      </c>
      <c r="D25" s="5"/>
      <c r="E25" s="5"/>
      <c r="F25" s="5"/>
      <c r="G25" s="5"/>
    </row>
    <row r="26" spans="1:7" ht="14.25" customHeight="1" x14ac:dyDescent="0.25">
      <c r="A26" s="5">
        <v>3</v>
      </c>
      <c r="B26" s="5" t="s">
        <v>41</v>
      </c>
      <c r="C26" s="5" t="s">
        <v>42</v>
      </c>
      <c r="D26" s="5"/>
      <c r="E26" s="5"/>
      <c r="F26" s="5"/>
      <c r="G26" s="5"/>
    </row>
    <row r="27" spans="1:7" ht="14.25" customHeight="1" x14ac:dyDescent="0.25">
      <c r="A27" s="5"/>
      <c r="B27" s="5"/>
      <c r="C27" s="5" t="s">
        <v>43</v>
      </c>
      <c r="D27" s="5"/>
      <c r="E27" s="5"/>
      <c r="F27" s="5"/>
      <c r="G27" s="5"/>
    </row>
    <row r="28" spans="1:7" ht="14.25" customHeight="1" x14ac:dyDescent="0.25">
      <c r="A28" s="5"/>
      <c r="B28" s="5"/>
      <c r="C28" s="5" t="s">
        <v>45</v>
      </c>
      <c r="D28" s="5"/>
      <c r="E28" s="5"/>
      <c r="F28" s="5"/>
      <c r="G28" s="5"/>
    </row>
    <row r="29" spans="1:7" ht="14.25" customHeight="1" x14ac:dyDescent="0.25">
      <c r="A29" s="5"/>
      <c r="B29" s="5"/>
      <c r="C29" s="5" t="s">
        <v>46</v>
      </c>
      <c r="D29" s="5"/>
      <c r="E29" s="5"/>
      <c r="F29" s="5"/>
      <c r="G29" s="5"/>
    </row>
    <row r="30" spans="1:7" ht="14.25" customHeight="1" x14ac:dyDescent="0.25">
      <c r="A30" s="5"/>
      <c r="B30" s="5"/>
      <c r="C30" s="5" t="s">
        <v>48</v>
      </c>
      <c r="D30" s="5"/>
      <c r="E30" s="5"/>
      <c r="F30" s="5"/>
      <c r="G30" s="5"/>
    </row>
    <row r="31" spans="1:7" ht="14.25" customHeight="1" x14ac:dyDescent="0.25">
      <c r="A31" s="5"/>
      <c r="B31" s="5"/>
      <c r="C31" s="5" t="s">
        <v>50</v>
      </c>
      <c r="D31" s="5"/>
      <c r="E31" s="5"/>
      <c r="F31" s="5"/>
      <c r="G31" s="5"/>
    </row>
    <row r="32" spans="1:7" ht="14.25" customHeight="1" x14ac:dyDescent="0.25">
      <c r="A32" s="5"/>
      <c r="B32" s="5"/>
      <c r="C32" s="5" t="s">
        <v>20</v>
      </c>
      <c r="D32" s="5"/>
      <c r="E32" s="5"/>
      <c r="F32" s="5"/>
      <c r="G32" s="5"/>
    </row>
    <row r="33" spans="1:7" ht="14.25" customHeight="1" x14ac:dyDescent="0.25">
      <c r="A33" s="5"/>
      <c r="B33" s="5"/>
      <c r="C33" s="5" t="s">
        <v>22</v>
      </c>
      <c r="D33" s="5"/>
      <c r="E33" s="5"/>
      <c r="F33" s="5"/>
      <c r="G33" s="5"/>
    </row>
    <row r="34" spans="1:7" ht="14.25" customHeight="1" x14ac:dyDescent="0.25">
      <c r="A34" s="5"/>
      <c r="B34" s="5"/>
      <c r="C34" s="6" t="s">
        <v>29</v>
      </c>
      <c r="D34" s="5"/>
      <c r="E34" s="5"/>
      <c r="F34" s="5"/>
      <c r="G34" s="5"/>
    </row>
    <row r="35" spans="1:7" ht="14.25" customHeight="1" x14ac:dyDescent="0.25">
      <c r="A35" s="5"/>
      <c r="B35" s="5"/>
      <c r="C35" s="6" t="s">
        <v>26</v>
      </c>
      <c r="D35" s="5"/>
      <c r="E35" s="5"/>
      <c r="F35" s="5"/>
      <c r="G35" s="5"/>
    </row>
    <row r="36" spans="1:7" ht="14.25" customHeight="1" x14ac:dyDescent="0.25">
      <c r="A36" s="5"/>
      <c r="B36" s="5"/>
      <c r="C36" s="6" t="s">
        <v>30</v>
      </c>
      <c r="D36" s="5"/>
      <c r="E36" s="5"/>
      <c r="F36" s="5"/>
      <c r="G36" s="5"/>
    </row>
    <row r="37" spans="1:7" ht="14.25" customHeight="1" x14ac:dyDescent="0.25">
      <c r="A37" s="5"/>
      <c r="B37" s="5"/>
      <c r="C37" s="6" t="s">
        <v>31</v>
      </c>
      <c r="D37" s="5"/>
      <c r="E37" s="5"/>
      <c r="F37" s="5"/>
      <c r="G37" s="5"/>
    </row>
    <row r="38" spans="1:7" ht="14.25" customHeight="1" x14ac:dyDescent="0.25">
      <c r="A38" s="5">
        <v>4</v>
      </c>
      <c r="B38" s="5" t="s">
        <v>51</v>
      </c>
      <c r="C38" s="6" t="s">
        <v>52</v>
      </c>
      <c r="D38" s="5"/>
      <c r="E38" s="5"/>
      <c r="F38" s="5"/>
      <c r="G38" s="5"/>
    </row>
    <row r="39" spans="1:7" ht="14.25" customHeight="1" x14ac:dyDescent="0.25">
      <c r="A39" s="5"/>
      <c r="B39" s="5"/>
      <c r="C39" s="6" t="s">
        <v>54</v>
      </c>
      <c r="D39" s="5"/>
      <c r="E39" s="5"/>
      <c r="F39" s="5"/>
      <c r="G39" s="5"/>
    </row>
    <row r="40" spans="1:7" ht="14.25" customHeight="1" x14ac:dyDescent="0.25">
      <c r="A40" s="5"/>
      <c r="B40" s="5"/>
      <c r="C40" s="6" t="s">
        <v>56</v>
      </c>
      <c r="D40" s="5"/>
      <c r="E40" s="5"/>
      <c r="F40" s="5"/>
      <c r="G40" s="5"/>
    </row>
    <row r="41" spans="1:7" ht="14.25" customHeight="1" x14ac:dyDescent="0.25">
      <c r="A41" s="5"/>
      <c r="B41" s="5"/>
      <c r="C41" s="6" t="s">
        <v>57</v>
      </c>
      <c r="D41" s="5"/>
      <c r="E41" s="5"/>
      <c r="F41" s="5"/>
      <c r="G41" s="5"/>
    </row>
    <row r="42" spans="1:7" ht="14.25" customHeight="1" x14ac:dyDescent="0.25">
      <c r="A42" s="5"/>
      <c r="B42" s="5"/>
      <c r="C42" s="6" t="s">
        <v>59</v>
      </c>
      <c r="D42" s="5"/>
      <c r="E42" s="5"/>
      <c r="F42" s="5"/>
      <c r="G42" s="5"/>
    </row>
    <row r="43" spans="1:7" ht="14.25" customHeight="1" x14ac:dyDescent="0.25">
      <c r="A43" s="5"/>
      <c r="B43" s="5"/>
      <c r="C43" s="6" t="s">
        <v>60</v>
      </c>
      <c r="D43" s="5"/>
      <c r="E43" s="5"/>
      <c r="F43" s="5"/>
      <c r="G43" s="5"/>
    </row>
    <row r="44" spans="1:7" ht="14.25" customHeight="1" x14ac:dyDescent="0.25">
      <c r="A44" s="5"/>
      <c r="B44" s="5"/>
      <c r="C44" s="6" t="s">
        <v>20</v>
      </c>
      <c r="D44" s="5"/>
      <c r="E44" s="5"/>
      <c r="F44" s="5"/>
      <c r="G44" s="5"/>
    </row>
    <row r="45" spans="1:7" ht="14.25" customHeight="1" x14ac:dyDescent="0.25">
      <c r="A45" s="5"/>
      <c r="B45" s="5"/>
      <c r="C45" s="6" t="s">
        <v>22</v>
      </c>
      <c r="D45" s="5"/>
      <c r="E45" s="5"/>
      <c r="F45" s="5"/>
      <c r="G45" s="5"/>
    </row>
    <row r="46" spans="1:7" ht="14.25" customHeight="1" x14ac:dyDescent="0.25">
      <c r="A46" s="5"/>
      <c r="B46" s="5"/>
      <c r="C46" s="5" t="s">
        <v>26</v>
      </c>
      <c r="D46" s="5"/>
      <c r="E46" s="5"/>
      <c r="F46" s="5"/>
      <c r="G46" s="5"/>
    </row>
    <row r="47" spans="1:7" ht="14.25" customHeight="1" x14ac:dyDescent="0.25">
      <c r="A47" s="5"/>
      <c r="B47" s="5"/>
      <c r="C47" s="6" t="s">
        <v>29</v>
      </c>
      <c r="D47" s="5"/>
      <c r="E47" s="5"/>
      <c r="F47" s="5"/>
      <c r="G47" s="5"/>
    </row>
    <row r="48" spans="1:7" ht="14.25" customHeight="1" x14ac:dyDescent="0.25">
      <c r="A48" s="5"/>
      <c r="B48" s="5"/>
      <c r="C48" s="5" t="s">
        <v>30</v>
      </c>
      <c r="D48" s="5"/>
      <c r="E48" s="5"/>
      <c r="F48" s="5"/>
      <c r="G48" s="5"/>
    </row>
    <row r="49" spans="1:7" ht="14.25" customHeight="1" x14ac:dyDescent="0.25">
      <c r="A49" s="5"/>
      <c r="B49" s="5"/>
      <c r="C49" s="5" t="s">
        <v>31</v>
      </c>
      <c r="D49" s="5"/>
      <c r="E49" s="5"/>
      <c r="F49" s="5"/>
      <c r="G49" s="5"/>
    </row>
    <row r="50" spans="1:7" ht="14.25" customHeight="1" x14ac:dyDescent="0.25"/>
    <row r="51" spans="1:7" ht="14.25" customHeight="1" x14ac:dyDescent="0.25"/>
    <row r="52" spans="1:7" ht="14.25" customHeight="1" x14ac:dyDescent="0.25"/>
    <row r="53" spans="1:7" ht="14.25" customHeight="1" x14ac:dyDescent="0.25"/>
    <row r="54" spans="1:7" ht="14.25" customHeight="1" x14ac:dyDescent="0.25"/>
    <row r="55" spans="1:7" ht="14.25" customHeight="1" x14ac:dyDescent="0.25"/>
    <row r="56" spans="1:7" ht="14.25" customHeight="1" x14ac:dyDescent="0.25"/>
    <row r="57" spans="1:7" ht="14.25" customHeight="1" x14ac:dyDescent="0.25"/>
    <row r="58" spans="1:7" ht="14.25" customHeight="1" x14ac:dyDescent="0.25"/>
    <row r="59" spans="1:7" ht="14.25" customHeight="1" x14ac:dyDescent="0.25"/>
    <row r="60" spans="1:7" ht="14.25" customHeight="1" x14ac:dyDescent="0.25"/>
    <row r="61" spans="1:7" ht="14.25" customHeight="1" x14ac:dyDescent="0.25"/>
    <row r="62" spans="1:7" ht="14.25" customHeight="1" x14ac:dyDescent="0.25"/>
    <row r="63" spans="1:7" ht="14.25" customHeight="1" x14ac:dyDescent="0.25"/>
    <row r="64" spans="1:7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Copia de Hoja1 1</vt:lpstr>
      <vt:lpstr>Copia de 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ANDRES HERRADA MONTENEGRO</cp:lastModifiedBy>
  <dcterms:created xsi:type="dcterms:W3CDTF">2025-09-09T04:47:14Z</dcterms:created>
  <dcterms:modified xsi:type="dcterms:W3CDTF">2025-09-09T04:47:14Z</dcterms:modified>
</cp:coreProperties>
</file>