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g\Documents\Octavo Semestre\Ingeniería de Software\"/>
    </mc:Choice>
  </mc:AlternateContent>
  <xr:revisionPtr revIDLastSave="0" documentId="8_{A210BD4C-4064-4F78-80DA-F2DA55C405F1}" xr6:coauthVersionLast="47" xr6:coauthVersionMax="47" xr10:uidLastSave="{00000000-0000-0000-0000-000000000000}"/>
  <bookViews>
    <workbookView xWindow="-108" yWindow="-108" windowWidth="23256" windowHeight="13176" firstSheet="4" activeTab="7" xr2:uid="{53573853-5257-4989-97A7-9F25E0D9C42C}"/>
  </bookViews>
  <sheets>
    <sheet name="Autenticación y Usuarios" sheetId="1" r:id="rId1"/>
    <sheet name="Proyectos y KPIs" sheetId="2" r:id="rId2"/>
    <sheet name="Registro de Datos" sheetId="3" r:id="rId3"/>
    <sheet name="Dashboard y Visualización" sheetId="4" r:id="rId4"/>
    <sheet name="Reportes y Exportación" sheetId="5" r:id="rId5"/>
    <sheet name="Alertas y Notificaciones" sheetId="6" r:id="rId6"/>
    <sheet name="Configuración del Sistema" sheetId="7" r:id="rId7"/>
    <sheet name="Auditoría y Trazabilida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8" l="1"/>
  <c r="J16" i="7"/>
  <c r="J16" i="6"/>
  <c r="J16" i="5"/>
  <c r="J16" i="4"/>
  <c r="J16" i="3"/>
  <c r="J16" i="2"/>
  <c r="M2" i="1"/>
  <c r="J16" i="1"/>
</calcChain>
</file>

<file path=xl/sharedStrings.xml><?xml version="1.0" encoding="utf-8"?>
<sst xmlns="http://schemas.openxmlformats.org/spreadsheetml/2006/main" count="383" uniqueCount="115">
  <si>
    <t>Parámetro</t>
  </si>
  <si>
    <t>Valor Optimista</t>
  </si>
  <si>
    <t>Valor Más Probable</t>
  </si>
  <si>
    <t>Valor Pesimista</t>
  </si>
  <si>
    <t>Cuenta Estimada</t>
  </si>
  <si>
    <t>Peso</t>
  </si>
  <si>
    <t>Puntos de Función</t>
  </si>
  <si>
    <t>Número de entradas</t>
  </si>
  <si>
    <t>Número de salidas</t>
  </si>
  <si>
    <t>Número de peticiones</t>
  </si>
  <si>
    <t>Número de archivos</t>
  </si>
  <si>
    <t>Número de interfaces externas</t>
  </si>
  <si>
    <t>Total Puntos de Función</t>
  </si>
  <si>
    <t>Característica</t>
  </si>
  <si>
    <t>Valor (0-5)</t>
  </si>
  <si>
    <t>¿Requiere respaldo y recuperación?</t>
  </si>
  <si>
    <t>¿Requiere comunicaciones de datos?</t>
  </si>
  <si>
    <t>¿Existe procesamiento distribuido?</t>
  </si>
  <si>
    <t>¿Es crítico el rendimiento?</t>
  </si>
  <si>
    <t>¿Se ejecuta en un entorno operativo existente?</t>
  </si>
  <si>
    <t>¿Requiere entrada de datos online?</t>
  </si>
  <si>
    <t>¿Requiere transacciones en múltiples pantallas?</t>
  </si>
  <si>
    <t>¿Se actualizan archivos maestros online?</t>
  </si>
  <si>
    <t>¿Son complejas las entradas, salidas, archivos o peticiones?</t>
  </si>
  <si>
    <t>¿Es complejo el procesamiento interno?</t>
  </si>
  <si>
    <t>¿Se diseñó el código para reutilización?</t>
  </si>
  <si>
    <t>¿Incluye conversión y diseño?</t>
  </si>
  <si>
    <t>¿Soporta múltiples instalaciones?</t>
  </si>
  <si>
    <t>¿Está diseñada la aplicación para facilitar los cambios?</t>
  </si>
  <si>
    <t>TOTAL</t>
  </si>
  <si>
    <t>Métrica</t>
  </si>
  <si>
    <t>Valor</t>
  </si>
  <si>
    <t>Puntos de Función (PF)</t>
  </si>
  <si>
    <t>Costo Total</t>
  </si>
  <si>
    <t>Esfuerzo Estimado</t>
  </si>
  <si>
    <t>45 personas-mes</t>
  </si>
  <si>
    <t>Modelo</t>
  </si>
  <si>
    <t>Fórmula</t>
  </si>
  <si>
    <t>Valor de Esfuerzo (meses-persona)</t>
  </si>
  <si>
    <t>Modelo de Albrecht-Gaffney</t>
  </si>
  <si>
    <t>( E = -13.39 + 0.054 \times 294 )</t>
  </si>
  <si>
    <t>2.38</t>
  </si>
  <si>
    <t>Modelo de Kemerer</t>
  </si>
  <si>
    <t>( E = 60.62 \times 7.728 \times 10^{-8} \times 294^3 )</t>
  </si>
  <si>
    <t>1.16</t>
  </si>
  <si>
    <t>Modelo de Matson, Barnett y Mellichamp</t>
  </si>
  <si>
    <t>( E = 585.7 + 15.12 \times 294 )</t>
  </si>
  <si>
    <t>5,004.74</t>
  </si>
  <si>
    <t>Copia de seguridad y recuperación</t>
  </si>
  <si>
    <t>Comunicaciones de datos</t>
  </si>
  <si>
    <t>Proceso distribuido</t>
  </si>
  <si>
    <t>Rendimiento crítico</t>
  </si>
  <si>
    <t>Entorno operativo existente</t>
  </si>
  <si>
    <t>Entrada de datos en línea</t>
  </si>
  <si>
    <t>Transacciones en varias pantallas</t>
  </si>
  <si>
    <t>Archivos maestros actualizados online</t>
  </si>
  <si>
    <t>Complejidad de entradas/salidas/archivos/peticiones</t>
  </si>
  <si>
    <t>Complejidad de procesamiento interno</t>
  </si>
  <si>
    <t>Código diseñado para reutilización</t>
  </si>
  <si>
    <t>Conversión en diseño</t>
  </si>
  <si>
    <t>Instalaciones múltiples</t>
  </si>
  <si>
    <t>Facilidad de cambio/mantenibilidad</t>
  </si>
  <si>
    <t>Albrecht-Gaffney</t>
  </si>
  <si>
    <t>E = −13.39 + 0.054 × 337</t>
  </si>
  <si>
    <t>4.81</t>
  </si>
  <si>
    <t>Kemerer</t>
  </si>
  <si>
    <t>E = 60.62 × 7.728×10⁻⁸ × 337³</t>
  </si>
  <si>
    <t>1.84</t>
  </si>
  <si>
    <t>Matson, Barnett y Mellichamp</t>
  </si>
  <si>
    <t>E = 585.7 + 15.12 × 337</t>
  </si>
  <si>
    <t>5 681.14</t>
  </si>
  <si>
    <t xml:space="preserve">Total Puntos de Función </t>
  </si>
  <si>
    <t xml:space="preserve">52 personas-mes (337 / 6.5)    </t>
  </si>
  <si>
    <t>Valor (0–5)</t>
  </si>
  <si>
    <t>46 personas-mes</t>
  </si>
  <si>
    <t>(E = -13.39 + 0.054 \times 299)</t>
  </si>
  <si>
    <t>2.76</t>
  </si>
  <si>
    <t>(E = 60.62 \times 7.728\times10^{-8} \times 299^3)</t>
  </si>
  <si>
    <t>1.22</t>
  </si>
  <si>
    <t>(E = 585.7 + 15.12 \times 299)</t>
  </si>
  <si>
    <t>5,106.58</t>
  </si>
  <si>
    <t>35 personas-mes</t>
  </si>
  <si>
    <t>(E = -13.39 + 0.054 \times 225)</t>
  </si>
  <si>
    <t>(E = 60.62 \times 7.728\times10^{-8} \times 225^3)</t>
  </si>
  <si>
    <t>0.71</t>
  </si>
  <si>
    <t>(E = 585.7 + 15.12 \times 225)</t>
  </si>
  <si>
    <t>3,982.7</t>
  </si>
  <si>
    <t>(E = -13.39 + 0.054 \times 315)</t>
  </si>
  <si>
    <t>3.62</t>
  </si>
  <si>
    <t>(E = 60.62 \times 7.728\times10^{-8} \times 315^3)</t>
  </si>
  <si>
    <t>≈ 1.45</t>
  </si>
  <si>
    <t>(E = 585.7 + 15.12 \times 315)</t>
  </si>
  <si>
    <t>5,348.5</t>
  </si>
  <si>
    <t xml:space="preserve"> 39 personas-mes</t>
  </si>
  <si>
    <t>49 personas-mes</t>
  </si>
  <si>
    <t xml:space="preserve">416 000 </t>
  </si>
  <si>
    <t>(E = -13.39 + 0.054 \times 253)</t>
  </si>
  <si>
    <t>0.27</t>
  </si>
  <si>
    <t>(E = 60.62 \times 7.728\times10^{-8} \times 253^3)</t>
  </si>
  <si>
    <t>≈ 0.90</t>
  </si>
  <si>
    <t>(E = 585.7 + 15.12 \times 253)</t>
  </si>
  <si>
    <t>4,411.06</t>
  </si>
  <si>
    <t xml:space="preserve"> 33 personas-mes</t>
  </si>
  <si>
    <t>(E = -13.39 + 0.054 \times 212)</t>
  </si>
  <si>
    <t>(E = 60.62 \times 7.728\times10^{-8} \times 212^3)</t>
  </si>
  <si>
    <t>(E = 585.7 + 15.12 \times 212)</t>
  </si>
  <si>
    <t>3,791.14</t>
  </si>
  <si>
    <t>0.56</t>
  </si>
  <si>
    <t>47 personas-mes</t>
  </si>
  <si>
    <t>(E = -13.39 + 0.054 \times 306)</t>
  </si>
  <si>
    <t>3.13</t>
  </si>
  <si>
    <t>≈ 1.39</t>
  </si>
  <si>
    <t>(E = 585.7 + 15.12 \times 306)</t>
  </si>
  <si>
    <t>5,212.42</t>
  </si>
  <si>
    <t xml:space="preserve">(E \propto PF^3) (presentación) → (E \approx) (7.728\times10^{-8}\times 306^3)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</si>
</sst>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8" fontId="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53AB9-B14C-4E2A-8524-B4B827E137C6}">
  <dimension ref="A1:Q16"/>
  <sheetViews>
    <sheetView zoomScale="80" zoomScaleNormal="80" workbookViewId="0">
      <selection activeCell="F9" sqref="F9"/>
    </sheetView>
  </sheetViews>
  <sheetFormatPr baseColWidth="10" defaultRowHeight="14.4" x14ac:dyDescent="0.3"/>
  <cols>
    <col min="9" max="9" width="14.44140625" customWidth="1"/>
    <col min="16" max="16" width="37.109375" customWidth="1"/>
    <col min="17" max="17" width="18.6640625" customWidth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13</v>
      </c>
      <c r="J1" s="1" t="s">
        <v>14</v>
      </c>
      <c r="K1" s="10"/>
      <c r="L1" s="1" t="s">
        <v>30</v>
      </c>
      <c r="M1" s="1" t="s">
        <v>31</v>
      </c>
      <c r="O1" s="1" t="s">
        <v>36</v>
      </c>
      <c r="P1" s="1" t="s">
        <v>37</v>
      </c>
      <c r="Q1" s="1" t="s">
        <v>38</v>
      </c>
    </row>
    <row r="2" spans="1:17" ht="57.6" customHeight="1" x14ac:dyDescent="0.3">
      <c r="A2" s="1" t="s">
        <v>7</v>
      </c>
      <c r="B2" s="2">
        <v>15</v>
      </c>
      <c r="C2" s="2">
        <v>20</v>
      </c>
      <c r="D2" s="2">
        <v>25</v>
      </c>
      <c r="E2" s="2">
        <v>20</v>
      </c>
      <c r="F2" s="2">
        <v>4</v>
      </c>
      <c r="G2" s="2">
        <v>80</v>
      </c>
      <c r="I2" s="1" t="s">
        <v>15</v>
      </c>
      <c r="J2" s="2">
        <v>4</v>
      </c>
      <c r="K2" s="10"/>
      <c r="L2" s="1" t="s">
        <v>32</v>
      </c>
      <c r="M2" s="11">
        <f>G7*(0.65+0.01*J16)</f>
        <v>294.12</v>
      </c>
      <c r="O2" s="1" t="s">
        <v>39</v>
      </c>
      <c r="P2" s="2" t="s">
        <v>40</v>
      </c>
      <c r="Q2" s="2" t="s">
        <v>41</v>
      </c>
    </row>
    <row r="3" spans="1:17" ht="57.6" customHeight="1" x14ac:dyDescent="0.3">
      <c r="A3" s="1" t="s">
        <v>8</v>
      </c>
      <c r="B3" s="2">
        <v>10</v>
      </c>
      <c r="C3" s="2">
        <v>12</v>
      </c>
      <c r="D3" s="2">
        <v>15</v>
      </c>
      <c r="E3" s="2">
        <v>12</v>
      </c>
      <c r="F3" s="2">
        <v>5</v>
      </c>
      <c r="G3" s="2">
        <v>60</v>
      </c>
      <c r="I3" s="1" t="s">
        <v>16</v>
      </c>
      <c r="J3" s="2">
        <v>2</v>
      </c>
      <c r="K3" s="10"/>
      <c r="L3" s="1" t="s">
        <v>33</v>
      </c>
      <c r="M3" s="12">
        <v>368</v>
      </c>
      <c r="O3" s="1" t="s">
        <v>42</v>
      </c>
      <c r="P3" s="2" t="s">
        <v>43</v>
      </c>
      <c r="Q3" s="2" t="s">
        <v>44</v>
      </c>
    </row>
    <row r="4" spans="1:17" ht="57.6" customHeight="1" x14ac:dyDescent="0.3">
      <c r="A4" s="1" t="s">
        <v>9</v>
      </c>
      <c r="B4" s="2">
        <v>12</v>
      </c>
      <c r="C4" s="2">
        <v>16</v>
      </c>
      <c r="D4" s="2">
        <v>20</v>
      </c>
      <c r="E4" s="2">
        <v>16</v>
      </c>
      <c r="F4" s="2">
        <v>4</v>
      </c>
      <c r="G4" s="2">
        <v>64</v>
      </c>
      <c r="I4" s="1" t="s">
        <v>17</v>
      </c>
      <c r="J4" s="2">
        <v>0</v>
      </c>
      <c r="K4" s="10"/>
      <c r="L4" s="1" t="s">
        <v>34</v>
      </c>
      <c r="M4" s="2" t="s">
        <v>35</v>
      </c>
      <c r="O4" s="1" t="s">
        <v>45</v>
      </c>
      <c r="P4" s="2" t="s">
        <v>46</v>
      </c>
      <c r="Q4" s="2" t="s">
        <v>47</v>
      </c>
    </row>
    <row r="5" spans="1:17" ht="28.8" x14ac:dyDescent="0.3">
      <c r="A5" s="1" t="s">
        <v>10</v>
      </c>
      <c r="B5" s="2">
        <v>3</v>
      </c>
      <c r="C5" s="2">
        <v>4</v>
      </c>
      <c r="D5" s="2">
        <v>5</v>
      </c>
      <c r="E5" s="2">
        <v>4</v>
      </c>
      <c r="F5" s="2">
        <v>10</v>
      </c>
      <c r="G5" s="2">
        <v>40</v>
      </c>
      <c r="I5" s="1" t="s">
        <v>18</v>
      </c>
      <c r="J5" s="2">
        <v>4</v>
      </c>
      <c r="K5" s="10"/>
      <c r="L5" s="10"/>
      <c r="M5" s="10"/>
    </row>
    <row r="6" spans="1:17" ht="57.6" x14ac:dyDescent="0.3">
      <c r="A6" s="1" t="s">
        <v>11</v>
      </c>
      <c r="B6" s="2">
        <v>1</v>
      </c>
      <c r="C6" s="2">
        <v>2</v>
      </c>
      <c r="D6" s="2">
        <v>3</v>
      </c>
      <c r="E6" s="2">
        <v>2</v>
      </c>
      <c r="F6" s="2">
        <v>7</v>
      </c>
      <c r="G6" s="2">
        <v>14</v>
      </c>
      <c r="I6" s="1" t="s">
        <v>19</v>
      </c>
      <c r="J6" s="2">
        <v>3</v>
      </c>
      <c r="K6" s="10"/>
      <c r="L6" s="10"/>
      <c r="M6" s="10"/>
    </row>
    <row r="7" spans="1:17" ht="43.2" x14ac:dyDescent="0.3">
      <c r="A7" s="1" t="s">
        <v>12</v>
      </c>
      <c r="B7" s="3"/>
      <c r="C7" s="3"/>
      <c r="D7" s="3"/>
      <c r="E7" s="3"/>
      <c r="F7" s="3"/>
      <c r="G7" s="1">
        <v>258</v>
      </c>
      <c r="I7" s="1" t="s">
        <v>20</v>
      </c>
      <c r="J7" s="2">
        <v>4</v>
      </c>
      <c r="K7" s="10"/>
      <c r="L7" s="10"/>
      <c r="M7" s="10"/>
    </row>
    <row r="8" spans="1:17" ht="57.6" x14ac:dyDescent="0.3">
      <c r="I8" s="1" t="s">
        <v>21</v>
      </c>
      <c r="J8" s="2">
        <v>5</v>
      </c>
      <c r="K8" s="10"/>
      <c r="L8" s="10"/>
      <c r="M8" s="10"/>
    </row>
    <row r="9" spans="1:17" ht="72" customHeight="1" x14ac:dyDescent="0.3">
      <c r="I9" s="1" t="s">
        <v>22</v>
      </c>
      <c r="J9" s="2">
        <v>3</v>
      </c>
      <c r="K9" s="10"/>
      <c r="L9" s="10"/>
      <c r="M9" s="10"/>
    </row>
    <row r="10" spans="1:17" ht="100.8" customHeight="1" x14ac:dyDescent="0.3">
      <c r="I10" s="1" t="s">
        <v>23</v>
      </c>
      <c r="J10" s="2">
        <v>4</v>
      </c>
      <c r="K10" s="10"/>
      <c r="L10" s="10"/>
      <c r="M10" s="10"/>
    </row>
    <row r="11" spans="1:17" ht="57.6" customHeight="1" x14ac:dyDescent="0.3">
      <c r="I11" s="1" t="s">
        <v>24</v>
      </c>
      <c r="J11" s="2">
        <v>5</v>
      </c>
      <c r="K11" s="10"/>
      <c r="L11" s="10"/>
      <c r="M11" s="10"/>
    </row>
    <row r="12" spans="1:17" ht="72" customHeight="1" x14ac:dyDescent="0.3">
      <c r="I12" s="1" t="s">
        <v>25</v>
      </c>
      <c r="J12" s="2">
        <v>3</v>
      </c>
      <c r="K12" s="10"/>
      <c r="L12" s="10"/>
      <c r="M12" s="10"/>
    </row>
    <row r="13" spans="1:17" ht="43.2" x14ac:dyDescent="0.3">
      <c r="I13" s="1" t="s">
        <v>26</v>
      </c>
      <c r="J13" s="2">
        <v>2</v>
      </c>
      <c r="K13" s="10"/>
      <c r="L13" s="10"/>
      <c r="M13" s="10"/>
    </row>
    <row r="14" spans="1:17" ht="43.2" x14ac:dyDescent="0.3">
      <c r="I14" s="1" t="s">
        <v>27</v>
      </c>
      <c r="J14" s="2">
        <v>5</v>
      </c>
      <c r="K14" s="10"/>
      <c r="L14" s="10"/>
      <c r="M14" s="10"/>
    </row>
    <row r="15" spans="1:17" ht="57.6" x14ac:dyDescent="0.3">
      <c r="I15" s="1" t="s">
        <v>28</v>
      </c>
      <c r="J15" s="2">
        <v>5</v>
      </c>
      <c r="K15" s="10"/>
      <c r="L15" s="10"/>
      <c r="M15" s="10"/>
    </row>
    <row r="16" spans="1:17" x14ac:dyDescent="0.3">
      <c r="I16" s="13" t="s">
        <v>29</v>
      </c>
      <c r="J16" s="14">
        <f>SUM(J2:J15)</f>
        <v>49</v>
      </c>
      <c r="K16" s="10"/>
      <c r="L16" s="10"/>
      <c r="M16" s="10"/>
    </row>
  </sheetData>
  <mergeCells count="1">
    <mergeCell ref="B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F8FAE-D0AD-40BA-A912-852C0B0DBBAC}">
  <dimension ref="A1:Q16"/>
  <sheetViews>
    <sheetView topLeftCell="C1" workbookViewId="0">
      <selection activeCell="M3" sqref="M3"/>
    </sheetView>
  </sheetViews>
  <sheetFormatPr baseColWidth="10" defaultRowHeight="14.4" x14ac:dyDescent="0.3"/>
  <cols>
    <col min="9" max="9" width="13.88671875" customWidth="1"/>
    <col min="12" max="12" width="15.77734375" customWidth="1"/>
    <col min="13" max="13" width="17.88671875" customWidth="1"/>
    <col min="16" max="16" width="26.109375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13</v>
      </c>
      <c r="J1" s="1" t="s">
        <v>14</v>
      </c>
      <c r="L1" s="1" t="s">
        <v>30</v>
      </c>
      <c r="M1" s="1" t="s">
        <v>31</v>
      </c>
      <c r="O1" s="1" t="s">
        <v>36</v>
      </c>
      <c r="P1" s="1" t="s">
        <v>37</v>
      </c>
      <c r="Q1" s="1" t="s">
        <v>38</v>
      </c>
    </row>
    <row r="2" spans="1:17" ht="43.2" x14ac:dyDescent="0.3">
      <c r="A2" s="1" t="s">
        <v>7</v>
      </c>
      <c r="B2" s="2">
        <v>18</v>
      </c>
      <c r="C2" s="2">
        <v>22</v>
      </c>
      <c r="D2" s="2">
        <v>26</v>
      </c>
      <c r="E2" s="2">
        <v>22</v>
      </c>
      <c r="F2" s="2">
        <v>4</v>
      </c>
      <c r="G2" s="2">
        <v>88</v>
      </c>
      <c r="I2" s="1" t="s">
        <v>48</v>
      </c>
      <c r="J2" s="2">
        <v>4</v>
      </c>
      <c r="L2" s="4" t="s">
        <v>32</v>
      </c>
      <c r="M2" s="8">
        <v>337</v>
      </c>
      <c r="O2" s="1" t="s">
        <v>62</v>
      </c>
      <c r="P2" s="8" t="s">
        <v>63</v>
      </c>
      <c r="Q2" s="8" t="s">
        <v>64</v>
      </c>
    </row>
    <row r="3" spans="1:17" ht="28.8" x14ac:dyDescent="0.3">
      <c r="A3" s="1" t="s">
        <v>8</v>
      </c>
      <c r="B3" s="2">
        <v>8</v>
      </c>
      <c r="C3" s="2">
        <v>10</v>
      </c>
      <c r="D3" s="2">
        <v>12</v>
      </c>
      <c r="E3" s="2">
        <v>10</v>
      </c>
      <c r="F3" s="2">
        <v>5</v>
      </c>
      <c r="G3" s="2">
        <v>50</v>
      </c>
      <c r="I3" s="1" t="s">
        <v>49</v>
      </c>
      <c r="J3" s="2">
        <v>3</v>
      </c>
      <c r="L3" s="4" t="s">
        <v>33</v>
      </c>
      <c r="M3" s="8" t="s">
        <v>95</v>
      </c>
      <c r="O3" s="1" t="s">
        <v>65</v>
      </c>
      <c r="P3" s="8" t="s">
        <v>66</v>
      </c>
      <c r="Q3" s="8" t="s">
        <v>67</v>
      </c>
    </row>
    <row r="4" spans="1:17" ht="43.2" x14ac:dyDescent="0.3">
      <c r="A4" s="1" t="s">
        <v>9</v>
      </c>
      <c r="B4" s="2">
        <v>14</v>
      </c>
      <c r="C4" s="2">
        <v>18</v>
      </c>
      <c r="D4" s="2">
        <v>22</v>
      </c>
      <c r="E4" s="2">
        <v>18</v>
      </c>
      <c r="F4" s="2">
        <v>4</v>
      </c>
      <c r="G4" s="2">
        <v>72</v>
      </c>
      <c r="I4" s="1" t="s">
        <v>50</v>
      </c>
      <c r="J4" s="2">
        <v>1</v>
      </c>
      <c r="L4" s="4" t="s">
        <v>34</v>
      </c>
      <c r="M4" s="8" t="s">
        <v>72</v>
      </c>
      <c r="O4" s="1" t="s">
        <v>68</v>
      </c>
      <c r="P4" s="8" t="s">
        <v>69</v>
      </c>
      <c r="Q4" s="8" t="s">
        <v>70</v>
      </c>
    </row>
    <row r="5" spans="1:17" ht="28.8" x14ac:dyDescent="0.3">
      <c r="A5" s="1" t="s">
        <v>10</v>
      </c>
      <c r="B5" s="2">
        <v>5</v>
      </c>
      <c r="C5" s="2">
        <v>6</v>
      </c>
      <c r="D5" s="2">
        <v>8</v>
      </c>
      <c r="E5" s="2">
        <v>6</v>
      </c>
      <c r="F5" s="2">
        <v>10</v>
      </c>
      <c r="G5" s="2">
        <v>60</v>
      </c>
      <c r="I5" s="1" t="s">
        <v>51</v>
      </c>
      <c r="J5" s="2">
        <v>4</v>
      </c>
    </row>
    <row r="6" spans="1:17" ht="43.2" x14ac:dyDescent="0.3">
      <c r="A6" s="1" t="s">
        <v>11</v>
      </c>
      <c r="B6" s="2">
        <v>3</v>
      </c>
      <c r="C6" s="2">
        <v>4</v>
      </c>
      <c r="D6" s="2">
        <v>5</v>
      </c>
      <c r="E6" s="2">
        <v>4</v>
      </c>
      <c r="F6" s="2">
        <v>7</v>
      </c>
      <c r="G6" s="2">
        <v>28</v>
      </c>
      <c r="I6" s="1" t="s">
        <v>52</v>
      </c>
      <c r="J6" s="2">
        <v>3</v>
      </c>
    </row>
    <row r="7" spans="1:17" ht="28.8" x14ac:dyDescent="0.3">
      <c r="A7" s="1" t="s">
        <v>71</v>
      </c>
      <c r="B7" s="5"/>
      <c r="C7" s="6"/>
      <c r="D7" s="6"/>
      <c r="E7" s="6"/>
      <c r="F7" s="7"/>
      <c r="G7" s="1">
        <v>298</v>
      </c>
      <c r="I7" s="1" t="s">
        <v>53</v>
      </c>
      <c r="J7" s="2">
        <v>4</v>
      </c>
    </row>
    <row r="8" spans="1:17" ht="43.2" x14ac:dyDescent="0.3">
      <c r="I8" s="1" t="s">
        <v>54</v>
      </c>
      <c r="J8" s="2">
        <v>3</v>
      </c>
    </row>
    <row r="9" spans="1:17" ht="57.6" x14ac:dyDescent="0.3">
      <c r="I9" s="1" t="s">
        <v>55</v>
      </c>
      <c r="J9" s="2">
        <v>3</v>
      </c>
    </row>
    <row r="10" spans="1:17" ht="72" x14ac:dyDescent="0.3">
      <c r="I10" s="1" t="s">
        <v>56</v>
      </c>
      <c r="J10" s="2">
        <v>4</v>
      </c>
    </row>
    <row r="11" spans="1:17" ht="57.6" x14ac:dyDescent="0.3">
      <c r="I11" s="1" t="s">
        <v>57</v>
      </c>
      <c r="J11" s="2">
        <v>4</v>
      </c>
    </row>
    <row r="12" spans="1:17" ht="43.2" x14ac:dyDescent="0.3">
      <c r="I12" s="1" t="s">
        <v>58</v>
      </c>
      <c r="J12" s="2">
        <v>3</v>
      </c>
    </row>
    <row r="13" spans="1:17" ht="28.8" x14ac:dyDescent="0.3">
      <c r="I13" s="1" t="s">
        <v>59</v>
      </c>
      <c r="J13" s="2">
        <v>3</v>
      </c>
    </row>
    <row r="14" spans="1:17" ht="28.8" x14ac:dyDescent="0.3">
      <c r="I14" s="1" t="s">
        <v>60</v>
      </c>
      <c r="J14" s="2">
        <v>4</v>
      </c>
    </row>
    <row r="15" spans="1:17" ht="43.2" x14ac:dyDescent="0.3">
      <c r="I15" s="1" t="s">
        <v>61</v>
      </c>
      <c r="J15" s="2">
        <v>5</v>
      </c>
    </row>
    <row r="16" spans="1:17" x14ac:dyDescent="0.3">
      <c r="I16" s="1" t="s">
        <v>29</v>
      </c>
      <c r="J16" s="2">
        <f>SUM(J2:J15)</f>
        <v>48</v>
      </c>
    </row>
  </sheetData>
  <mergeCells count="1">
    <mergeCell ref="B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BCE6-41DF-4007-80CA-3EB878804D12}">
  <dimension ref="A1:Q16"/>
  <sheetViews>
    <sheetView topLeftCell="D1" workbookViewId="0">
      <selection activeCell="J6" sqref="J6"/>
    </sheetView>
  </sheetViews>
  <sheetFormatPr baseColWidth="10" defaultRowHeight="14.4" x14ac:dyDescent="0.3"/>
  <cols>
    <col min="9" max="9" width="15.109375" customWidth="1"/>
    <col min="16" max="16" width="45.5546875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13</v>
      </c>
      <c r="J1" s="1" t="s">
        <v>73</v>
      </c>
      <c r="L1" s="1" t="s">
        <v>30</v>
      </c>
      <c r="M1" s="1" t="s">
        <v>31</v>
      </c>
      <c r="O1" s="1" t="s">
        <v>36</v>
      </c>
      <c r="P1" s="1" t="s">
        <v>37</v>
      </c>
      <c r="Q1" s="1" t="s">
        <v>38</v>
      </c>
    </row>
    <row r="2" spans="1:17" ht="43.2" x14ac:dyDescent="0.3">
      <c r="A2" s="1" t="s">
        <v>7</v>
      </c>
      <c r="B2" s="2">
        <v>18</v>
      </c>
      <c r="C2" s="2">
        <v>22</v>
      </c>
      <c r="D2" s="2">
        <v>28</v>
      </c>
      <c r="E2" s="2">
        <v>22</v>
      </c>
      <c r="F2" s="2">
        <v>4</v>
      </c>
      <c r="G2" s="2">
        <v>88</v>
      </c>
      <c r="I2" s="1" t="s">
        <v>15</v>
      </c>
      <c r="J2" s="2">
        <v>4</v>
      </c>
      <c r="L2" s="1" t="s">
        <v>32</v>
      </c>
      <c r="M2" s="8">
        <v>299</v>
      </c>
      <c r="O2" s="1" t="s">
        <v>39</v>
      </c>
      <c r="P2" s="2" t="s">
        <v>75</v>
      </c>
      <c r="Q2" s="1" t="s">
        <v>76</v>
      </c>
    </row>
    <row r="3" spans="1:17" ht="43.2" x14ac:dyDescent="0.3">
      <c r="A3" s="1" t="s">
        <v>8</v>
      </c>
      <c r="B3" s="2">
        <v>7</v>
      </c>
      <c r="C3" s="2">
        <v>9</v>
      </c>
      <c r="D3" s="2">
        <v>11</v>
      </c>
      <c r="E3" s="2">
        <v>9</v>
      </c>
      <c r="F3" s="2">
        <v>5</v>
      </c>
      <c r="G3" s="2">
        <v>45</v>
      </c>
      <c r="I3" s="1" t="s">
        <v>16</v>
      </c>
      <c r="J3" s="2">
        <v>2</v>
      </c>
      <c r="L3" s="1" t="s">
        <v>33</v>
      </c>
      <c r="M3" s="9">
        <v>368</v>
      </c>
      <c r="O3" s="1" t="s">
        <v>42</v>
      </c>
      <c r="P3" s="2" t="s">
        <v>77</v>
      </c>
      <c r="Q3" s="1" t="s">
        <v>78</v>
      </c>
    </row>
    <row r="4" spans="1:17" ht="57.6" x14ac:dyDescent="0.3">
      <c r="A4" s="1" t="s">
        <v>9</v>
      </c>
      <c r="B4" s="2">
        <v>10</v>
      </c>
      <c r="C4" s="2">
        <v>12</v>
      </c>
      <c r="D4" s="2">
        <v>15</v>
      </c>
      <c r="E4" s="2">
        <v>12</v>
      </c>
      <c r="F4" s="2">
        <v>4</v>
      </c>
      <c r="G4" s="2">
        <v>48</v>
      </c>
      <c r="I4" s="1" t="s">
        <v>17</v>
      </c>
      <c r="J4" s="2">
        <v>1</v>
      </c>
      <c r="L4" s="1" t="s">
        <v>34</v>
      </c>
      <c r="M4" s="8" t="s">
        <v>74</v>
      </c>
      <c r="O4" s="1" t="s">
        <v>45</v>
      </c>
      <c r="P4" s="2" t="s">
        <v>79</v>
      </c>
      <c r="Q4" s="1" t="s">
        <v>80</v>
      </c>
    </row>
    <row r="5" spans="1:17" ht="28.8" x14ac:dyDescent="0.3">
      <c r="A5" s="1" t="s">
        <v>10</v>
      </c>
      <c r="B5" s="2">
        <v>6</v>
      </c>
      <c r="C5" s="2">
        <v>7</v>
      </c>
      <c r="D5" s="2">
        <v>9</v>
      </c>
      <c r="E5" s="2">
        <v>7</v>
      </c>
      <c r="F5" s="2">
        <v>10</v>
      </c>
      <c r="G5" s="2">
        <v>70</v>
      </c>
      <c r="I5" s="1" t="s">
        <v>18</v>
      </c>
      <c r="J5" s="2">
        <v>3</v>
      </c>
    </row>
    <row r="6" spans="1:17" ht="57.6" x14ac:dyDescent="0.3">
      <c r="A6" s="1" t="s">
        <v>11</v>
      </c>
      <c r="B6" s="2">
        <v>2</v>
      </c>
      <c r="C6" s="2">
        <v>3</v>
      </c>
      <c r="D6" s="2">
        <v>4</v>
      </c>
      <c r="E6" s="2">
        <v>3</v>
      </c>
      <c r="F6" s="2">
        <v>7</v>
      </c>
      <c r="G6" s="2">
        <v>21</v>
      </c>
      <c r="I6" s="1" t="s">
        <v>19</v>
      </c>
      <c r="J6" s="2">
        <v>3</v>
      </c>
    </row>
    <row r="7" spans="1:17" ht="43.2" x14ac:dyDescent="0.3">
      <c r="A7" s="1" t="s">
        <v>12</v>
      </c>
      <c r="B7" s="3"/>
      <c r="C7" s="3"/>
      <c r="D7" s="3"/>
      <c r="E7" s="3"/>
      <c r="F7" s="3"/>
      <c r="G7" s="1">
        <v>272</v>
      </c>
      <c r="I7" s="1" t="s">
        <v>20</v>
      </c>
      <c r="J7" s="2">
        <v>4</v>
      </c>
    </row>
    <row r="8" spans="1:17" ht="57.6" x14ac:dyDescent="0.3">
      <c r="I8" s="1" t="s">
        <v>21</v>
      </c>
      <c r="J8" s="2">
        <v>2</v>
      </c>
    </row>
    <row r="9" spans="1:17" ht="43.2" x14ac:dyDescent="0.3">
      <c r="I9" s="1" t="s">
        <v>22</v>
      </c>
      <c r="J9" s="2">
        <v>3</v>
      </c>
    </row>
    <row r="10" spans="1:17" ht="57.6" x14ac:dyDescent="0.3">
      <c r="I10" s="1" t="s">
        <v>23</v>
      </c>
      <c r="J10" s="2">
        <v>4</v>
      </c>
    </row>
    <row r="11" spans="1:17" ht="43.2" x14ac:dyDescent="0.3">
      <c r="I11" s="1" t="s">
        <v>24</v>
      </c>
      <c r="J11" s="2">
        <v>4</v>
      </c>
    </row>
    <row r="12" spans="1:17" ht="43.2" x14ac:dyDescent="0.3">
      <c r="I12" s="1" t="s">
        <v>25</v>
      </c>
      <c r="J12" s="2">
        <v>3</v>
      </c>
    </row>
    <row r="13" spans="1:17" ht="43.2" x14ac:dyDescent="0.3">
      <c r="I13" s="1" t="s">
        <v>26</v>
      </c>
      <c r="J13" s="2">
        <v>3</v>
      </c>
    </row>
    <row r="14" spans="1:17" ht="43.2" x14ac:dyDescent="0.3">
      <c r="I14" s="1" t="s">
        <v>27</v>
      </c>
      <c r="J14" s="2">
        <v>4</v>
      </c>
    </row>
    <row r="15" spans="1:17" ht="57.6" x14ac:dyDescent="0.3">
      <c r="I15" s="1" t="s">
        <v>28</v>
      </c>
      <c r="J15" s="2">
        <v>5</v>
      </c>
    </row>
    <row r="16" spans="1:17" x14ac:dyDescent="0.3">
      <c r="I16" s="1" t="s">
        <v>29</v>
      </c>
      <c r="J16" s="2">
        <f>SUM(J2:J15)</f>
        <v>45</v>
      </c>
    </row>
  </sheetData>
  <mergeCells count="1">
    <mergeCell ref="B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EB57A-5C58-48D0-81F2-B617420A2B85}">
  <dimension ref="A1:Q16"/>
  <sheetViews>
    <sheetView topLeftCell="B1" workbookViewId="0">
      <selection activeCell="L6" sqref="L6"/>
    </sheetView>
  </sheetViews>
  <sheetFormatPr baseColWidth="10" defaultRowHeight="14.4" x14ac:dyDescent="0.3"/>
  <cols>
    <col min="9" max="9" width="14.109375" customWidth="1"/>
    <col min="16" max="16" width="29.109375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13</v>
      </c>
      <c r="J1" s="1" t="s">
        <v>73</v>
      </c>
      <c r="L1" s="1" t="s">
        <v>30</v>
      </c>
      <c r="M1" s="1" t="s">
        <v>31</v>
      </c>
      <c r="O1" s="1" t="s">
        <v>36</v>
      </c>
      <c r="P1" s="1" t="s">
        <v>37</v>
      </c>
      <c r="Q1" s="1" t="s">
        <v>38</v>
      </c>
    </row>
    <row r="2" spans="1:17" ht="43.2" x14ac:dyDescent="0.3">
      <c r="A2" s="1" t="s">
        <v>7</v>
      </c>
      <c r="B2" s="2">
        <v>10</v>
      </c>
      <c r="C2" s="2">
        <v>12</v>
      </c>
      <c r="D2" s="2">
        <v>15</v>
      </c>
      <c r="E2" s="2">
        <v>12</v>
      </c>
      <c r="F2" s="2">
        <v>4</v>
      </c>
      <c r="G2" s="2">
        <v>48</v>
      </c>
      <c r="I2" s="1" t="s">
        <v>15</v>
      </c>
      <c r="J2" s="2">
        <v>3</v>
      </c>
      <c r="L2" s="1" t="s">
        <v>32</v>
      </c>
      <c r="M2" s="8">
        <v>225</v>
      </c>
      <c r="O2" s="1" t="s">
        <v>39</v>
      </c>
      <c r="P2" s="2" t="s">
        <v>82</v>
      </c>
      <c r="Q2" s="2">
        <v>-1.24</v>
      </c>
    </row>
    <row r="3" spans="1:17" ht="43.2" x14ac:dyDescent="0.3">
      <c r="A3" s="1" t="s">
        <v>8</v>
      </c>
      <c r="B3" s="2">
        <v>6</v>
      </c>
      <c r="C3" s="2">
        <v>8</v>
      </c>
      <c r="D3" s="2">
        <v>10</v>
      </c>
      <c r="E3" s="2">
        <v>8</v>
      </c>
      <c r="F3" s="2">
        <v>5</v>
      </c>
      <c r="G3" s="2">
        <v>40</v>
      </c>
      <c r="I3" s="1" t="s">
        <v>16</v>
      </c>
      <c r="J3" s="2">
        <v>2</v>
      </c>
      <c r="L3" s="1" t="s">
        <v>33</v>
      </c>
      <c r="M3" s="9">
        <v>368</v>
      </c>
      <c r="O3" s="1" t="s">
        <v>42</v>
      </c>
      <c r="P3" s="2" t="s">
        <v>83</v>
      </c>
      <c r="Q3" s="1" t="s">
        <v>84</v>
      </c>
    </row>
    <row r="4" spans="1:17" ht="57.6" x14ac:dyDescent="0.3">
      <c r="A4" s="1" t="s">
        <v>9</v>
      </c>
      <c r="B4" s="2">
        <v>8</v>
      </c>
      <c r="C4" s="2">
        <v>10</v>
      </c>
      <c r="D4" s="2">
        <v>12</v>
      </c>
      <c r="E4" s="2">
        <v>10</v>
      </c>
      <c r="F4" s="2">
        <v>4</v>
      </c>
      <c r="G4" s="2">
        <v>40</v>
      </c>
      <c r="I4" s="1" t="s">
        <v>17</v>
      </c>
      <c r="J4" s="2">
        <v>1</v>
      </c>
      <c r="L4" s="1" t="s">
        <v>34</v>
      </c>
      <c r="M4" s="8" t="s">
        <v>81</v>
      </c>
      <c r="O4" s="1" t="s">
        <v>45</v>
      </c>
      <c r="P4" s="2" t="s">
        <v>85</v>
      </c>
      <c r="Q4" s="1" t="s">
        <v>86</v>
      </c>
    </row>
    <row r="5" spans="1:17" ht="28.8" x14ac:dyDescent="0.3">
      <c r="A5" s="1" t="s">
        <v>10</v>
      </c>
      <c r="B5" s="2">
        <v>4</v>
      </c>
      <c r="C5" s="2">
        <v>5</v>
      </c>
      <c r="D5" s="2">
        <v>6</v>
      </c>
      <c r="E5" s="2">
        <v>5</v>
      </c>
      <c r="F5" s="2">
        <v>10</v>
      </c>
      <c r="G5" s="2">
        <v>50</v>
      </c>
      <c r="I5" s="1" t="s">
        <v>18</v>
      </c>
      <c r="J5" s="2">
        <v>3</v>
      </c>
    </row>
    <row r="6" spans="1:17" ht="57.6" x14ac:dyDescent="0.3">
      <c r="A6" s="1" t="s">
        <v>11</v>
      </c>
      <c r="B6" s="2">
        <v>2</v>
      </c>
      <c r="C6" s="2">
        <v>3</v>
      </c>
      <c r="D6" s="2">
        <v>4</v>
      </c>
      <c r="E6" s="2">
        <v>3</v>
      </c>
      <c r="F6" s="2">
        <v>7</v>
      </c>
      <c r="G6" s="2">
        <v>21</v>
      </c>
      <c r="I6" s="1" t="s">
        <v>19</v>
      </c>
      <c r="J6" s="2">
        <v>4</v>
      </c>
    </row>
    <row r="7" spans="1:17" ht="43.2" x14ac:dyDescent="0.3">
      <c r="A7" s="1" t="s">
        <v>12</v>
      </c>
      <c r="B7" s="3"/>
      <c r="C7" s="3"/>
      <c r="D7" s="3"/>
      <c r="E7" s="3"/>
      <c r="F7" s="3"/>
      <c r="G7" s="1">
        <v>199</v>
      </c>
      <c r="I7" s="1" t="s">
        <v>20</v>
      </c>
      <c r="J7" s="2">
        <v>5</v>
      </c>
    </row>
    <row r="8" spans="1:17" ht="57.6" x14ac:dyDescent="0.3">
      <c r="I8" s="1" t="s">
        <v>21</v>
      </c>
      <c r="J8" s="2">
        <v>4</v>
      </c>
    </row>
    <row r="9" spans="1:17" ht="57.6" x14ac:dyDescent="0.3">
      <c r="I9" s="1" t="s">
        <v>22</v>
      </c>
      <c r="J9" s="2">
        <v>3</v>
      </c>
    </row>
    <row r="10" spans="1:17" ht="72" x14ac:dyDescent="0.3">
      <c r="I10" s="1" t="s">
        <v>23</v>
      </c>
      <c r="J10" s="2">
        <v>4</v>
      </c>
    </row>
    <row r="11" spans="1:17" ht="43.2" x14ac:dyDescent="0.3">
      <c r="I11" s="1" t="s">
        <v>24</v>
      </c>
      <c r="J11" s="2">
        <v>4</v>
      </c>
    </row>
    <row r="12" spans="1:17" ht="43.2" x14ac:dyDescent="0.3">
      <c r="I12" s="1" t="s">
        <v>25</v>
      </c>
      <c r="J12" s="2">
        <v>3</v>
      </c>
    </row>
    <row r="13" spans="1:17" ht="43.2" x14ac:dyDescent="0.3">
      <c r="I13" s="1" t="s">
        <v>26</v>
      </c>
      <c r="J13" s="2">
        <v>3</v>
      </c>
    </row>
    <row r="14" spans="1:17" ht="43.2" x14ac:dyDescent="0.3">
      <c r="I14" s="1" t="s">
        <v>27</v>
      </c>
      <c r="J14" s="2">
        <v>4</v>
      </c>
    </row>
    <row r="15" spans="1:17" ht="57.6" x14ac:dyDescent="0.3">
      <c r="I15" s="1" t="s">
        <v>28</v>
      </c>
      <c r="J15" s="2">
        <v>5</v>
      </c>
    </row>
    <row r="16" spans="1:17" x14ac:dyDescent="0.3">
      <c r="I16" s="1" t="s">
        <v>29</v>
      </c>
      <c r="J16" s="2">
        <f>SUM(J2:J15)</f>
        <v>48</v>
      </c>
    </row>
  </sheetData>
  <mergeCells count="1">
    <mergeCell ref="B7:F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53F0-0652-4C2D-AE70-BC0E13438A7F}">
  <dimension ref="A1:Q16"/>
  <sheetViews>
    <sheetView topLeftCell="C1" workbookViewId="0">
      <selection activeCell="M4" sqref="M4"/>
    </sheetView>
  </sheetViews>
  <sheetFormatPr baseColWidth="10" defaultRowHeight="14.4" x14ac:dyDescent="0.3"/>
  <cols>
    <col min="9" max="9" width="14.6640625" customWidth="1"/>
    <col min="16" max="16" width="42.5546875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13</v>
      </c>
      <c r="J1" s="1" t="s">
        <v>73</v>
      </c>
      <c r="K1" s="10"/>
      <c r="L1" s="1" t="s">
        <v>30</v>
      </c>
      <c r="M1" s="1" t="s">
        <v>31</v>
      </c>
      <c r="O1" s="1" t="s">
        <v>36</v>
      </c>
      <c r="P1" s="1" t="s">
        <v>37</v>
      </c>
      <c r="Q1" s="1" t="s">
        <v>38</v>
      </c>
    </row>
    <row r="2" spans="1:17" ht="57.6" x14ac:dyDescent="0.3">
      <c r="A2" s="1" t="s">
        <v>7</v>
      </c>
      <c r="B2" s="2">
        <v>16</v>
      </c>
      <c r="C2" s="2">
        <v>18</v>
      </c>
      <c r="D2" s="2">
        <v>20</v>
      </c>
      <c r="E2" s="2">
        <v>18</v>
      </c>
      <c r="F2" s="2">
        <v>4</v>
      </c>
      <c r="G2" s="2">
        <v>72</v>
      </c>
      <c r="I2" s="1" t="s">
        <v>15</v>
      </c>
      <c r="J2" s="2">
        <v>4</v>
      </c>
      <c r="K2" s="10"/>
      <c r="L2" s="1" t="s">
        <v>32</v>
      </c>
      <c r="M2" s="8">
        <v>315</v>
      </c>
      <c r="O2" s="1" t="s">
        <v>39</v>
      </c>
      <c r="P2" s="2" t="s">
        <v>87</v>
      </c>
      <c r="Q2" s="1" t="s">
        <v>88</v>
      </c>
    </row>
    <row r="3" spans="1:17" ht="43.2" x14ac:dyDescent="0.3">
      <c r="A3" s="1" t="s">
        <v>8</v>
      </c>
      <c r="B3" s="2">
        <v>12</v>
      </c>
      <c r="C3" s="2">
        <v>14</v>
      </c>
      <c r="D3" s="2">
        <v>18</v>
      </c>
      <c r="E3" s="2">
        <v>14</v>
      </c>
      <c r="F3" s="2">
        <v>5</v>
      </c>
      <c r="G3" s="2">
        <v>70</v>
      </c>
      <c r="I3" s="1" t="s">
        <v>16</v>
      </c>
      <c r="J3" s="2">
        <v>3</v>
      </c>
      <c r="K3" s="10"/>
      <c r="L3" s="1" t="s">
        <v>33</v>
      </c>
      <c r="M3" s="9">
        <v>388</v>
      </c>
      <c r="O3" s="1" t="s">
        <v>42</v>
      </c>
      <c r="P3" s="2" t="s">
        <v>89</v>
      </c>
      <c r="Q3" s="1" t="s">
        <v>90</v>
      </c>
    </row>
    <row r="4" spans="1:17" ht="57.6" x14ac:dyDescent="0.3">
      <c r="A4" s="1" t="s">
        <v>9</v>
      </c>
      <c r="B4" s="2">
        <v>12</v>
      </c>
      <c r="C4" s="2">
        <v>14</v>
      </c>
      <c r="D4" s="2">
        <v>16</v>
      </c>
      <c r="E4" s="2">
        <v>14</v>
      </c>
      <c r="F4" s="2">
        <v>4</v>
      </c>
      <c r="G4" s="2">
        <v>56</v>
      </c>
      <c r="I4" s="1" t="s">
        <v>17</v>
      </c>
      <c r="J4" s="2">
        <v>1</v>
      </c>
      <c r="K4" s="10"/>
      <c r="L4" s="1" t="s">
        <v>34</v>
      </c>
      <c r="M4" s="8" t="s">
        <v>94</v>
      </c>
      <c r="O4" s="1" t="s">
        <v>45</v>
      </c>
      <c r="P4" s="2" t="s">
        <v>91</v>
      </c>
      <c r="Q4" s="1" t="s">
        <v>92</v>
      </c>
    </row>
    <row r="5" spans="1:17" ht="43.2" x14ac:dyDescent="0.3">
      <c r="A5" s="1" t="s">
        <v>10</v>
      </c>
      <c r="B5" s="2">
        <v>5</v>
      </c>
      <c r="C5" s="2">
        <v>6</v>
      </c>
      <c r="D5" s="2">
        <v>7</v>
      </c>
      <c r="E5" s="2">
        <v>6</v>
      </c>
      <c r="F5" s="2">
        <v>10</v>
      </c>
      <c r="G5" s="2">
        <v>60</v>
      </c>
      <c r="I5" s="1" t="s">
        <v>18</v>
      </c>
      <c r="J5" s="2">
        <v>4</v>
      </c>
      <c r="K5" s="10"/>
      <c r="L5" s="10"/>
      <c r="M5" s="10"/>
    </row>
    <row r="6" spans="1:17" ht="72" x14ac:dyDescent="0.3">
      <c r="A6" s="1" t="s">
        <v>11</v>
      </c>
      <c r="B6" s="2">
        <v>2</v>
      </c>
      <c r="C6" s="2">
        <v>3</v>
      </c>
      <c r="D6" s="2">
        <v>4</v>
      </c>
      <c r="E6" s="2">
        <v>3</v>
      </c>
      <c r="F6" s="2">
        <v>7</v>
      </c>
      <c r="G6" s="2">
        <v>21</v>
      </c>
      <c r="I6" s="1" t="s">
        <v>19</v>
      </c>
      <c r="J6" s="2">
        <v>4</v>
      </c>
      <c r="K6" s="10"/>
      <c r="L6" s="10"/>
      <c r="M6" s="10"/>
    </row>
    <row r="7" spans="1:17" ht="57.6" x14ac:dyDescent="0.3">
      <c r="A7" s="1" t="s">
        <v>12</v>
      </c>
      <c r="B7" s="3"/>
      <c r="C7" s="3"/>
      <c r="D7" s="3"/>
      <c r="E7" s="3"/>
      <c r="F7" s="3"/>
      <c r="G7" s="1">
        <v>279</v>
      </c>
      <c r="I7" s="1" t="s">
        <v>20</v>
      </c>
      <c r="J7" s="2">
        <v>3</v>
      </c>
      <c r="K7" s="10"/>
      <c r="L7" s="10"/>
      <c r="M7" s="10"/>
    </row>
    <row r="8" spans="1:17" ht="72" x14ac:dyDescent="0.3">
      <c r="I8" s="1" t="s">
        <v>21</v>
      </c>
      <c r="J8" s="2">
        <v>3</v>
      </c>
      <c r="K8" s="10"/>
      <c r="L8" s="10"/>
      <c r="M8" s="10"/>
    </row>
    <row r="9" spans="1:17" ht="72" x14ac:dyDescent="0.3">
      <c r="I9" s="1" t="s">
        <v>22</v>
      </c>
      <c r="J9" s="2">
        <v>3</v>
      </c>
      <c r="K9" s="10"/>
      <c r="L9" s="10"/>
      <c r="M9" s="10"/>
    </row>
    <row r="10" spans="1:17" ht="100.8" x14ac:dyDescent="0.3">
      <c r="I10" s="1" t="s">
        <v>23</v>
      </c>
      <c r="J10" s="2">
        <v>4</v>
      </c>
      <c r="K10" s="10"/>
      <c r="L10" s="10"/>
      <c r="M10" s="10"/>
    </row>
    <row r="11" spans="1:17" ht="57.6" x14ac:dyDescent="0.3">
      <c r="I11" s="1" t="s">
        <v>24</v>
      </c>
      <c r="J11" s="2">
        <v>4</v>
      </c>
      <c r="K11" s="10"/>
      <c r="L11" s="10"/>
      <c r="M11" s="10"/>
    </row>
    <row r="12" spans="1:17" ht="72" x14ac:dyDescent="0.3">
      <c r="I12" s="1" t="s">
        <v>25</v>
      </c>
      <c r="J12" s="2">
        <v>3</v>
      </c>
      <c r="K12" s="10"/>
      <c r="L12" s="10"/>
      <c r="M12" s="10"/>
    </row>
    <row r="13" spans="1:17" ht="43.2" x14ac:dyDescent="0.3">
      <c r="I13" s="1" t="s">
        <v>26</v>
      </c>
      <c r="J13" s="2">
        <v>3</v>
      </c>
      <c r="K13" s="10"/>
      <c r="L13" s="10"/>
      <c r="M13" s="10"/>
    </row>
    <row r="14" spans="1:17" ht="57.6" x14ac:dyDescent="0.3">
      <c r="I14" s="1" t="s">
        <v>27</v>
      </c>
      <c r="J14" s="2">
        <v>4</v>
      </c>
      <c r="K14" s="10"/>
      <c r="L14" s="10"/>
      <c r="M14" s="10"/>
    </row>
    <row r="15" spans="1:17" ht="86.4" x14ac:dyDescent="0.3">
      <c r="I15" s="1" t="s">
        <v>28</v>
      </c>
      <c r="J15" s="2">
        <v>5</v>
      </c>
      <c r="K15" s="10"/>
      <c r="L15" s="10"/>
      <c r="M15" s="10"/>
    </row>
    <row r="16" spans="1:17" x14ac:dyDescent="0.3">
      <c r="I16" s="1" t="s">
        <v>29</v>
      </c>
      <c r="J16" s="2">
        <f>SUM(J2:J15)</f>
        <v>48</v>
      </c>
      <c r="K16" s="10"/>
      <c r="L16" s="10"/>
      <c r="M16" s="10"/>
    </row>
  </sheetData>
  <mergeCells count="1">
    <mergeCell ref="B7:F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AD39-8C54-4F1B-96E1-4A9C702EA633}">
  <dimension ref="A1:Q16"/>
  <sheetViews>
    <sheetView topLeftCell="C1" workbookViewId="0">
      <selection activeCell="O5" sqref="O5"/>
    </sheetView>
  </sheetViews>
  <sheetFormatPr baseColWidth="10" defaultRowHeight="14.4" x14ac:dyDescent="0.3"/>
  <cols>
    <col min="9" max="9" width="14.88671875" customWidth="1"/>
    <col min="15" max="15" width="11.5546875" customWidth="1"/>
    <col min="16" max="16" width="47.6640625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13</v>
      </c>
      <c r="J1" s="1" t="s">
        <v>73</v>
      </c>
      <c r="L1" s="1" t="s">
        <v>30</v>
      </c>
      <c r="M1" s="1" t="s">
        <v>31</v>
      </c>
      <c r="O1" s="1" t="s">
        <v>36</v>
      </c>
      <c r="P1" s="1" t="s">
        <v>37</v>
      </c>
      <c r="Q1" s="1" t="s">
        <v>38</v>
      </c>
    </row>
    <row r="2" spans="1:17" ht="43.2" x14ac:dyDescent="0.3">
      <c r="A2" s="1" t="s">
        <v>7</v>
      </c>
      <c r="B2" s="2">
        <v>12</v>
      </c>
      <c r="C2" s="2">
        <v>14</v>
      </c>
      <c r="D2" s="2">
        <v>16</v>
      </c>
      <c r="E2" s="2">
        <v>14</v>
      </c>
      <c r="F2" s="2">
        <v>4</v>
      </c>
      <c r="G2" s="2">
        <v>56</v>
      </c>
      <c r="I2" s="1" t="s">
        <v>15</v>
      </c>
      <c r="J2" s="2">
        <v>4</v>
      </c>
      <c r="L2" s="1" t="s">
        <v>32</v>
      </c>
      <c r="M2" s="8">
        <v>253</v>
      </c>
      <c r="O2" s="1" t="s">
        <v>39</v>
      </c>
      <c r="P2" s="8" t="s">
        <v>96</v>
      </c>
      <c r="Q2" s="8" t="s">
        <v>97</v>
      </c>
    </row>
    <row r="3" spans="1:17" ht="43.2" x14ac:dyDescent="0.3">
      <c r="A3" s="1" t="s">
        <v>8</v>
      </c>
      <c r="B3" s="2">
        <v>6</v>
      </c>
      <c r="C3" s="2">
        <v>7</v>
      </c>
      <c r="D3" s="2">
        <v>9</v>
      </c>
      <c r="E3" s="2">
        <v>7</v>
      </c>
      <c r="F3" s="2">
        <v>5</v>
      </c>
      <c r="G3" s="2">
        <v>35</v>
      </c>
      <c r="I3" s="1" t="s">
        <v>16</v>
      </c>
      <c r="J3" s="2">
        <v>3</v>
      </c>
      <c r="L3" s="1" t="s">
        <v>33</v>
      </c>
      <c r="M3" s="9">
        <v>312</v>
      </c>
      <c r="O3" s="1" t="s">
        <v>42</v>
      </c>
      <c r="P3" s="8" t="s">
        <v>98</v>
      </c>
      <c r="Q3" s="8" t="s">
        <v>99</v>
      </c>
    </row>
    <row r="4" spans="1:17" ht="57.6" x14ac:dyDescent="0.3">
      <c r="A4" s="1" t="s">
        <v>9</v>
      </c>
      <c r="B4" s="2">
        <v>11</v>
      </c>
      <c r="C4" s="2">
        <v>13</v>
      </c>
      <c r="D4" s="2">
        <v>15</v>
      </c>
      <c r="E4" s="2">
        <v>13</v>
      </c>
      <c r="F4" s="2">
        <v>4</v>
      </c>
      <c r="G4" s="2">
        <v>52</v>
      </c>
      <c r="I4" s="1" t="s">
        <v>17</v>
      </c>
      <c r="J4" s="2">
        <v>2</v>
      </c>
      <c r="L4" s="1" t="s">
        <v>34</v>
      </c>
      <c r="M4" s="8" t="s">
        <v>93</v>
      </c>
      <c r="O4" s="1" t="s">
        <v>45</v>
      </c>
      <c r="P4" s="8" t="s">
        <v>100</v>
      </c>
      <c r="Q4" s="8" t="s">
        <v>101</v>
      </c>
    </row>
    <row r="5" spans="1:17" ht="28.8" x14ac:dyDescent="0.3">
      <c r="A5" s="1" t="s">
        <v>10</v>
      </c>
      <c r="B5" s="2">
        <v>5</v>
      </c>
      <c r="C5" s="2">
        <v>6</v>
      </c>
      <c r="D5" s="2">
        <v>7</v>
      </c>
      <c r="E5" s="2">
        <v>6</v>
      </c>
      <c r="F5" s="2">
        <v>10</v>
      </c>
      <c r="G5" s="2">
        <v>60</v>
      </c>
      <c r="I5" s="1" t="s">
        <v>18</v>
      </c>
      <c r="J5" s="2">
        <v>4</v>
      </c>
    </row>
    <row r="6" spans="1:17" ht="57.6" x14ac:dyDescent="0.3">
      <c r="A6" s="1" t="s">
        <v>11</v>
      </c>
      <c r="B6" s="2">
        <v>2</v>
      </c>
      <c r="C6" s="2">
        <v>3</v>
      </c>
      <c r="D6" s="2">
        <v>4</v>
      </c>
      <c r="E6" s="2">
        <v>3</v>
      </c>
      <c r="F6" s="2">
        <v>7</v>
      </c>
      <c r="G6" s="2">
        <v>21</v>
      </c>
      <c r="I6" s="1" t="s">
        <v>19</v>
      </c>
      <c r="J6" s="2">
        <v>3</v>
      </c>
    </row>
    <row r="7" spans="1:17" ht="43.2" x14ac:dyDescent="0.3">
      <c r="A7" s="1" t="s">
        <v>12</v>
      </c>
      <c r="B7" s="3"/>
      <c r="C7" s="3"/>
      <c r="D7" s="3"/>
      <c r="E7" s="3"/>
      <c r="F7" s="3"/>
      <c r="G7" s="1">
        <v>224</v>
      </c>
      <c r="I7" s="1" t="s">
        <v>20</v>
      </c>
      <c r="J7" s="2">
        <v>3</v>
      </c>
    </row>
    <row r="8" spans="1:17" ht="57.6" x14ac:dyDescent="0.3">
      <c r="I8" s="1" t="s">
        <v>21</v>
      </c>
      <c r="J8" s="2">
        <v>2</v>
      </c>
    </row>
    <row r="9" spans="1:17" ht="57.6" x14ac:dyDescent="0.3">
      <c r="I9" s="1" t="s">
        <v>22</v>
      </c>
      <c r="J9" s="2">
        <v>3</v>
      </c>
    </row>
    <row r="10" spans="1:17" ht="57.6" x14ac:dyDescent="0.3">
      <c r="I10" s="1" t="s">
        <v>23</v>
      </c>
      <c r="J10" s="2">
        <v>4</v>
      </c>
    </row>
    <row r="11" spans="1:17" ht="43.2" x14ac:dyDescent="0.3">
      <c r="I11" s="1" t="s">
        <v>24</v>
      </c>
      <c r="J11" s="2">
        <v>5</v>
      </c>
    </row>
    <row r="12" spans="1:17" ht="43.2" x14ac:dyDescent="0.3">
      <c r="I12" s="1" t="s">
        <v>25</v>
      </c>
      <c r="J12" s="2">
        <v>3</v>
      </c>
    </row>
    <row r="13" spans="1:17" ht="43.2" x14ac:dyDescent="0.3">
      <c r="I13" s="1" t="s">
        <v>26</v>
      </c>
      <c r="J13" s="2">
        <v>3</v>
      </c>
    </row>
    <row r="14" spans="1:17" ht="43.2" x14ac:dyDescent="0.3">
      <c r="I14" s="1" t="s">
        <v>27</v>
      </c>
      <c r="J14" s="2">
        <v>4</v>
      </c>
    </row>
    <row r="15" spans="1:17" ht="57.6" x14ac:dyDescent="0.3">
      <c r="I15" s="1" t="s">
        <v>28</v>
      </c>
      <c r="J15" s="2">
        <v>5</v>
      </c>
    </row>
    <row r="16" spans="1:17" x14ac:dyDescent="0.3">
      <c r="I16" s="1" t="s">
        <v>29</v>
      </c>
      <c r="J16" s="2">
        <f>SUM(J2:J15)</f>
        <v>48</v>
      </c>
    </row>
  </sheetData>
  <mergeCells count="1">
    <mergeCell ref="B7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4A3D3-A804-42B4-885B-1D6A650319D3}">
  <dimension ref="A1:Q16"/>
  <sheetViews>
    <sheetView topLeftCell="C1" workbookViewId="0">
      <selection activeCell="P6" sqref="P6"/>
    </sheetView>
  </sheetViews>
  <sheetFormatPr baseColWidth="10" defaultRowHeight="14.4" x14ac:dyDescent="0.3"/>
  <cols>
    <col min="9" max="9" width="15.5546875" customWidth="1"/>
    <col min="15" max="15" width="11.5546875" customWidth="1"/>
    <col min="16" max="16" width="41.109375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13</v>
      </c>
      <c r="J1" s="1" t="s">
        <v>73</v>
      </c>
      <c r="L1" s="1" t="s">
        <v>30</v>
      </c>
      <c r="M1" s="1" t="s">
        <v>31</v>
      </c>
      <c r="O1" s="1" t="s">
        <v>36</v>
      </c>
      <c r="P1" s="1" t="s">
        <v>37</v>
      </c>
      <c r="Q1" s="1" t="s">
        <v>38</v>
      </c>
    </row>
    <row r="2" spans="1:17" ht="43.2" x14ac:dyDescent="0.3">
      <c r="A2" s="1" t="s">
        <v>7</v>
      </c>
      <c r="B2" s="2">
        <v>10</v>
      </c>
      <c r="C2" s="2">
        <v>12</v>
      </c>
      <c r="D2" s="2">
        <v>14</v>
      </c>
      <c r="E2" s="2">
        <v>12</v>
      </c>
      <c r="F2" s="2">
        <v>4</v>
      </c>
      <c r="G2" s="2">
        <v>48</v>
      </c>
      <c r="I2" s="1" t="s">
        <v>15</v>
      </c>
      <c r="J2" s="2">
        <v>3</v>
      </c>
      <c r="L2" s="1" t="s">
        <v>32</v>
      </c>
      <c r="M2" s="8">
        <v>212</v>
      </c>
      <c r="O2" s="1" t="s">
        <v>39</v>
      </c>
      <c r="P2" s="8" t="s">
        <v>103</v>
      </c>
      <c r="Q2" s="8">
        <v>-1.94</v>
      </c>
    </row>
    <row r="3" spans="1:17" ht="86.4" x14ac:dyDescent="0.3">
      <c r="A3" s="1" t="s">
        <v>8</v>
      </c>
      <c r="B3" s="2">
        <v>5</v>
      </c>
      <c r="C3" s="2">
        <v>6</v>
      </c>
      <c r="D3" s="2">
        <v>8</v>
      </c>
      <c r="E3" s="2">
        <v>6</v>
      </c>
      <c r="F3" s="2">
        <v>5</v>
      </c>
      <c r="G3" s="2">
        <v>30</v>
      </c>
      <c r="I3" s="1" t="s">
        <v>16</v>
      </c>
      <c r="J3" s="2">
        <v>2</v>
      </c>
      <c r="L3" s="1" t="s">
        <v>33</v>
      </c>
      <c r="M3" s="9">
        <v>264</v>
      </c>
      <c r="O3" s="1" t="s">
        <v>42</v>
      </c>
      <c r="P3" s="8" t="s">
        <v>104</v>
      </c>
      <c r="Q3" s="8" t="s">
        <v>107</v>
      </c>
    </row>
    <row r="4" spans="1:17" ht="57.6" x14ac:dyDescent="0.3">
      <c r="A4" s="1" t="s">
        <v>9</v>
      </c>
      <c r="B4" s="2">
        <v>8</v>
      </c>
      <c r="C4" s="2">
        <v>10</v>
      </c>
      <c r="D4" s="2">
        <v>12</v>
      </c>
      <c r="E4" s="2">
        <v>10</v>
      </c>
      <c r="F4" s="2">
        <v>4</v>
      </c>
      <c r="G4" s="2">
        <v>40</v>
      </c>
      <c r="I4" s="1" t="s">
        <v>17</v>
      </c>
      <c r="J4" s="2">
        <v>1</v>
      </c>
      <c r="L4" s="1" t="s">
        <v>34</v>
      </c>
      <c r="M4" s="8" t="s">
        <v>102</v>
      </c>
      <c r="O4" s="1" t="s">
        <v>45</v>
      </c>
      <c r="P4" s="8" t="s">
        <v>105</v>
      </c>
      <c r="Q4" s="8" t="s">
        <v>106</v>
      </c>
    </row>
    <row r="5" spans="1:17" ht="28.8" x14ac:dyDescent="0.3">
      <c r="A5" s="1" t="s">
        <v>10</v>
      </c>
      <c r="B5" s="2">
        <v>4</v>
      </c>
      <c r="C5" s="2">
        <v>5</v>
      </c>
      <c r="D5" s="2">
        <v>6</v>
      </c>
      <c r="E5" s="2">
        <v>5</v>
      </c>
      <c r="F5" s="2">
        <v>10</v>
      </c>
      <c r="G5" s="2">
        <v>50</v>
      </c>
      <c r="I5" s="1" t="s">
        <v>18</v>
      </c>
      <c r="J5" s="2">
        <v>3</v>
      </c>
    </row>
    <row r="6" spans="1:17" ht="43.2" x14ac:dyDescent="0.3">
      <c r="A6" s="1" t="s">
        <v>11</v>
      </c>
      <c r="B6" s="2">
        <v>2</v>
      </c>
      <c r="C6" s="2">
        <v>3</v>
      </c>
      <c r="D6" s="2">
        <v>4</v>
      </c>
      <c r="E6" s="2">
        <v>3</v>
      </c>
      <c r="F6" s="2">
        <v>7</v>
      </c>
      <c r="G6" s="2">
        <v>21</v>
      </c>
      <c r="I6" s="1" t="s">
        <v>19</v>
      </c>
      <c r="J6" s="2">
        <v>4</v>
      </c>
    </row>
    <row r="7" spans="1:17" ht="43.2" x14ac:dyDescent="0.3">
      <c r="A7" s="1" t="s">
        <v>12</v>
      </c>
      <c r="B7" s="3"/>
      <c r="C7" s="3"/>
      <c r="D7" s="3"/>
      <c r="E7" s="3"/>
      <c r="F7" s="3"/>
      <c r="G7" s="1">
        <v>189</v>
      </c>
      <c r="I7" s="1" t="s">
        <v>20</v>
      </c>
      <c r="J7" s="2">
        <v>4</v>
      </c>
    </row>
    <row r="8" spans="1:17" ht="57.6" x14ac:dyDescent="0.3">
      <c r="I8" s="1" t="s">
        <v>21</v>
      </c>
      <c r="J8" s="2">
        <v>4</v>
      </c>
    </row>
    <row r="9" spans="1:17" ht="43.2" x14ac:dyDescent="0.3">
      <c r="I9" s="1" t="s">
        <v>22</v>
      </c>
      <c r="J9" s="2">
        <v>3</v>
      </c>
    </row>
    <row r="10" spans="1:17" ht="57.6" x14ac:dyDescent="0.3">
      <c r="I10" s="1" t="s">
        <v>23</v>
      </c>
      <c r="J10" s="2">
        <v>3</v>
      </c>
    </row>
    <row r="11" spans="1:17" ht="43.2" x14ac:dyDescent="0.3">
      <c r="I11" s="1" t="s">
        <v>24</v>
      </c>
      <c r="J11" s="2">
        <v>4</v>
      </c>
    </row>
    <row r="12" spans="1:17" ht="43.2" x14ac:dyDescent="0.3">
      <c r="I12" s="1" t="s">
        <v>25</v>
      </c>
      <c r="J12" s="2">
        <v>4</v>
      </c>
    </row>
    <row r="13" spans="1:17" ht="43.2" x14ac:dyDescent="0.3">
      <c r="I13" s="1" t="s">
        <v>26</v>
      </c>
      <c r="J13" s="2">
        <v>3</v>
      </c>
    </row>
    <row r="14" spans="1:17" ht="43.2" x14ac:dyDescent="0.3">
      <c r="I14" s="1" t="s">
        <v>27</v>
      </c>
      <c r="J14" s="2">
        <v>4</v>
      </c>
    </row>
    <row r="15" spans="1:17" ht="57.6" x14ac:dyDescent="0.3">
      <c r="I15" s="1" t="s">
        <v>28</v>
      </c>
      <c r="J15" s="2">
        <v>5</v>
      </c>
    </row>
    <row r="16" spans="1:17" x14ac:dyDescent="0.3">
      <c r="I16" s="1" t="s">
        <v>29</v>
      </c>
      <c r="J16" s="2">
        <f>SUM(J2:J15)</f>
        <v>47</v>
      </c>
    </row>
  </sheetData>
  <mergeCells count="1">
    <mergeCell ref="B7:F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90D5-16CC-448B-87B9-11994E726A4D}">
  <dimension ref="A1:Q16"/>
  <sheetViews>
    <sheetView tabSelected="1" workbookViewId="0">
      <selection activeCell="O5" sqref="O5"/>
    </sheetView>
  </sheetViews>
  <sheetFormatPr baseColWidth="10" defaultRowHeight="14.4" x14ac:dyDescent="0.3"/>
  <cols>
    <col min="9" max="9" width="15.109375" customWidth="1"/>
    <col min="16" max="16" width="64.33203125" customWidth="1"/>
  </cols>
  <sheetData>
    <row r="1" spans="1:17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13</v>
      </c>
      <c r="J1" s="1" t="s">
        <v>73</v>
      </c>
      <c r="L1" s="1" t="s">
        <v>30</v>
      </c>
      <c r="M1" s="1" t="s">
        <v>31</v>
      </c>
      <c r="O1" s="1" t="s">
        <v>36</v>
      </c>
      <c r="P1" s="1" t="s">
        <v>37</v>
      </c>
      <c r="Q1" s="1" t="s">
        <v>38</v>
      </c>
    </row>
    <row r="2" spans="1:17" ht="43.2" x14ac:dyDescent="0.3">
      <c r="A2" s="1" t="s">
        <v>7</v>
      </c>
      <c r="B2" s="2">
        <v>14</v>
      </c>
      <c r="C2" s="2">
        <v>16</v>
      </c>
      <c r="D2" s="2">
        <v>18</v>
      </c>
      <c r="E2" s="2">
        <v>16</v>
      </c>
      <c r="F2" s="2">
        <v>4</v>
      </c>
      <c r="G2" s="2">
        <v>64</v>
      </c>
      <c r="I2" s="1" t="s">
        <v>15</v>
      </c>
      <c r="J2" s="2">
        <v>4</v>
      </c>
      <c r="L2" s="1" t="s">
        <v>32</v>
      </c>
      <c r="M2" s="8">
        <v>306</v>
      </c>
      <c r="O2" s="1" t="s">
        <v>39</v>
      </c>
      <c r="P2" s="8" t="s">
        <v>109</v>
      </c>
      <c r="Q2" s="8" t="s">
        <v>110</v>
      </c>
    </row>
    <row r="3" spans="1:17" ht="39.6" customHeight="1" x14ac:dyDescent="0.3">
      <c r="A3" s="1" t="s">
        <v>8</v>
      </c>
      <c r="B3" s="2">
        <v>8</v>
      </c>
      <c r="C3" s="2">
        <v>10</v>
      </c>
      <c r="D3" s="2">
        <v>12</v>
      </c>
      <c r="E3" s="2">
        <v>10</v>
      </c>
      <c r="F3" s="2">
        <v>5</v>
      </c>
      <c r="G3" s="2">
        <v>50</v>
      </c>
      <c r="I3" s="1" t="s">
        <v>16</v>
      </c>
      <c r="J3" s="2">
        <v>3</v>
      </c>
      <c r="L3" s="1" t="s">
        <v>33</v>
      </c>
      <c r="M3" s="9">
        <v>376</v>
      </c>
      <c r="O3" s="1" t="s">
        <v>42</v>
      </c>
      <c r="P3" s="8" t="s">
        <v>114</v>
      </c>
      <c r="Q3" s="8" t="s">
        <v>111</v>
      </c>
    </row>
    <row r="4" spans="1:17" ht="57.6" x14ac:dyDescent="0.3">
      <c r="A4" s="1" t="s">
        <v>9</v>
      </c>
      <c r="B4" s="2">
        <v>12</v>
      </c>
      <c r="C4" s="2">
        <v>14</v>
      </c>
      <c r="D4" s="2">
        <v>16</v>
      </c>
      <c r="E4" s="2">
        <v>14</v>
      </c>
      <c r="F4" s="2">
        <v>4</v>
      </c>
      <c r="G4" s="2">
        <v>56</v>
      </c>
      <c r="I4" s="1" t="s">
        <v>17</v>
      </c>
      <c r="J4" s="2">
        <v>1</v>
      </c>
      <c r="L4" s="1" t="s">
        <v>34</v>
      </c>
      <c r="M4" s="8" t="s">
        <v>108</v>
      </c>
      <c r="O4" s="1" t="s">
        <v>45</v>
      </c>
      <c r="P4" s="8" t="s">
        <v>112</v>
      </c>
      <c r="Q4" s="8" t="s">
        <v>113</v>
      </c>
    </row>
    <row r="5" spans="1:17" ht="28.8" x14ac:dyDescent="0.3">
      <c r="A5" s="1" t="s">
        <v>10</v>
      </c>
      <c r="B5" s="2">
        <v>6</v>
      </c>
      <c r="C5" s="2">
        <v>7</v>
      </c>
      <c r="D5" s="2">
        <v>9</v>
      </c>
      <c r="E5" s="2">
        <v>7</v>
      </c>
      <c r="F5" s="2">
        <v>10</v>
      </c>
      <c r="G5" s="2">
        <v>70</v>
      </c>
      <c r="I5" s="1" t="s">
        <v>18</v>
      </c>
      <c r="J5" s="2">
        <v>4</v>
      </c>
    </row>
    <row r="6" spans="1:17" ht="57.6" x14ac:dyDescent="0.3">
      <c r="A6" s="1" t="s">
        <v>11</v>
      </c>
      <c r="B6" s="2">
        <v>3</v>
      </c>
      <c r="C6" s="2">
        <v>4</v>
      </c>
      <c r="D6" s="2">
        <v>5</v>
      </c>
      <c r="E6" s="2">
        <v>4</v>
      </c>
      <c r="F6" s="2">
        <v>7</v>
      </c>
      <c r="G6" s="2">
        <v>28</v>
      </c>
      <c r="I6" s="1" t="s">
        <v>19</v>
      </c>
      <c r="J6" s="2">
        <v>4</v>
      </c>
    </row>
    <row r="7" spans="1:17" ht="43.2" x14ac:dyDescent="0.3">
      <c r="A7" s="1" t="s">
        <v>12</v>
      </c>
      <c r="B7" s="5"/>
      <c r="C7" s="6"/>
      <c r="D7" s="6"/>
      <c r="E7" s="6"/>
      <c r="F7" s="7"/>
      <c r="G7" s="1">
        <v>268</v>
      </c>
      <c r="I7" s="1" t="s">
        <v>20</v>
      </c>
      <c r="J7" s="2">
        <v>3</v>
      </c>
    </row>
    <row r="8" spans="1:17" ht="57.6" x14ac:dyDescent="0.3">
      <c r="I8" s="1" t="s">
        <v>21</v>
      </c>
      <c r="J8" s="2">
        <v>3</v>
      </c>
    </row>
    <row r="9" spans="1:17" ht="43.2" x14ac:dyDescent="0.3">
      <c r="I9" s="1" t="s">
        <v>22</v>
      </c>
      <c r="J9" s="2">
        <v>3</v>
      </c>
    </row>
    <row r="10" spans="1:17" ht="57.6" x14ac:dyDescent="0.3">
      <c r="I10" s="1" t="s">
        <v>23</v>
      </c>
      <c r="J10" s="2">
        <v>4</v>
      </c>
    </row>
    <row r="11" spans="1:17" ht="43.2" x14ac:dyDescent="0.3">
      <c r="I11" s="1" t="s">
        <v>24</v>
      </c>
      <c r="J11" s="2">
        <v>5</v>
      </c>
    </row>
    <row r="12" spans="1:17" ht="43.2" x14ac:dyDescent="0.3">
      <c r="I12" s="1" t="s">
        <v>25</v>
      </c>
      <c r="J12" s="2">
        <v>3</v>
      </c>
    </row>
    <row r="13" spans="1:17" ht="43.2" x14ac:dyDescent="0.3">
      <c r="I13" s="1" t="s">
        <v>26</v>
      </c>
      <c r="J13" s="2">
        <v>3</v>
      </c>
    </row>
    <row r="14" spans="1:17" ht="43.2" x14ac:dyDescent="0.3">
      <c r="I14" s="1" t="s">
        <v>27</v>
      </c>
      <c r="J14" s="2">
        <v>4</v>
      </c>
    </row>
    <row r="15" spans="1:17" ht="57.6" x14ac:dyDescent="0.3">
      <c r="I15" s="1" t="s">
        <v>28</v>
      </c>
      <c r="J15" s="2">
        <v>5</v>
      </c>
    </row>
    <row r="16" spans="1:17" x14ac:dyDescent="0.3">
      <c r="I16" s="1" t="s">
        <v>29</v>
      </c>
      <c r="J16" s="2">
        <f>SUM(J2:J15)</f>
        <v>49</v>
      </c>
    </row>
  </sheetData>
  <mergeCells count="1"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Autenticación y Usuarios</vt:lpstr>
      <vt:lpstr>Proyectos y KPIs</vt:lpstr>
      <vt:lpstr>Registro de Datos</vt:lpstr>
      <vt:lpstr>Dashboard y Visualización</vt:lpstr>
      <vt:lpstr>Reportes y Exportación</vt:lpstr>
      <vt:lpstr>Alertas y Notificaciones</vt:lpstr>
      <vt:lpstr>Configuración del Sistema</vt:lpstr>
      <vt:lpstr>Auditoría y Trazabilidad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nicogame 2004</dc:creator>
  <cp:lastModifiedBy>nicogame 2004</cp:lastModifiedBy>
  <dcterms:created xsi:type="dcterms:W3CDTF">2025-10-29T03:07:01Z</dcterms:created>
  <dcterms:modified xsi:type="dcterms:W3CDTF">2025-10-29T04:56:25Z</dcterms:modified>
</cp:coreProperties>
</file>