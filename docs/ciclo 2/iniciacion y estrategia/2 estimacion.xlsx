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c2bc3058e0ad5bd/Documentos/"/>
    </mc:Choice>
  </mc:AlternateContent>
  <xr:revisionPtr revIDLastSave="0" documentId="8_{4B99B3E4-13FC-4C89-A669-EA2662B05479}" xr6:coauthVersionLast="47" xr6:coauthVersionMax="47" xr10:uidLastSave="{00000000-0000-0000-0000-000000000000}"/>
  <bookViews>
    <workbookView xWindow="11424" yWindow="0" windowWidth="11712" windowHeight="12336" xr2:uid="{D2C23B19-0A5A-4C36-94FD-51F2EB1DA6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C6" i="1" s="1"/>
  <c r="C8" i="1" s="1"/>
</calcChain>
</file>

<file path=xl/sharedStrings.xml><?xml version="1.0" encoding="utf-8"?>
<sst xmlns="http://schemas.openxmlformats.org/spreadsheetml/2006/main" count="172" uniqueCount="95">
  <si>
    <t>LOC</t>
  </si>
  <si>
    <t>HORAS</t>
  </si>
  <si>
    <t>PERSONAS</t>
  </si>
  <si>
    <t>LOC/PM</t>
  </si>
  <si>
    <t>PM</t>
  </si>
  <si>
    <t>Dias</t>
  </si>
  <si>
    <t>Módulo</t>
  </si>
  <si>
    <t>Escenario</t>
  </si>
  <si>
    <t>Horas</t>
  </si>
  <si>
    <t>Días (6 pers, 4 h/d)</t>
  </si>
  <si>
    <t>Autenticación y Usuarios</t>
  </si>
  <si>
    <t>Mejor (O)</t>
  </si>
  <si>
    <t>502.27</t>
  </si>
  <si>
    <t>1.32</t>
  </si>
  <si>
    <t>210.54</t>
  </si>
  <si>
    <t>8.77</t>
  </si>
  <si>
    <t>Más probable (M)</t>
  </si>
  <si>
    <t>590.90</t>
  </si>
  <si>
    <t>1.55</t>
  </si>
  <si>
    <t>247.69</t>
  </si>
  <si>
    <t>10.32</t>
  </si>
  <si>
    <t>Peor (P)</t>
  </si>
  <si>
    <t>738.63</t>
  </si>
  <si>
    <t>1.94</t>
  </si>
  <si>
    <t>309.91</t>
  </si>
  <si>
    <t>12.91</t>
  </si>
  <si>
    <t>Proyectos y KPIs</t>
  </si>
  <si>
    <t>904.08</t>
  </si>
  <si>
    <t>2.37</t>
  </si>
  <si>
    <t>379.06</t>
  </si>
  <si>
    <t>15.79</t>
  </si>
  <si>
    <t>1,063.62</t>
  </si>
  <si>
    <t>2.79</t>
  </si>
  <si>
    <t>446.69</t>
  </si>
  <si>
    <t>18.61</t>
  </si>
  <si>
    <t>1,329.53</t>
  </si>
  <si>
    <t>3.48</t>
  </si>
  <si>
    <t>557.20</t>
  </si>
  <si>
    <t>23.22</t>
  </si>
  <si>
    <t>Registro de Datos</t>
  </si>
  <si>
    <t>702.99</t>
  </si>
  <si>
    <t>1.84</t>
  </si>
  <si>
    <t>294.08</t>
  </si>
  <si>
    <t>12.25</t>
  </si>
  <si>
    <t>826.26</t>
  </si>
  <si>
    <t>2.16</t>
  </si>
  <si>
    <t>345.95</t>
  </si>
  <si>
    <t>14.41</t>
  </si>
  <si>
    <t>1,032.83</t>
  </si>
  <si>
    <t>2.71</t>
  </si>
  <si>
    <t>433.58</t>
  </si>
  <si>
    <t>18.07</t>
  </si>
  <si>
    <t>Dashboard y Visualización</t>
  </si>
  <si>
    <t>803.40</t>
  </si>
  <si>
    <t>2.10</t>
  </si>
  <si>
    <t>335.75</t>
  </si>
  <si>
    <t>14.00</t>
  </si>
  <si>
    <t>944.64</t>
  </si>
  <si>
    <t>2.47</t>
  </si>
  <si>
    <t>395.62</t>
  </si>
  <si>
    <t>16.48</t>
  </si>
  <si>
    <t>1,180.80</t>
  </si>
  <si>
    <t>3.09</t>
  </si>
  <si>
    <t>494.53</t>
  </si>
  <si>
    <t>20.61</t>
  </si>
  <si>
    <t>Reportes y Exportación</t>
  </si>
  <si>
    <t>Alertas y Notificaciones</t>
  </si>
  <si>
    <t>Configuración del Sistema</t>
  </si>
  <si>
    <t>Auditoría y Trazabilidad</t>
  </si>
  <si>
    <t>401.81</t>
  </si>
  <si>
    <t>1.05</t>
  </si>
  <si>
    <t>168.43</t>
  </si>
  <si>
    <t>7.02</t>
  </si>
  <si>
    <t>472.72</t>
  </si>
  <si>
    <t>1.24</t>
  </si>
  <si>
    <t>198.15</t>
  </si>
  <si>
    <t>8.26</t>
  </si>
  <si>
    <t>Mejor (O −15%)</t>
  </si>
  <si>
    <t>5,022.65</t>
  </si>
  <si>
    <t>13.16</t>
  </si>
  <si>
    <t>2,105.38</t>
  </si>
  <si>
    <t>87.72</t>
  </si>
  <si>
    <t>5,909.00</t>
  </si>
  <si>
    <t>15.48</t>
  </si>
  <si>
    <t>2,476.92</t>
  </si>
  <si>
    <t>103.20</t>
  </si>
  <si>
    <t>Peor (P +25%)</t>
  </si>
  <si>
    <t>7,386.25</t>
  </si>
  <si>
    <t>19.35</t>
  </si>
  <si>
    <t>3,096.15</t>
  </si>
  <si>
    <t>129.01</t>
  </si>
  <si>
    <t>Linea base</t>
  </si>
  <si>
    <t>REPARTO DE MODULOS (%)</t>
  </si>
  <si>
    <t>MODULO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</si>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</sst>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right" vertical="center" wrapText="1"/>
    </xf>
    <xf numFmtId="0" fontId="0" fillId="0" borderId="2" xfId="0" applyBorder="1"/>
    <xf numFmtId="2" fontId="0" fillId="0" borderId="2" xfId="0" applyNumberFormat="1" applyBorder="1"/>
    <xf numFmtId="0" fontId="0" fillId="0" borderId="3" xfId="0" applyBorder="1" applyAlignment="1">
      <alignment horizontal="center" vertical="center" wrapText="1"/>
    </xf>
    <xf numFmtId="0" fontId="0" fillId="0" borderId="0" xfId="0" applyBorder="1"/>
    <xf numFmtId="0" fontId="0" fillId="0" borderId="0" xfId="0" applyBorder="1" applyAlignment="1">
      <alignment vertical="center" wrapText="1"/>
    </xf>
    <xf numFmtId="9" fontId="0" fillId="0" borderId="1" xfId="1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0" fillId="0" borderId="4" xfId="0" applyBorder="1" applyAlignment="1">
      <alignment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9A683-E8BB-42BB-9E97-F2D1F9353439}">
  <dimension ref="B2:H42"/>
  <sheetViews>
    <sheetView tabSelected="1" topLeftCell="C1" workbookViewId="0">
      <selection activeCell="I17" sqref="I17"/>
    </sheetView>
  </sheetViews>
  <sheetFormatPr baseColWidth="10" defaultRowHeight="14.4" x14ac:dyDescent="0.3"/>
  <cols>
    <col min="2" max="2" width="13.33203125" customWidth="1"/>
    <col min="6" max="6" width="14.109375" bestFit="1" customWidth="1"/>
    <col min="7" max="7" width="22" bestFit="1" customWidth="1"/>
  </cols>
  <sheetData>
    <row r="2" spans="2:8" ht="14.4" customHeight="1" x14ac:dyDescent="0.3">
      <c r="B2" s="6" t="s">
        <v>0</v>
      </c>
      <c r="C2" s="9">
        <v>5909</v>
      </c>
      <c r="D2" s="3" t="s">
        <v>91</v>
      </c>
      <c r="F2" s="15" t="s">
        <v>92</v>
      </c>
      <c r="G2" s="16" t="s">
        <v>93</v>
      </c>
      <c r="H2" s="16" t="s">
        <v>94</v>
      </c>
    </row>
    <row r="3" spans="2:8" x14ac:dyDescent="0.3">
      <c r="B3" s="6" t="s">
        <v>3</v>
      </c>
      <c r="C3" s="9">
        <v>381.7</v>
      </c>
      <c r="D3" s="3"/>
      <c r="F3" s="15"/>
      <c r="G3" s="6" t="s">
        <v>10</v>
      </c>
      <c r="H3" s="14">
        <v>0.1</v>
      </c>
    </row>
    <row r="4" spans="2:8" x14ac:dyDescent="0.3">
      <c r="B4" s="6" t="s">
        <v>2</v>
      </c>
      <c r="C4" s="9">
        <v>6</v>
      </c>
      <c r="D4" s="3"/>
      <c r="F4" s="15"/>
      <c r="G4" s="6" t="s">
        <v>26</v>
      </c>
      <c r="H4" s="14">
        <v>0.18</v>
      </c>
    </row>
    <row r="5" spans="2:8" x14ac:dyDescent="0.3">
      <c r="B5" s="12"/>
      <c r="C5" s="12"/>
      <c r="D5" s="3"/>
      <c r="F5" s="15"/>
      <c r="G5" s="6" t="s">
        <v>39</v>
      </c>
      <c r="H5" s="14">
        <v>0.14000000000000001</v>
      </c>
    </row>
    <row r="6" spans="2:8" x14ac:dyDescent="0.3">
      <c r="B6" s="6" t="s">
        <v>1</v>
      </c>
      <c r="C6" s="10">
        <f>+C7*160</f>
        <v>2476.9190463714958</v>
      </c>
      <c r="D6" s="3"/>
      <c r="F6" s="15"/>
      <c r="G6" s="6" t="s">
        <v>52</v>
      </c>
      <c r="H6" s="14">
        <v>0.16</v>
      </c>
    </row>
    <row r="7" spans="2:8" x14ac:dyDescent="0.3">
      <c r="B7" s="6" t="s">
        <v>4</v>
      </c>
      <c r="C7" s="10">
        <f>+C2/C3</f>
        <v>15.48074403982185</v>
      </c>
      <c r="D7" s="3"/>
      <c r="F7" s="15"/>
      <c r="G7" s="6" t="s">
        <v>65</v>
      </c>
      <c r="H7" s="14">
        <v>0.14000000000000001</v>
      </c>
    </row>
    <row r="8" spans="2:8" x14ac:dyDescent="0.3">
      <c r="B8" s="6" t="s">
        <v>5</v>
      </c>
      <c r="C8" s="10">
        <f>+C6/(6*4)</f>
        <v>103.20496026547899</v>
      </c>
      <c r="D8" s="11"/>
      <c r="F8" s="15"/>
      <c r="G8" s="6" t="s">
        <v>66</v>
      </c>
      <c r="H8" s="14">
        <v>0.1</v>
      </c>
    </row>
    <row r="9" spans="2:8" x14ac:dyDescent="0.3">
      <c r="D9" s="17"/>
      <c r="F9" s="15"/>
      <c r="G9" s="6" t="s">
        <v>67</v>
      </c>
      <c r="H9" s="14">
        <v>0.1</v>
      </c>
    </row>
    <row r="10" spans="2:8" x14ac:dyDescent="0.3">
      <c r="D10" s="13"/>
      <c r="F10" s="15"/>
      <c r="G10" s="6" t="s">
        <v>68</v>
      </c>
      <c r="H10" s="14">
        <v>0.08</v>
      </c>
    </row>
    <row r="13" spans="2:8" ht="28.8" x14ac:dyDescent="0.3">
      <c r="B13" s="1" t="s">
        <v>6</v>
      </c>
      <c r="C13" s="1" t="s">
        <v>7</v>
      </c>
      <c r="D13" s="2" t="s">
        <v>0</v>
      </c>
      <c r="E13" s="2" t="s">
        <v>4</v>
      </c>
      <c r="F13" s="2" t="s">
        <v>8</v>
      </c>
      <c r="G13" s="2" t="s">
        <v>9</v>
      </c>
    </row>
    <row r="14" spans="2:8" ht="28.8" customHeight="1" x14ac:dyDescent="0.3">
      <c r="B14" s="3" t="s">
        <v>10</v>
      </c>
      <c r="C14" s="4" t="s">
        <v>11</v>
      </c>
      <c r="D14" s="5" t="s">
        <v>12</v>
      </c>
      <c r="E14" s="5" t="s">
        <v>13</v>
      </c>
      <c r="F14" s="5" t="s">
        <v>14</v>
      </c>
      <c r="G14" s="5" t="s">
        <v>15</v>
      </c>
    </row>
    <row r="15" spans="2:8" ht="28.8" x14ac:dyDescent="0.3">
      <c r="B15" s="3"/>
      <c r="C15" s="4" t="s">
        <v>16</v>
      </c>
      <c r="D15" s="5" t="s">
        <v>17</v>
      </c>
      <c r="E15" s="5" t="s">
        <v>18</v>
      </c>
      <c r="F15" s="5" t="s">
        <v>19</v>
      </c>
      <c r="G15" s="5" t="s">
        <v>20</v>
      </c>
    </row>
    <row r="16" spans="2:8" x14ac:dyDescent="0.3">
      <c r="B16" s="3"/>
      <c r="C16" s="4" t="s">
        <v>21</v>
      </c>
      <c r="D16" s="5" t="s">
        <v>22</v>
      </c>
      <c r="E16" s="5" t="s">
        <v>23</v>
      </c>
      <c r="F16" s="5" t="s">
        <v>24</v>
      </c>
      <c r="G16" s="5" t="s">
        <v>25</v>
      </c>
    </row>
    <row r="17" spans="2:7" ht="28.8" customHeight="1" x14ac:dyDescent="0.3">
      <c r="B17" s="3" t="s">
        <v>26</v>
      </c>
      <c r="C17" s="4" t="s">
        <v>11</v>
      </c>
      <c r="D17" s="5" t="s">
        <v>27</v>
      </c>
      <c r="E17" s="5" t="s">
        <v>28</v>
      </c>
      <c r="F17" s="5" t="s">
        <v>29</v>
      </c>
      <c r="G17" s="5" t="s">
        <v>30</v>
      </c>
    </row>
    <row r="18" spans="2:7" ht="28.8" x14ac:dyDescent="0.3">
      <c r="B18" s="3"/>
      <c r="C18" s="4" t="s">
        <v>16</v>
      </c>
      <c r="D18" s="5" t="s">
        <v>31</v>
      </c>
      <c r="E18" s="5" t="s">
        <v>32</v>
      </c>
      <c r="F18" s="5" t="s">
        <v>33</v>
      </c>
      <c r="G18" s="5" t="s">
        <v>34</v>
      </c>
    </row>
    <row r="19" spans="2:7" x14ac:dyDescent="0.3">
      <c r="B19" s="3"/>
      <c r="C19" s="4" t="s">
        <v>21</v>
      </c>
      <c r="D19" s="5" t="s">
        <v>35</v>
      </c>
      <c r="E19" s="5" t="s">
        <v>36</v>
      </c>
      <c r="F19" s="5" t="s">
        <v>37</v>
      </c>
      <c r="G19" s="5" t="s">
        <v>38</v>
      </c>
    </row>
    <row r="20" spans="2:7" ht="28.8" customHeight="1" x14ac:dyDescent="0.3">
      <c r="B20" s="3" t="s">
        <v>39</v>
      </c>
      <c r="C20" s="4" t="s">
        <v>11</v>
      </c>
      <c r="D20" s="5" t="s">
        <v>40</v>
      </c>
      <c r="E20" s="5" t="s">
        <v>41</v>
      </c>
      <c r="F20" s="5" t="s">
        <v>42</v>
      </c>
      <c r="G20" s="5" t="s">
        <v>43</v>
      </c>
    </row>
    <row r="21" spans="2:7" ht="28.8" x14ac:dyDescent="0.3">
      <c r="B21" s="3"/>
      <c r="C21" s="4" t="s">
        <v>16</v>
      </c>
      <c r="D21" s="5" t="s">
        <v>44</v>
      </c>
      <c r="E21" s="5" t="s">
        <v>45</v>
      </c>
      <c r="F21" s="5" t="s">
        <v>46</v>
      </c>
      <c r="G21" s="5" t="s">
        <v>47</v>
      </c>
    </row>
    <row r="22" spans="2:7" x14ac:dyDescent="0.3">
      <c r="B22" s="3"/>
      <c r="C22" s="4" t="s">
        <v>21</v>
      </c>
      <c r="D22" s="5" t="s">
        <v>48</v>
      </c>
      <c r="E22" s="5" t="s">
        <v>49</v>
      </c>
      <c r="F22" s="5" t="s">
        <v>50</v>
      </c>
      <c r="G22" s="5" t="s">
        <v>51</v>
      </c>
    </row>
    <row r="23" spans="2:7" ht="28.8" customHeight="1" x14ac:dyDescent="0.3">
      <c r="B23" s="3" t="s">
        <v>52</v>
      </c>
      <c r="C23" s="4" t="s">
        <v>11</v>
      </c>
      <c r="D23" s="5" t="s">
        <v>53</v>
      </c>
      <c r="E23" s="5" t="s">
        <v>54</v>
      </c>
      <c r="F23" s="5" t="s">
        <v>55</v>
      </c>
      <c r="G23" s="5" t="s">
        <v>56</v>
      </c>
    </row>
    <row r="24" spans="2:7" ht="28.8" x14ac:dyDescent="0.3">
      <c r="B24" s="3"/>
      <c r="C24" s="4" t="s">
        <v>16</v>
      </c>
      <c r="D24" s="5" t="s">
        <v>57</v>
      </c>
      <c r="E24" s="5" t="s">
        <v>58</v>
      </c>
      <c r="F24" s="5" t="s">
        <v>59</v>
      </c>
      <c r="G24" s="5" t="s">
        <v>60</v>
      </c>
    </row>
    <row r="25" spans="2:7" x14ac:dyDescent="0.3">
      <c r="B25" s="3"/>
      <c r="C25" s="4" t="s">
        <v>21</v>
      </c>
      <c r="D25" s="5" t="s">
        <v>61</v>
      </c>
      <c r="E25" s="5" t="s">
        <v>62</v>
      </c>
      <c r="F25" s="5" t="s">
        <v>63</v>
      </c>
      <c r="G25" s="5" t="s">
        <v>64</v>
      </c>
    </row>
    <row r="26" spans="2:7" ht="28.8" customHeight="1" x14ac:dyDescent="0.3">
      <c r="B26" s="3" t="s">
        <v>65</v>
      </c>
      <c r="C26" s="4" t="s">
        <v>11</v>
      </c>
      <c r="D26" s="5" t="s">
        <v>40</v>
      </c>
      <c r="E26" s="5" t="s">
        <v>41</v>
      </c>
      <c r="F26" s="5" t="s">
        <v>42</v>
      </c>
      <c r="G26" s="5" t="s">
        <v>43</v>
      </c>
    </row>
    <row r="27" spans="2:7" ht="28.8" x14ac:dyDescent="0.3">
      <c r="B27" s="3"/>
      <c r="C27" s="4" t="s">
        <v>16</v>
      </c>
      <c r="D27" s="5" t="s">
        <v>44</v>
      </c>
      <c r="E27" s="5" t="s">
        <v>45</v>
      </c>
      <c r="F27" s="5" t="s">
        <v>46</v>
      </c>
      <c r="G27" s="5" t="s">
        <v>47</v>
      </c>
    </row>
    <row r="28" spans="2:7" x14ac:dyDescent="0.3">
      <c r="B28" s="3"/>
      <c r="C28" s="4" t="s">
        <v>21</v>
      </c>
      <c r="D28" s="5" t="s">
        <v>48</v>
      </c>
      <c r="E28" s="5" t="s">
        <v>49</v>
      </c>
      <c r="F28" s="5" t="s">
        <v>50</v>
      </c>
      <c r="G28" s="5" t="s">
        <v>51</v>
      </c>
    </row>
    <row r="29" spans="2:7" ht="43.2" customHeight="1" x14ac:dyDescent="0.3">
      <c r="B29" s="3" t="s">
        <v>66</v>
      </c>
      <c r="C29" s="4" t="s">
        <v>11</v>
      </c>
      <c r="D29" s="5" t="s">
        <v>12</v>
      </c>
      <c r="E29" s="5" t="s">
        <v>13</v>
      </c>
      <c r="F29" s="5" t="s">
        <v>14</v>
      </c>
      <c r="G29" s="5" t="s">
        <v>15</v>
      </c>
    </row>
    <row r="30" spans="2:7" ht="28.8" x14ac:dyDescent="0.3">
      <c r="B30" s="3"/>
      <c r="C30" s="4" t="s">
        <v>16</v>
      </c>
      <c r="D30" s="5" t="s">
        <v>17</v>
      </c>
      <c r="E30" s="5" t="s">
        <v>18</v>
      </c>
      <c r="F30" s="5" t="s">
        <v>19</v>
      </c>
      <c r="G30" s="5" t="s">
        <v>20</v>
      </c>
    </row>
    <row r="31" spans="2:7" x14ac:dyDescent="0.3">
      <c r="B31" s="3"/>
      <c r="C31" s="4" t="s">
        <v>21</v>
      </c>
      <c r="D31" s="5" t="s">
        <v>22</v>
      </c>
      <c r="E31" s="5" t="s">
        <v>23</v>
      </c>
      <c r="F31" s="5" t="s">
        <v>24</v>
      </c>
      <c r="G31" s="5" t="s">
        <v>25</v>
      </c>
    </row>
    <row r="32" spans="2:7" ht="28.8" customHeight="1" x14ac:dyDescent="0.3">
      <c r="B32" s="3" t="s">
        <v>67</v>
      </c>
      <c r="C32" s="4" t="s">
        <v>11</v>
      </c>
      <c r="D32" s="5" t="s">
        <v>12</v>
      </c>
      <c r="E32" s="5" t="s">
        <v>13</v>
      </c>
      <c r="F32" s="5" t="s">
        <v>14</v>
      </c>
      <c r="G32" s="5" t="s">
        <v>15</v>
      </c>
    </row>
    <row r="33" spans="2:7" ht="28.8" x14ac:dyDescent="0.3">
      <c r="B33" s="3"/>
      <c r="C33" s="4" t="s">
        <v>16</v>
      </c>
      <c r="D33" s="5" t="s">
        <v>17</v>
      </c>
      <c r="E33" s="5" t="s">
        <v>18</v>
      </c>
      <c r="F33" s="5" t="s">
        <v>19</v>
      </c>
      <c r="G33" s="5" t="s">
        <v>20</v>
      </c>
    </row>
    <row r="34" spans="2:7" x14ac:dyDescent="0.3">
      <c r="B34" s="3"/>
      <c r="C34" s="4" t="s">
        <v>21</v>
      </c>
      <c r="D34" s="5" t="s">
        <v>22</v>
      </c>
      <c r="E34" s="5" t="s">
        <v>23</v>
      </c>
      <c r="F34" s="5" t="s">
        <v>24</v>
      </c>
      <c r="G34" s="5" t="s">
        <v>25</v>
      </c>
    </row>
    <row r="35" spans="2:7" ht="28.8" customHeight="1" x14ac:dyDescent="0.3">
      <c r="B35" s="3" t="s">
        <v>68</v>
      </c>
      <c r="C35" s="4" t="s">
        <v>11</v>
      </c>
      <c r="D35" s="5" t="s">
        <v>69</v>
      </c>
      <c r="E35" s="5" t="s">
        <v>70</v>
      </c>
      <c r="F35" s="5" t="s">
        <v>71</v>
      </c>
      <c r="G35" s="5" t="s">
        <v>72</v>
      </c>
    </row>
    <row r="36" spans="2:7" ht="28.8" x14ac:dyDescent="0.3">
      <c r="B36" s="3"/>
      <c r="C36" s="4" t="s">
        <v>16</v>
      </c>
      <c r="D36" s="5" t="s">
        <v>73</v>
      </c>
      <c r="E36" s="5" t="s">
        <v>74</v>
      </c>
      <c r="F36" s="5" t="s">
        <v>75</v>
      </c>
      <c r="G36" s="5" t="s">
        <v>76</v>
      </c>
    </row>
    <row r="37" spans="2:7" x14ac:dyDescent="0.3">
      <c r="B37" s="3"/>
      <c r="C37" s="4" t="s">
        <v>21</v>
      </c>
      <c r="D37" s="5" t="s">
        <v>17</v>
      </c>
      <c r="E37" s="5" t="s">
        <v>18</v>
      </c>
      <c r="F37" s="5" t="s">
        <v>19</v>
      </c>
      <c r="G37" s="5" t="s">
        <v>20</v>
      </c>
    </row>
    <row r="39" spans="2:7" ht="28.8" x14ac:dyDescent="0.3">
      <c r="B39" s="1" t="s">
        <v>7</v>
      </c>
      <c r="C39" s="2" t="s">
        <v>0</v>
      </c>
      <c r="D39" s="2" t="s">
        <v>4</v>
      </c>
      <c r="E39" s="2" t="s">
        <v>8</v>
      </c>
      <c r="F39" s="2" t="s">
        <v>9</v>
      </c>
    </row>
    <row r="40" spans="2:7" ht="28.8" x14ac:dyDescent="0.3">
      <c r="B40" s="7" t="s">
        <v>77</v>
      </c>
      <c r="C40" s="8" t="s">
        <v>78</v>
      </c>
      <c r="D40" s="8" t="s">
        <v>79</v>
      </c>
      <c r="E40" s="8" t="s">
        <v>80</v>
      </c>
      <c r="F40" s="8" t="s">
        <v>81</v>
      </c>
    </row>
    <row r="41" spans="2:7" ht="43.2" x14ac:dyDescent="0.3">
      <c r="B41" s="7" t="s">
        <v>16</v>
      </c>
      <c r="C41" s="8" t="s">
        <v>82</v>
      </c>
      <c r="D41" s="8" t="s">
        <v>83</v>
      </c>
      <c r="E41" s="8" t="s">
        <v>84</v>
      </c>
      <c r="F41" s="8" t="s">
        <v>85</v>
      </c>
    </row>
    <row r="42" spans="2:7" ht="28.8" x14ac:dyDescent="0.3">
      <c r="B42" s="7" t="s">
        <v>86</v>
      </c>
      <c r="C42" s="8" t="s">
        <v>87</v>
      </c>
      <c r="D42" s="8" t="s">
        <v>88</v>
      </c>
      <c r="E42" s="8" t="s">
        <v>89</v>
      </c>
      <c r="F42" s="8" t="s">
        <v>90</v>
      </c>
    </row>
  </sheetData>
  <mergeCells count="10">
    <mergeCell ref="B32:B34"/>
    <mergeCell ref="B35:B37"/>
    <mergeCell ref="D2:D8"/>
    <mergeCell ref="F2:F10"/>
    <mergeCell ref="B14:B16"/>
    <mergeCell ref="B17:B19"/>
    <mergeCell ref="B20:B22"/>
    <mergeCell ref="B23:B25"/>
    <mergeCell ref="B26:B28"/>
    <mergeCell ref="B29:B3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Marin</dc:creator>
  <cp:lastModifiedBy>Matias Marin</cp:lastModifiedBy>
  <dcterms:created xsi:type="dcterms:W3CDTF">2025-10-29T11:26:42Z</dcterms:created>
  <dcterms:modified xsi:type="dcterms:W3CDTF">2025-10-29T14:00:01Z</dcterms:modified>
</cp:coreProperties>
</file>