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pivotTables/pivotTable13.xml" ContentType="application/vnd.openxmlformats-officedocument.spreadsheetml.pivotTable+xml"/>
  <Override PartName="/xl/drawings/drawing1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3B014828-1ABC-4F57-B50C-9283586C40B3}" xr6:coauthVersionLast="47" xr6:coauthVersionMax="47" xr10:uidLastSave="{00000000-0000-0000-0000-000000000000}"/>
  <bookViews>
    <workbookView xWindow="-120" yWindow="-120" windowWidth="20730" windowHeight="11040" firstSheet="13" activeTab="18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SEMANA 8" sheetId="24" r:id="rId8"/>
    <sheet name="SEMANA 9" sheetId="27" r:id="rId9"/>
    <sheet name="DATOS 1" sheetId="9" r:id="rId10"/>
    <sheet name="DATOS 2" sheetId="8" r:id="rId11"/>
    <sheet name="DATOS 3" sheetId="7" r:id="rId12"/>
    <sheet name="DATOS 4" sheetId="14" r:id="rId13"/>
    <sheet name="DATOS 5" sheetId="21" r:id="rId14"/>
    <sheet name="DATOS 6 y 7 " sheetId="23" r:id="rId15"/>
    <sheet name="DATOS 8" sheetId="25" r:id="rId16"/>
    <sheet name="DATOS 9" sheetId="26" r:id="rId17"/>
    <sheet name="EDTs" sheetId="19" r:id="rId18"/>
    <sheet name="DATOS 1 (CICLO 2)" sheetId="28" r:id="rId19"/>
  </sheets>
  <definedNames>
    <definedName name="_xlnm._FilterDatabase" localSheetId="9" hidden="1">'DATOS 1'!$A$7:$L$50</definedName>
    <definedName name="_xlnm._FilterDatabase" localSheetId="18" hidden="1">'DATOS 1 (CICLO 2)'!$A$7:$M$112</definedName>
    <definedName name="_xlnm._FilterDatabase" localSheetId="10" hidden="1">'DATOS 2'!$A$7:$L$66</definedName>
    <definedName name="_xlnm._FilterDatabase" localSheetId="11" hidden="1">'DATOS 3'!$A$7:$M$61</definedName>
    <definedName name="_xlnm._FilterDatabase" localSheetId="12" hidden="1">'DATOS 4'!$A$7:$M$97</definedName>
    <definedName name="_xlnm._FilterDatabase" localSheetId="13" hidden="1">'DATOS 5'!$A$7:$M$56</definedName>
    <definedName name="_xlnm._FilterDatabase" localSheetId="14" hidden="1">'DATOS 6 y 7 '!$A$7:$M$65</definedName>
    <definedName name="_xlnm._FilterDatabase" localSheetId="15" hidden="1">'DATOS 8'!$A$7:$M$87</definedName>
    <definedName name="_xlnm._FilterDatabase" localSheetId="16" hidden="1">'DATOS 9'!$A$7:$M$90</definedName>
    <definedName name="_xlnm._FilterDatabase" localSheetId="17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7" hidden="1">'SEMANA 8'!$A$7:$M$86</definedName>
    <definedName name="_xlnm._FilterDatabase" localSheetId="8" hidden="1">'SEMANA 9'!$A$7:$M$90</definedName>
    <definedName name="_xlnm._FilterDatabase" localSheetId="0" hidden="1">SEMANAS!$A$7:$B$108</definedName>
  </definedNames>
  <calcPr calcId="191028"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  <pivotCache cacheId="8" r:id="rId28"/>
    <pivotCache cacheId="12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28" l="1"/>
  <c r="J81" i="28"/>
  <c r="J82" i="28"/>
  <c r="J83" i="28"/>
  <c r="J84" i="28"/>
  <c r="J85" i="28"/>
  <c r="J86" i="28"/>
  <c r="J87" i="28"/>
  <c r="J88" i="28"/>
  <c r="J71" i="28"/>
  <c r="J72" i="28"/>
  <c r="J73" i="28"/>
  <c r="J74" i="28"/>
  <c r="J75" i="28"/>
  <c r="J76" i="28"/>
  <c r="J77" i="28"/>
  <c r="J78" i="28"/>
  <c r="J79" i="28"/>
  <c r="J67" i="28"/>
  <c r="J68" i="28"/>
  <c r="J69" i="28"/>
  <c r="J70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89" i="28"/>
  <c r="T133" i="28"/>
  <c r="S133" i="28"/>
  <c r="R133" i="28"/>
  <c r="Q133" i="28"/>
  <c r="J112" i="28"/>
  <c r="J111" i="28"/>
  <c r="J110" i="28"/>
  <c r="J109" i="28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T133" i="27"/>
  <c r="S133" i="27"/>
  <c r="R133" i="27"/>
  <c r="Q133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2" i="26"/>
  <c r="J13" i="26"/>
  <c r="J14" i="26"/>
  <c r="J15" i="26"/>
  <c r="J16" i="26"/>
  <c r="J17" i="26"/>
  <c r="J18" i="26"/>
  <c r="J19" i="26"/>
  <c r="J10" i="26"/>
  <c r="J11" i="26"/>
  <c r="T133" i="26"/>
  <c r="S133" i="26"/>
  <c r="R133" i="26"/>
  <c r="Q133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9" i="26"/>
  <c r="J8" i="26"/>
  <c r="J29" i="9"/>
  <c r="J49" i="8"/>
  <c r="J42" i="7"/>
  <c r="J74" i="14"/>
  <c r="J32" i="21"/>
  <c r="J42" i="23"/>
  <c r="J43" i="23"/>
  <c r="J40" i="23"/>
  <c r="J63" i="25"/>
  <c r="T130" i="25"/>
  <c r="S130" i="25"/>
  <c r="R130" i="25"/>
  <c r="Q130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56" i="24"/>
  <c r="J57" i="24"/>
  <c r="J58" i="24"/>
  <c r="J59" i="24"/>
  <c r="J60" i="24"/>
  <c r="J50" i="24"/>
  <c r="J51" i="24"/>
  <c r="J52" i="24"/>
  <c r="J53" i="24"/>
  <c r="J54" i="24"/>
  <c r="J49" i="24"/>
  <c r="J55" i="24"/>
  <c r="J61" i="24"/>
  <c r="J62" i="24"/>
  <c r="J63" i="24"/>
  <c r="J39" i="24"/>
  <c r="J40" i="24"/>
  <c r="J38" i="24"/>
  <c r="J41" i="24"/>
  <c r="J42" i="24"/>
  <c r="J43" i="24"/>
  <c r="J44" i="24"/>
  <c r="J45" i="24"/>
  <c r="J46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47" i="24"/>
  <c r="J48" i="24"/>
  <c r="J9" i="24"/>
  <c r="T129" i="24"/>
  <c r="S129" i="24"/>
  <c r="R129" i="24"/>
  <c r="Q129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8" i="24"/>
  <c r="J17" i="23"/>
  <c r="T126" i="23"/>
  <c r="S126" i="23"/>
  <c r="R126" i="23"/>
  <c r="Q12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1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8" i="14"/>
  <c r="T109" i="9"/>
  <c r="S109" i="9"/>
  <c r="R109" i="9"/>
  <c r="Q109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W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6"/>
  <c r="A7" i="6" a="1"/>
  <c r="A7" i="8"/>
  <c r="A7" i="8" a="1"/>
  <c r="A7" i="9"/>
  <c r="A7" i="9" a="1"/>
  <c r="A7" i="5"/>
  <c r="A7" i="5" a="1"/>
  <c r="A7" i="24"/>
  <c r="A7" i="24" a="1"/>
  <c r="A7" i="15"/>
  <c r="A7" i="15" a="1"/>
  <c r="A7" i="25"/>
  <c r="A7" i="25" a="1"/>
  <c r="A7" i="7"/>
  <c r="A7" i="7" a="1"/>
  <c r="A7" i="21"/>
  <c r="A7" i="21" a="1"/>
  <c r="A7" i="22"/>
  <c r="A7" i="22" a="1"/>
  <c r="A7" i="4"/>
  <c r="A7" i="4" a="1"/>
  <c r="A7" i="27"/>
  <c r="A7" i="27" a="1"/>
  <c r="A7" i="23"/>
  <c r="A7" i="23" a="1"/>
  <c r="A7" i="20"/>
  <c r="A7" i="20" a="1"/>
  <c r="A7" i="26"/>
  <c r="A7" i="26" a="1"/>
  <c r="A7" i="14"/>
  <c r="A7" i="14" a="1"/>
  <c r="A7" i="1"/>
  <c r="A7" i="1" a="1"/>
  <c r="A7" i="28"/>
  <c r="A7" i="28" a="1"/>
  <c r="A7" i="19"/>
  <c r="A7" i="19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<sst xmlns="http://schemas.openxmlformats.org/spreadsheetml/2006/main" count="7105" uniqueCount="573">
  <si>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</si>
  <si>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</si>
  <si>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</si>
  <si>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</si>
  <si>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</si>
  <si>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</si>
  <si>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</si>
  <si>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</si>
  <si>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</si>
  <si>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</si>
  <si>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</si>
  <si>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</si>
  <si>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</si>
  <si>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</si>
  <si>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</si>
  <si>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</si>
  <si>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</si>
  <si>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</si>
  <si>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</si>
  <si>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</si>
  <si>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</si>
  <si>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</si>
  <si>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</si>
  <si>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</si>
  <si>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</si>
  <si>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</si>
  <si>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</si>
  <si>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</si>
  <si>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</si>
  <si>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</si>
  <si>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</si>
  <si>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</si>
  <si>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</si>
  <si>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</si>
  <si>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</si>
  <si>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</si>
  <si>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</si>
  <si>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</si>
  <si>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</si>
  <si>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</si>
  <si>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</si>
  <si>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</si>
  <si>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</si>
  <si>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</si>
  <si>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</si>
  <si>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</si>
  <si>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</si>
  <si>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</si>
  <si>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</si>
  <si>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</si>
  <si>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</si>
  <si>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</si>
  <si>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</si>
  <si>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</si>
  <si>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</si>
  <si>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</si>
  <si>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</si>
  <si>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</si>
  <si>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</si>
  <si>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</si>
  <si>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</si>
  <si>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</si>
  <si>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</si>
  <si>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</si>
  <si>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</si>
  <si>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</si>
  <si>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</si>
  <si>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</si>
  <si>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</si>
  <si>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</si>
  <si>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</si>
  <si>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</si>
  <si>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</si>
  <si>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</si>
  <si>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</si>
  <si>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</si>
  <si>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</si>
  <si>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</si>
  <si>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</si>
  <si>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</si>
  <si>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</si>
  <si>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</si>
  <si>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</si>
  <si>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</si>
  <si>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</si>
  <si>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</si>
  <si>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</si>
  <si>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</si>
  <si>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</si>
  <si>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</si>
  <si>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</si>
  <si>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</si>
  <si>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</si>
  <si>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</si>
  <si>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</si>
  <si>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</si>
  <si>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</si>
  <si>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</si>
  <si>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</si>
  <si>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</si>
  <si>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</si>
  <si>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</si>
  <si>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</si>
  <si>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</si>
  <si>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</si>
  <si>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</si>
  <si>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</si>
  <si>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</si>
  <si>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</si>
  <si>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</si>
  <si>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</si>
  <si>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</si>
  <si>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</si>
  <si>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</si>
  <si>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</si>
  <si>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</si>
  <si>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</si>
  <si>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</si>
  <si>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</si>
  <si>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</si>
  <si>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</si>
  <si>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</si>
  <si>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</si>
  <si>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</si>
  <si>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</si>
  <si>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</si>
  <si>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</si>
  <si>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</si>
  <si>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</si>
  <si>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</si>
  <si>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</si>
  <si>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</si>
  <si>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</si>
  <si>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</si>
  <si>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</si>
  <si>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</si>
  <si>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</si>
  <si>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</si>
  <si>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</si>
  <si>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</si>
  <si>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</si>
  <si>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</si>
  <si>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</si>
  <si>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</si>
  <si>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</si>
  <si>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</si>
  <si>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</si>
  <si>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</si>
  <si>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</si>
  <si>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</si>
  <si>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</si>
  <si>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</si>
  <si>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</si>
  <si>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</si>
  <si>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</si>
  <si>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</si>
  <si>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</si>
  <si>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</si>
  <si>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</si>
  <si>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</si>
  <si>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</si>
  <si>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</si>
  <si>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</si>
  <si>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</si>
  <si>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</si>
  <si>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</si>
  <si>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</si>
  <si>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</si>
  <si>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</si>
  <si>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</si>
  <si>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</si>
  <si>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</si>
  <si>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</si>
  <si>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</si>
  <si>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</si>
  <si>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</si>
  <si>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</si>
  <si>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</si>
  <si>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</si>
  <si>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</si>
  <si>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</si>
  <si>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</si>
  <si>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</si>
  <si>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</si>
  <si>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</si>
  <si>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</si>
  <si>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</si>
  <si>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</si>
  <si>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</si>
  <si>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</si>
  <si>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</si>
  <si>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</si>
  <si>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</si>
  <si>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</si>
  <si>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</si>
  <si>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</si>
  <si>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</si>
  <si>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</si>
  <si>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</si>
  <si>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</si>
  <si>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</si>
  <si>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</si>
  <si>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</si>
  <si>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</si>
  <si>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</si>
  <si>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</si>
  <si>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</si>
  <si>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</si>
  <si>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</si>
  <si>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</si>
  <si>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</si>
  <si>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</si>
  <si>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</si>
  <si>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</si>
  <si>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</si>
  <si>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</si>
  <si>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</si>
  <si>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</si>
  <si>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</si>
  <si>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</si>
  <si>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</si>
  <si>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</si>
  <si>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</si>
  <si>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</si>
  <si>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</si>
  <si>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</si>
  <si>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</si>
  <si>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</si>
  <si>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</si>
  <si>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</si>
  <si>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</si>
  <si>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</si>
  <si>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</si>
  <si>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</si>
  <si>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</si>
  <si>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</si>
  <si>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</si>
  <si>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</si>
  <si>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</si>
  <si>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</si>
  <si>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</si>
  <si>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</si>
  <si>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</si>
  <si>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</si>
  <si>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</si>
  <si>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</si>
  <si>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</si>
  <si>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</si>
  <si>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</si>
  <si>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</si>
  <si>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</si>
  <si>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</si>
  <si>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</si>
  <si>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</si>
  <si>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</si>
  <si>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</si>
  <si>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</si>
  <si>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</si>
  <si>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</si>
  <si>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</si>
  <si>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</si>
  <si>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</si>
  <si>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</si>
  <si>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</si>
  <si>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</si>
  <si>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</si>
  <si>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</si>
  <si>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</si>
  <si>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</si>
  <si>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</si>
  <si>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</si>
  <si>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</si>
  <si>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</si>
  <si>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</si>
  <si>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</si>
  <si>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</si>
  <si>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</si>
  <si>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</si>
  <si>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</si>
  <si>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</si>
  <si>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</si>
  <si>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</si>
  <si>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</si>
  <si>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</si>
  <si>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</si>
  <si>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</si>
  <si>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</si>
  <si>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</si>
  <si>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</si>
  <si>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</si>
  <si>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</si>
  <si>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</si>
  <si>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</si>
  <si>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</si>
  <si>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</si>
  <si>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</si>
  <si>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</si>
  <si>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</si>
  <si>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</si>
  <si>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</si>
  <si>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</si>
  <si>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</si>
  <si>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</si>
  <si>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</si>
  <si>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</si>
  <si>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</si>
  <si>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</si>
  <si>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</si>
  <si>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</si>
  <si>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</si>
  <si>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</si>
  <si>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</si>
  <si>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</si>
  <si>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</si>
  <si>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</si>
  <si>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</si>
  <si>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</si>
  <si>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</si>
  <si>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</si>
  <si>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</si>
  <si>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</si>
  <si>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</si>
  <si>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</si>
  <si>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</si>
  <si>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</si>
  <si>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</si>
  <si>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</si>
  <si>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</si>
  <si>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</si>
  <si>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</si>
  <si>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</si>
  <si>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</si>
  <si>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</si>
  <si>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</si>
  <si>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</si>
  <si>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</si>
  <si>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</si>
  <si>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</si>
  <si>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</si>
  <si>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</si>
  <si>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</si>
  <si>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</si>
  <si>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</si>
  <si>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</si>
  <si>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</si>
  <si>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</si>
  <si>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</si>
  <si>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</si>
  <si>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</si>
  <si>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</si>
  <si>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</si>
  <si>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</si>
  <si>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</si>
  <si>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</si>
  <si>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</si>
  <si>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</si>
  <si>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</si>
  <si>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</si>
  <si>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</si>
  <si>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</si>
  <si>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</si>
  <si>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</si>
  <si>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</si>
  <si>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</si>
  <si>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</si>
  <si>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</si>
  <si>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</si>
  <si>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</si>
  <si>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</si>
  <si>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</si>
  <si>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</si>
  <si>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</si>
  <si>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</si>
  <si>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</si>
  <si>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</si>
  <si>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</si>
  <si>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</si>
  <si>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</si>
  <si>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</si>
  <si>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</si>
  <si>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</si>
  <si>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</si>
  <si>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</si>
  <si>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</si>
  <si>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</si>
  <si>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</si>
  <si>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</si>
  <si>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</si>
  <si>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</si>
  <si>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</si>
  <si>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</si>
  <si>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</si>
  <si>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</si>
  <si>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</si>
  <si>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</si>
  <si>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</si>
  <si>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</si>
  <si>
    <t xml:space="preserve">Introducción </t>
  </si>
  <si>
    <t>Configurar FE/BE/BD, migraciones,
datos semilla y conectividad.</t>
  </si>
  <si>
    <t>Objetivo</t>
  </si>
  <si>
    <t>Redactar fichas PI-01…PI-18 (ID,
pasos, datos, esperado).</t>
  </si>
  <si>
    <t xml:space="preserve">Alcance </t>
  </si>
  <si>
    <t>Definiciones
y
Abreviaturas</t>
  </si>
  <si>
    <t>Definir orden, ventanas, RACI y
criterios de severidad/prioridad.</t>
  </si>
  <si>
    <t>Registrar y dar seguimiento en Log
(ID, severidad, estado).</t>
  </si>
  <si>
    <t>Plan de
pruebas</t>
  </si>
  <si>
    <t>Plan de pruebas</t>
  </si>
  <si>
    <t>Reprobar PIs afectados tras
correcciones</t>
  </si>
  <si>
    <t>Reprobar PIs afectados tras correcciones</t>
  </si>
  <si>
    <t>Ejecutar PI01 – UC-01
Crear tarea</t>
  </si>
  <si>
    <t>Ejecutar PI02 – UC-02
Asignar tarea</t>
  </si>
  <si>
    <t>Ejecutar PI03 – UC-03
Cambiar
fecha límite</t>
  </si>
  <si>
    <t>Ejecutar PI04 – UC-04
Registrar
tiempo</t>
  </si>
  <si>
    <t>Ejecutar PI05 – UC-05
Completar
tarea</t>
  </si>
  <si>
    <t>Ejecutar PI06 – UC-06
Crear KPI</t>
  </si>
  <si>
    <t>Ejecutar PI07 – UC-07
Ver
dashboard</t>
  </si>
  <si>
    <t>Ejecutar PI08 – UC-08
Generar
reporte</t>
  </si>
  <si>
    <t>Ejecutar PI09 – UC-09
Visualizar
KPI</t>
  </si>
  <si>
    <t>Ejecutar PI10 – UC-10
Ver lista de
tareas</t>
  </si>
  <si>
    <t>Ejecutar PI11 – UC-11
Tarea→Proy
ecto</t>
  </si>
  <si>
    <t>Ejecutar PI12 – UC-12
Editar tarea</t>
  </si>
  <si>
    <t>Ejecutar PI13 – UC-13
Filtrar tareas</t>
  </si>
  <si>
    <t>Ejecutar PI14 – UC-14
Ver progreso</t>
  </si>
  <si>
    <t>Ejecutar PI15 – UC-15
Ver
notificaciones</t>
  </si>
  <si>
    <t>Ejecutar PI16 – UC-16
Marcar
notificación
leída</t>
  </si>
  <si>
    <t>Ejecutar PI17 – UC-17
Detalle de
tarea</t>
  </si>
  <si>
    <t>Ejecutar PI18 – UC-18
Eliminar
tarea</t>
  </si>
  <si>
    <t>Ejecutar PI-019 Crear proyecto</t>
  </si>
  <si>
    <t>Ejecutar PI-020 Editar proyecto</t>
  </si>
  <si>
    <t>Ejecutar PI-021 Eliminar proyecto</t>
  </si>
  <si>
    <t>Ejecutar PI-022 Filtrar proyecto</t>
  </si>
  <si>
    <t>Ejecutar PI-023 Ver proyecto</t>
  </si>
  <si>
    <t>Ejecutar PI-024 Cambiar fecha proyecto</t>
  </si>
  <si>
    <t>Informe de Pruebas</t>
  </si>
  <si>
    <t>Informe
Consolidado
del Ciclo</t>
  </si>
  <si>
    <t>Revisión y
Firma del
Informe
Consolidado</t>
  </si>
  <si>
    <t>Archivo y
Distribución
de Informes</t>
  </si>
  <si>
    <t>Corrección de informe de pruebas y planes</t>
  </si>
  <si>
    <t>Corrección ortografica o lógica de los documentos de esta fase.</t>
  </si>
  <si>
    <t>Crear tarea y verificar
persistencia/visualización.</t>
  </si>
  <si>
    <t>Asignar responsable y validar en
lista/detalle.</t>
  </si>
  <si>
    <t>Modificar vencimiento y reflejo en
UI/BD.</t>
  </si>
  <si>
    <t>Registrar horas y actualizar
progreso</t>
  </si>
  <si>
    <t>Cambiar estado a “Completada” con
validaciones.</t>
  </si>
  <si>
    <t>Crear KPI (nombre/fórmula/objetivo)
para dashboard/reporte.</t>
  </si>
  <si>
    <t>Visualizar KPIs y tareas integradas.</t>
  </si>
  <si>
    <t>Descargar PDF/Excel con filtros y
validar consistencia.</t>
  </si>
  <si>
    <t>Ver valor/gráfica y contrastar con
BD.</t>
  </si>
  <si>
    <t>Listar tareas con estado y
responsable.</t>
  </si>
  <si>
    <t>Vincular tarea a proyecto y validar
relación.</t>
  </si>
  <si>
    <t>Modificar campos y verificar
integridad.</t>
  </si>
  <si>
    <t>Aplicar filtros por
fecha/estado/usuario</t>
  </si>
  <si>
    <t>Visualizar %/horas vs. registros de
tiempo.</t>
  </si>
  <si>
    <t>Listar notificaciones generadas por
eventos.</t>
  </si>
  <si>
    <t>Cambiar estado y persistir cambio</t>
  </si>
  <si>
    <t>Mostrar ficha completa (desc.,
vencimiento, responsable, horas).</t>
  </si>
  <si>
    <t>Borrar tarea y validar
integridad/ocultamiento.</t>
  </si>
  <si>
    <t>Crear un nuevo proyecto con las especificaciones dichas</t>
  </si>
  <si>
    <t>La opción despliegue el menu para ver las tareas</t>
  </si>
  <si>
    <t>Habilite la opción para Cambiar la fecha de vencimiento.</t>
  </si>
  <si>
    <t>Con la programación del filtro permita ver, lo que el usuario necesita.</t>
  </si>
  <si>
    <t>Resumen global de PIs
(aprobados/fallidos), métricas,
defectos por severidad/prioridad y
conclusión de aptitud para UAT.</t>
  </si>
  <si>
    <t xml:space="preserve">Revisión de hallazgos, aceptación y
firma del cierre de ciclo. </t>
  </si>
  <si>
    <t xml:space="preserve">Publicar informes (carpeta PI y
consolidado), notificar a interesados. </t>
  </si>
  <si>
    <t>Dentro del "PLAN DE PRUEBAS"agregamos las evidencias para incluir este informe.</t>
  </si>
  <si>
    <t>nicolas Cubillos</t>
  </si>
  <si>
    <t>Script de definición de procesos(PRUEBAS)</t>
  </si>
  <si>
    <t>Se realizo el llenado del control de asignaciones para asi terminar con éxito la fase 8 de PRUEBAS y para que los demas lideres llenen sus bitácoras</t>
  </si>
  <si>
    <t>Corrección de Código</t>
  </si>
  <si>
    <t>Corrección del codigo para mejorar escalibildad y tiempo.</t>
  </si>
  <si>
    <t>corregir Capturas/gifs de flujos, colección
Postman, scripts de BD, instructivo de
arranque local.</t>
  </si>
  <si>
    <t>Corrección de Documentos</t>
  </si>
  <si>
    <t>correción ortografica, orden y normas de los Documentos</t>
  </si>
  <si>
    <t>Recolección de
métricas
del ciclo</t>
  </si>
  <si>
    <t>Script de definición de procesos(POST-MORTEM)</t>
  </si>
  <si>
    <t>Se realizo el llenado del control de asignaciones para asi terminar con éxito la fase 9 de POST-MORTEM y para que los demas lideres llenen sus bitácoras</t>
  </si>
  <si>
    <t>Se recopilan los datos de
desempeño registrados en las
bitácoras, logs de defectos,
control de tareas y plan de
calidad. Se consolidan métricas
por equipo, integrante y rol.</t>
  </si>
  <si>
    <t>Análisis de
métricas
del
proyecto</t>
  </si>
  <si>
    <t>Se comparan los valores
estimados vs reales en tiempo,
esfuerzo y cumplimiento de
tareas. Se calcula el nivel de
desviación y porcentaje de
cumplimiento por fase y rol.</t>
  </si>
  <si>
    <t>Seguimiento de tareas no planeadas</t>
  </si>
  <si>
    <t>Se identifican las tareas que
surgieron durante la ejecución y
no estaban previstas en la planificación inicial, evaluando
su impacto en tiempo y esfuerzo.</t>
  </si>
  <si>
    <t>Evaluación
del plan de
calidad</t>
  </si>
  <si>
    <t>Se revisan los resultados de las
métricas de calidad: porcentaje
libre de defectos, efectividad de
revisiones, comparación de
tiempos de desarrollo y revisión,
y líneas de código (LOC)
analizadas.</t>
  </si>
  <si>
    <t>Gestión de
defectos e
incidencias</t>
  </si>
  <si>
    <t>Se realiza un análisis de
defectos por fase, tipo y
responsable. Se mide la
efectividad en la detección,
remoción y control de errores.</t>
  </si>
  <si>
    <t>Comparación de
tiempos y
esfuerzo</t>
  </si>
  <si>
    <t>Se contrastan los tiempos
dedicados a documentación,
revisión e implementación para
evaluar la eficiencia del equipo y
el equilibrio de carga de trabajo.</t>
  </si>
  <si>
    <t>Evaluación
de
requerimientos
implementados</t>
  </si>
  <si>
    <t>Se revisan los requerimientos
planeados en el acta de
lanzamiento versus los
efectivamente implementados y
probados.</t>
  </si>
  <si>
    <t>Consolidación de
documentos y
plantillas
revisadas</t>
  </si>
  <si>
    <t>Se verifican las plantillas
elaboradas, documentos
actualizados y revisiones
realizadas en cada fase del ciclo.</t>
  </si>
  <si>
    <t>Análisis
DOFA del
ciclo</t>
  </si>
  <si>
    <t>El equipo realiza un análisis de
fortalezas, oportunidades,
debilidades y amenazas
(DOFA), respondiendo: qué
funcionó bien, qué no, causas y
oportunidades de mejora.</t>
  </si>
  <si>
    <t>Elaboración del
Informe
Postmortem</t>
  </si>
  <si>
    <t>Se redacta el documento final
con los resultados de métricas,
análisis DOFA, aspectos
positivos y negativos, y
propuesta de mejora para el ciclo
2.</t>
  </si>
  <si>
    <t>Preparación de
informe
individual
por rol</t>
  </si>
  <si>
    <t>Cada integrante elabora su parte
de la presentación, detallando lo
realizado durante el ciclo,
sustentado en métricas y
entregas.</t>
  </si>
  <si>
    <t>Identificación de
aspectos
positivos y
negativos</t>
  </si>
  <si>
    <t>Cada integrante presenta los
logros obtenidos y las
dificultades enfrentadas durante
el ciclo, justificándolos con datos
reales.</t>
  </si>
  <si>
    <t>Formulación de
propuestas de
mejora
(problema solución)</t>
  </si>
  <si>
    <t>Se plantean las mejoras a
implementar para el siguiente
ciclo, partiendo de los problemas
detectados. Se define una acción
concreta por propuesta.</t>
  </si>
  <si>
    <t>Reporte de
ciclo
(análisis de proceso,
esfuerzo y
producto)</t>
  </si>
  <si>
    <t>Se consolidan los resultados del
equipo respecto al proceso
seguido, el esfuerzo invertido y la
calidad del producto entregado.</t>
  </si>
  <si>
    <t>Diseño y
consolidación de la
presentación final</t>
  </si>
  <si>
    <t>Se unifican todas las diapositivas
en una presentación coherente,
clara y visualmente organizada,
incluyendo las métricas
generales y las conclusiones.</t>
  </si>
  <si>
    <t>Corrección de DOCUMENTOS POSTMORTEM</t>
  </si>
  <si>
    <t>Revisión y
validación
final de
entregables</t>
  </si>
  <si>
    <t>Se revisan el documento y la
presentación verificando
consistencia entre datos,
conclusiones y métricas. Se
obtiene la aprobación del equipo.</t>
  </si>
  <si>
    <t>Entrega y
exposición
del
Postmortem</t>
  </si>
  <si>
    <t>Se entrega el documento final y
se realiza la exposición ante el
docente. Cada integrante
sustenta sus resultados y la
propuesta de mejora.</t>
  </si>
  <si>
    <t>Kerlon Gutierrez</t>
  </si>
  <si>
    <t>Control de asignaciones</t>
  </si>
  <si>
    <t>Se realizo el llenado del control de asignaciones para asi terminar con éxito la fase 1 del ciclo 2 y para que los demas lideres llenen sus bitácoras</t>
  </si>
  <si>
    <t>27/20/2025</t>
  </si>
  <si>
    <t>Verificar asistencia y compromiso de todos
los integrantes para el desarrollo del
proyecto.</t>
  </si>
  <si>
    <t>Verificar asistencia y compromiso de todos los integrantes para el desarrollo del proyecto.</t>
  </si>
  <si>
    <t>Designar oficialmente los roles (Líder de
equipo, planeación, calidad, soporte,
desarrollo, arquitectura)</t>
  </si>
  <si>
    <t>Definición
de reglas
de trabajo</t>
  </si>
  <si>
    <t>Acordar normas de comunicación,
reuniones, ciclo de entregas y solución de
conflictos.</t>
  </si>
  <si>
    <t>Establecimiento de
objetivos</t>
  </si>
  <si>
    <t>Determinar objetivos del equipo,
individuales y por rol alineados con el
problema definido y con la visión general
del proyecto.</t>
  </si>
  <si>
    <t>Registro
de
disponibilidad</t>
  </si>
  <si>
    <t>Documentar horarios y tiempo disponible
de cada miembro para coordinar
actividades</t>
  </si>
  <si>
    <t>Firma del
acta de
iniciación</t>
  </si>
  <si>
    <t>Consolidar toda la información y oficializar
el inicio del proyecto incluyendo la
definición del problema con la firma de
todos</t>
  </si>
  <si>
    <t>Lineamiento
estratégico</t>
  </si>
  <si>
    <t>Plantear la ruta general del proyecto y
principios de trabajo.</t>
  </si>
  <si>
    <t>Criterios
de la
estrategia</t>
  </si>
  <si>
    <t>Identificar los criterios que guiarán
decisiones y prioridades.</t>
  </si>
  <si>
    <t>Estrategia
general</t>
  </si>
  <si>
    <t>Describir la orientación metodológica y
técnica del proyecto.</t>
  </si>
  <si>
    <t>Diseño
conceptual</t>
  </si>
  <si>
    <t>Representar la visión y estructura general
de la plataforma.</t>
  </si>
  <si>
    <t>Identificación de
módulos</t>
  </si>
  <si>
    <t>Determinar las áreas funcionales que
compondrán el sistema.</t>
  </si>
  <si>
    <t>Funcionali
dades
asociadas</t>
  </si>
  <si>
    <t>Asociar funcionalidades principales a cada
módulo.</t>
  </si>
  <si>
    <t>Estimació
n de
tamaño
basada en
LOC y
CoCoMo</t>
  </si>
  <si>
    <t>Usa LOC para el tamaño y CoCoMo para
estimar el esfuerzo</t>
  </si>
  <si>
    <t>Estimació
n de
tamaño
basada en
LOC y
datos
históricos</t>
  </si>
  <si>
    <t>Usa LOC para el tamaño y datos históricos
para esfuerzo</t>
  </si>
  <si>
    <t>Estimació
n de
tamaño
basada en
puntos de
función y
CoCoMo</t>
  </si>
  <si>
    <t>Usa puntos de función para el tamaño y
modelo empírico CoCoMo para esfuerzo</t>
  </si>
  <si>
    <t>Estimació
n de
tamaño
basada en
puntos de
función y
datos
históricos</t>
  </si>
  <si>
    <t>Usa puntos de función para el tamaño y
datos históricos para esfuerzo</t>
  </si>
  <si>
    <t>Estimació
n de
tamaño y
esfuerzo
basada en
puntos de
caso de
uso</t>
  </si>
  <si>
    <t>Usa puntos de caso de uso para el tamaño
y esfuerzo basado en estos puntos</t>
  </si>
  <si>
    <t>dentificaci
ón y
criterios de
valoración</t>
  </si>
  <si>
    <t>Definir criterios de probabilidad, impacto y
costo de retiro, y aplicarlos a la
identificación de riesgos.</t>
  </si>
  <si>
    <t>Clasificaci
ón de
riesgos</t>
  </si>
  <si>
    <t>Registrar y categorizar riesgos en tres tipos:
proyecto, producto y equipo.</t>
  </si>
  <si>
    <t>Valoración
y
priorización</t>
  </si>
  <si>
    <t>Evaluar cada riesgo según criterios
establecidos y priorizar en función de su
nivel de exposición.</t>
  </si>
  <si>
    <t>Plan de
mitigación
y
contingencia</t>
  </si>
  <si>
    <t>Definir acciones preventivas y de
contingencia para los riesgos de mayor
impacto.</t>
  </si>
  <si>
    <t>Programa
de
seguimiento</t>
  </si>
  <si>
    <t>Establecer la periodicidad de revisión y los
responsables del monitoreo de riesgos.</t>
  </si>
  <si>
    <t>Definición
del
objetivo</t>
  </si>
  <si>
    <t>Establecer el propósito de la administración
de configuración en el proyecto.</t>
  </si>
  <si>
    <t>Organización y roles</t>
  </si>
  <si>
    <t>Definir la estructura organizativa y
responsabilidades (líder de soporte, líder de
proyecto, equipo).</t>
  </si>
  <si>
    <t>Políticas y
procedimientos</t>
  </si>
  <si>
    <t>Establecer políticas, directivas y
lineamientos que regulen la administración
de configuración.</t>
  </si>
  <si>
    <t>Identificación de
configuraciones</t>
  </si>
  <si>
    <t>Determinar y nombrar los elementos de
configuración que serán controlados
(código, BD, documentación).</t>
  </si>
  <si>
    <t>Control de
cambios</t>
  </si>
  <si>
    <t>Revisiones del
estado</t>
  </si>
  <si>
    <t>Programas y
recursos</t>
  </si>
  <si>
    <t>Plan de
mantenimiento</t>
  </si>
  <si>
    <t>Gestionar solicitudes de cambios, su
evaluación, aprobación/rechazo e
implantación.</t>
  </si>
  <si>
    <t>Monitorear y verificar periódicamente el
estado de los elementos de configuración.</t>
  </si>
  <si>
    <t>Definir la estrategia de mantenimiento y
actualización de los elementos de
configuración.</t>
  </si>
  <si>
    <t>Establecer programas de soporte
(herramientas, repositorios, entornos) y
recursos necesarios.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</si>
</sst>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5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4" fontId="2" fillId="0" borderId="1" xfId="0" applyNumberFormat="1" applyFont="1" applyBorder="1"/>
    <xf numFmtId="21" fontId="2" fillId="0" borderId="1" xfId="0" applyNumberFormat="1" applyFont="1" applyBorder="1"/>
    <xf numFmtId="14" fontId="2" fillId="0" borderId="1" xfId="0" applyNumberFormat="1" applyFont="1" applyBorder="1" applyAlignment="1">
      <alignment wrapText="1"/>
    </xf>
    <xf numFmtId="165" fontId="2" fillId="0" borderId="1" xfId="0" applyNumberFormat="1" applyFont="1" applyBorder="1"/>
    <xf numFmtId="0" fontId="0" fillId="0" borderId="0" xfId="0" applyNumberFormat="1"/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D78-A211-A41D7319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D0D-A789-8CAC510E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1).xlsx]SEMANA 9!TablaDinámica1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8-46F6-A124-8C8A52875669}"/>
            </c:ext>
          </c:extLst>
        </c:ser>
        <c:ser>
          <c:idx val="1"/>
          <c:order val="1"/>
          <c:tx>
            <c:strRef>
              <c:f>'SEMANA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8-46F6-A124-8C8A52875669}"/>
            </c:ext>
          </c:extLst>
        </c:ser>
        <c:ser>
          <c:idx val="2"/>
          <c:order val="2"/>
          <c:tx>
            <c:strRef>
              <c:f>'SEMANA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8-46F6-A124-8C8A52875669}"/>
            </c:ext>
          </c:extLst>
        </c:ser>
        <c:ser>
          <c:idx val="3"/>
          <c:order val="3"/>
          <c:tx>
            <c:strRef>
              <c:f>'SEMANA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38-46F6-A124-8C8A52875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1'!$A$123:$A$134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1'!$B$123:$B$134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1'!$C$123:$C$134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1'!$D$123:$D$134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1'!$E$123:$E$134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1'!$B$53:$B$59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1'!$C$53:$C$59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1'!$D$53:$D$59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1'!$E$53:$E$59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3'!$I$64:$I$70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3'!$J$64:$J$70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3'!$K$64:$K$70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3'!$L$64:$L$70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4'!$B$100:$B$106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4'!$C$100:$C$106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4'!$D$100:$D$106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4'!$E$100:$E$106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4'!$B$126:$B$132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4'!$C$126:$C$132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5'!$B$59:$B$65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5'!$C$59:$C$65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5'!$D$59:$D$65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5'!$E$59:$E$65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5'!$B$80:$B$86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5'!$C$80:$C$86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'!$Q$126:$T$126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'!$B$68:$B$74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'!$C$68:$C$74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'!$D$68:$D$74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'!$E$68:$E$74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8'!$Q$130:$T$130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67A-A87F-74FDAC3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8!TablaDinámica1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8'!$B$90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8'!$B$91:$B$97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01C-BA7B-8DE0ABD2253D}"/>
            </c:ext>
          </c:extLst>
        </c:ser>
        <c:ser>
          <c:idx val="1"/>
          <c:order val="1"/>
          <c:tx>
            <c:strRef>
              <c:f>'DATOS 8'!$C$90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8'!$C$91:$C$97</c:f>
              <c:numCache>
                <c:formatCode>General</c:formatCode>
                <c:ptCount val="6"/>
                <c:pt idx="0">
                  <c:v>515</c:v>
                </c:pt>
                <c:pt idx="1">
                  <c:v>410</c:v>
                </c:pt>
                <c:pt idx="2">
                  <c:v>525</c:v>
                </c:pt>
                <c:pt idx="3">
                  <c:v>330</c:v>
                </c:pt>
                <c:pt idx="4">
                  <c:v>450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A-401C-BA7B-8DE0ABD2253D}"/>
            </c:ext>
          </c:extLst>
        </c:ser>
        <c:ser>
          <c:idx val="2"/>
          <c:order val="2"/>
          <c:tx>
            <c:strRef>
              <c:f>'DATOS 8'!$D$90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8'!$D$91:$D$97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A-401C-BA7B-8DE0ABD2253D}"/>
            </c:ext>
          </c:extLst>
        </c:ser>
        <c:ser>
          <c:idx val="3"/>
          <c:order val="3"/>
          <c:tx>
            <c:strRef>
              <c:f>'DATOS 8'!$E$90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8'!$E$91:$E$97</c:f>
              <c:numCache>
                <c:formatCode>General</c:formatCode>
                <c:ptCount val="6"/>
                <c:pt idx="0">
                  <c:v>477</c:v>
                </c:pt>
                <c:pt idx="1">
                  <c:v>352</c:v>
                </c:pt>
                <c:pt idx="2">
                  <c:v>456</c:v>
                </c:pt>
                <c:pt idx="3">
                  <c:v>260</c:v>
                </c:pt>
                <c:pt idx="4">
                  <c:v>395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A-401C-BA7B-8DE0ABD22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729360"/>
        <c:axId val="1135737040"/>
      </c:barChart>
      <c:catAx>
        <c:axId val="11357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37040"/>
        <c:crosses val="autoZero"/>
        <c:auto val="1"/>
        <c:lblAlgn val="ctr"/>
        <c:lblOffset val="100"/>
        <c:noMultiLvlLbl val="0"/>
      </c:catAx>
      <c:valAx>
        <c:axId val="11357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F-4357-AD42-DCA3D3B6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9!TablaDinámica1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A1D-9FA2-837E083FBB52}"/>
            </c:ext>
          </c:extLst>
        </c:ser>
        <c:ser>
          <c:idx val="1"/>
          <c:order val="1"/>
          <c:tx>
            <c:strRef>
              <c:f>'DATOS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B-4A1D-9FA2-837E083FBB52}"/>
            </c:ext>
          </c:extLst>
        </c:ser>
        <c:ser>
          <c:idx val="2"/>
          <c:order val="2"/>
          <c:tx>
            <c:strRef>
              <c:f>'DATOS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B-4A1D-9FA2-837E083FBB52}"/>
            </c:ext>
          </c:extLst>
        </c:ser>
        <c:ser>
          <c:idx val="3"/>
          <c:order val="3"/>
          <c:tx>
            <c:strRef>
              <c:f>'DATOS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B-4A1D-9FA2-837E083FB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 (CICLO 2)'!$Q$133:$T$133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558-B07E-7DD88658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(version 1).xlsx]DATOS 1 (CICLO 2)!TablaDinámica1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 (CICLO 2)'!$B$116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2)'!$B$117:$B$123</c:f>
              <c:numCache>
                <c:formatCode>General</c:formatCode>
                <c:ptCount val="6"/>
                <c:pt idx="0">
                  <c:v>16</c:v>
                </c:pt>
                <c:pt idx="1">
                  <c:v>18</c:v>
                </c:pt>
                <c:pt idx="2">
                  <c:v>18</c:v>
                </c:pt>
                <c:pt idx="3">
                  <c:v>24</c:v>
                </c:pt>
                <c:pt idx="4">
                  <c:v>21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3-4F8A-AC4D-F557D30A1511}"/>
            </c:ext>
          </c:extLst>
        </c:ser>
        <c:ser>
          <c:idx val="1"/>
          <c:order val="1"/>
          <c:tx>
            <c:strRef>
              <c:f>'DATOS 1 (CICLO 2)'!$C$116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2)'!$C$117:$C$123</c:f>
              <c:numCache>
                <c:formatCode>General</c:formatCode>
                <c:ptCount val="6"/>
                <c:pt idx="0">
                  <c:v>475</c:v>
                </c:pt>
                <c:pt idx="1">
                  <c:v>575</c:v>
                </c:pt>
                <c:pt idx="2">
                  <c:v>535</c:v>
                </c:pt>
                <c:pt idx="3">
                  <c:v>700</c:v>
                </c:pt>
                <c:pt idx="4">
                  <c:v>640</c:v>
                </c:pt>
                <c:pt idx="5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3-4F8A-AC4D-F557D30A1511}"/>
            </c:ext>
          </c:extLst>
        </c:ser>
        <c:ser>
          <c:idx val="2"/>
          <c:order val="2"/>
          <c:tx>
            <c:strRef>
              <c:f>'DATOS 1 (CICLO 2)'!$D$116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2)'!$D$117:$D$123</c:f>
              <c:numCache>
                <c:formatCode>General</c:formatCode>
                <c:ptCount val="6"/>
                <c:pt idx="0">
                  <c:v>20</c:v>
                </c:pt>
                <c:pt idx="1">
                  <c:v>23</c:v>
                </c:pt>
                <c:pt idx="2">
                  <c:v>20</c:v>
                </c:pt>
                <c:pt idx="3">
                  <c:v>27</c:v>
                </c:pt>
                <c:pt idx="4">
                  <c:v>25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3-4F8A-AC4D-F557D30A1511}"/>
            </c:ext>
          </c:extLst>
        </c:ser>
        <c:ser>
          <c:idx val="3"/>
          <c:order val="3"/>
          <c:tx>
            <c:strRef>
              <c:f>'DATOS 1 (CICLO 2)'!$E$116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2)'!$E$117:$E$123</c:f>
              <c:numCache>
                <c:formatCode>General</c:formatCode>
                <c:ptCount val="6"/>
                <c:pt idx="0">
                  <c:v>389</c:v>
                </c:pt>
                <c:pt idx="1">
                  <c:v>437</c:v>
                </c:pt>
                <c:pt idx="2">
                  <c:v>448</c:v>
                </c:pt>
                <c:pt idx="3">
                  <c:v>593</c:v>
                </c:pt>
                <c:pt idx="4">
                  <c:v>575</c:v>
                </c:pt>
                <c:pt idx="5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3-4F8A-AC4D-F557D30A1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0756959"/>
        <c:axId val="620758399"/>
      </c:barChart>
      <c:catAx>
        <c:axId val="6207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8399"/>
        <c:crosses val="autoZero"/>
        <c:auto val="1"/>
        <c:lblAlgn val="ctr"/>
        <c:lblOffset val="100"/>
        <c:noMultiLvlLbl val="0"/>
      </c:catAx>
      <c:valAx>
        <c:axId val="6207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image" Target="../media/image1.jpe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4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jpeg"/><Relationship Id="rId4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68092A1-84B4-4EF6-8D27-6A0BE7A37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539DE-1250-457C-8AFC-81F72B48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A505E84-9C86-4DE3-8BC5-36E1114EE9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B66D9A-E785-411A-A6D4-A33124371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12811B-AFA6-412D-B0A5-1722C3741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79</xdr:row>
      <xdr:rowOff>147865</xdr:rowOff>
    </xdr:from>
    <xdr:to>
      <xdr:col>4</xdr:col>
      <xdr:colOff>1134</xdr:colOff>
      <xdr:row>81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88</xdr:row>
      <xdr:rowOff>34018</xdr:rowOff>
    </xdr:from>
    <xdr:to>
      <xdr:col>4</xdr:col>
      <xdr:colOff>-1</xdr:colOff>
      <xdr:row>90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95</xdr:row>
      <xdr:rowOff>147863</xdr:rowOff>
    </xdr:from>
    <xdr:to>
      <xdr:col>3</xdr:col>
      <xdr:colOff>771071</xdr:colOff>
      <xdr:row>96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102</xdr:row>
      <xdr:rowOff>91167</xdr:rowOff>
    </xdr:from>
    <xdr:to>
      <xdr:col>4</xdr:col>
      <xdr:colOff>278947</xdr:colOff>
      <xdr:row>116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135</xdr:row>
      <xdr:rowOff>34471</xdr:rowOff>
    </xdr:from>
    <xdr:to>
      <xdr:col>6</xdr:col>
      <xdr:colOff>34017</xdr:colOff>
      <xdr:row>161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59</xdr:row>
      <xdr:rowOff>113846</xdr:rowOff>
    </xdr:from>
    <xdr:to>
      <xdr:col>5</xdr:col>
      <xdr:colOff>11340</xdr:colOff>
      <xdr:row>72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62</xdr:row>
      <xdr:rowOff>0</xdr:rowOff>
    </xdr:from>
    <xdr:to>
      <xdr:col>6</xdr:col>
      <xdr:colOff>158750</xdr:colOff>
      <xdr:row>71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98</xdr:row>
      <xdr:rowOff>79827</xdr:rowOff>
    </xdr:from>
    <xdr:to>
      <xdr:col>12</xdr:col>
      <xdr:colOff>2313215</xdr:colOff>
      <xdr:row>119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124</xdr:row>
      <xdr:rowOff>57150</xdr:rowOff>
    </xdr:from>
    <xdr:to>
      <xdr:col>7</xdr:col>
      <xdr:colOff>579438</xdr:colOff>
      <xdr:row>131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66</xdr:row>
      <xdr:rowOff>23130</xdr:rowOff>
    </xdr:from>
    <xdr:to>
      <xdr:col>4</xdr:col>
      <xdr:colOff>1428749</xdr:colOff>
      <xdr:row>77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454</xdr:rowOff>
    </xdr:from>
    <xdr:to>
      <xdr:col>2</xdr:col>
      <xdr:colOff>1428749</xdr:colOff>
      <xdr:row>107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120</xdr:row>
      <xdr:rowOff>249918</xdr:rowOff>
    </xdr:from>
    <xdr:to>
      <xdr:col>26</xdr:col>
      <xdr:colOff>534080</xdr:colOff>
      <xdr:row>137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75</xdr:row>
      <xdr:rowOff>23132</xdr:rowOff>
    </xdr:from>
    <xdr:to>
      <xdr:col>3</xdr:col>
      <xdr:colOff>147411</xdr:colOff>
      <xdr:row>84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672B910-AA87-4662-AD2C-414CD0A0A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124</xdr:row>
      <xdr:rowOff>249918</xdr:rowOff>
    </xdr:from>
    <xdr:to>
      <xdr:col>26</xdr:col>
      <xdr:colOff>534080</xdr:colOff>
      <xdr:row>141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B1DCF-1141-44DC-B2BC-B53D9484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89580</xdr:colOff>
      <xdr:row>98</xdr:row>
      <xdr:rowOff>79828</xdr:rowOff>
    </xdr:from>
    <xdr:to>
      <xdr:col>3</xdr:col>
      <xdr:colOff>476250</xdr:colOff>
      <xdr:row>119</xdr:row>
      <xdr:rowOff>147409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6D74FC-7BE7-B27E-6D48-20C02EF3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B9CA4A-5F9F-43F4-A855-D0A68B0465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652175-7C21-4731-A024-C65802CDA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8B43FE-6838-5A59-1F6D-C6EC23FB6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34FE929-6FB9-4825-B30D-F80532F175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E686C-B595-40FE-8011-DC1B5D4D9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32883</xdr:colOff>
      <xdr:row>124</xdr:row>
      <xdr:rowOff>102507</xdr:rowOff>
    </xdr:from>
    <xdr:to>
      <xdr:col>4</xdr:col>
      <xdr:colOff>1179284</xdr:colOff>
      <xdr:row>141</xdr:row>
      <xdr:rowOff>79375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183430-E700-9F08-74C4-DA7AF04FA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1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50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7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6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5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7.840571759261" createdVersion="8" refreshedVersion="8" minRefreshableVersion="3" recordCount="79" xr:uid="{9590F6AB-5CC0-49FA-BD6E-D10D8245565D}">
  <cacheSource type="worksheet">
    <worksheetSource ref="A7:M87" sheet="DATOS 8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Leidy Giraldo"/>
        <s v="Kerlon Sanchez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09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04T00:00:00" maxDate="2025-10-09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43.030615856478" createdVersion="8" refreshedVersion="8" minRefreshableVersion="3" recordCount="83" xr:uid="{4E111653-FA38-4E02-9991-65F815A148D7}">
  <cacheSource type="worksheet">
    <worksheetSource ref="A7:M90" sheet="DATOS 9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Kerlon Sanchez"/>
        <s v="Leidy Giraldo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16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13T00:00:00" maxDate="2025-10-16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7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58.496871875002" createdVersion="8" refreshedVersion="8" minRefreshableVersion="3" recordCount="105" xr:uid="{5610DAE8-91CD-4552-BE06-FB7E5CC376AC}">
  <cacheSource type="worksheet">
    <worksheetSource ref="A7:M112" sheet="DATOS 1 (CICLO 2)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Esteban Prieto"/>
        <s v="Matias Marín"/>
        <s v="Santiago Herrada"/>
        <s v="Leidy Girald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29T00:00:00" maxDate="2025-10-3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Date="1" containsMixedTypes="1" minDate="2025-10-27T00:00:00" maxDate="2025-10-30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cript de definición de procesos(PRUEBAS)"/>
    <x v="0"/>
    <s v="LC"/>
    <n v="1"/>
    <n v="30"/>
    <d v="2025-10-08T00:00:00"/>
    <d v="1899-12-30T09:00:00"/>
    <d v="2025-10-04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4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2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2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2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2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2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3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4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0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5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0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0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0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5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5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3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4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4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5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3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2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2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2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3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4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3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0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4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2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5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3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5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2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4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0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3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0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3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4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2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0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5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3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informe de pruebas y planes"/>
    <x v="0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0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0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3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Script de definición de procesos(POST-MORTEM)"/>
    <x v="0"/>
    <s v="LC"/>
    <n v="1"/>
    <n v="30"/>
    <d v="2025-10-15T00:00:00"/>
    <d v="1899-12-30T09:00:00"/>
    <d v="2025-10-13T00:00:00"/>
    <d v="1899-12-30T19:00:00"/>
    <n v="0"/>
    <n v="1"/>
    <n v="30"/>
    <s v="Diligenciar el formato correspondiente al script de definición de procesos"/>
  </r>
  <r>
    <s v="Script de definición de procesos(POST-MORTEM)"/>
    <x v="1"/>
    <s v="LP"/>
    <n v="1"/>
    <n v="30"/>
    <d v="2025-10-15T00:00:00"/>
    <d v="1899-12-30T09:00:00"/>
    <d v="2025-10-13T00:00:00"/>
    <d v="1899-12-30T19:00:00"/>
    <n v="0"/>
    <n v="1"/>
    <n v="30"/>
    <s v="Se realizo el llenado del control de asignaciones para asi terminar con éxito la fase 9 de POST-MORTEM y para que los demas lideres llenen sus bitácoras"/>
  </r>
  <r>
    <s v="Recolección de_x000a_métricas_x000a_del ciclo"/>
    <x v="0"/>
    <s v="LC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Recolección de_x000a_métricas_x000a_del ciclo"/>
    <x v="2"/>
    <s v="LS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Análisis de_x000a_métricas_x000a_del_x000a_proyecto"/>
    <x v="0"/>
    <s v="LC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Análisis de_x000a_métricas_x000a_del_x000a_proyecto"/>
    <x v="2"/>
    <s v="LS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Seguimiento de tareas no planeadas"/>
    <x v="1"/>
    <s v="LP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Seguimiento de tareas no planeadas"/>
    <x v="3"/>
    <s v="LD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Evaluación_x000a_del plan de_x000a_calidad"/>
    <x v="4"/>
    <s v="LE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Evaluación_x000a_del plan de_x000a_calidad"/>
    <x v="5"/>
    <s v="LA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Gestión de_x000a_defectos e_x000a_incidencias"/>
    <x v="4"/>
    <s v="LE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Gestión de_x000a_defectos e_x000a_incidencias"/>
    <x v="5"/>
    <s v="LA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Comparación de_x000a_tiempos y_x000a_esfuerzo"/>
    <x v="4"/>
    <s v="LE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Comparación de_x000a_tiempos y_x000a_esfuerzo"/>
    <x v="5"/>
    <s v="LA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Evaluación_x000a_de_x000a_requerimientos_x000a_implementados"/>
    <x v="0"/>
    <s v="LC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Evaluación_x000a_de_x000a_requerimientos_x000a_implementados"/>
    <x v="2"/>
    <s v="LS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Consolidación de_x000a_documentos y_x000a_plantillas_x000a_revisadas"/>
    <x v="0"/>
    <s v="LC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Consolidación de_x000a_documentos y_x000a_plantillas_x000a_revisadas"/>
    <x v="2"/>
    <s v="LS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Análisis_x000a_DOFA del_x000a_ciclo"/>
    <x v="4"/>
    <s v="LE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1"/>
    <s v="LP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5"/>
    <s v="LA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3"/>
    <s v="LD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0"/>
    <s v="LC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2"/>
    <s v="LS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Elaboración del_x000a_Informe_x000a_Postmortem"/>
    <x v="4"/>
    <s v="LE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1"/>
    <s v="LP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5"/>
    <s v="LA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3"/>
    <s v="LD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0"/>
    <s v="LC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2"/>
    <s v="LS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Preparación de_x000a_informe_x000a_individual_x000a_por rol"/>
    <x v="0"/>
    <s v="LC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Preparación de_x000a_informe_x000a_individual_x000a_por rol"/>
    <x v="2"/>
    <s v="LS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Identificación de_x000a_aspectos_x000a_positivos y_x000a_negativos"/>
    <x v="4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1"/>
    <s v="LP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5"/>
    <s v="LA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3"/>
    <s v="LD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0"/>
    <s v="LC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2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Formulación de_x000a_propuestas de_x000a_mejora_x000a_(problema solución)"/>
    <x v="4"/>
    <s v="LE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1"/>
    <s v="LP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5"/>
    <s v="LA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3"/>
    <s v="LD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0"/>
    <s v="LC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2"/>
    <s v="LS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Reporte de_x000a_ciclo_x000a_(análisis de proceso,_x000a_esfuerzo y_x000a_producto)"/>
    <x v="1"/>
    <s v="LP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Reporte de_x000a_ciclo_x000a_(análisis de proceso,_x000a_esfuerzo y_x000a_producto)"/>
    <x v="3"/>
    <s v="LD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Diseño y_x000a_consolidación de la_x000a_presentación final"/>
    <x v="4"/>
    <s v="LE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1"/>
    <s v="LP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5"/>
    <s v="LA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3"/>
    <s v="LD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0"/>
    <s v="LC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2"/>
    <s v="LS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Revisión y_x000a_validación_x000a_final de_x000a_entregables"/>
    <x v="4"/>
    <s v="LE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1"/>
    <s v="LP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5"/>
    <s v="LA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3"/>
    <s v="LD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0"/>
    <s v="LC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2"/>
    <s v="LS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Entrega y_x000a_exposición_x000a_del_x000a_Postmortem"/>
    <x v="4"/>
    <s v="LE"/>
    <n v="1"/>
    <n v="30"/>
    <d v="2025-10-15T00:00:00"/>
    <d v="1899-12-30T09:00:00"/>
    <d v="2025-10-13T00:00:00"/>
    <d v="1899-12-30T19:30:00"/>
    <n v="0"/>
    <n v="7"/>
    <n v="30"/>
    <s v="Se entrega el documento final y_x000a_se realiza la exposición ante el_x000a_docente. Cada integrante_x000a_sustenta sus resultados y la_x000a_propuesta de mejora."/>
  </r>
  <r>
    <s v="Corrección de DOCUMENTOS POSTMORTEM"/>
    <x v="0"/>
    <s v="LC"/>
    <n v="1"/>
    <n v="30"/>
    <d v="2025-10-08T00:00:00"/>
    <d v="1899-12-30T09:00:00"/>
    <d v="2025-10-13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15T00:00:00"/>
    <d v="1899-12-30T09:00:00"/>
    <d v="2025-10-13T00:00:00"/>
    <d v="1899-12-30T20:00:00"/>
    <n v="6"/>
    <n v="1"/>
    <n v="24"/>
    <s v="Identificar, clasificar y dar seguimiento a_x000a_riesgos del proyecto."/>
  </r>
  <r>
    <s v="Log de defectos(apertura,seguimiento y cierre)"/>
    <x v="3"/>
    <s v="LD"/>
    <n v="1"/>
    <n v="30"/>
    <d v="2025-10-15T00:00:00"/>
    <d v="1899-12-30T09:00:00"/>
    <d v="2025-10-13T00:00:00"/>
    <d v="1899-12-30T20:00:00"/>
    <n v="0"/>
    <n v="1"/>
    <n v="30"/>
    <s v="Registrar incidencias y defectos, dar_x000a_seguimiento y cerrar tras validación."/>
  </r>
  <r>
    <s v="Bitácoras y actas"/>
    <x v="3"/>
    <s v="LD"/>
    <n v="5"/>
    <n v="50"/>
    <d v="2025-10-15T00:00:00"/>
    <d v="1899-12-30T09:00:00"/>
    <d v="2025-10-13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E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D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4"/>
    <s v="LE"/>
    <n v="1"/>
    <n v="30"/>
    <d v="2025-10-15T00:00:00"/>
    <d v="1899-12-30T09:00:00"/>
    <d v="2025-10-13T00:00:00"/>
    <d v="1899-12-30T22:00:00"/>
    <n v="0"/>
    <n v="1"/>
    <n v="30"/>
    <s v="No comentarios"/>
  </r>
  <r>
    <s v="Llenado de log de defectos"/>
    <x v="0"/>
    <s v="LC"/>
    <n v="1"/>
    <n v="30"/>
    <d v="2025-10-15T00:00:00"/>
    <d v="1899-12-30T09:00:00"/>
    <d v="2025-10-13T00:00:00"/>
    <d v="1899-12-30T22:00:00"/>
    <n v="0"/>
    <n v="1"/>
    <n v="30"/>
    <s v="No comentarios"/>
  </r>
  <r>
    <s v="Acta de reunión"/>
    <x v="0"/>
    <s v="LC"/>
    <n v="1"/>
    <n v="45"/>
    <d v="2025-10-15T00:00:00"/>
    <d v="1899-12-30T09:00:00"/>
    <d v="2025-10-13T00:00:00"/>
    <d v="1899-12-30T22:30:00"/>
    <n v="-35"/>
    <n v="1"/>
    <n v="80"/>
    <s v="Ordenar en grupo todos los documentos asignados para la primera entrega"/>
  </r>
  <r>
    <s v="Elaboración de diapositivas(Informe final)"/>
    <x v="4"/>
    <s v="LE"/>
    <n v="1"/>
    <n v="60"/>
    <d v="2025-10-15T00:00:00"/>
    <d v="1899-12-30T09:00:00"/>
    <d v="2025-10-13T00:00:00"/>
    <d v="1899-12-30T22:30:00"/>
    <n v="10"/>
    <n v="1"/>
    <n v="50"/>
    <s v="Diapositivas con los documentos hechos "/>
  </r>
  <r>
    <s v="Maestro de documentos"/>
    <x v="4"/>
    <s v="LE"/>
    <n v="1"/>
    <n v="55"/>
    <d v="2025-10-15T00:00:00"/>
    <d v="1899-12-30T09:00:00"/>
    <d v="2025-10-13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E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D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4"/>
    <s v="LE"/>
    <n v="3"/>
    <n v="20"/>
    <d v="2025-10-15T00:00:00"/>
    <d v="1899-12-30T09:00:00"/>
    <d v="2025-10-15T00:00:00"/>
    <d v="1899-12-30T09:00:00"/>
    <n v="5"/>
    <n v="3"/>
    <n v="15"/>
    <s v="Todos los documentos subidos _x000a_y actualizados en la pagina 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Script de definición de procesos"/>
    <x v="0"/>
    <s v="LC"/>
    <n v="1"/>
    <n v="30"/>
    <d v="2025-10-29T00:00:00"/>
    <d v="1899-12-30T09:00:00"/>
    <d v="2025-10-27T00:00:00"/>
    <d v="1899-12-30T10:00:00"/>
    <n v="5"/>
    <n v="1"/>
    <n v="25"/>
    <s v="Diligenciar el formato correspondiente al script de definición de procesos"/>
  </r>
  <r>
    <s v="Control de asignaciones"/>
    <x v="1"/>
    <s v="LP"/>
    <n v="1"/>
    <n v="30"/>
    <d v="2025-10-29T00:00:00"/>
    <d v="1899-12-30T09:00:00"/>
    <d v="2025-10-27T00:00:00"/>
    <d v="1899-12-30T10:00:00"/>
    <n v="5"/>
    <n v="1"/>
    <n v="25"/>
    <s v="Se realizo el llenado del control de asignaciones para asi terminar con éxito la fase 1 del ciclo 2 y para que los demas lideres llenen sus bitácoras"/>
  </r>
  <r>
    <s v="Control de asignaciones"/>
    <x v="0"/>
    <s v="LC"/>
    <n v="1"/>
    <n v="30"/>
    <d v="2025-10-29T00:00:00"/>
    <d v="1899-12-30T09:00:00"/>
    <d v="2025-10-27T00:00:00"/>
    <d v="1899-12-30T10:30:00"/>
    <n v="4"/>
    <n v="1"/>
    <n v="26"/>
    <s v="Verificar asistencia y compromiso de todos_x000a_los integrantes para el desarrollo del_x000a_proyecto."/>
  </r>
  <r>
    <s v="Control de asignaciones"/>
    <x v="2"/>
    <s v="LS"/>
    <n v="1"/>
    <n v="30"/>
    <d v="2025-10-29T00:00:00"/>
    <d v="1899-12-30T09:00:00"/>
    <s v="27/20/2025"/>
    <d v="1899-12-30T10:00:00"/>
    <n v="4"/>
    <n v="1"/>
    <n v="26"/>
    <s v="Verificar asistencia y compromiso de todos los integrantes para el desarrollo del proyecto."/>
  </r>
  <r>
    <s v="Asignación de roles"/>
    <x v="2"/>
    <s v="LS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Asignación de roles"/>
    <x v="0"/>
    <s v="LC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Definición_x000a_de reglas_x000a_de trabajo"/>
    <x v="2"/>
    <s v="LS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Definición_x000a_de reglas_x000a_de trabajo"/>
    <x v="0"/>
    <s v="LC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Establecimiento de_x000a_objetivos"/>
    <x v="2"/>
    <s v="LS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Establecimiento de_x000a_objetivos"/>
    <x v="0"/>
    <s v="LC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Registro_x000a_de_x000a_disponibilidad"/>
    <x v="0"/>
    <s v="LC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Registro_x000a_de_x000a_disponibilidad"/>
    <x v="2"/>
    <s v="LS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Firma del_x000a_acta de_x000a_iniciación"/>
    <x v="2"/>
    <s v="LS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Firma del_x000a_acta de_x000a_iniciación"/>
    <x v="0"/>
    <s v="LC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Lineamiento_x000a_estratégico"/>
    <x v="3"/>
    <s v="LE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4"/>
    <s v="LD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0"/>
    <s v="LC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2"/>
    <s v="LS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1"/>
    <s v="LP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5"/>
    <s v="LA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Criterios_x000a_de la_x000a_estrategia"/>
    <x v="3"/>
    <s v="LE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4"/>
    <s v="LD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0"/>
    <s v="LC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2"/>
    <s v="LS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1"/>
    <s v="LP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5"/>
    <s v="LA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Estrategia_x000a_general"/>
    <x v="3"/>
    <s v="LE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4"/>
    <s v="LD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0"/>
    <s v="LC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2"/>
    <s v="LS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1"/>
    <s v="LP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5"/>
    <s v="LA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Diseño_x000a_conceptual"/>
    <x v="3"/>
    <s v="LE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4"/>
    <s v="LD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0"/>
    <s v="LC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2"/>
    <s v="LS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1"/>
    <s v="LP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5"/>
    <s v="LA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Identificación de_x000a_módulos"/>
    <x v="3"/>
    <s v="LE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4"/>
    <s v="LD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0"/>
    <s v="LC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2"/>
    <s v="LS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1"/>
    <s v="LP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5"/>
    <s v="LA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Funcionali_x000a_dades_x000a_asociadas"/>
    <x v="3"/>
    <s v="LE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4"/>
    <s v="LD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0"/>
    <s v="LC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2"/>
    <s v="LS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1"/>
    <s v="LP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5"/>
    <s v="LA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Estimació_x000a_n de_x000a_tamaño_x000a_basada en_x000a_LOC y_x000a_CoCoMo"/>
    <x v="1"/>
    <s v="LP"/>
    <n v="1"/>
    <n v="30"/>
    <d v="2025-10-29T00:00:00"/>
    <d v="1899-12-30T09:00:00"/>
    <d v="2025-10-28T00:00:00"/>
    <d v="1899-12-30T15:00:00"/>
    <n v="-1"/>
    <n v="3"/>
    <n v="31"/>
    <s v="Usa LOC para el tamaño y CoCoMo para_x000a_estimar el esfuerzo"/>
  </r>
  <r>
    <s v="Estimació_x000a_n de_x000a_tamaño_x000a_basada en_x000a_LOC y_x000a_datos_x000a_históricos"/>
    <x v="3"/>
    <s v="LE"/>
    <n v="1"/>
    <n v="30"/>
    <d v="2025-10-29T00:00:00"/>
    <d v="1899-12-30T09:00:00"/>
    <d v="2025-10-28T00:00:00"/>
    <d v="1899-12-30T15:00:00"/>
    <n v="5"/>
    <n v="2"/>
    <n v="25"/>
    <s v="Usa LOC para el tamaño y datos históricos_x000a_para esfuerzo"/>
  </r>
  <r>
    <s v="Estimació_x000a_n de_x000a_tamaño_x000a_basada en_x000a_puntos de_x000a_función y_x000a_CoCoMo"/>
    <x v="1"/>
    <s v="LP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CoCoMo"/>
    <x v="0"/>
    <s v="LC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datos_x000a_históricos"/>
    <x v="4"/>
    <s v="LD"/>
    <n v="1"/>
    <n v="30"/>
    <d v="2025-10-29T00:00:00"/>
    <d v="1899-12-30T09:00:00"/>
    <d v="2025-10-28T00:00:00"/>
    <d v="1899-12-30T15:00:00"/>
    <n v="5"/>
    <n v="1"/>
    <n v="25"/>
    <s v="Usa puntos de función para el tamaño y_x000a_datos históricos para esfuerzo"/>
  </r>
  <r>
    <s v="Estimació_x000a_n de_x000a_tamaño y_x000a_esfuerzo_x000a_basada en_x000a_puntos de_x000a_caso de_x000a_uso"/>
    <x v="5"/>
    <s v="LE"/>
    <n v="1"/>
    <n v="30"/>
    <d v="2025-10-29T00:00:00"/>
    <d v="1899-12-30T09:00:00"/>
    <d v="2025-10-28T00:00:00"/>
    <d v="1899-12-30T15:00:00"/>
    <n v="0"/>
    <n v="1"/>
    <n v="30"/>
    <s v="Usa puntos de caso de uso para el tamaño_x000a_y esfuerzo basado en estos puntos"/>
  </r>
  <r>
    <s v="dentificaci_x000a_ón y_x000a_criterios de_x000a_valoración"/>
    <x v="1"/>
    <s v="LD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dentificaci_x000a_ón y_x000a_criterios de_x000a_valoración"/>
    <x v="4"/>
    <s v="LP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Clasificaci_x000a_ón de_x000a_riesgos"/>
    <x v="4"/>
    <s v="LD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Clasificaci_x000a_ón de_x000a_riesgos"/>
    <x v="1"/>
    <s v="LP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Valoración_x000a_y_x000a_priorización"/>
    <x v="4"/>
    <s v="LD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Valoración_x000a_y_x000a_priorización"/>
    <x v="1"/>
    <s v="LP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Plan de_x000a_mitigación_x000a_y_x000a_contingencia"/>
    <x v="4"/>
    <s v="LD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lan de_x000a_mitigación_x000a_y_x000a_contingencia"/>
    <x v="1"/>
    <s v="LP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rograma_x000a_de_x000a_seguimiento"/>
    <x v="4"/>
    <s v="LD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Programa_x000a_de_x000a_seguimiento"/>
    <x v="1"/>
    <s v="LP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Definición_x000a_del_x000a_objetivo"/>
    <x v="5"/>
    <s v="LA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Definición_x000a_del_x000a_objetivo"/>
    <x v="3"/>
    <s v="LE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Organización y roles"/>
    <x v="5"/>
    <s v="LA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Organización y roles"/>
    <x v="3"/>
    <s v="LE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Políticas y_x000a_procedimientos"/>
    <x v="5"/>
    <s v="LA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Políticas y_x000a_procedimientos"/>
    <x v="3"/>
    <s v="LE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Identificación de_x000a_configuraciones"/>
    <x v="5"/>
    <s v="LA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Identificación de_x000a_configuraciones"/>
    <x v="3"/>
    <s v="LE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Programas y_x000a_recursos"/>
    <x v="5"/>
    <s v="LA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rogramas y_x000a_recursos"/>
    <x v="3"/>
    <s v="LE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lan de_x000a_mantenimiento"/>
    <x v="5"/>
    <s v="LA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Plan de_x000a_mantenimiento"/>
    <x v="3"/>
    <s v="LE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Revisiones del_x000a_estado"/>
    <x v="5"/>
    <s v="LA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Revisiones del_x000a_estado"/>
    <x v="3"/>
    <s v="LE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Control de_x000a_cambios"/>
    <x v="5"/>
    <s v="LA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_x000a_cambios"/>
    <x v="3"/>
    <s v="LD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 _x000a_cambios "/>
    <x v="0"/>
    <s v="LC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Control de _x000a_cambios "/>
    <x v="2"/>
    <s v="LS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29T00:00:00"/>
    <d v="1899-12-30T09:00:00"/>
    <d v="2025-10-28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29T00:00:00"/>
    <d v="1899-12-30T09:00:00"/>
    <d v="2025-10-28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29T00:00:00"/>
    <d v="1899-12-30T09:00:00"/>
    <d v="2025-10-28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E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1"/>
    <s v="LD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29T00:00:00"/>
    <d v="1899-12-30T09:00:00"/>
    <d v="2025-10-28T00:00:00"/>
    <d v="1899-12-30T22:00:00"/>
    <n v="0"/>
    <n v="1"/>
    <n v="30"/>
    <s v="No comentarios"/>
  </r>
  <r>
    <s v="Llenado de log de defectos"/>
    <x v="0"/>
    <s v="LC"/>
    <n v="1"/>
    <n v="30"/>
    <d v="2025-10-29T00:00:00"/>
    <d v="1899-12-30T09:00:00"/>
    <d v="2025-10-28T00:00:00"/>
    <d v="1899-12-30T22:00:00"/>
    <n v="0"/>
    <n v="1"/>
    <n v="30"/>
    <s v="No comentarios"/>
  </r>
  <r>
    <s v="Acta de reunión"/>
    <x v="0"/>
    <s v="LC"/>
    <n v="1"/>
    <n v="45"/>
    <d v="2025-10-29T00:00:00"/>
    <d v="1899-12-30T09:00:00"/>
    <d v="2025-10-28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29T00:00:00"/>
    <d v="1899-12-30T09:00:00"/>
    <d v="2025-10-28T00:00:00"/>
    <d v="1899-12-30T22:30:00"/>
    <n v="10"/>
    <n v="1"/>
    <n v="50"/>
    <s v="Diapositivas con los documentos hechos "/>
  </r>
  <r>
    <s v="Maestro de documentos"/>
    <x v="3"/>
    <s v="LE"/>
    <n v="1"/>
    <n v="55"/>
    <d v="2025-10-29T00:00:00"/>
    <d v="1899-12-30T09:00:00"/>
    <d v="2025-10-28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29T00:00:00"/>
    <d v="1899-12-30T09:00:00"/>
    <d v="2025-10-29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BAD6C-59AE-4FA9-9CEE-286D89C45CFA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2:E59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3:L70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5:C132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9:E106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9:C86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8:E6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7:E7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7E28-4A93-4440-92F8-AA191698B596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0:E97" firstHeaderRow="0" firstDataRow="1" firstDataCol="1"/>
  <pivotFields count="13">
    <pivotField showAll="0"/>
    <pivotField axis="axisRow" showAll="0">
      <items count="8">
        <item h="1" x="6"/>
        <item x="0"/>
        <item x="4"/>
        <item x="3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E0E9-EBC2-48DC-8976-A092406D7D46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D1A09-C9C7-4730-9F7F-4F32357A236F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16:E123" firstHeaderRow="0" firstDataRow="1" firstDataCol="1"/>
  <pivotFields count="13">
    <pivotField showAll="0"/>
    <pivotField axis="axisRow" showAll="0">
      <items count="7">
        <item x="2"/>
        <item x="1"/>
        <item x="5"/>
        <item x="3"/>
        <item x="0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50000000000003" customHeight="1" x14ac:dyDescent="0.2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732-1356-4C48-8622-B02268559942}">
  <dimension ref="A1:T135"/>
  <sheetViews>
    <sheetView topLeftCell="AS1" zoomScale="84" zoomScaleNormal="76" workbookViewId="0">
      <selection activeCell="M8" sqref="M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ref="J38:J40" si="1">E38-L38</f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ref="J39" si="2">E39-L39</f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1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ref="J42" si="3">E42-L42</f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ref="J44" si="4">E44-L44</f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ref="J46" si="5">E46-L46</f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ref="J50" si="6">E50-L50</f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ref="J52" si="7">E52-L52</f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ref="J54" si="8">E54-L54</f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ref="J56" si="9">E56-L56</f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ref="J58" si="10">E58-L58</f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ref="J60" si="11">E60-L60</f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">
      <c r="A64" s="106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2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2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2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2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2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2"/>
        <v>50</v>
      </c>
      <c r="K70" s="8">
        <v>1</v>
      </c>
      <c r="L70" s="88">
        <v>10</v>
      </c>
      <c r="M70" s="91" t="s">
        <v>149</v>
      </c>
    </row>
    <row r="71" spans="1:13" s="5" customFormat="1" ht="24.95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2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2"/>
        <v>50</v>
      </c>
      <c r="K72" s="8">
        <v>1</v>
      </c>
      <c r="L72" s="88">
        <v>10</v>
      </c>
      <c r="M72" s="91" t="s">
        <v>149</v>
      </c>
    </row>
    <row r="73" spans="1:13" s="5" customFormat="1" ht="35.450000000000003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2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2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2"/>
        <v>0</v>
      </c>
      <c r="K75" s="8">
        <v>1</v>
      </c>
      <c r="L75" s="88">
        <v>30</v>
      </c>
      <c r="M75" s="91" t="s">
        <v>53</v>
      </c>
    </row>
    <row r="76" spans="1:13" s="5" customFormat="1" ht="35.450000000000003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2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2"/>
        <v>-35</v>
      </c>
      <c r="K77" s="8">
        <v>1</v>
      </c>
      <c r="L77" s="88">
        <v>80</v>
      </c>
      <c r="M77" s="91" t="s">
        <v>81</v>
      </c>
    </row>
    <row r="78" spans="1:13" s="5" customFormat="1" ht="35.450000000000003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2"/>
        <v>10</v>
      </c>
      <c r="K78" s="8">
        <v>1</v>
      </c>
      <c r="L78" s="88">
        <v>50</v>
      </c>
      <c r="M78" s="91" t="s">
        <v>87</v>
      </c>
    </row>
    <row r="79" spans="1:13" s="5" customFormat="1" ht="35.450000000000003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2"/>
        <v>0</v>
      </c>
      <c r="K79" s="8">
        <v>1</v>
      </c>
      <c r="L79" s="88">
        <v>55</v>
      </c>
      <c r="M79" s="91" t="s">
        <v>89</v>
      </c>
    </row>
    <row r="80" spans="1:13" s="5" customFormat="1" ht="35.450000000000003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2"/>
        <v>-2</v>
      </c>
      <c r="K80" s="8">
        <v>1</v>
      </c>
      <c r="L80" s="88">
        <v>32</v>
      </c>
      <c r="M80" s="91" t="s">
        <v>132</v>
      </c>
    </row>
    <row r="81" spans="1:13" s="5" customFormat="1" ht="35.450000000000003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2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2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2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2"/>
        <v>5</v>
      </c>
      <c r="K86" s="8">
        <v>3</v>
      </c>
      <c r="L86" s="88">
        <v>15</v>
      </c>
      <c r="M86" s="91" t="s">
        <v>134</v>
      </c>
    </row>
    <row r="87" spans="1:13" s="5" customFormat="1" ht="35.45000000000000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103" customFormat="1" x14ac:dyDescent="0.2"/>
    <row r="104" customFormat="1" x14ac:dyDescent="0.2"/>
    <row r="117" spans="1:20" s="4" customFormat="1" ht="30" customHeight="1" x14ac:dyDescent="0.2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"/>
    <row r="131" spans="9:20" ht="36.75" customHeight="1" x14ac:dyDescent="0.2"/>
    <row r="132" spans="9:20" ht="33.75" customHeight="1" x14ac:dyDescent="0.2"/>
    <row r="133" spans="9:20" ht="26.25" customHeight="1" x14ac:dyDescent="0.2"/>
    <row r="134" spans="9:20" ht="27.75" customHeight="1" x14ac:dyDescent="0.2"/>
    <row r="135" spans="9:20" s="4" customFormat="1" ht="40.5" customHeight="1" x14ac:dyDescent="0.2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29F-47E1-421E-AB8D-C5C8E22856D2}">
  <dimension ref="A1:T139"/>
  <sheetViews>
    <sheetView topLeftCell="B97" zoomScale="84" zoomScaleNormal="76" workbookViewId="0">
      <selection activeCell="E117" sqref="E11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7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si="0"/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1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1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1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1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1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1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1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1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1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1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1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1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1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1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1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1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4"/>
  <sheetViews>
    <sheetView topLeftCell="A45" zoomScale="84" zoomScaleNormal="76" workbookViewId="0">
      <selection activeCell="J30" sqref="J3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+#REF!+A1:L7+A7:L50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50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107" t="s">
        <v>471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45882</v>
      </c>
      <c r="G29" s="81">
        <v>0.375</v>
      </c>
      <c r="H29" s="80">
        <v>45877</v>
      </c>
      <c r="I29" s="81">
        <v>0.79166666666666663</v>
      </c>
      <c r="J29" s="87">
        <f t="shared" ref="J29" si="1">E29-L29</f>
        <v>0</v>
      </c>
      <c r="K29" s="53">
        <v>3</v>
      </c>
      <c r="L29" s="53">
        <v>30</v>
      </c>
      <c r="M29" s="79" t="s">
        <v>472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144</v>
      </c>
      <c r="B30" s="63" t="s">
        <v>30</v>
      </c>
      <c r="C30" s="21" t="s">
        <v>31</v>
      </c>
      <c r="D30" s="66">
        <v>1</v>
      </c>
      <c r="E30" s="65">
        <v>30</v>
      </c>
      <c r="F30" s="11">
        <v>45882</v>
      </c>
      <c r="G30" s="10">
        <v>0.375</v>
      </c>
      <c r="H30" s="11">
        <v>45877</v>
      </c>
      <c r="I30" s="10">
        <v>4.1666666666666664E-2</v>
      </c>
      <c r="J30" s="9">
        <f t="shared" si="0"/>
        <v>0</v>
      </c>
      <c r="K30" s="65">
        <v>1</v>
      </c>
      <c r="L30" s="7">
        <v>30</v>
      </c>
      <c r="M30" s="6" t="s">
        <v>145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55</v>
      </c>
      <c r="C31" s="11" t="s">
        <v>28</v>
      </c>
      <c r="D31" s="66">
        <v>1</v>
      </c>
      <c r="E31" s="9">
        <v>120</v>
      </c>
      <c r="F31" s="11">
        <v>45882</v>
      </c>
      <c r="G31" s="10">
        <v>0.375</v>
      </c>
      <c r="H31" s="27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56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3" t="s">
        <v>54</v>
      </c>
      <c r="B32" s="62" t="s">
        <v>57</v>
      </c>
      <c r="C32" s="11" t="s">
        <v>58</v>
      </c>
      <c r="D32" s="20">
        <v>1</v>
      </c>
      <c r="E32" s="29">
        <v>120</v>
      </c>
      <c r="F32" s="11">
        <v>45882</v>
      </c>
      <c r="G32" s="10">
        <v>0.375</v>
      </c>
      <c r="H32" s="11">
        <v>45879</v>
      </c>
      <c r="I32" s="10">
        <v>0.91666666666666663</v>
      </c>
      <c r="J32" s="9">
        <f t="shared" si="0"/>
        <v>60</v>
      </c>
      <c r="K32" s="65">
        <v>1</v>
      </c>
      <c r="L32" s="7">
        <v>60</v>
      </c>
      <c r="M32" s="6" t="s">
        <v>59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6" t="s">
        <v>60</v>
      </c>
      <c r="B33" s="62" t="s">
        <v>61</v>
      </c>
      <c r="C33" s="11" t="s">
        <v>62</v>
      </c>
      <c r="D33" s="66">
        <v>1</v>
      </c>
      <c r="E33" s="9">
        <v>30</v>
      </c>
      <c r="F33" s="11">
        <v>45882</v>
      </c>
      <c r="G33" s="10">
        <v>0.375</v>
      </c>
      <c r="H33" s="13">
        <v>45879</v>
      </c>
      <c r="I33" s="12">
        <v>0.91666666666666663</v>
      </c>
      <c r="J33" s="9">
        <f>E33-L33</f>
        <v>-30</v>
      </c>
      <c r="K33" s="65">
        <v>1</v>
      </c>
      <c r="L33" s="30">
        <v>60</v>
      </c>
      <c r="M33" s="31" t="s">
        <v>63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64</v>
      </c>
      <c r="C34" s="11" t="s">
        <v>65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0.875</v>
      </c>
      <c r="J34" s="9">
        <f t="shared" si="0"/>
        <v>-30</v>
      </c>
      <c r="K34" s="65">
        <v>1</v>
      </c>
      <c r="L34" s="7">
        <v>60</v>
      </c>
      <c r="M34" s="6" t="s">
        <v>66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67</v>
      </c>
      <c r="C35" s="11" t="s">
        <v>68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0.91666666666666663</v>
      </c>
      <c r="J35" s="9">
        <f t="shared" si="0"/>
        <v>-90</v>
      </c>
      <c r="K35" s="65">
        <v>1</v>
      </c>
      <c r="L35" s="7">
        <v>120</v>
      </c>
      <c r="M35" s="6" t="s">
        <v>69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60</v>
      </c>
      <c r="B36" s="62" t="s">
        <v>70</v>
      </c>
      <c r="C36" s="11" t="s">
        <v>71</v>
      </c>
      <c r="D36" s="20">
        <v>1</v>
      </c>
      <c r="E36" s="29">
        <v>30</v>
      </c>
      <c r="F36" s="11">
        <v>45882</v>
      </c>
      <c r="G36" s="10">
        <v>0.375</v>
      </c>
      <c r="H36" s="11">
        <v>45879</v>
      </c>
      <c r="I36" s="10">
        <v>0.46527777777777779</v>
      </c>
      <c r="J36" s="9">
        <f t="shared" si="0"/>
        <v>5</v>
      </c>
      <c r="K36" s="65">
        <v>1</v>
      </c>
      <c r="L36" s="7">
        <v>25</v>
      </c>
      <c r="M36" s="6" t="s">
        <v>72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73</v>
      </c>
      <c r="B37" s="62" t="s">
        <v>74</v>
      </c>
      <c r="C37" s="11" t="s">
        <v>71</v>
      </c>
      <c r="D37" s="20">
        <v>1</v>
      </c>
      <c r="E37" s="29">
        <v>70</v>
      </c>
      <c r="F37" s="11">
        <v>45882</v>
      </c>
      <c r="G37" s="10">
        <v>0.375</v>
      </c>
      <c r="H37" s="11">
        <v>45880</v>
      </c>
      <c r="I37" s="10">
        <v>0.83333333333333337</v>
      </c>
      <c r="J37" s="9">
        <f t="shared" si="0"/>
        <v>-50</v>
      </c>
      <c r="K37" s="65">
        <v>1</v>
      </c>
      <c r="L37" s="7">
        <v>120</v>
      </c>
      <c r="M37" s="6" t="s">
        <v>75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76</v>
      </c>
      <c r="B38" s="62" t="s">
        <v>42</v>
      </c>
      <c r="C38" s="11" t="s">
        <v>77</v>
      </c>
      <c r="D38" s="20">
        <v>1</v>
      </c>
      <c r="E38" s="29">
        <v>50</v>
      </c>
      <c r="F38" s="11">
        <v>45882</v>
      </c>
      <c r="G38" s="10">
        <v>0.375</v>
      </c>
      <c r="H38" s="11">
        <v>45880</v>
      </c>
      <c r="I38" s="10">
        <v>0.91666666666666663</v>
      </c>
      <c r="J38" s="9">
        <f t="shared" si="0"/>
        <v>-70</v>
      </c>
      <c r="K38" s="65">
        <v>1</v>
      </c>
      <c r="L38" s="7">
        <v>120</v>
      </c>
      <c r="M38" s="6" t="s">
        <v>78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79</v>
      </c>
      <c r="B39" s="62" t="s">
        <v>36</v>
      </c>
      <c r="C39" s="11" t="s">
        <v>80</v>
      </c>
      <c r="D39" s="20">
        <v>1</v>
      </c>
      <c r="E39" s="29">
        <v>45</v>
      </c>
      <c r="F39" s="11">
        <v>45882</v>
      </c>
      <c r="G39" s="10">
        <v>0.375</v>
      </c>
      <c r="H39" s="11">
        <v>45880</v>
      </c>
      <c r="I39" s="10">
        <v>0.9375</v>
      </c>
      <c r="J39" s="9">
        <f t="shared" si="0"/>
        <v>-35</v>
      </c>
      <c r="K39" s="65">
        <v>1</v>
      </c>
      <c r="L39" s="7">
        <v>80</v>
      </c>
      <c r="M39" s="6" t="s">
        <v>81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82</v>
      </c>
      <c r="B40" s="62" t="s">
        <v>30</v>
      </c>
      <c r="C40" s="11" t="s">
        <v>83</v>
      </c>
      <c r="D40" s="66">
        <v>1</v>
      </c>
      <c r="E40" s="9">
        <v>50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-4</v>
      </c>
      <c r="K40" s="65">
        <v>1</v>
      </c>
      <c r="L40" s="7">
        <v>54</v>
      </c>
      <c r="M40" s="6" t="s">
        <v>84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85</v>
      </c>
      <c r="B41" s="62" t="s">
        <v>21</v>
      </c>
      <c r="C41" s="11" t="s">
        <v>86</v>
      </c>
      <c r="D41" s="66">
        <v>1</v>
      </c>
      <c r="E41" s="9">
        <v>60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10</v>
      </c>
      <c r="K41" s="65">
        <v>1</v>
      </c>
      <c r="L41" s="7">
        <v>50</v>
      </c>
      <c r="M41" s="6" t="s">
        <v>87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88</v>
      </c>
      <c r="B42" s="62" t="s">
        <v>21</v>
      </c>
      <c r="C42" s="11" t="s">
        <v>86</v>
      </c>
      <c r="D42" s="66">
        <v>1</v>
      </c>
      <c r="E42" s="9">
        <v>55</v>
      </c>
      <c r="F42" s="11">
        <v>45882</v>
      </c>
      <c r="G42" s="10">
        <v>0.375</v>
      </c>
      <c r="H42" s="11">
        <v>45880</v>
      </c>
      <c r="I42" s="10">
        <v>0.95833333333333337</v>
      </c>
      <c r="J42" s="9">
        <f t="shared" si="0"/>
        <v>0</v>
      </c>
      <c r="K42" s="65">
        <v>1</v>
      </c>
      <c r="L42" s="7">
        <v>55</v>
      </c>
      <c r="M42" s="6" t="s">
        <v>89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30</v>
      </c>
      <c r="C43" s="11" t="s">
        <v>83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21</v>
      </c>
      <c r="C44" s="11" t="s">
        <v>86</v>
      </c>
      <c r="D44" s="66">
        <v>1</v>
      </c>
      <c r="E44" s="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39</v>
      </c>
      <c r="C45" s="11" t="s">
        <v>150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136</v>
      </c>
      <c r="C46" s="11" t="s">
        <v>151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42</v>
      </c>
      <c r="C47" s="11" t="s">
        <v>77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>E47-L47</f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146</v>
      </c>
      <c r="B48" s="62" t="s">
        <v>36</v>
      </c>
      <c r="C48" s="11" t="s">
        <v>80</v>
      </c>
      <c r="D48" s="20">
        <v>1</v>
      </c>
      <c r="E48" s="29">
        <v>60</v>
      </c>
      <c r="F48" s="11">
        <v>45882</v>
      </c>
      <c r="G48" s="10">
        <v>0.375</v>
      </c>
      <c r="H48" s="11">
        <v>45880</v>
      </c>
      <c r="I48" s="10">
        <v>0.875</v>
      </c>
      <c r="J48" s="9">
        <f t="shared" si="0"/>
        <v>-6</v>
      </c>
      <c r="K48" s="65">
        <v>1</v>
      </c>
      <c r="L48" s="7">
        <v>66</v>
      </c>
      <c r="M48" s="6" t="s">
        <v>149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147</v>
      </c>
      <c r="B49" s="62" t="s">
        <v>30</v>
      </c>
      <c r="C49" s="11" t="s">
        <v>83</v>
      </c>
      <c r="D49" s="66">
        <v>1</v>
      </c>
      <c r="E49" s="9">
        <v>30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5</v>
      </c>
      <c r="K49" s="65">
        <v>1</v>
      </c>
      <c r="L49" s="7">
        <v>25</v>
      </c>
      <c r="M49" s="6" t="s">
        <v>148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90</v>
      </c>
      <c r="B50" s="62" t="s">
        <v>42</v>
      </c>
      <c r="C50" s="11" t="s">
        <v>77</v>
      </c>
      <c r="D50" s="20">
        <v>1</v>
      </c>
      <c r="E50" s="29">
        <v>20</v>
      </c>
      <c r="F50" s="11">
        <v>45882</v>
      </c>
      <c r="G50" s="10">
        <v>0.375</v>
      </c>
      <c r="H50" s="11">
        <v>45880</v>
      </c>
      <c r="I50" s="10">
        <v>0.95833333333333337</v>
      </c>
      <c r="J50" s="9">
        <f t="shared" si="0"/>
        <v>0</v>
      </c>
      <c r="K50" s="65">
        <v>1</v>
      </c>
      <c r="L50" s="7">
        <v>20</v>
      </c>
      <c r="M50" s="6" t="s">
        <v>91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0" t="s">
        <v>210</v>
      </c>
      <c r="B52" t="s">
        <v>215</v>
      </c>
      <c r="C52" t="s">
        <v>214</v>
      </c>
      <c r="D52" t="s">
        <v>213</v>
      </c>
      <c r="E52" t="s">
        <v>212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55</v>
      </c>
      <c r="B53">
        <v>1</v>
      </c>
      <c r="C53">
        <v>120</v>
      </c>
      <c r="D53" s="2">
        <v>1</v>
      </c>
      <c r="E53" s="2">
        <v>60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70</v>
      </c>
      <c r="B54">
        <v>1</v>
      </c>
      <c r="C54">
        <v>30</v>
      </c>
      <c r="D54" s="2">
        <v>1</v>
      </c>
      <c r="E54" s="2">
        <v>25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57</v>
      </c>
      <c r="B55">
        <v>1</v>
      </c>
      <c r="C55">
        <v>120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64</v>
      </c>
      <c r="B56">
        <v>1</v>
      </c>
      <c r="C56">
        <v>30</v>
      </c>
      <c r="D56" s="2">
        <v>1</v>
      </c>
      <c r="E56" s="2">
        <v>60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67</v>
      </c>
      <c r="B57">
        <v>1</v>
      </c>
      <c r="C57">
        <v>30</v>
      </c>
      <c r="D57" s="2">
        <v>1</v>
      </c>
      <c r="E57" s="2">
        <v>120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61</v>
      </c>
      <c r="B58">
        <v>1</v>
      </c>
      <c r="C58">
        <v>30</v>
      </c>
      <c r="D58" s="2">
        <v>1</v>
      </c>
      <c r="E58" s="2">
        <v>60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71" t="s">
        <v>211</v>
      </c>
      <c r="B59">
        <v>6</v>
      </c>
      <c r="C59">
        <v>360</v>
      </c>
      <c r="D59" s="2">
        <v>6</v>
      </c>
      <c r="E59" s="2">
        <v>385</v>
      </c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4"/>
      <c r="G66" s="45"/>
      <c r="H66" s="44"/>
      <c r="I66" s="45"/>
      <c r="J66" s="46"/>
      <c r="L66" s="47"/>
      <c r="M66" s="48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  <c r="K110"/>
      <c r="L110"/>
      <c r="M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  <row r="134" spans="1:5" x14ac:dyDescent="0.2">
      <c r="A134"/>
      <c r="B134"/>
      <c r="C134"/>
      <c r="D134"/>
      <c r="E134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AG125"/>
  <sheetViews>
    <sheetView topLeftCell="H1" zoomScale="84" zoomScaleNormal="84" workbookViewId="0">
      <selection activeCell="A49" sqref="A49:M4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33" s="5" customFormat="1" ht="26.1" customHeight="1" x14ac:dyDescent="0.2">
      <c r="A49" s="107" t="s">
        <v>471</v>
      </c>
      <c r="B49" s="53" t="s">
        <v>36</v>
      </c>
      <c r="C49" s="53" t="s">
        <v>37</v>
      </c>
      <c r="D49" s="53">
        <v>1</v>
      </c>
      <c r="E49" s="53">
        <v>30</v>
      </c>
      <c r="F49" s="80">
        <v>45896</v>
      </c>
      <c r="G49" s="81">
        <v>0.375</v>
      </c>
      <c r="H49" s="80">
        <v>45890</v>
      </c>
      <c r="I49" s="81">
        <v>0.79166666666666663</v>
      </c>
      <c r="J49" s="87">
        <f t="shared" si="2"/>
        <v>0</v>
      </c>
      <c r="K49" s="53">
        <v>3</v>
      </c>
      <c r="L49" s="53">
        <v>30</v>
      </c>
      <c r="M49" s="79" t="s">
        <v>472</v>
      </c>
      <c r="N49" s="23" t="s">
        <v>146</v>
      </c>
      <c r="O49" s="11" t="s">
        <v>30</v>
      </c>
      <c r="P49" s="11" t="s">
        <v>83</v>
      </c>
      <c r="Q49" s="20">
        <v>1</v>
      </c>
      <c r="R49" s="29">
        <v>60</v>
      </c>
      <c r="S49" s="11">
        <v>45896</v>
      </c>
      <c r="T49" s="10">
        <v>0.375</v>
      </c>
      <c r="U49" s="11">
        <v>45890</v>
      </c>
      <c r="V49" s="10">
        <v>0.91666666666666663</v>
      </c>
      <c r="W49" s="9">
        <f>R49-Y49</f>
        <v>50</v>
      </c>
      <c r="X49" s="8">
        <v>1</v>
      </c>
      <c r="Y49" s="7">
        <v>10</v>
      </c>
      <c r="Z49" s="6" t="s">
        <v>149</v>
      </c>
      <c r="AD49" s="20">
        <v>1</v>
      </c>
      <c r="AE49" s="29">
        <v>20</v>
      </c>
      <c r="AF49" s="8">
        <v>1</v>
      </c>
      <c r="AG49" s="7">
        <v>20</v>
      </c>
    </row>
    <row r="50" spans="1:33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33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33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33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33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33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33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33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33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33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33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33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33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33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33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B38" zoomScale="84" zoomScaleNormal="84" workbookViewId="0">
      <selection activeCell="A42" sqref="A42:M4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1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45927</v>
      </c>
      <c r="G42" s="81">
        <v>0.375</v>
      </c>
      <c r="H42" s="80">
        <v>45902</v>
      </c>
      <c r="I42" s="81">
        <v>0.79166666666666663</v>
      </c>
      <c r="J42" s="87">
        <f t="shared" si="1"/>
        <v>0</v>
      </c>
      <c r="K42" s="53">
        <v>3</v>
      </c>
      <c r="L42" s="53">
        <v>30</v>
      </c>
      <c r="M42" s="79" t="s">
        <v>472</v>
      </c>
    </row>
    <row r="43" spans="1:13" s="5" customFormat="1" ht="38.25" customHeight="1" x14ac:dyDescent="0.2">
      <c r="A43" s="13" t="s">
        <v>204</v>
      </c>
      <c r="B43" s="13" t="s">
        <v>39</v>
      </c>
      <c r="C43" s="13" t="s">
        <v>40</v>
      </c>
      <c r="D43" s="58">
        <v>1</v>
      </c>
      <c r="E43" s="50">
        <v>60</v>
      </c>
      <c r="F43" s="11">
        <v>45927</v>
      </c>
      <c r="G43" s="10">
        <v>0.375</v>
      </c>
      <c r="H43" s="13">
        <v>45902</v>
      </c>
      <c r="I43" s="12">
        <v>0.93055555555555558</v>
      </c>
      <c r="J43" s="53">
        <f t="shared" si="1"/>
        <v>-2</v>
      </c>
      <c r="K43" s="50">
        <v>1</v>
      </c>
      <c r="L43" s="51">
        <v>62</v>
      </c>
      <c r="M43" s="52" t="s">
        <v>205</v>
      </c>
    </row>
    <row r="44" spans="1:13" s="5" customFormat="1" ht="38.25" customHeight="1" x14ac:dyDescent="0.2">
      <c r="A44" s="23" t="s">
        <v>146</v>
      </c>
      <c r="B44" s="11" t="s">
        <v>30</v>
      </c>
      <c r="C44" s="62" t="s">
        <v>207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69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42</v>
      </c>
      <c r="C45" s="11" t="s">
        <v>77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21</v>
      </c>
      <c r="C46" s="11" t="s">
        <v>22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136</v>
      </c>
      <c r="C47" s="11" t="s">
        <v>151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36</v>
      </c>
      <c r="C48" s="11" t="s">
        <v>80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146</v>
      </c>
      <c r="B49" s="11" t="s">
        <v>39</v>
      </c>
      <c r="C49" s="11" t="s">
        <v>150</v>
      </c>
      <c r="D49" s="66">
        <v>1</v>
      </c>
      <c r="E49" s="9">
        <v>60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50</v>
      </c>
      <c r="K49" s="65">
        <v>1</v>
      </c>
      <c r="L49" s="7">
        <v>10</v>
      </c>
      <c r="M49" s="6" t="s">
        <v>149</v>
      </c>
    </row>
    <row r="50" spans="1:13" s="5" customFormat="1" ht="24.95" customHeight="1" x14ac:dyDescent="0.2">
      <c r="A50" s="23" t="s">
        <v>52</v>
      </c>
      <c r="B50" s="21" t="s">
        <v>21</v>
      </c>
      <c r="C50" s="63" t="s">
        <v>22</v>
      </c>
      <c r="D50" s="66">
        <v>1</v>
      </c>
      <c r="E50" s="9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153</v>
      </c>
      <c r="B51" s="21" t="s">
        <v>36</v>
      </c>
      <c r="C51" s="63" t="s">
        <v>37</v>
      </c>
      <c r="D51" s="66">
        <v>1</v>
      </c>
      <c r="E51" s="64">
        <v>30</v>
      </c>
      <c r="F51" s="11">
        <v>45903</v>
      </c>
      <c r="G51" s="10">
        <v>0.375</v>
      </c>
      <c r="H51" s="11">
        <v>45902</v>
      </c>
      <c r="I51" s="10">
        <v>0.91666666666666663</v>
      </c>
      <c r="J51" s="9">
        <f t="shared" si="1"/>
        <v>0</v>
      </c>
      <c r="K51" s="65">
        <v>1</v>
      </c>
      <c r="L51" s="7">
        <v>30</v>
      </c>
      <c r="M51" s="6" t="s">
        <v>53</v>
      </c>
    </row>
    <row r="52" spans="1:13" s="5" customFormat="1" ht="35.450000000000003" customHeight="1" x14ac:dyDescent="0.2">
      <c r="A52" s="23" t="s">
        <v>79</v>
      </c>
      <c r="B52" s="11" t="s">
        <v>36</v>
      </c>
      <c r="C52" s="62" t="s">
        <v>37</v>
      </c>
      <c r="D52" s="66">
        <v>1</v>
      </c>
      <c r="E52" s="9">
        <v>45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-35</v>
      </c>
      <c r="K52" s="65">
        <v>1</v>
      </c>
      <c r="L52" s="7">
        <v>80</v>
      </c>
      <c r="M52" s="6" t="s">
        <v>81</v>
      </c>
    </row>
    <row r="53" spans="1:13" s="5" customFormat="1" ht="36.6" customHeight="1" x14ac:dyDescent="0.2">
      <c r="A53" s="23" t="s">
        <v>85</v>
      </c>
      <c r="B53" s="11" t="s">
        <v>21</v>
      </c>
      <c r="C53" s="62" t="s">
        <v>22</v>
      </c>
      <c r="D53" s="66">
        <v>1</v>
      </c>
      <c r="E53" s="9">
        <v>60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10</v>
      </c>
      <c r="K53" s="65">
        <v>1</v>
      </c>
      <c r="L53" s="7">
        <v>50</v>
      </c>
      <c r="M53" s="6" t="s">
        <v>87</v>
      </c>
    </row>
    <row r="54" spans="1:13" s="5" customFormat="1" ht="36.6" customHeight="1" x14ac:dyDescent="0.2">
      <c r="A54" s="23" t="s">
        <v>88</v>
      </c>
      <c r="B54" s="11" t="s">
        <v>21</v>
      </c>
      <c r="C54" s="11" t="s">
        <v>22</v>
      </c>
      <c r="D54" s="66">
        <v>1</v>
      </c>
      <c r="E54" s="9">
        <v>55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0</v>
      </c>
      <c r="K54" s="65">
        <v>1</v>
      </c>
      <c r="L54" s="7">
        <v>55</v>
      </c>
      <c r="M54" s="6" t="s">
        <v>89</v>
      </c>
    </row>
    <row r="55" spans="1:13" s="5" customFormat="1" ht="35.450000000000003" customHeight="1" x14ac:dyDescent="0.2">
      <c r="A55" s="33" t="s">
        <v>131</v>
      </c>
      <c r="B55" s="11" t="s">
        <v>36</v>
      </c>
      <c r="C55" s="11" t="s">
        <v>37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42</v>
      </c>
      <c r="C56" s="11" t="s">
        <v>43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30</v>
      </c>
      <c r="C57" s="11" t="s">
        <v>31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69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21</v>
      </c>
      <c r="C58" s="11" t="s">
        <v>22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136</v>
      </c>
      <c r="C59" s="11" t="s">
        <v>34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131</v>
      </c>
      <c r="B60" s="11" t="s">
        <v>39</v>
      </c>
      <c r="C60" s="11" t="s">
        <v>40</v>
      </c>
      <c r="D60" s="9">
        <v>1</v>
      </c>
      <c r="E60" s="9">
        <v>30</v>
      </c>
      <c r="F60" s="11">
        <v>45903</v>
      </c>
      <c r="G60" s="10">
        <v>0.375</v>
      </c>
      <c r="H60" s="11">
        <v>45902</v>
      </c>
      <c r="I60" s="10">
        <v>0.9375</v>
      </c>
      <c r="J60" s="9">
        <f t="shared" si="1"/>
        <v>-2</v>
      </c>
      <c r="K60" s="65">
        <v>1</v>
      </c>
      <c r="L60" s="7">
        <v>32</v>
      </c>
      <c r="M60" s="6" t="s">
        <v>132</v>
      </c>
    </row>
    <row r="61" spans="1:13" s="5" customFormat="1" ht="35.450000000000003" customHeight="1" x14ac:dyDescent="0.2">
      <c r="A61" s="33" t="s">
        <v>133</v>
      </c>
      <c r="B61" s="11" t="s">
        <v>21</v>
      </c>
      <c r="C61" s="11" t="s">
        <v>22</v>
      </c>
      <c r="D61" s="9">
        <v>3</v>
      </c>
      <c r="E61" s="9">
        <v>20</v>
      </c>
      <c r="F61" s="11">
        <v>45903</v>
      </c>
      <c r="G61" s="10">
        <v>0.375</v>
      </c>
      <c r="H61" s="11">
        <v>45903</v>
      </c>
      <c r="I61" s="10">
        <v>0.375</v>
      </c>
      <c r="J61" s="9">
        <f t="shared" si="1"/>
        <v>5</v>
      </c>
      <c r="K61" s="65">
        <v>3</v>
      </c>
      <c r="L61" s="7">
        <v>15</v>
      </c>
      <c r="M61" s="6" t="s">
        <v>134</v>
      </c>
    </row>
    <row r="62" spans="1:13" s="5" customFormat="1" ht="35.450000000000003" customHeight="1" x14ac:dyDescent="0.2">
      <c r="A62"/>
      <c r="B62"/>
      <c r="C62"/>
      <c r="D62"/>
      <c r="E62"/>
      <c r="F62"/>
      <c r="G62"/>
      <c r="H62"/>
      <c r="I62"/>
      <c r="J62"/>
      <c r="K62"/>
      <c r="L62" s="2"/>
      <c r="M62"/>
    </row>
    <row r="63" spans="1:13" s="5" customFormat="1" ht="35.450000000000003" customHeight="1" x14ac:dyDescent="0.2">
      <c r="A63" s="72"/>
      <c r="B63" s="73"/>
      <c r="C63" s="73"/>
      <c r="D63" s="73"/>
      <c r="E63" s="74"/>
      <c r="F63" s="4"/>
      <c r="G63" s="4"/>
      <c r="H63" s="70" t="s">
        <v>210</v>
      </c>
      <c r="I63" t="s">
        <v>212</v>
      </c>
      <c r="J63" t="s">
        <v>213</v>
      </c>
      <c r="K63" t="s">
        <v>214</v>
      </c>
      <c r="L63" t="s">
        <v>215</v>
      </c>
      <c r="M63" s="1"/>
    </row>
    <row r="64" spans="1:13" s="5" customFormat="1" ht="35.450000000000003" customHeight="1" x14ac:dyDescent="0.2">
      <c r="A64" s="72"/>
      <c r="B64" s="75"/>
      <c r="C64" s="76"/>
      <c r="D64" s="75"/>
      <c r="E64" s="75"/>
      <c r="F64" s="4"/>
      <c r="G64" s="4"/>
      <c r="H64" s="71" t="s">
        <v>36</v>
      </c>
      <c r="I64" s="2">
        <v>329</v>
      </c>
      <c r="J64" s="2">
        <v>10</v>
      </c>
      <c r="K64" s="2">
        <v>355</v>
      </c>
      <c r="L64" s="2">
        <v>11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39</v>
      </c>
      <c r="I65" s="2">
        <v>283</v>
      </c>
      <c r="J65" s="2">
        <v>13</v>
      </c>
      <c r="K65" s="2">
        <v>340</v>
      </c>
      <c r="L65" s="2">
        <v>13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21</v>
      </c>
      <c r="I66" s="2">
        <v>350</v>
      </c>
      <c r="J66" s="2">
        <v>15</v>
      </c>
      <c r="K66" s="2">
        <v>435</v>
      </c>
      <c r="L66" s="2">
        <v>14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136</v>
      </c>
      <c r="I67" s="2">
        <v>183</v>
      </c>
      <c r="J67" s="2">
        <v>8</v>
      </c>
      <c r="K67" s="2">
        <v>255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42</v>
      </c>
      <c r="I68" s="2">
        <v>187</v>
      </c>
      <c r="J68" s="2">
        <v>8</v>
      </c>
      <c r="K68" s="2">
        <v>240</v>
      </c>
      <c r="L68" s="2">
        <v>8</v>
      </c>
      <c r="M68" s="1"/>
    </row>
    <row r="69" spans="1:13" ht="28.5" customHeight="1" x14ac:dyDescent="0.2">
      <c r="H69" s="71" t="s">
        <v>30</v>
      </c>
      <c r="I69" s="2">
        <v>222</v>
      </c>
      <c r="J69" s="2">
        <v>9</v>
      </c>
      <c r="K69" s="2">
        <v>290</v>
      </c>
      <c r="L69" s="2">
        <v>9</v>
      </c>
    </row>
    <row r="70" spans="1:13" ht="30.75" customHeight="1" x14ac:dyDescent="0.2">
      <c r="H70" s="71" t="s">
        <v>211</v>
      </c>
      <c r="I70" s="2">
        <v>1554</v>
      </c>
      <c r="J70" s="2">
        <v>63</v>
      </c>
      <c r="K70" s="2">
        <v>1915</v>
      </c>
      <c r="L70" s="2">
        <v>63</v>
      </c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  <c r="K72"/>
      <c r="L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>
      <c r="H78"/>
      <c r="I78"/>
      <c r="J78"/>
    </row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1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6"/>
  <sheetViews>
    <sheetView topLeftCell="A68" zoomScale="84" zoomScaleNormal="76" workbookViewId="0">
      <selection activeCell="E74" sqref="E74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+A78+A1:L7+A7:L7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107" t="s">
        <v>471</v>
      </c>
      <c r="B74" s="53" t="s">
        <v>36</v>
      </c>
      <c r="C74" s="53" t="s">
        <v>37</v>
      </c>
      <c r="D74" s="53">
        <v>1</v>
      </c>
      <c r="E74" s="53">
        <v>30</v>
      </c>
      <c r="F74" s="80">
        <v>45909</v>
      </c>
      <c r="G74" s="81">
        <v>0.375</v>
      </c>
      <c r="H74" s="80">
        <v>45930</v>
      </c>
      <c r="I74" s="81">
        <v>0.79166666666666663</v>
      </c>
      <c r="J74" s="87">
        <f t="shared" si="0"/>
        <v>0</v>
      </c>
      <c r="K74" s="53">
        <v>3</v>
      </c>
      <c r="L74" s="53">
        <v>30</v>
      </c>
      <c r="M74" s="79" t="s">
        <v>472</v>
      </c>
    </row>
    <row r="75" spans="1:13" s="5" customFormat="1" ht="35.450000000000003" customHeight="1" x14ac:dyDescent="0.2">
      <c r="A75" s="92" t="s">
        <v>123</v>
      </c>
      <c r="B75" s="90" t="s">
        <v>36</v>
      </c>
      <c r="C75" s="85" t="s">
        <v>37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7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38" t="s">
        <v>123</v>
      </c>
      <c r="B76" s="90" t="s">
        <v>143</v>
      </c>
      <c r="C76" s="85" t="s">
        <v>43</v>
      </c>
      <c r="D76" s="49">
        <v>1</v>
      </c>
      <c r="E76" s="49">
        <v>20</v>
      </c>
      <c r="F76" s="85">
        <v>45909</v>
      </c>
      <c r="G76" s="86">
        <v>0.375</v>
      </c>
      <c r="H76" s="85">
        <v>45907</v>
      </c>
      <c r="I76" s="86">
        <v>0.80555555555555558</v>
      </c>
      <c r="J76" s="87">
        <f t="shared" si="1"/>
        <v>0</v>
      </c>
      <c r="K76" s="8">
        <v>1</v>
      </c>
      <c r="L76" s="88">
        <v>20</v>
      </c>
      <c r="M76" s="93" t="s">
        <v>124</v>
      </c>
    </row>
    <row r="77" spans="1:13" s="5" customFormat="1" ht="35.450000000000003" customHeight="1" x14ac:dyDescent="0.2">
      <c r="A77" s="13" t="s">
        <v>175</v>
      </c>
      <c r="B77" s="96" t="s">
        <v>36</v>
      </c>
      <c r="C77" s="13" t="s">
        <v>37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6</v>
      </c>
      <c r="K77" s="50">
        <v>1</v>
      </c>
      <c r="L77" s="68">
        <v>24</v>
      </c>
      <c r="M77" s="52" t="s">
        <v>176</v>
      </c>
    </row>
    <row r="78" spans="1:13" s="5" customFormat="1" ht="35.450000000000003" customHeight="1" x14ac:dyDescent="0.2">
      <c r="A78" s="13" t="s">
        <v>177</v>
      </c>
      <c r="B78" s="96" t="s">
        <v>39</v>
      </c>
      <c r="C78" s="13" t="s">
        <v>40</v>
      </c>
      <c r="D78" s="53">
        <v>1</v>
      </c>
      <c r="E78" s="53">
        <v>30</v>
      </c>
      <c r="F78" s="13">
        <v>45909</v>
      </c>
      <c r="G78" s="86">
        <v>0.375</v>
      </c>
      <c r="H78" s="13">
        <v>45907</v>
      </c>
      <c r="I78" s="12">
        <v>0.83333333333333337</v>
      </c>
      <c r="J78" s="53">
        <f t="shared" si="1"/>
        <v>0</v>
      </c>
      <c r="K78" s="50">
        <v>1</v>
      </c>
      <c r="L78" s="68">
        <v>30</v>
      </c>
      <c r="M78" s="52" t="s">
        <v>178</v>
      </c>
    </row>
    <row r="79" spans="1:13" s="5" customFormat="1" ht="35.450000000000003" customHeight="1" x14ac:dyDescent="0.2">
      <c r="A79" s="61" t="s">
        <v>179</v>
      </c>
      <c r="B79" s="96" t="s">
        <v>39</v>
      </c>
      <c r="C79" s="13" t="s">
        <v>40</v>
      </c>
      <c r="D79" s="53">
        <v>5</v>
      </c>
      <c r="E79" s="53">
        <v>50</v>
      </c>
      <c r="F79" s="13">
        <v>45909</v>
      </c>
      <c r="G79" s="86">
        <v>0.375</v>
      </c>
      <c r="H79" s="13">
        <v>45907</v>
      </c>
      <c r="I79" s="12">
        <v>0.86805555555555558</v>
      </c>
      <c r="J79" s="53">
        <f t="shared" si="1"/>
        <v>5</v>
      </c>
      <c r="K79" s="50">
        <v>5</v>
      </c>
      <c r="L79" s="68">
        <v>45</v>
      </c>
      <c r="M79" s="52" t="s">
        <v>180</v>
      </c>
    </row>
    <row r="80" spans="1:13" s="5" customFormat="1" ht="35.450000000000003" customHeight="1" x14ac:dyDescent="0.2">
      <c r="A80" s="23" t="s">
        <v>146</v>
      </c>
      <c r="B80" s="90" t="s">
        <v>30</v>
      </c>
      <c r="C80" s="90" t="s">
        <v>207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42</v>
      </c>
      <c r="C81" s="85" t="s">
        <v>77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21</v>
      </c>
      <c r="C82" s="85" t="s">
        <v>86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136</v>
      </c>
      <c r="C83" s="85" t="s">
        <v>151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36</v>
      </c>
      <c r="C84" s="85" t="s">
        <v>80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36" x14ac:dyDescent="0.2">
      <c r="A85" s="23" t="s">
        <v>146</v>
      </c>
      <c r="B85" s="90" t="s">
        <v>39</v>
      </c>
      <c r="C85" s="85" t="s">
        <v>150</v>
      </c>
      <c r="D85" s="84">
        <v>1</v>
      </c>
      <c r="E85" s="49">
        <v>60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50</v>
      </c>
      <c r="K85" s="8">
        <v>1</v>
      </c>
      <c r="L85" s="88">
        <v>10</v>
      </c>
      <c r="M85" s="91" t="s">
        <v>149</v>
      </c>
    </row>
    <row r="86" spans="1:13" ht="24" x14ac:dyDescent="0.2">
      <c r="A86" s="23" t="s">
        <v>52</v>
      </c>
      <c r="B86" s="90" t="s">
        <v>21</v>
      </c>
      <c r="C86" s="90" t="s">
        <v>22</v>
      </c>
      <c r="D86" s="84">
        <v>1</v>
      </c>
      <c r="E86" s="49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153</v>
      </c>
      <c r="B87" s="90" t="s">
        <v>36</v>
      </c>
      <c r="C87" s="90" t="s">
        <v>37</v>
      </c>
      <c r="D87" s="84">
        <v>1</v>
      </c>
      <c r="E87" s="5">
        <v>30</v>
      </c>
      <c r="F87" s="85">
        <v>45909</v>
      </c>
      <c r="G87" s="86">
        <v>0.375</v>
      </c>
      <c r="H87" s="85">
        <v>45907</v>
      </c>
      <c r="I87" s="86">
        <v>0.91666666666666663</v>
      </c>
      <c r="J87" s="87">
        <f t="shared" si="1"/>
        <v>0</v>
      </c>
      <c r="K87" s="8">
        <v>1</v>
      </c>
      <c r="L87" s="88">
        <v>30</v>
      </c>
      <c r="M87" s="91" t="s">
        <v>53</v>
      </c>
    </row>
    <row r="88" spans="1:13" ht="24" x14ac:dyDescent="0.2">
      <c r="A88" s="23" t="s">
        <v>79</v>
      </c>
      <c r="B88" s="90" t="s">
        <v>36</v>
      </c>
      <c r="C88" s="90" t="s">
        <v>37</v>
      </c>
      <c r="D88" s="84">
        <v>1</v>
      </c>
      <c r="E88" s="49">
        <v>45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-35</v>
      </c>
      <c r="K88" s="8">
        <v>1</v>
      </c>
      <c r="L88" s="88">
        <v>80</v>
      </c>
      <c r="M88" s="91" t="s">
        <v>81</v>
      </c>
    </row>
    <row r="89" spans="1:13" ht="36" x14ac:dyDescent="0.2">
      <c r="A89" s="23" t="s">
        <v>85</v>
      </c>
      <c r="B89" s="90" t="s">
        <v>21</v>
      </c>
      <c r="C89" s="90" t="s">
        <v>22</v>
      </c>
      <c r="D89" s="84">
        <v>1</v>
      </c>
      <c r="E89" s="49">
        <v>60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10</v>
      </c>
      <c r="K89" s="8">
        <v>1</v>
      </c>
      <c r="L89" s="88">
        <v>50</v>
      </c>
      <c r="M89" s="91" t="s">
        <v>87</v>
      </c>
    </row>
    <row r="90" spans="1:13" ht="24" x14ac:dyDescent="0.2">
      <c r="A90" s="23" t="s">
        <v>88</v>
      </c>
      <c r="B90" s="90" t="s">
        <v>21</v>
      </c>
      <c r="C90" s="85" t="s">
        <v>22</v>
      </c>
      <c r="D90" s="84">
        <v>1</v>
      </c>
      <c r="E90" s="49">
        <v>55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0</v>
      </c>
      <c r="K90" s="8">
        <v>1</v>
      </c>
      <c r="L90" s="88">
        <v>55</v>
      </c>
      <c r="M90" s="91" t="s">
        <v>89</v>
      </c>
    </row>
    <row r="91" spans="1:13" ht="24" x14ac:dyDescent="0.2">
      <c r="A91" s="33" t="s">
        <v>131</v>
      </c>
      <c r="B91" s="90" t="s">
        <v>36</v>
      </c>
      <c r="C91" s="85" t="s">
        <v>37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42</v>
      </c>
      <c r="C92" s="85" t="s">
        <v>43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30</v>
      </c>
      <c r="C93" s="85" t="s">
        <v>31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21</v>
      </c>
      <c r="C94" s="85" t="s">
        <v>22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136</v>
      </c>
      <c r="C95" s="85" t="s">
        <v>34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131</v>
      </c>
      <c r="B96" s="90" t="s">
        <v>39</v>
      </c>
      <c r="C96" s="85" t="s">
        <v>40</v>
      </c>
      <c r="D96" s="49">
        <v>1</v>
      </c>
      <c r="E96" s="49">
        <v>30</v>
      </c>
      <c r="F96" s="85">
        <v>45909</v>
      </c>
      <c r="G96" s="86">
        <v>0.375</v>
      </c>
      <c r="H96" s="85">
        <v>45907</v>
      </c>
      <c r="I96" s="86">
        <v>0.9375</v>
      </c>
      <c r="J96" s="87">
        <f t="shared" si="1"/>
        <v>-2</v>
      </c>
      <c r="K96" s="8">
        <v>1</v>
      </c>
      <c r="L96" s="88">
        <v>32</v>
      </c>
      <c r="M96" s="91" t="s">
        <v>132</v>
      </c>
    </row>
    <row r="97" spans="1:13" ht="24" x14ac:dyDescent="0.2">
      <c r="A97" s="33" t="s">
        <v>133</v>
      </c>
      <c r="B97" s="90" t="s">
        <v>21</v>
      </c>
      <c r="C97" s="85" t="s">
        <v>22</v>
      </c>
      <c r="D97" s="49">
        <v>3</v>
      </c>
      <c r="E97" s="49">
        <v>20</v>
      </c>
      <c r="F97" s="85">
        <v>45909</v>
      </c>
      <c r="G97" s="86">
        <v>0.375</v>
      </c>
      <c r="H97" s="85">
        <v>45908</v>
      </c>
      <c r="I97" s="86">
        <v>0.375</v>
      </c>
      <c r="J97" s="87">
        <f t="shared" si="1"/>
        <v>5</v>
      </c>
      <c r="K97" s="8">
        <v>3</v>
      </c>
      <c r="L97" s="88">
        <v>15</v>
      </c>
      <c r="M97" s="91" t="s">
        <v>134</v>
      </c>
    </row>
    <row r="98" spans="1:13" x14ac:dyDescent="0.2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">
      <c r="A99" s="70" t="s">
        <v>210</v>
      </c>
      <c r="B99" t="s">
        <v>215</v>
      </c>
      <c r="C99" t="s">
        <v>214</v>
      </c>
      <c r="D99" t="s">
        <v>212</v>
      </c>
      <c r="E99" t="s">
        <v>213</v>
      </c>
    </row>
    <row r="100" spans="1:13" x14ac:dyDescent="0.2">
      <c r="A100" s="71" t="s">
        <v>36</v>
      </c>
      <c r="B100">
        <v>22</v>
      </c>
      <c r="C100">
        <v>550</v>
      </c>
      <c r="D100">
        <v>535</v>
      </c>
      <c r="E100">
        <v>25</v>
      </c>
    </row>
    <row r="101" spans="1:13" x14ac:dyDescent="0.2">
      <c r="A101" s="71" t="s">
        <v>39</v>
      </c>
      <c r="B101">
        <v>18</v>
      </c>
      <c r="C101">
        <v>370</v>
      </c>
      <c r="D101">
        <v>296</v>
      </c>
      <c r="E101">
        <v>18</v>
      </c>
    </row>
    <row r="102" spans="1:13" x14ac:dyDescent="0.2">
      <c r="A102" s="71" t="s">
        <v>21</v>
      </c>
      <c r="B102">
        <v>22</v>
      </c>
      <c r="C102">
        <v>730</v>
      </c>
      <c r="D102">
        <v>555</v>
      </c>
      <c r="E102">
        <v>23</v>
      </c>
    </row>
    <row r="103" spans="1:13" x14ac:dyDescent="0.2">
      <c r="A103" s="71" t="s">
        <v>136</v>
      </c>
      <c r="B103">
        <v>16</v>
      </c>
      <c r="C103">
        <v>565</v>
      </c>
      <c r="D103">
        <v>402</v>
      </c>
      <c r="E103">
        <v>15</v>
      </c>
    </row>
    <row r="104" spans="1:13" x14ac:dyDescent="0.2">
      <c r="A104" s="71" t="s">
        <v>42</v>
      </c>
      <c r="B104">
        <v>17</v>
      </c>
      <c r="C104">
        <v>395</v>
      </c>
      <c r="D104">
        <v>342</v>
      </c>
      <c r="E104">
        <v>19</v>
      </c>
    </row>
    <row r="105" spans="1:13" x14ac:dyDescent="0.2">
      <c r="A105" s="71" t="s">
        <v>30</v>
      </c>
      <c r="B105">
        <v>13</v>
      </c>
      <c r="C105">
        <v>320</v>
      </c>
      <c r="D105">
        <v>262</v>
      </c>
      <c r="E105">
        <v>14</v>
      </c>
    </row>
    <row r="106" spans="1:13" x14ac:dyDescent="0.2">
      <c r="A106" s="71" t="s">
        <v>211</v>
      </c>
      <c r="B106">
        <v>108</v>
      </c>
      <c r="C106">
        <v>2930</v>
      </c>
      <c r="D106">
        <v>2392</v>
      </c>
      <c r="E106">
        <v>114</v>
      </c>
    </row>
    <row r="107" spans="1:13" x14ac:dyDescent="0.2">
      <c r="A107"/>
      <c r="B107"/>
      <c r="C107"/>
      <c r="D107"/>
      <c r="E107"/>
    </row>
    <row r="108" spans="1:13" x14ac:dyDescent="0.2">
      <c r="A108"/>
      <c r="B108"/>
      <c r="C108"/>
    </row>
    <row r="109" spans="1:13" x14ac:dyDescent="0.2">
      <c r="A109"/>
      <c r="B109"/>
      <c r="C109"/>
    </row>
    <row r="110" spans="1:13" x14ac:dyDescent="0.2">
      <c r="A110" s="95" t="s">
        <v>317</v>
      </c>
      <c r="B110" s="53">
        <v>33</v>
      </c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20" x14ac:dyDescent="0.2">
      <c r="A116"/>
      <c r="B116"/>
      <c r="C116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>
      <c r="A125" s="70" t="s">
        <v>210</v>
      </c>
      <c r="B125" t="s">
        <v>213</v>
      </c>
      <c r="C125" t="s">
        <v>215</v>
      </c>
    </row>
    <row r="126" spans="1:20" ht="33.75" customHeight="1" x14ac:dyDescent="0.2">
      <c r="A126" s="71" t="s">
        <v>36</v>
      </c>
      <c r="B126">
        <v>25</v>
      </c>
      <c r="C126">
        <v>22</v>
      </c>
    </row>
    <row r="127" spans="1:20" ht="26.25" customHeight="1" x14ac:dyDescent="0.2">
      <c r="A127" s="71" t="s">
        <v>39</v>
      </c>
      <c r="B127">
        <v>18</v>
      </c>
      <c r="C127">
        <v>18</v>
      </c>
    </row>
    <row r="128" spans="1:20" ht="27.75" customHeight="1" x14ac:dyDescent="0.2">
      <c r="A128" s="71" t="s">
        <v>21</v>
      </c>
      <c r="B128">
        <v>23</v>
      </c>
      <c r="C128">
        <v>22</v>
      </c>
    </row>
    <row r="129" spans="1:3" ht="40.5" customHeight="1" x14ac:dyDescent="0.2">
      <c r="A129" s="71" t="s">
        <v>136</v>
      </c>
      <c r="B129">
        <v>15</v>
      </c>
      <c r="C129">
        <v>16</v>
      </c>
    </row>
    <row r="130" spans="1:3" x14ac:dyDescent="0.2">
      <c r="A130" s="71" t="s">
        <v>42</v>
      </c>
      <c r="B130">
        <v>19</v>
      </c>
      <c r="C130">
        <v>17</v>
      </c>
    </row>
    <row r="131" spans="1:3" x14ac:dyDescent="0.2">
      <c r="A131" s="71" t="s">
        <v>30</v>
      </c>
      <c r="B131">
        <v>14</v>
      </c>
      <c r="C131">
        <v>13</v>
      </c>
    </row>
    <row r="132" spans="1:3" x14ac:dyDescent="0.2">
      <c r="A132" s="71" t="s">
        <v>211</v>
      </c>
      <c r="B132">
        <v>114</v>
      </c>
      <c r="C132">
        <v>108</v>
      </c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</row>
    <row r="144" spans="1:3" x14ac:dyDescent="0.2">
      <c r="A144"/>
    </row>
    <row r="145" spans="1:1" x14ac:dyDescent="0.2">
      <c r="A145"/>
    </row>
    <row r="146" spans="1:1" x14ac:dyDescent="0.2">
      <c r="A14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26" zoomScale="84" zoomScaleNormal="76" workbookViewId="0">
      <selection activeCell="F33" sqref="F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+A37+A1:L7+A7:L7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6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107" t="s">
        <v>471</v>
      </c>
      <c r="B32" s="53" t="s">
        <v>36</v>
      </c>
      <c r="C32" s="53" t="s">
        <v>37</v>
      </c>
      <c r="D32" s="53">
        <v>1</v>
      </c>
      <c r="E32" s="53">
        <v>30</v>
      </c>
      <c r="F32" s="80">
        <v>45917</v>
      </c>
      <c r="G32" s="81">
        <v>0.375</v>
      </c>
      <c r="H32" s="80">
        <v>45930</v>
      </c>
      <c r="I32" s="81">
        <v>0.79166666666666663</v>
      </c>
      <c r="J32" s="87">
        <f t="shared" si="0"/>
        <v>0</v>
      </c>
      <c r="K32" s="53">
        <v>3</v>
      </c>
      <c r="L32" s="53">
        <v>30</v>
      </c>
      <c r="M32" s="79" t="s">
        <v>472</v>
      </c>
    </row>
    <row r="33" spans="1:13" s="5" customFormat="1" ht="42" customHeight="1" x14ac:dyDescent="0.2">
      <c r="A33" s="79" t="s">
        <v>353</v>
      </c>
      <c r="B33" s="95" t="s">
        <v>42</v>
      </c>
      <c r="C33" s="53" t="s">
        <v>43</v>
      </c>
      <c r="D33" s="53">
        <v>1</v>
      </c>
      <c r="E33" s="53">
        <v>30</v>
      </c>
      <c r="F33" s="80">
        <v>45917</v>
      </c>
      <c r="G33" s="81">
        <v>0.375</v>
      </c>
      <c r="H33" s="80">
        <v>45916</v>
      </c>
      <c r="I33" s="81">
        <v>0.79166666666666663</v>
      </c>
      <c r="J33" s="87">
        <f t="shared" si="0"/>
        <v>5</v>
      </c>
      <c r="K33" s="53">
        <v>1</v>
      </c>
      <c r="L33" s="53">
        <v>25</v>
      </c>
      <c r="M33" s="79" t="s">
        <v>354</v>
      </c>
    </row>
    <row r="34" spans="1:13" s="5" customFormat="1" ht="39" customHeight="1" x14ac:dyDescent="0.2">
      <c r="A34" s="106" t="s">
        <v>123</v>
      </c>
      <c r="B34" s="90" t="s">
        <v>36</v>
      </c>
      <c r="C34" s="85" t="s">
        <v>37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38" t="s">
        <v>123</v>
      </c>
      <c r="B35" s="90" t="s">
        <v>143</v>
      </c>
      <c r="C35" s="85" t="s">
        <v>43</v>
      </c>
      <c r="D35" s="49">
        <v>1</v>
      </c>
      <c r="E35" s="49">
        <v>20</v>
      </c>
      <c r="F35" s="85">
        <v>45917</v>
      </c>
      <c r="G35" s="86">
        <v>0.375</v>
      </c>
      <c r="H35" s="85">
        <v>45916</v>
      </c>
      <c r="I35" s="86">
        <v>0.80555555555555558</v>
      </c>
      <c r="J35" s="87">
        <f t="shared" si="0"/>
        <v>0</v>
      </c>
      <c r="K35" s="8">
        <v>1</v>
      </c>
      <c r="L35" s="88">
        <v>20</v>
      </c>
      <c r="M35" s="93" t="s">
        <v>124</v>
      </c>
    </row>
    <row r="36" spans="1:13" s="5" customFormat="1" ht="47.25" customHeight="1" x14ac:dyDescent="0.2">
      <c r="A36" s="13" t="s">
        <v>175</v>
      </c>
      <c r="B36" s="96" t="s">
        <v>36</v>
      </c>
      <c r="C36" s="13" t="s">
        <v>37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6</v>
      </c>
      <c r="K36" s="50">
        <v>1</v>
      </c>
      <c r="L36" s="68">
        <v>24</v>
      </c>
      <c r="M36" s="52" t="s">
        <v>176</v>
      </c>
    </row>
    <row r="37" spans="1:13" s="5" customFormat="1" ht="33.950000000000003" customHeight="1" x14ac:dyDescent="0.2">
      <c r="A37" s="13" t="s">
        <v>177</v>
      </c>
      <c r="B37" s="96" t="s">
        <v>39</v>
      </c>
      <c r="C37" s="13" t="s">
        <v>40</v>
      </c>
      <c r="D37" s="53">
        <v>1</v>
      </c>
      <c r="E37" s="53">
        <v>30</v>
      </c>
      <c r="F37" s="13">
        <v>45917</v>
      </c>
      <c r="G37" s="86">
        <v>0.375</v>
      </c>
      <c r="H37" s="13">
        <v>45916</v>
      </c>
      <c r="I37" s="12">
        <v>0.83333333333333337</v>
      </c>
      <c r="J37" s="53">
        <f t="shared" si="0"/>
        <v>0</v>
      </c>
      <c r="K37" s="50">
        <v>1</v>
      </c>
      <c r="L37" s="68">
        <v>30</v>
      </c>
      <c r="M37" s="52" t="s">
        <v>178</v>
      </c>
    </row>
    <row r="38" spans="1:13" s="5" customFormat="1" ht="28.5" customHeight="1" x14ac:dyDescent="0.2">
      <c r="A38" s="61" t="s">
        <v>179</v>
      </c>
      <c r="B38" s="96" t="s">
        <v>39</v>
      </c>
      <c r="C38" s="13" t="s">
        <v>40</v>
      </c>
      <c r="D38" s="53">
        <v>5</v>
      </c>
      <c r="E38" s="53">
        <v>50</v>
      </c>
      <c r="F38" s="13">
        <v>45917</v>
      </c>
      <c r="G38" s="86">
        <v>0.375</v>
      </c>
      <c r="H38" s="13">
        <v>45916</v>
      </c>
      <c r="I38" s="12">
        <v>0.86805555555555558</v>
      </c>
      <c r="J38" s="53">
        <f t="shared" si="0"/>
        <v>5</v>
      </c>
      <c r="K38" s="50">
        <v>5</v>
      </c>
      <c r="L38" s="68">
        <v>45</v>
      </c>
      <c r="M38" s="52" t="s">
        <v>180</v>
      </c>
    </row>
    <row r="39" spans="1:13" s="5" customFormat="1" ht="39" customHeight="1" x14ac:dyDescent="0.2">
      <c r="A39" s="23" t="s">
        <v>146</v>
      </c>
      <c r="B39" s="90" t="s">
        <v>30</v>
      </c>
      <c r="C39" s="90" t="s">
        <v>207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42</v>
      </c>
      <c r="C40" s="85" t="s">
        <v>77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21</v>
      </c>
      <c r="C41" s="85" t="s">
        <v>86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136</v>
      </c>
      <c r="C42" s="85" t="s">
        <v>151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36</v>
      </c>
      <c r="C43" s="85" t="s">
        <v>80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146</v>
      </c>
      <c r="B44" s="90" t="s">
        <v>39</v>
      </c>
      <c r="C44" s="85" t="s">
        <v>150</v>
      </c>
      <c r="D44" s="84">
        <v>1</v>
      </c>
      <c r="E44" s="49">
        <v>60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50</v>
      </c>
      <c r="K44" s="8">
        <v>1</v>
      </c>
      <c r="L44" s="88">
        <v>10</v>
      </c>
      <c r="M44" s="91" t="s">
        <v>149</v>
      </c>
    </row>
    <row r="45" spans="1:13" s="5" customFormat="1" ht="47.1" customHeight="1" x14ac:dyDescent="0.2">
      <c r="A45" s="23" t="s">
        <v>52</v>
      </c>
      <c r="B45" s="90" t="s">
        <v>21</v>
      </c>
      <c r="C45" s="90" t="s">
        <v>22</v>
      </c>
      <c r="D45" s="84">
        <v>1</v>
      </c>
      <c r="E45" s="49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153</v>
      </c>
      <c r="B46" s="90" t="s">
        <v>36</v>
      </c>
      <c r="C46" s="90" t="s">
        <v>37</v>
      </c>
      <c r="D46" s="84">
        <v>1</v>
      </c>
      <c r="E46" s="5">
        <v>30</v>
      </c>
      <c r="F46" s="85">
        <v>45917</v>
      </c>
      <c r="G46" s="86">
        <v>0.375</v>
      </c>
      <c r="H46" s="85">
        <v>45916</v>
      </c>
      <c r="I46" s="86">
        <v>0.91666666666666663</v>
      </c>
      <c r="J46" s="87">
        <f t="shared" si="0"/>
        <v>0</v>
      </c>
      <c r="K46" s="8">
        <v>1</v>
      </c>
      <c r="L46" s="88">
        <v>30</v>
      </c>
      <c r="M46" s="91" t="s">
        <v>53</v>
      </c>
    </row>
    <row r="47" spans="1:13" s="5" customFormat="1" ht="42.75" customHeight="1" x14ac:dyDescent="0.2">
      <c r="A47" s="23" t="s">
        <v>79</v>
      </c>
      <c r="B47" s="90" t="s">
        <v>36</v>
      </c>
      <c r="C47" s="90" t="s">
        <v>37</v>
      </c>
      <c r="D47" s="84">
        <v>1</v>
      </c>
      <c r="E47" s="49">
        <v>45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-35</v>
      </c>
      <c r="K47" s="8">
        <v>1</v>
      </c>
      <c r="L47" s="88">
        <v>80</v>
      </c>
      <c r="M47" s="91" t="s">
        <v>81</v>
      </c>
    </row>
    <row r="48" spans="1:13" s="5" customFormat="1" ht="39" customHeight="1" x14ac:dyDescent="0.2">
      <c r="A48" s="23" t="s">
        <v>85</v>
      </c>
      <c r="B48" s="90" t="s">
        <v>21</v>
      </c>
      <c r="C48" s="90" t="s">
        <v>22</v>
      </c>
      <c r="D48" s="84">
        <v>1</v>
      </c>
      <c r="E48" s="49">
        <v>60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10</v>
      </c>
      <c r="K48" s="8">
        <v>1</v>
      </c>
      <c r="L48" s="88">
        <v>50</v>
      </c>
      <c r="M48" s="91" t="s">
        <v>87</v>
      </c>
    </row>
    <row r="49" spans="1:13" s="5" customFormat="1" ht="29.25" customHeight="1" x14ac:dyDescent="0.2">
      <c r="A49" s="23" t="s">
        <v>88</v>
      </c>
      <c r="B49" s="90" t="s">
        <v>21</v>
      </c>
      <c r="C49" s="85" t="s">
        <v>22</v>
      </c>
      <c r="D49" s="84">
        <v>1</v>
      </c>
      <c r="E49" s="49">
        <v>55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0</v>
      </c>
      <c r="K49" s="8">
        <v>1</v>
      </c>
      <c r="L49" s="88">
        <v>55</v>
      </c>
      <c r="M49" s="91" t="s">
        <v>89</v>
      </c>
    </row>
    <row r="50" spans="1:13" s="5" customFormat="1" ht="31.5" customHeight="1" x14ac:dyDescent="0.2">
      <c r="A50" s="33" t="s">
        <v>131</v>
      </c>
      <c r="B50" s="90" t="s">
        <v>36</v>
      </c>
      <c r="C50" s="85" t="s">
        <v>37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42</v>
      </c>
      <c r="C51" s="85" t="s">
        <v>43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30</v>
      </c>
      <c r="C52" s="85" t="s">
        <v>31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21</v>
      </c>
      <c r="C53" s="85" t="s">
        <v>22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136</v>
      </c>
      <c r="C54" s="85" t="s">
        <v>34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131</v>
      </c>
      <c r="B55" s="90" t="s">
        <v>39</v>
      </c>
      <c r="C55" s="85" t="s">
        <v>40</v>
      </c>
      <c r="D55" s="49">
        <v>1</v>
      </c>
      <c r="E55" s="49">
        <v>30</v>
      </c>
      <c r="F55" s="85">
        <v>45917</v>
      </c>
      <c r="G55" s="86">
        <v>0.375</v>
      </c>
      <c r="H55" s="85">
        <v>45916</v>
      </c>
      <c r="I55" s="86">
        <v>0.9375</v>
      </c>
      <c r="J55" s="87">
        <f t="shared" si="0"/>
        <v>-2</v>
      </c>
      <c r="K55" s="8">
        <v>1</v>
      </c>
      <c r="L55" s="88">
        <v>32</v>
      </c>
      <c r="M55" s="91" t="s">
        <v>132</v>
      </c>
    </row>
    <row r="56" spans="1:13" s="5" customFormat="1" ht="40.5" customHeight="1" x14ac:dyDescent="0.2">
      <c r="A56" s="33" t="s">
        <v>133</v>
      </c>
      <c r="B56" s="90" t="s">
        <v>21</v>
      </c>
      <c r="C56" s="85" t="s">
        <v>22</v>
      </c>
      <c r="D56" s="49">
        <v>3</v>
      </c>
      <c r="E56" s="49">
        <v>20</v>
      </c>
      <c r="F56" s="85">
        <v>45917</v>
      </c>
      <c r="G56" s="86">
        <v>0.375</v>
      </c>
      <c r="H56" s="85">
        <v>45917</v>
      </c>
      <c r="I56" s="86">
        <v>0.375</v>
      </c>
      <c r="J56" s="87">
        <f t="shared" si="0"/>
        <v>5</v>
      </c>
      <c r="K56" s="8">
        <v>3</v>
      </c>
      <c r="L56" s="88">
        <v>15</v>
      </c>
      <c r="M56" s="91" t="s">
        <v>134</v>
      </c>
    </row>
    <row r="57" spans="1:13" s="5" customFormat="1" ht="40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5" customFormat="1" ht="38.25" customHeight="1" x14ac:dyDescent="0.2">
      <c r="A58" s="70" t="s">
        <v>210</v>
      </c>
      <c r="B58" t="s">
        <v>215</v>
      </c>
      <c r="C58" t="s">
        <v>214</v>
      </c>
      <c r="D58" t="s">
        <v>212</v>
      </c>
      <c r="E58" t="s">
        <v>213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36</v>
      </c>
      <c r="B59">
        <v>11</v>
      </c>
      <c r="C59">
        <v>395</v>
      </c>
      <c r="D59">
        <v>372</v>
      </c>
      <c r="E59">
        <v>10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39</v>
      </c>
      <c r="B60">
        <v>12</v>
      </c>
      <c r="C60">
        <v>320</v>
      </c>
      <c r="D60">
        <v>259</v>
      </c>
      <c r="E60">
        <v>11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21</v>
      </c>
      <c r="B61">
        <v>13</v>
      </c>
      <c r="C61">
        <v>465</v>
      </c>
      <c r="D61">
        <v>387</v>
      </c>
      <c r="E61">
        <v>14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136</v>
      </c>
      <c r="B62">
        <v>9</v>
      </c>
      <c r="C62">
        <v>270</v>
      </c>
      <c r="D62">
        <v>210</v>
      </c>
      <c r="E62">
        <v>8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42</v>
      </c>
      <c r="B63">
        <v>6</v>
      </c>
      <c r="C63">
        <v>240</v>
      </c>
      <c r="D63">
        <v>181</v>
      </c>
      <c r="E63">
        <v>5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30</v>
      </c>
      <c r="B64">
        <v>8</v>
      </c>
      <c r="C64">
        <v>270</v>
      </c>
      <c r="D64">
        <v>220</v>
      </c>
      <c r="E64">
        <v>9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71" t="s">
        <v>211</v>
      </c>
      <c r="B65">
        <v>59</v>
      </c>
      <c r="C65">
        <v>1960</v>
      </c>
      <c r="D65">
        <v>1629</v>
      </c>
      <c r="E65">
        <v>57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s="5" customFormat="1" ht="35.450000000000003" customHeight="1" x14ac:dyDescent="0.2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0" t="s">
        <v>210</v>
      </c>
      <c r="B79" t="s">
        <v>215</v>
      </c>
      <c r="C79" t="s">
        <v>213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36</v>
      </c>
      <c r="B80">
        <v>11</v>
      </c>
      <c r="C80">
        <v>10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39</v>
      </c>
      <c r="B81">
        <v>12</v>
      </c>
      <c r="C81">
        <v>11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21</v>
      </c>
      <c r="B82">
        <v>13</v>
      </c>
      <c r="C82">
        <v>14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136</v>
      </c>
      <c r="B83">
        <v>9</v>
      </c>
      <c r="C83">
        <v>8</v>
      </c>
    </row>
    <row r="84" spans="1:13" x14ac:dyDescent="0.2">
      <c r="A84" s="71" t="s">
        <v>42</v>
      </c>
      <c r="B84">
        <v>6</v>
      </c>
      <c r="C84">
        <v>5</v>
      </c>
    </row>
    <row r="85" spans="1:13" x14ac:dyDescent="0.2">
      <c r="A85" s="71" t="s">
        <v>30</v>
      </c>
      <c r="B85">
        <v>8</v>
      </c>
      <c r="C85">
        <v>9</v>
      </c>
    </row>
    <row r="86" spans="1:13" x14ac:dyDescent="0.2">
      <c r="A86" s="71" t="s">
        <v>211</v>
      </c>
      <c r="B86">
        <v>59</v>
      </c>
      <c r="C86">
        <v>57</v>
      </c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96" spans="1:13" x14ac:dyDescent="0.2">
      <c r="A96"/>
      <c r="B96"/>
      <c r="C96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Z132"/>
  <sheetViews>
    <sheetView topLeftCell="A39" zoomScale="84" zoomScaleNormal="76" workbookViewId="0">
      <selection activeCell="A42" sqref="A42:M42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+A46+A1:L7+A7:L7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2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>E17-L17</f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26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26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26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26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26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26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26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26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ref="J40" si="1">E40-L40</f>
        <v>5</v>
      </c>
      <c r="K40" s="53">
        <v>2</v>
      </c>
      <c r="L40" s="53">
        <v>25</v>
      </c>
      <c r="M40" s="79" t="s">
        <v>396</v>
      </c>
    </row>
    <row r="41" spans="1:26" s="5" customFormat="1" ht="39" customHeight="1" x14ac:dyDescent="0.2">
      <c r="A41" s="79" t="s">
        <v>468</v>
      </c>
      <c r="B41" s="53" t="s">
        <v>39</v>
      </c>
      <c r="C41" s="53" t="s">
        <v>40</v>
      </c>
      <c r="D41" s="53">
        <v>1</v>
      </c>
      <c r="E41" s="53">
        <v>30</v>
      </c>
      <c r="F41" s="80">
        <v>45931</v>
      </c>
      <c r="G41" s="81">
        <v>0.375</v>
      </c>
      <c r="H41" s="80">
        <v>45930</v>
      </c>
      <c r="I41" s="81">
        <v>0.6875</v>
      </c>
      <c r="J41" s="87">
        <f t="shared" si="0"/>
        <v>5</v>
      </c>
      <c r="K41" s="53">
        <v>2</v>
      </c>
      <c r="L41" s="53">
        <v>25</v>
      </c>
      <c r="M41" s="79" t="s">
        <v>470</v>
      </c>
    </row>
    <row r="42" spans="1:26" s="5" customFormat="1" ht="39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45931</v>
      </c>
      <c r="G42" s="81">
        <v>0.375</v>
      </c>
      <c r="H42" s="80">
        <v>45930</v>
      </c>
      <c r="I42" s="81">
        <v>0.79166666666666663</v>
      </c>
      <c r="J42" s="87">
        <f t="shared" si="0"/>
        <v>0</v>
      </c>
      <c r="K42" s="53">
        <v>3</v>
      </c>
      <c r="L42" s="53">
        <v>30</v>
      </c>
      <c r="M42" s="79" t="s">
        <v>472</v>
      </c>
    </row>
    <row r="43" spans="1:26" s="5" customFormat="1" ht="38.25" customHeight="1" x14ac:dyDescent="0.2">
      <c r="A43" s="106" t="s">
        <v>123</v>
      </c>
      <c r="B43" s="85" t="s">
        <v>36</v>
      </c>
      <c r="C43" s="85" t="s">
        <v>37</v>
      </c>
      <c r="D43" s="49">
        <v>1</v>
      </c>
      <c r="E43" s="49">
        <v>20</v>
      </c>
      <c r="F43" s="85">
        <v>45931</v>
      </c>
      <c r="G43" s="86">
        <v>0.375</v>
      </c>
      <c r="H43" s="85">
        <v>45930</v>
      </c>
      <c r="I43" s="86">
        <v>0.80555555555555558</v>
      </c>
      <c r="J43" s="87">
        <f>E43-L43</f>
        <v>0</v>
      </c>
      <c r="K43" s="8">
        <v>1</v>
      </c>
      <c r="L43" s="88">
        <v>20</v>
      </c>
      <c r="M43" s="93" t="s">
        <v>124</v>
      </c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5" customFormat="1" ht="38.25" customHeight="1" x14ac:dyDescent="0.2">
      <c r="A44" s="38" t="s">
        <v>123</v>
      </c>
      <c r="B44" s="85" t="s">
        <v>143</v>
      </c>
      <c r="C44" s="85" t="s">
        <v>43</v>
      </c>
      <c r="D44" s="49">
        <v>1</v>
      </c>
      <c r="E44" s="49">
        <v>20</v>
      </c>
      <c r="F44" s="85">
        <v>45931</v>
      </c>
      <c r="G44" s="86">
        <v>0.375</v>
      </c>
      <c r="H44" s="85">
        <v>45930</v>
      </c>
      <c r="I44" s="86">
        <v>0.80555555555555558</v>
      </c>
      <c r="J44" s="87">
        <f t="shared" ref="J44:J65" si="2">E44-L44</f>
        <v>0</v>
      </c>
      <c r="K44" s="8">
        <v>1</v>
      </c>
      <c r="L44" s="88">
        <v>20</v>
      </c>
      <c r="M44" s="93" t="s">
        <v>124</v>
      </c>
    </row>
    <row r="45" spans="1:26" s="5" customFormat="1" ht="42" customHeight="1" x14ac:dyDescent="0.2">
      <c r="A45" s="13" t="s">
        <v>175</v>
      </c>
      <c r="B45" s="13" t="s">
        <v>36</v>
      </c>
      <c r="C45" s="13" t="s">
        <v>37</v>
      </c>
      <c r="D45" s="53">
        <v>1</v>
      </c>
      <c r="E45" s="53">
        <v>30</v>
      </c>
      <c r="F45" s="13">
        <v>45931</v>
      </c>
      <c r="G45" s="86">
        <v>0.375</v>
      </c>
      <c r="H45" s="13">
        <v>45930</v>
      </c>
      <c r="I45" s="12">
        <v>0.83333333333333337</v>
      </c>
      <c r="J45" s="53">
        <f t="shared" si="2"/>
        <v>6</v>
      </c>
      <c r="K45" s="50">
        <v>1</v>
      </c>
      <c r="L45" s="68">
        <v>24</v>
      </c>
      <c r="M45" s="52" t="s">
        <v>176</v>
      </c>
    </row>
    <row r="46" spans="1:26" s="5" customFormat="1" ht="32.450000000000003" customHeight="1" x14ac:dyDescent="0.2">
      <c r="A46" s="13" t="s">
        <v>177</v>
      </c>
      <c r="B46" s="13" t="s">
        <v>39</v>
      </c>
      <c r="C46" s="13" t="s">
        <v>40</v>
      </c>
      <c r="D46" s="53">
        <v>1</v>
      </c>
      <c r="E46" s="53">
        <v>30</v>
      </c>
      <c r="F46" s="13">
        <v>45931</v>
      </c>
      <c r="G46" s="86">
        <v>0.375</v>
      </c>
      <c r="H46" s="13">
        <v>45930</v>
      </c>
      <c r="I46" s="12">
        <v>0.83333333333333337</v>
      </c>
      <c r="J46" s="53">
        <f t="shared" si="2"/>
        <v>0</v>
      </c>
      <c r="K46" s="50">
        <v>1</v>
      </c>
      <c r="L46" s="68">
        <v>30</v>
      </c>
      <c r="M46" s="52" t="s">
        <v>178</v>
      </c>
    </row>
    <row r="47" spans="1:26" ht="35.25" customHeight="1" x14ac:dyDescent="0.2">
      <c r="A47" s="61" t="s">
        <v>179</v>
      </c>
      <c r="B47" s="13" t="s">
        <v>39</v>
      </c>
      <c r="C47" s="13" t="s">
        <v>40</v>
      </c>
      <c r="D47" s="53">
        <v>5</v>
      </c>
      <c r="E47" s="53">
        <v>50</v>
      </c>
      <c r="F47" s="13">
        <v>45931</v>
      </c>
      <c r="G47" s="86">
        <v>0.375</v>
      </c>
      <c r="H47" s="13">
        <v>45930</v>
      </c>
      <c r="I47" s="12">
        <v>0.86805555555555558</v>
      </c>
      <c r="J47" s="53">
        <f t="shared" si="2"/>
        <v>5</v>
      </c>
      <c r="K47" s="50">
        <v>5</v>
      </c>
      <c r="L47" s="68">
        <v>45</v>
      </c>
      <c r="M47" s="52" t="s">
        <v>180</v>
      </c>
    </row>
    <row r="48" spans="1:26" s="5" customFormat="1" ht="47.1" customHeight="1" x14ac:dyDescent="0.2">
      <c r="A48" s="23" t="s">
        <v>146</v>
      </c>
      <c r="B48" s="85" t="s">
        <v>30</v>
      </c>
      <c r="C48" s="90" t="s">
        <v>207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2"/>
        <v>50</v>
      </c>
      <c r="K48" s="8">
        <v>1</v>
      </c>
      <c r="L48" s="88">
        <v>10</v>
      </c>
      <c r="M48" s="91" t="s">
        <v>149</v>
      </c>
    </row>
    <row r="49" spans="1:13" s="5" customFormat="1" ht="43.5" customHeight="1" x14ac:dyDescent="0.2">
      <c r="A49" s="23" t="s">
        <v>146</v>
      </c>
      <c r="B49" s="85" t="s">
        <v>42</v>
      </c>
      <c r="C49" s="85" t="s">
        <v>77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2"/>
        <v>50</v>
      </c>
      <c r="K49" s="8">
        <v>1</v>
      </c>
      <c r="L49" s="88">
        <v>10</v>
      </c>
      <c r="M49" s="91" t="s">
        <v>149</v>
      </c>
    </row>
    <row r="50" spans="1:13" s="5" customFormat="1" ht="42.75" customHeight="1" x14ac:dyDescent="0.2">
      <c r="A50" s="23" t="s">
        <v>146</v>
      </c>
      <c r="B50" s="85" t="s">
        <v>21</v>
      </c>
      <c r="C50" s="85" t="s">
        <v>86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2"/>
        <v>50</v>
      </c>
      <c r="K50" s="8">
        <v>1</v>
      </c>
      <c r="L50" s="88">
        <v>10</v>
      </c>
      <c r="M50" s="91" t="s">
        <v>149</v>
      </c>
    </row>
    <row r="51" spans="1:13" s="5" customFormat="1" ht="39" customHeight="1" x14ac:dyDescent="0.2">
      <c r="A51" s="23" t="s">
        <v>146</v>
      </c>
      <c r="B51" s="85" t="s">
        <v>136</v>
      </c>
      <c r="C51" s="85" t="s">
        <v>151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2"/>
        <v>50</v>
      </c>
      <c r="K51" s="8">
        <v>1</v>
      </c>
      <c r="L51" s="88">
        <v>10</v>
      </c>
      <c r="M51" s="91" t="s">
        <v>149</v>
      </c>
    </row>
    <row r="52" spans="1:13" s="5" customFormat="1" ht="29.25" customHeight="1" x14ac:dyDescent="0.2">
      <c r="A52" s="23" t="s">
        <v>146</v>
      </c>
      <c r="B52" s="85" t="s">
        <v>36</v>
      </c>
      <c r="C52" s="85" t="s">
        <v>80</v>
      </c>
      <c r="D52" s="84">
        <v>1</v>
      </c>
      <c r="E52" s="49">
        <v>60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2"/>
        <v>50</v>
      </c>
      <c r="K52" s="8">
        <v>1</v>
      </c>
      <c r="L52" s="88">
        <v>10</v>
      </c>
      <c r="M52" s="91" t="s">
        <v>149</v>
      </c>
    </row>
    <row r="53" spans="1:13" s="5" customFormat="1" ht="31.5" customHeight="1" x14ac:dyDescent="0.2">
      <c r="A53" s="23" t="s">
        <v>146</v>
      </c>
      <c r="B53" s="85" t="s">
        <v>39</v>
      </c>
      <c r="C53" s="85" t="s">
        <v>150</v>
      </c>
      <c r="D53" s="84">
        <v>1</v>
      </c>
      <c r="E53" s="49">
        <v>60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2"/>
        <v>50</v>
      </c>
      <c r="K53" s="8">
        <v>1</v>
      </c>
      <c r="L53" s="88">
        <v>10</v>
      </c>
      <c r="M53" s="91" t="s">
        <v>149</v>
      </c>
    </row>
    <row r="54" spans="1:13" s="5" customFormat="1" ht="26.45" customHeight="1" x14ac:dyDescent="0.2">
      <c r="A54" s="23" t="s">
        <v>52</v>
      </c>
      <c r="B54" s="90" t="s">
        <v>21</v>
      </c>
      <c r="C54" s="90" t="s">
        <v>22</v>
      </c>
      <c r="D54" s="84">
        <v>1</v>
      </c>
      <c r="E54" s="49">
        <v>30</v>
      </c>
      <c r="F54" s="85">
        <v>45931</v>
      </c>
      <c r="G54" s="86">
        <v>0.375</v>
      </c>
      <c r="H54" s="85">
        <v>45930</v>
      </c>
      <c r="I54" s="86">
        <v>0.91666666666666663</v>
      </c>
      <c r="J54" s="87">
        <f t="shared" si="2"/>
        <v>0</v>
      </c>
      <c r="K54" s="8">
        <v>1</v>
      </c>
      <c r="L54" s="88">
        <v>30</v>
      </c>
      <c r="M54" s="91" t="s">
        <v>53</v>
      </c>
    </row>
    <row r="55" spans="1:13" s="5" customFormat="1" ht="29.1" customHeight="1" x14ac:dyDescent="0.2">
      <c r="A55" s="23" t="s">
        <v>153</v>
      </c>
      <c r="B55" s="90" t="s">
        <v>36</v>
      </c>
      <c r="C55" s="90" t="s">
        <v>37</v>
      </c>
      <c r="D55" s="84">
        <v>1</v>
      </c>
      <c r="E55" s="5">
        <v>30</v>
      </c>
      <c r="F55" s="85">
        <v>45931</v>
      </c>
      <c r="G55" s="86">
        <v>0.375</v>
      </c>
      <c r="H55" s="85">
        <v>45930</v>
      </c>
      <c r="I55" s="86">
        <v>0.91666666666666663</v>
      </c>
      <c r="J55" s="87">
        <f t="shared" si="2"/>
        <v>0</v>
      </c>
      <c r="K55" s="8">
        <v>1</v>
      </c>
      <c r="L55" s="88">
        <v>30</v>
      </c>
      <c r="M55" s="91" t="s">
        <v>53</v>
      </c>
    </row>
    <row r="56" spans="1:13" s="5" customFormat="1" ht="31.5" customHeight="1" x14ac:dyDescent="0.2">
      <c r="A56" s="23" t="s">
        <v>79</v>
      </c>
      <c r="B56" s="85" t="s">
        <v>36</v>
      </c>
      <c r="C56" s="90" t="s">
        <v>37</v>
      </c>
      <c r="D56" s="84">
        <v>1</v>
      </c>
      <c r="E56" s="49">
        <v>45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2"/>
        <v>-35</v>
      </c>
      <c r="K56" s="8">
        <v>1</v>
      </c>
      <c r="L56" s="88">
        <v>80</v>
      </c>
      <c r="M56" s="91" t="s">
        <v>81</v>
      </c>
    </row>
    <row r="57" spans="1:13" s="5" customFormat="1" ht="26.1" customHeight="1" x14ac:dyDescent="0.2">
      <c r="A57" s="23" t="s">
        <v>85</v>
      </c>
      <c r="B57" s="85" t="s">
        <v>21</v>
      </c>
      <c r="C57" s="90" t="s">
        <v>22</v>
      </c>
      <c r="D57" s="84">
        <v>1</v>
      </c>
      <c r="E57" s="49">
        <v>60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2"/>
        <v>10</v>
      </c>
      <c r="K57" s="8">
        <v>1</v>
      </c>
      <c r="L57" s="88">
        <v>50</v>
      </c>
      <c r="M57" s="91" t="s">
        <v>87</v>
      </c>
    </row>
    <row r="58" spans="1:13" s="5" customFormat="1" ht="39" customHeight="1" x14ac:dyDescent="0.2">
      <c r="A58" s="23" t="s">
        <v>88</v>
      </c>
      <c r="B58" s="85" t="s">
        <v>21</v>
      </c>
      <c r="C58" s="85" t="s">
        <v>22</v>
      </c>
      <c r="D58" s="84">
        <v>1</v>
      </c>
      <c r="E58" s="49">
        <v>55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2"/>
        <v>0</v>
      </c>
      <c r="K58" s="8">
        <v>1</v>
      </c>
      <c r="L58" s="88">
        <v>55</v>
      </c>
      <c r="M58" s="91" t="s">
        <v>89</v>
      </c>
    </row>
    <row r="59" spans="1:13" s="5" customFormat="1" ht="40.5" customHeight="1" x14ac:dyDescent="0.2">
      <c r="A59" s="33" t="s">
        <v>131</v>
      </c>
      <c r="B59" s="85" t="s">
        <v>36</v>
      </c>
      <c r="C59" s="85" t="s">
        <v>37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2"/>
        <v>-2</v>
      </c>
      <c r="K59" s="8">
        <v>1</v>
      </c>
      <c r="L59" s="88">
        <v>32</v>
      </c>
      <c r="M59" s="91" t="s">
        <v>132</v>
      </c>
    </row>
    <row r="60" spans="1:13" s="5" customFormat="1" ht="40.5" customHeight="1" x14ac:dyDescent="0.2">
      <c r="A60" s="33" t="s">
        <v>131</v>
      </c>
      <c r="B60" s="85" t="s">
        <v>42</v>
      </c>
      <c r="C60" s="85" t="s">
        <v>43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2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30</v>
      </c>
      <c r="C61" s="85" t="s">
        <v>31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2"/>
        <v>-2</v>
      </c>
      <c r="K61" s="8">
        <v>1</v>
      </c>
      <c r="L61" s="88">
        <v>32</v>
      </c>
      <c r="M61" s="91" t="s">
        <v>132</v>
      </c>
    </row>
    <row r="62" spans="1:13" s="5" customFormat="1" ht="38.25" customHeight="1" x14ac:dyDescent="0.2">
      <c r="A62" s="33" t="s">
        <v>131</v>
      </c>
      <c r="B62" s="85" t="s">
        <v>21</v>
      </c>
      <c r="C62" s="85" t="s">
        <v>22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2"/>
        <v>-2</v>
      </c>
      <c r="K62" s="8">
        <v>1</v>
      </c>
      <c r="L62" s="88">
        <v>32</v>
      </c>
      <c r="M62" s="91" t="s">
        <v>132</v>
      </c>
    </row>
    <row r="63" spans="1:13" s="5" customFormat="1" ht="27" customHeight="1" x14ac:dyDescent="0.2">
      <c r="A63" s="33" t="s">
        <v>131</v>
      </c>
      <c r="B63" s="85" t="s">
        <v>136</v>
      </c>
      <c r="C63" s="85" t="s">
        <v>34</v>
      </c>
      <c r="D63" s="49">
        <v>1</v>
      </c>
      <c r="E63" s="49">
        <v>30</v>
      </c>
      <c r="F63" s="85">
        <v>45931</v>
      </c>
      <c r="G63" s="86">
        <v>0.375</v>
      </c>
      <c r="H63" s="85">
        <v>45930</v>
      </c>
      <c r="I63" s="86">
        <v>0.9375</v>
      </c>
      <c r="J63" s="87">
        <f t="shared" si="2"/>
        <v>-2</v>
      </c>
      <c r="K63" s="8">
        <v>1</v>
      </c>
      <c r="L63" s="88">
        <v>32</v>
      </c>
      <c r="M63" s="91" t="s">
        <v>132</v>
      </c>
    </row>
    <row r="64" spans="1:13" s="5" customFormat="1" ht="33" customHeight="1" x14ac:dyDescent="0.2">
      <c r="A64" s="33" t="s">
        <v>131</v>
      </c>
      <c r="B64" s="85" t="s">
        <v>39</v>
      </c>
      <c r="C64" s="85" t="s">
        <v>40</v>
      </c>
      <c r="D64" s="49">
        <v>1</v>
      </c>
      <c r="E64" s="49">
        <v>30</v>
      </c>
      <c r="F64" s="85">
        <v>45931</v>
      </c>
      <c r="G64" s="86">
        <v>0.375</v>
      </c>
      <c r="H64" s="85">
        <v>45930</v>
      </c>
      <c r="I64" s="86">
        <v>0.9375</v>
      </c>
      <c r="J64" s="87">
        <f t="shared" si="2"/>
        <v>-2</v>
      </c>
      <c r="K64" s="8">
        <v>1</v>
      </c>
      <c r="L64" s="88">
        <v>32</v>
      </c>
      <c r="M64" s="91" t="s">
        <v>132</v>
      </c>
    </row>
    <row r="65" spans="1:13" s="5" customFormat="1" ht="33.75" customHeight="1" x14ac:dyDescent="0.2">
      <c r="A65" s="33" t="s">
        <v>133</v>
      </c>
      <c r="B65" s="85" t="s">
        <v>21</v>
      </c>
      <c r="C65" s="85" t="s">
        <v>22</v>
      </c>
      <c r="D65" s="49">
        <v>3</v>
      </c>
      <c r="E65" s="49">
        <v>20</v>
      </c>
      <c r="F65" s="85">
        <v>45931</v>
      </c>
      <c r="G65" s="86">
        <v>0.375</v>
      </c>
      <c r="H65" s="85">
        <v>45931</v>
      </c>
      <c r="I65" s="86">
        <v>0.375</v>
      </c>
      <c r="J65" s="87">
        <f t="shared" si="2"/>
        <v>5</v>
      </c>
      <c r="K65" s="8">
        <v>3</v>
      </c>
      <c r="L65" s="88">
        <v>15</v>
      </c>
      <c r="M65" s="91" t="s">
        <v>134</v>
      </c>
    </row>
    <row r="66" spans="1:13" s="5" customFormat="1" ht="32.2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s="5" customFormat="1" ht="27" customHeight="1" x14ac:dyDescent="0.2">
      <c r="A67" s="70" t="s">
        <v>210</v>
      </c>
      <c r="B67" t="s">
        <v>215</v>
      </c>
      <c r="C67" t="s">
        <v>214</v>
      </c>
      <c r="D67" t="s">
        <v>213</v>
      </c>
      <c r="E67" t="s">
        <v>212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4.95" customHeight="1" x14ac:dyDescent="0.2">
      <c r="A68" s="71" t="s">
        <v>36</v>
      </c>
      <c r="B68">
        <v>9</v>
      </c>
      <c r="C68">
        <v>365</v>
      </c>
      <c r="D68">
        <v>9</v>
      </c>
      <c r="E68">
        <v>341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28.5" customHeight="1" x14ac:dyDescent="0.2">
      <c r="A69" s="71" t="s">
        <v>39</v>
      </c>
      <c r="B69">
        <v>23</v>
      </c>
      <c r="C69">
        <v>620</v>
      </c>
      <c r="D69">
        <v>27</v>
      </c>
      <c r="E69">
        <v>561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71" t="s">
        <v>21</v>
      </c>
      <c r="B70">
        <v>25</v>
      </c>
      <c r="C70">
        <v>795</v>
      </c>
      <c r="D70">
        <v>30</v>
      </c>
      <c r="E70">
        <v>721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71" t="s">
        <v>136</v>
      </c>
      <c r="B71">
        <v>5</v>
      </c>
      <c r="C71">
        <v>210</v>
      </c>
      <c r="D71">
        <v>4</v>
      </c>
      <c r="E71">
        <v>157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6.6" customHeight="1" x14ac:dyDescent="0.2">
      <c r="A72" s="71" t="s">
        <v>42</v>
      </c>
      <c r="B72">
        <v>9</v>
      </c>
      <c r="C72">
        <v>330</v>
      </c>
      <c r="D72">
        <v>9</v>
      </c>
      <c r="E72">
        <v>267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71" t="s">
        <v>30</v>
      </c>
      <c r="B73">
        <v>4</v>
      </c>
      <c r="C73">
        <v>180</v>
      </c>
      <c r="D73">
        <v>5</v>
      </c>
      <c r="E73">
        <v>132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71" t="s">
        <v>211</v>
      </c>
      <c r="B74">
        <v>75</v>
      </c>
      <c r="C74">
        <v>2500</v>
      </c>
      <c r="D74">
        <v>84</v>
      </c>
      <c r="E74">
        <v>2179</v>
      </c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/>
      <c r="B80"/>
      <c r="C80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x14ac:dyDescent="0.2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35.450000000000003" customHeight="1" x14ac:dyDescent="0.2">
      <c r="A83"/>
      <c r="B83"/>
      <c r="C83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5.450000000000003" customHeight="1" x14ac:dyDescent="0.2">
      <c r="A84"/>
      <c r="B84"/>
      <c r="C84"/>
      <c r="D84" s="4"/>
      <c r="E84" s="4"/>
      <c r="F84" s="4"/>
      <c r="G84" s="4"/>
      <c r="H84" s="4"/>
      <c r="I84" s="3"/>
      <c r="J84" s="3"/>
      <c r="K84" s="2"/>
      <c r="L84" s="1"/>
      <c r="M84" s="1"/>
    </row>
    <row r="85" spans="1:13" s="5" customFormat="1" ht="37.5" customHeight="1" x14ac:dyDescent="0.2">
      <c r="A85" s="4"/>
      <c r="B85" s="4"/>
      <c r="C85" s="4"/>
      <c r="D85" s="4"/>
      <c r="E85" s="4"/>
      <c r="F85" s="4"/>
      <c r="G85" s="4"/>
      <c r="H85" s="4"/>
      <c r="I85" s="3"/>
      <c r="J85" s="3"/>
      <c r="K85" s="2"/>
      <c r="L85" s="1"/>
      <c r="M85" s="1"/>
    </row>
    <row r="114" spans="1:20" s="4" customFormat="1" ht="30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15" spans="1:20" s="4" customFormat="1" ht="23.25" customHeight="1" x14ac:dyDescent="0.2">
      <c r="I115" s="3"/>
      <c r="J115" s="3"/>
      <c r="K115" s="2"/>
      <c r="L115" s="1"/>
      <c r="M115" s="1"/>
      <c r="N115"/>
      <c r="O115"/>
      <c r="P115"/>
      <c r="Q115"/>
      <c r="R115"/>
      <c r="S115"/>
      <c r="T115"/>
    </row>
    <row r="122" spans="1:20" s="5" customFormat="1" ht="12" customHeight="1" x14ac:dyDescent="0.2">
      <c r="A122" s="4"/>
      <c r="B122" s="4"/>
      <c r="C122" s="4"/>
      <c r="D122" s="4"/>
      <c r="E122" s="4"/>
      <c r="F122" s="4"/>
      <c r="G122" s="4"/>
      <c r="H122" s="4"/>
      <c r="I122" s="3"/>
      <c r="J122" s="3"/>
      <c r="K122" s="2"/>
      <c r="L122" s="1"/>
      <c r="M122" s="1"/>
    </row>
    <row r="126" spans="1:20" x14ac:dyDescent="0.2">
      <c r="Q126" s="42" t="e">
        <f>SUM(#REF!)</f>
        <v>#REF!</v>
      </c>
      <c r="R126" s="42" t="e">
        <f>SUM(#REF!)</f>
        <v>#REF!</v>
      </c>
      <c r="S126" s="42" t="e">
        <f>SUM(#REF!)</f>
        <v>#REF!</v>
      </c>
      <c r="T126" s="42" t="e">
        <f>SUM(#REF!)</f>
        <v>#REF!</v>
      </c>
    </row>
    <row r="127" spans="1:20" ht="35.25" customHeight="1" x14ac:dyDescent="0.2"/>
    <row r="128" spans="1:20" ht="36.75" customHeight="1" x14ac:dyDescent="0.2"/>
    <row r="129" spans="9:20" ht="33.75" customHeight="1" x14ac:dyDescent="0.2"/>
    <row r="130" spans="9:20" ht="26.25" customHeight="1" x14ac:dyDescent="0.2"/>
    <row r="131" spans="9:20" ht="27.75" customHeight="1" x14ac:dyDescent="0.2"/>
    <row r="132" spans="9:20" s="4" customFormat="1" ht="40.5" customHeight="1" x14ac:dyDescent="0.2">
      <c r="I132" s="3"/>
      <c r="J132" s="3"/>
      <c r="K132" s="2"/>
      <c r="L132" s="1"/>
      <c r="M132" s="1"/>
      <c r="N132"/>
      <c r="O132"/>
      <c r="P132"/>
      <c r="Q132"/>
      <c r="R132"/>
      <c r="S132"/>
      <c r="T132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ADA-0A6A-4EC4-BAA2-A1E5FA829188}">
  <dimension ref="A1:T136"/>
  <sheetViews>
    <sheetView zoomScale="84" zoomScaleNormal="76" workbookViewId="0">
      <selection activeCell="G9" sqref="G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+A68+A1:L7+A7:L7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45936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45936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4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si="0"/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si="0"/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0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si="0"/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si="0"/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si="0"/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si="0"/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si="0"/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si="0"/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si="0"/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si="0"/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si="0"/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468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0.60416666666666663</v>
      </c>
      <c r="J63" s="87">
        <f t="shared" si="0"/>
        <v>0</v>
      </c>
      <c r="K63" s="53">
        <v>3</v>
      </c>
      <c r="L63" s="53">
        <v>30</v>
      </c>
      <c r="M63" s="79" t="s">
        <v>469</v>
      </c>
    </row>
    <row r="64" spans="1:13" s="5" customFormat="1" ht="40.5" customHeight="1" x14ac:dyDescent="0.2">
      <c r="A64" s="79" t="s">
        <v>437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45938</v>
      </c>
      <c r="G64" s="81">
        <v>0.375</v>
      </c>
      <c r="H64" s="80">
        <v>45937</v>
      </c>
      <c r="I64" s="81">
        <v>0.6875</v>
      </c>
      <c r="J64" s="87">
        <f t="shared" si="0"/>
        <v>0</v>
      </c>
      <c r="K64" s="53">
        <v>1</v>
      </c>
      <c r="L64" s="53">
        <v>30</v>
      </c>
      <c r="M64" s="79" t="s">
        <v>438</v>
      </c>
    </row>
    <row r="65" spans="1:13" s="5" customFormat="1" ht="38.25" customHeight="1" x14ac:dyDescent="0.2">
      <c r="A65" s="106" t="s">
        <v>123</v>
      </c>
      <c r="B65" s="85" t="s">
        <v>36</v>
      </c>
      <c r="C65" s="85" t="s">
        <v>37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>E65-L65</f>
        <v>0</v>
      </c>
      <c r="K65" s="53">
        <v>1</v>
      </c>
      <c r="L65" s="88">
        <v>20</v>
      </c>
      <c r="M65" s="93" t="s">
        <v>124</v>
      </c>
    </row>
    <row r="66" spans="1:13" s="5" customFormat="1" ht="38.25" customHeight="1" x14ac:dyDescent="0.2">
      <c r="A66" s="38" t="s">
        <v>123</v>
      </c>
      <c r="B66" s="85" t="s">
        <v>143</v>
      </c>
      <c r="C66" s="85" t="s">
        <v>43</v>
      </c>
      <c r="D66" s="49">
        <v>1</v>
      </c>
      <c r="E66" s="49">
        <v>20</v>
      </c>
      <c r="F66" s="85">
        <v>45938</v>
      </c>
      <c r="G66" s="86">
        <v>0.375</v>
      </c>
      <c r="H66" s="85">
        <v>45937</v>
      </c>
      <c r="I66" s="86">
        <v>0.80555555555555558</v>
      </c>
      <c r="J66" s="87">
        <f t="shared" ref="J66:J87" si="1">E66-L66</f>
        <v>0</v>
      </c>
      <c r="K66" s="8">
        <v>1</v>
      </c>
      <c r="L66" s="88">
        <v>20</v>
      </c>
      <c r="M66" s="93" t="s">
        <v>124</v>
      </c>
    </row>
    <row r="67" spans="1:13" s="5" customFormat="1" ht="27" customHeight="1" x14ac:dyDescent="0.2">
      <c r="A67" s="13" t="s">
        <v>175</v>
      </c>
      <c r="B67" s="13" t="s">
        <v>36</v>
      </c>
      <c r="C67" s="13" t="s">
        <v>37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"/>
        <v>6</v>
      </c>
      <c r="K67" s="50">
        <v>1</v>
      </c>
      <c r="L67" s="68">
        <v>24</v>
      </c>
      <c r="M67" s="52" t="s">
        <v>176</v>
      </c>
    </row>
    <row r="68" spans="1:13" s="5" customFormat="1" ht="33" customHeight="1" x14ac:dyDescent="0.2">
      <c r="A68" s="13" t="s">
        <v>177</v>
      </c>
      <c r="B68" s="13" t="s">
        <v>39</v>
      </c>
      <c r="C68" s="13" t="s">
        <v>40</v>
      </c>
      <c r="D68" s="53">
        <v>1</v>
      </c>
      <c r="E68" s="53">
        <v>30</v>
      </c>
      <c r="F68" s="13">
        <v>45938</v>
      </c>
      <c r="G68" s="86">
        <v>0.375</v>
      </c>
      <c r="H68" s="13">
        <v>45937</v>
      </c>
      <c r="I68" s="12">
        <v>0.83333333333333337</v>
      </c>
      <c r="J68" s="53">
        <f t="shared" si="1"/>
        <v>0</v>
      </c>
      <c r="K68" s="50">
        <v>1</v>
      </c>
      <c r="L68" s="68">
        <v>30</v>
      </c>
      <c r="M68" s="52" t="s">
        <v>178</v>
      </c>
    </row>
    <row r="69" spans="1:13" s="5" customFormat="1" ht="33.75" customHeight="1" x14ac:dyDescent="0.2">
      <c r="A69" s="61" t="s">
        <v>179</v>
      </c>
      <c r="B69" s="13" t="s">
        <v>39</v>
      </c>
      <c r="C69" s="13" t="s">
        <v>40</v>
      </c>
      <c r="D69" s="53">
        <v>5</v>
      </c>
      <c r="E69" s="53">
        <v>50</v>
      </c>
      <c r="F69" s="13">
        <v>45938</v>
      </c>
      <c r="G69" s="86">
        <v>0.375</v>
      </c>
      <c r="H69" s="13">
        <v>45937</v>
      </c>
      <c r="I69" s="12">
        <v>0.86805555555555558</v>
      </c>
      <c r="J69" s="53">
        <f t="shared" si="1"/>
        <v>5</v>
      </c>
      <c r="K69" s="50">
        <v>5</v>
      </c>
      <c r="L69" s="68">
        <v>45</v>
      </c>
      <c r="M69" s="52" t="s">
        <v>180</v>
      </c>
    </row>
    <row r="70" spans="1:13" s="5" customFormat="1" ht="32.25" customHeight="1" x14ac:dyDescent="0.2">
      <c r="A70" s="23" t="s">
        <v>146</v>
      </c>
      <c r="B70" s="85" t="s">
        <v>30</v>
      </c>
      <c r="C70" s="90" t="s">
        <v>207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"/>
        <v>50</v>
      </c>
      <c r="K70" s="8">
        <v>1</v>
      </c>
      <c r="L70" s="88">
        <v>10</v>
      </c>
      <c r="M70" s="91" t="s">
        <v>149</v>
      </c>
    </row>
    <row r="71" spans="1:13" s="5" customFormat="1" ht="27" customHeight="1" x14ac:dyDescent="0.2">
      <c r="A71" s="23" t="s">
        <v>146</v>
      </c>
      <c r="B71" s="85" t="s">
        <v>42</v>
      </c>
      <c r="C71" s="85" t="s">
        <v>77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"/>
        <v>50</v>
      </c>
      <c r="K71" s="8">
        <v>1</v>
      </c>
      <c r="L71" s="88">
        <v>10</v>
      </c>
      <c r="M71" s="91" t="s">
        <v>149</v>
      </c>
    </row>
    <row r="72" spans="1:13" s="5" customFormat="1" ht="24.95" customHeight="1" x14ac:dyDescent="0.2">
      <c r="A72" s="23" t="s">
        <v>146</v>
      </c>
      <c r="B72" s="85" t="s">
        <v>21</v>
      </c>
      <c r="C72" s="85" t="s">
        <v>86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"/>
        <v>50</v>
      </c>
      <c r="K72" s="8">
        <v>1</v>
      </c>
      <c r="L72" s="88">
        <v>10</v>
      </c>
      <c r="M72" s="91" t="s">
        <v>149</v>
      </c>
    </row>
    <row r="73" spans="1:13" s="5" customFormat="1" ht="28.5" customHeight="1" x14ac:dyDescent="0.2">
      <c r="A73" s="23" t="s">
        <v>146</v>
      </c>
      <c r="B73" s="85" t="s">
        <v>136</v>
      </c>
      <c r="C73" s="85" t="s">
        <v>151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35.450000000000003" customHeight="1" x14ac:dyDescent="0.2">
      <c r="A74" s="23" t="s">
        <v>146</v>
      </c>
      <c r="B74" s="85" t="s">
        <v>36</v>
      </c>
      <c r="C74" s="85" t="s">
        <v>80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146</v>
      </c>
      <c r="B75" s="85" t="s">
        <v>39</v>
      </c>
      <c r="C75" s="85" t="s">
        <v>150</v>
      </c>
      <c r="D75" s="84">
        <v>1</v>
      </c>
      <c r="E75" s="49">
        <v>60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36.6" customHeight="1" x14ac:dyDescent="0.2">
      <c r="A76" s="23" t="s">
        <v>52</v>
      </c>
      <c r="B76" s="89" t="s">
        <v>21</v>
      </c>
      <c r="C76" s="90" t="s">
        <v>22</v>
      </c>
      <c r="D76" s="84">
        <v>1</v>
      </c>
      <c r="E76" s="49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153</v>
      </c>
      <c r="B77" s="89" t="s">
        <v>36</v>
      </c>
      <c r="C77" s="90" t="s">
        <v>37</v>
      </c>
      <c r="D77" s="84">
        <v>1</v>
      </c>
      <c r="E77" s="5">
        <v>30</v>
      </c>
      <c r="F77" s="85">
        <v>45938</v>
      </c>
      <c r="G77" s="86">
        <v>0.375</v>
      </c>
      <c r="H77" s="85">
        <v>45937</v>
      </c>
      <c r="I77" s="86">
        <v>0.91666666666666663</v>
      </c>
      <c r="J77" s="87">
        <f t="shared" si="1"/>
        <v>0</v>
      </c>
      <c r="K77" s="8">
        <v>1</v>
      </c>
      <c r="L77" s="88">
        <v>30</v>
      </c>
      <c r="M77" s="91" t="s">
        <v>53</v>
      </c>
    </row>
    <row r="78" spans="1:13" s="5" customFormat="1" ht="35.450000000000003" customHeight="1" x14ac:dyDescent="0.2">
      <c r="A78" s="23" t="s">
        <v>79</v>
      </c>
      <c r="B78" s="85" t="s">
        <v>36</v>
      </c>
      <c r="C78" s="90" t="s">
        <v>37</v>
      </c>
      <c r="D78" s="84">
        <v>1</v>
      </c>
      <c r="E78" s="49">
        <v>45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"/>
        <v>-35</v>
      </c>
      <c r="K78" s="8">
        <v>1</v>
      </c>
      <c r="L78" s="88">
        <v>80</v>
      </c>
      <c r="M78" s="91" t="s">
        <v>81</v>
      </c>
    </row>
    <row r="79" spans="1:13" s="5" customFormat="1" ht="35.450000000000003" customHeight="1" x14ac:dyDescent="0.2">
      <c r="A79" s="23" t="s">
        <v>85</v>
      </c>
      <c r="B79" s="85" t="s">
        <v>21</v>
      </c>
      <c r="C79" s="90" t="s">
        <v>22</v>
      </c>
      <c r="D79" s="84">
        <v>1</v>
      </c>
      <c r="E79" s="49">
        <v>60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"/>
        <v>10</v>
      </c>
      <c r="K79" s="8">
        <v>1</v>
      </c>
      <c r="L79" s="88">
        <v>50</v>
      </c>
      <c r="M79" s="91" t="s">
        <v>87</v>
      </c>
    </row>
    <row r="80" spans="1:13" s="5" customFormat="1" ht="35.450000000000003" customHeight="1" x14ac:dyDescent="0.2">
      <c r="A80" s="23" t="s">
        <v>88</v>
      </c>
      <c r="B80" s="85" t="s">
        <v>21</v>
      </c>
      <c r="C80" s="85" t="s">
        <v>22</v>
      </c>
      <c r="D80" s="84">
        <v>1</v>
      </c>
      <c r="E80" s="49">
        <v>55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"/>
        <v>0</v>
      </c>
      <c r="K80" s="8">
        <v>1</v>
      </c>
      <c r="L80" s="88">
        <v>55</v>
      </c>
      <c r="M80" s="91" t="s">
        <v>89</v>
      </c>
    </row>
    <row r="81" spans="1:13" s="5" customFormat="1" ht="35.450000000000003" customHeight="1" x14ac:dyDescent="0.2">
      <c r="A81" s="33" t="s">
        <v>131</v>
      </c>
      <c r="B81" s="85" t="s">
        <v>36</v>
      </c>
      <c r="C81" s="85" t="s">
        <v>37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42</v>
      </c>
      <c r="C82" s="85" t="s">
        <v>43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30</v>
      </c>
      <c r="C83" s="85" t="s">
        <v>31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21</v>
      </c>
      <c r="C84" s="85" t="s">
        <v>22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136</v>
      </c>
      <c r="C85" s="85" t="s">
        <v>34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39</v>
      </c>
      <c r="C86" s="85" t="s">
        <v>40</v>
      </c>
      <c r="D86" s="49">
        <v>1</v>
      </c>
      <c r="E86" s="49">
        <v>30</v>
      </c>
      <c r="F86" s="85">
        <v>45938</v>
      </c>
      <c r="G86" s="86">
        <v>0.375</v>
      </c>
      <c r="H86" s="85">
        <v>45937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133</v>
      </c>
      <c r="B87" s="85" t="s">
        <v>21</v>
      </c>
      <c r="C87" s="85" t="s">
        <v>22</v>
      </c>
      <c r="D87" s="49">
        <v>3</v>
      </c>
      <c r="E87" s="49">
        <v>20</v>
      </c>
      <c r="F87" s="85">
        <v>45938</v>
      </c>
      <c r="G87" s="86">
        <v>0.375</v>
      </c>
      <c r="H87" s="85">
        <v>45938</v>
      </c>
      <c r="I87" s="86">
        <v>0.375</v>
      </c>
      <c r="J87" s="87">
        <f t="shared" si="1"/>
        <v>5</v>
      </c>
      <c r="K87" s="8">
        <v>3</v>
      </c>
      <c r="L87" s="88">
        <v>15</v>
      </c>
      <c r="M87" s="91" t="s">
        <v>134</v>
      </c>
    </row>
    <row r="88" spans="1:13" s="5" customFormat="1" ht="35.450000000000003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s="5" customFormat="1" ht="37.5" customHeight="1" x14ac:dyDescent="0.2">
      <c r="A89" s="4"/>
      <c r="B89" s="4"/>
      <c r="C89" s="4"/>
      <c r="D89" s="4"/>
      <c r="E89" s="4"/>
      <c r="F89" s="4"/>
      <c r="G89" s="4"/>
      <c r="H89" s="4"/>
      <c r="I89" s="3"/>
      <c r="J89" s="3"/>
      <c r="K89" s="2"/>
      <c r="L89" s="1"/>
      <c r="M89" s="1"/>
    </row>
    <row r="90" spans="1:13" x14ac:dyDescent="0.2">
      <c r="A90" s="70" t="s">
        <v>210</v>
      </c>
      <c r="B90" t="s">
        <v>215</v>
      </c>
      <c r="C90" t="s">
        <v>214</v>
      </c>
      <c r="D90" t="s">
        <v>213</v>
      </c>
      <c r="E90" t="s">
        <v>212</v>
      </c>
    </row>
    <row r="91" spans="1:13" x14ac:dyDescent="0.2">
      <c r="A91" s="71" t="s">
        <v>36</v>
      </c>
      <c r="B91">
        <v>18</v>
      </c>
      <c r="C91">
        <v>515</v>
      </c>
      <c r="D91">
        <v>17</v>
      </c>
      <c r="E91">
        <v>477</v>
      </c>
    </row>
    <row r="92" spans="1:13" x14ac:dyDescent="0.2">
      <c r="A92" s="71" t="s">
        <v>39</v>
      </c>
      <c r="B92">
        <v>16</v>
      </c>
      <c r="C92">
        <v>410</v>
      </c>
      <c r="D92">
        <v>17</v>
      </c>
      <c r="E92">
        <v>352</v>
      </c>
    </row>
    <row r="93" spans="1:13" x14ac:dyDescent="0.2">
      <c r="A93" s="71" t="s">
        <v>21</v>
      </c>
      <c r="B93">
        <v>17</v>
      </c>
      <c r="C93">
        <v>525</v>
      </c>
      <c r="D93">
        <v>18</v>
      </c>
      <c r="E93">
        <v>456</v>
      </c>
    </row>
    <row r="94" spans="1:13" x14ac:dyDescent="0.2">
      <c r="A94" s="71" t="s">
        <v>136</v>
      </c>
      <c r="B94">
        <v>10</v>
      </c>
      <c r="C94">
        <v>330</v>
      </c>
      <c r="D94">
        <v>11</v>
      </c>
      <c r="E94">
        <v>260</v>
      </c>
    </row>
    <row r="95" spans="1:13" x14ac:dyDescent="0.2">
      <c r="A95" s="71" t="s">
        <v>42</v>
      </c>
      <c r="B95">
        <v>14</v>
      </c>
      <c r="C95">
        <v>450</v>
      </c>
      <c r="D95">
        <v>16</v>
      </c>
      <c r="E95">
        <v>395</v>
      </c>
    </row>
    <row r="96" spans="1:13" x14ac:dyDescent="0.2">
      <c r="A96" s="71" t="s">
        <v>30</v>
      </c>
      <c r="B96">
        <v>12</v>
      </c>
      <c r="C96">
        <v>360</v>
      </c>
      <c r="D96">
        <v>14</v>
      </c>
      <c r="E96">
        <v>304</v>
      </c>
    </row>
    <row r="97" spans="1:13" x14ac:dyDescent="0.2">
      <c r="A97" s="71" t="s">
        <v>211</v>
      </c>
      <c r="B97">
        <v>87</v>
      </c>
      <c r="C97">
        <v>2590</v>
      </c>
      <c r="D97">
        <v>93</v>
      </c>
      <c r="E97">
        <v>2244</v>
      </c>
    </row>
    <row r="98" spans="1:13" x14ac:dyDescent="0.2">
      <c r="A98"/>
      <c r="B98"/>
      <c r="C98"/>
      <c r="D98"/>
      <c r="E98"/>
    </row>
    <row r="99" spans="1:13" x14ac:dyDescent="0.2">
      <c r="A99"/>
      <c r="B99"/>
      <c r="C99"/>
    </row>
    <row r="100" spans="1:13" x14ac:dyDescent="0.2">
      <c r="A100"/>
      <c r="B100"/>
      <c r="C100"/>
    </row>
    <row r="101" spans="1:13" x14ac:dyDescent="0.2">
      <c r="A101"/>
      <c r="B101"/>
      <c r="C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">
      <c r="A106"/>
      <c r="B106"/>
      <c r="C106"/>
    </row>
    <row r="107" spans="1:13" x14ac:dyDescent="0.2">
      <c r="A107"/>
      <c r="B107"/>
      <c r="C107"/>
    </row>
    <row r="118" spans="1:20" s="4" customFormat="1" ht="30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19" spans="1:20" s="4" customFormat="1" ht="23.25" customHeight="1" x14ac:dyDescent="0.2">
      <c r="I119" s="3"/>
      <c r="J119" s="3"/>
      <c r="K119" s="2"/>
      <c r="L119" s="1"/>
      <c r="M119" s="1"/>
      <c r="N119"/>
      <c r="O119"/>
      <c r="P119"/>
      <c r="Q119"/>
      <c r="R119"/>
      <c r="S119"/>
      <c r="T119"/>
    </row>
    <row r="126" spans="1:20" s="5" customFormat="1" ht="12" customHeight="1" x14ac:dyDescent="0.2">
      <c r="A126" s="4"/>
      <c r="B126" s="4"/>
      <c r="C126" s="4"/>
      <c r="D126" s="4"/>
      <c r="E126" s="4"/>
      <c r="F126" s="4"/>
      <c r="G126" s="4"/>
      <c r="H126" s="4"/>
      <c r="I126" s="3"/>
      <c r="J126" s="3"/>
      <c r="K126" s="2"/>
      <c r="L126" s="1"/>
      <c r="M126" s="1"/>
    </row>
    <row r="130" spans="9:20" x14ac:dyDescent="0.2">
      <c r="Q130" s="42" t="e">
        <f>SUM(#REF!)</f>
        <v>#REF!</v>
      </c>
      <c r="R130" s="42" t="e">
        <f>SUM(#REF!)</f>
        <v>#REF!</v>
      </c>
      <c r="S130" s="42" t="e">
        <f>SUM(#REF!)</f>
        <v>#REF!</v>
      </c>
      <c r="T130" s="42" t="e">
        <f>SUM(#REF!)</f>
        <v>#REF!</v>
      </c>
    </row>
    <row r="131" spans="9:20" ht="35.25" customHeight="1" x14ac:dyDescent="0.2"/>
    <row r="132" spans="9:20" ht="36.75" customHeight="1" x14ac:dyDescent="0.2"/>
    <row r="133" spans="9:20" ht="33.75" customHeight="1" x14ac:dyDescent="0.2"/>
    <row r="134" spans="9:20" ht="26.25" customHeight="1" x14ac:dyDescent="0.2"/>
    <row r="135" spans="9:20" ht="27.75" customHeight="1" x14ac:dyDescent="0.2"/>
    <row r="136" spans="9:20" s="4" customFormat="1" ht="40.5" customHeight="1" x14ac:dyDescent="0.2">
      <c r="I136" s="3"/>
      <c r="J136" s="3"/>
      <c r="K136" s="2"/>
      <c r="L136" s="1"/>
      <c r="M136" s="1"/>
      <c r="N136"/>
      <c r="O136"/>
      <c r="P136"/>
      <c r="Q136"/>
      <c r="R136"/>
      <c r="S136"/>
      <c r="T13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4D4-19EB-4BDF-B2CD-F968D2E846C2}">
  <dimension ref="A1:T139"/>
  <sheetViews>
    <sheetView topLeftCell="A6" zoomScale="84" zoomScaleNormal="76" workbookViewId="0">
      <selection activeCell="B10" sqref="B1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6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ref="J67" si="1">E67-L67</f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2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2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2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2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2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2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2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2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2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2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2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2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2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2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2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2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2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2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2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2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s="70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173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02E6-6765-4E0C-AFF8-95AC245AB312}">
  <dimension ref="A1:T139"/>
  <sheetViews>
    <sheetView tabSelected="1" topLeftCell="A122" zoomScale="84" zoomScaleNormal="76" workbookViewId="0">
      <selection activeCell="J133" sqref="J1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4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8"/>
      <c r="M1" s="119"/>
    </row>
    <row r="2" spans="1:20" ht="20.25" customHeight="1" x14ac:dyDescent="0.2">
      <c r="A2" s="115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20"/>
      <c r="M2" s="121"/>
    </row>
    <row r="3" spans="1:20" ht="12.75" customHeight="1" x14ac:dyDescent="0.2">
      <c r="A3" s="122" t="s">
        <v>1</v>
      </c>
      <c r="B3" s="124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6" t="s">
        <v>3</v>
      </c>
      <c r="M3" s="127"/>
    </row>
    <row r="4" spans="1:20" ht="13.5" thickBot="1" x14ac:dyDescent="0.25">
      <c r="A4" s="123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0" t="s">
        <v>6</v>
      </c>
      <c r="C6" s="110"/>
      <c r="D6" s="110"/>
      <c r="E6" s="110"/>
      <c r="F6" s="110"/>
      <c r="G6" s="110"/>
      <c r="H6" s="111" t="s">
        <v>7</v>
      </c>
      <c r="I6" s="112"/>
      <c r="J6" s="112"/>
      <c r="K6" s="112"/>
      <c r="L6" s="113"/>
      <c r="M6" s="25"/>
    </row>
    <row r="7" spans="1:20" s="14" customFormat="1" ht="49.5" customHeight="1" x14ac:dyDescent="0.2">
      <c r="A7" s="18" cm="1">
        <f t="array" aca="1" ref="A7" ca="1">+A93+A1:L7+A7:L7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30">
        <v>45959</v>
      </c>
      <c r="G8" s="131">
        <v>0.375</v>
      </c>
      <c r="H8" s="85">
        <v>45957</v>
      </c>
      <c r="I8" s="86">
        <v>0.41666666666666669</v>
      </c>
      <c r="J8" s="87">
        <f t="shared" ref="J8:J89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30">
        <v>45959</v>
      </c>
      <c r="G9" s="131">
        <v>0.375</v>
      </c>
      <c r="H9" s="85">
        <v>45957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23" t="s">
        <v>511</v>
      </c>
      <c r="B10" s="8" t="s">
        <v>42</v>
      </c>
      <c r="C10" s="8" t="s">
        <v>37</v>
      </c>
      <c r="D10" s="84">
        <v>1</v>
      </c>
      <c r="E10" s="49">
        <v>30</v>
      </c>
      <c r="F10" s="130">
        <v>45959</v>
      </c>
      <c r="G10" s="131">
        <v>0.375</v>
      </c>
      <c r="H10" s="130">
        <v>45957</v>
      </c>
      <c r="I10" s="131">
        <v>0.4375</v>
      </c>
      <c r="J10" s="87">
        <f t="shared" si="0"/>
        <v>4</v>
      </c>
      <c r="K10" s="8">
        <v>1</v>
      </c>
      <c r="L10" s="8">
        <v>26</v>
      </c>
      <c r="M10" s="49" t="s">
        <v>514</v>
      </c>
    </row>
    <row r="11" spans="1:20" s="5" customFormat="1" ht="75" customHeight="1" x14ac:dyDescent="0.2">
      <c r="A11" s="23" t="s">
        <v>511</v>
      </c>
      <c r="B11" s="8" t="s">
        <v>36</v>
      </c>
      <c r="C11" s="8" t="s">
        <v>43</v>
      </c>
      <c r="D11" s="84">
        <v>1</v>
      </c>
      <c r="E11" s="49">
        <v>30</v>
      </c>
      <c r="F11" s="130">
        <v>45959</v>
      </c>
      <c r="G11" s="131">
        <v>0.375</v>
      </c>
      <c r="H11" s="130" t="s">
        <v>513</v>
      </c>
      <c r="I11" s="131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515</v>
      </c>
    </row>
    <row r="12" spans="1:20" s="5" customFormat="1" ht="84.75" customHeight="1" x14ac:dyDescent="0.2">
      <c r="A12" s="132" t="s">
        <v>24</v>
      </c>
      <c r="B12" s="8" t="s">
        <v>36</v>
      </c>
      <c r="C12" s="8" t="s">
        <v>43</v>
      </c>
      <c r="D12" s="84">
        <v>1</v>
      </c>
      <c r="E12" s="49">
        <v>30</v>
      </c>
      <c r="F12" s="130">
        <v>45959</v>
      </c>
      <c r="G12" s="131">
        <v>0.375</v>
      </c>
      <c r="H12" s="130" t="s">
        <v>513</v>
      </c>
      <c r="I12" s="131">
        <v>0.45833333333333331</v>
      </c>
      <c r="J12" s="87">
        <f t="shared" si="0"/>
        <v>5</v>
      </c>
      <c r="K12" s="8">
        <v>2</v>
      </c>
      <c r="L12" s="8">
        <v>25</v>
      </c>
      <c r="M12" s="49" t="s">
        <v>516</v>
      </c>
    </row>
    <row r="13" spans="1:20" s="5" customFormat="1" ht="81.75" customHeight="1" x14ac:dyDescent="0.2">
      <c r="A13" s="49" t="s">
        <v>24</v>
      </c>
      <c r="B13" s="8" t="s">
        <v>42</v>
      </c>
      <c r="C13" s="8" t="s">
        <v>37</v>
      </c>
      <c r="D13" s="84">
        <v>1</v>
      </c>
      <c r="E13" s="49">
        <v>30</v>
      </c>
      <c r="F13" s="130">
        <v>45959</v>
      </c>
      <c r="G13" s="131">
        <v>0.375</v>
      </c>
      <c r="H13" s="130" t="s">
        <v>513</v>
      </c>
      <c r="I13" s="131">
        <v>0.45833333333333331</v>
      </c>
      <c r="J13" s="87">
        <f t="shared" si="0"/>
        <v>5</v>
      </c>
      <c r="K13" s="8">
        <v>2</v>
      </c>
      <c r="L13" s="8">
        <v>25</v>
      </c>
      <c r="M13" s="49" t="s">
        <v>516</v>
      </c>
    </row>
    <row r="14" spans="1:20" s="5" customFormat="1" ht="61.5" customHeight="1" x14ac:dyDescent="0.2">
      <c r="A14" s="49" t="s">
        <v>517</v>
      </c>
      <c r="B14" s="8" t="s">
        <v>36</v>
      </c>
      <c r="C14" s="8" t="s">
        <v>43</v>
      </c>
      <c r="D14" s="84">
        <v>1</v>
      </c>
      <c r="E14" s="49">
        <v>30</v>
      </c>
      <c r="F14" s="130">
        <v>45959</v>
      </c>
      <c r="G14" s="131">
        <v>0.375</v>
      </c>
      <c r="H14" s="130">
        <v>45958</v>
      </c>
      <c r="I14" s="131">
        <v>0.41666666666666669</v>
      </c>
      <c r="J14" s="87">
        <f t="shared" si="0"/>
        <v>0</v>
      </c>
      <c r="K14" s="8">
        <v>2</v>
      </c>
      <c r="L14" s="8">
        <v>30</v>
      </c>
      <c r="M14" s="49" t="s">
        <v>518</v>
      </c>
    </row>
    <row r="15" spans="1:20" s="5" customFormat="1" ht="61.5" customHeight="1" x14ac:dyDescent="0.2">
      <c r="A15" s="49" t="s">
        <v>517</v>
      </c>
      <c r="B15" s="8" t="s">
        <v>42</v>
      </c>
      <c r="C15" s="8" t="s">
        <v>37</v>
      </c>
      <c r="D15" s="84">
        <v>1</v>
      </c>
      <c r="E15" s="49">
        <v>30</v>
      </c>
      <c r="F15" s="130">
        <v>45959</v>
      </c>
      <c r="G15" s="131">
        <v>0.375</v>
      </c>
      <c r="H15" s="130">
        <v>45958</v>
      </c>
      <c r="I15" s="131">
        <v>0.41666666666666669</v>
      </c>
      <c r="J15" s="87">
        <f t="shared" si="0"/>
        <v>0</v>
      </c>
      <c r="K15" s="8">
        <v>2</v>
      </c>
      <c r="L15" s="8">
        <v>30</v>
      </c>
      <c r="M15" s="49" t="s">
        <v>518</v>
      </c>
    </row>
    <row r="16" spans="1:20" s="5" customFormat="1" ht="63" customHeight="1" x14ac:dyDescent="0.2">
      <c r="A16" s="38" t="s">
        <v>519</v>
      </c>
      <c r="B16" s="8" t="s">
        <v>36</v>
      </c>
      <c r="C16" s="128" t="s">
        <v>43</v>
      </c>
      <c r="D16" s="84">
        <v>1</v>
      </c>
      <c r="E16" s="49">
        <v>30</v>
      </c>
      <c r="F16" s="80">
        <v>45959</v>
      </c>
      <c r="G16" s="81">
        <v>0.375</v>
      </c>
      <c r="H16" s="80">
        <v>45958</v>
      </c>
      <c r="I16" s="81">
        <v>0.4375</v>
      </c>
      <c r="J16" s="87">
        <f t="shared" si="0"/>
        <v>5</v>
      </c>
      <c r="K16" s="53">
        <v>2</v>
      </c>
      <c r="L16" s="53">
        <v>25</v>
      </c>
      <c r="M16" s="129" t="s">
        <v>520</v>
      </c>
    </row>
    <row r="17" spans="1:13" s="5" customFormat="1" ht="63" customHeight="1" x14ac:dyDescent="0.2">
      <c r="A17" s="38" t="s">
        <v>519</v>
      </c>
      <c r="B17" s="8" t="s">
        <v>42</v>
      </c>
      <c r="C17" s="128" t="s">
        <v>37</v>
      </c>
      <c r="D17" s="84">
        <v>1</v>
      </c>
      <c r="E17" s="49">
        <v>30</v>
      </c>
      <c r="F17" s="80">
        <v>45959</v>
      </c>
      <c r="G17" s="81">
        <v>0.375</v>
      </c>
      <c r="H17" s="80">
        <v>45958</v>
      </c>
      <c r="I17" s="81">
        <v>0.4375</v>
      </c>
      <c r="J17" s="87">
        <f t="shared" si="0"/>
        <v>5</v>
      </c>
      <c r="K17" s="53">
        <v>2</v>
      </c>
      <c r="L17" s="53">
        <v>25</v>
      </c>
      <c r="M17" s="129" t="s">
        <v>520</v>
      </c>
    </row>
    <row r="18" spans="1:13" s="5" customFormat="1" ht="75" customHeight="1" x14ac:dyDescent="0.2">
      <c r="A18" s="38" t="s">
        <v>521</v>
      </c>
      <c r="B18" s="8" t="s">
        <v>42</v>
      </c>
      <c r="C18" s="128" t="s">
        <v>37</v>
      </c>
      <c r="D18" s="84">
        <v>1</v>
      </c>
      <c r="E18" s="49">
        <v>30</v>
      </c>
      <c r="F18" s="80">
        <v>45959</v>
      </c>
      <c r="G18" s="81">
        <v>0.375</v>
      </c>
      <c r="H18" s="80">
        <v>45958</v>
      </c>
      <c r="I18" s="81">
        <v>0.45833333333333331</v>
      </c>
      <c r="J18" s="87">
        <f t="shared" si="0"/>
        <v>3</v>
      </c>
      <c r="K18" s="53">
        <v>1</v>
      </c>
      <c r="L18" s="53">
        <v>27</v>
      </c>
      <c r="M18" s="129" t="s">
        <v>522</v>
      </c>
    </row>
    <row r="19" spans="1:13" s="5" customFormat="1" ht="72.75" customHeight="1" x14ac:dyDescent="0.2">
      <c r="A19" s="35" t="s">
        <v>521</v>
      </c>
      <c r="B19" s="8" t="s">
        <v>36</v>
      </c>
      <c r="C19" s="128" t="s">
        <v>43</v>
      </c>
      <c r="D19" s="84">
        <v>1</v>
      </c>
      <c r="E19" s="49">
        <v>30</v>
      </c>
      <c r="F19" s="80">
        <v>45959</v>
      </c>
      <c r="G19" s="81">
        <v>0.375</v>
      </c>
      <c r="H19" s="80">
        <v>45958</v>
      </c>
      <c r="I19" s="81">
        <v>0.45833333333333331</v>
      </c>
      <c r="J19" s="87">
        <f t="shared" si="0"/>
        <v>3</v>
      </c>
      <c r="K19" s="53">
        <v>1</v>
      </c>
      <c r="L19" s="53">
        <v>27</v>
      </c>
      <c r="M19" s="129" t="s">
        <v>522</v>
      </c>
    </row>
    <row r="20" spans="1:13" s="5" customFormat="1" ht="77.25" customHeight="1" x14ac:dyDescent="0.2">
      <c r="A20" s="49" t="s">
        <v>523</v>
      </c>
      <c r="B20" s="8" t="s">
        <v>36</v>
      </c>
      <c r="C20" s="128" t="s">
        <v>43</v>
      </c>
      <c r="D20" s="84">
        <v>1</v>
      </c>
      <c r="E20" s="49">
        <v>30</v>
      </c>
      <c r="F20" s="80">
        <v>45959</v>
      </c>
      <c r="G20" s="81">
        <v>0.375</v>
      </c>
      <c r="H20" s="80">
        <v>45958</v>
      </c>
      <c r="I20" s="81">
        <v>0.47916666666666669</v>
      </c>
      <c r="J20" s="87">
        <f t="shared" si="0"/>
        <v>2</v>
      </c>
      <c r="K20" s="53">
        <v>1</v>
      </c>
      <c r="L20" s="53">
        <v>28</v>
      </c>
      <c r="M20" s="129" t="s">
        <v>524</v>
      </c>
    </row>
    <row r="21" spans="1:13" s="5" customFormat="1" ht="70.5" customHeight="1" x14ac:dyDescent="0.2">
      <c r="A21" s="49" t="s">
        <v>523</v>
      </c>
      <c r="B21" s="8" t="s">
        <v>42</v>
      </c>
      <c r="C21" s="128" t="s">
        <v>37</v>
      </c>
      <c r="D21" s="84">
        <v>1</v>
      </c>
      <c r="E21" s="49">
        <v>30</v>
      </c>
      <c r="F21" s="80">
        <v>45959</v>
      </c>
      <c r="G21" s="81">
        <v>0.375</v>
      </c>
      <c r="H21" s="80">
        <v>45958</v>
      </c>
      <c r="I21" s="81">
        <v>0.47916666666666669</v>
      </c>
      <c r="J21" s="87">
        <f t="shared" si="0"/>
        <v>2</v>
      </c>
      <c r="K21" s="53">
        <v>1</v>
      </c>
      <c r="L21" s="53">
        <v>28</v>
      </c>
      <c r="M21" s="129" t="s">
        <v>524</v>
      </c>
    </row>
    <row r="22" spans="1:13" s="5" customFormat="1" ht="66" customHeight="1" x14ac:dyDescent="0.2">
      <c r="A22" s="49" t="s">
        <v>525</v>
      </c>
      <c r="B22" s="8" t="s">
        <v>136</v>
      </c>
      <c r="C22" s="128" t="s">
        <v>22</v>
      </c>
      <c r="D22" s="84">
        <v>1</v>
      </c>
      <c r="E22" s="49">
        <v>30</v>
      </c>
      <c r="F22" s="80">
        <v>45959</v>
      </c>
      <c r="G22" s="81">
        <v>0.375</v>
      </c>
      <c r="H22" s="80">
        <v>45958</v>
      </c>
      <c r="I22" s="81">
        <v>0.5</v>
      </c>
      <c r="J22" s="87">
        <f t="shared" si="0"/>
        <v>0</v>
      </c>
      <c r="K22" s="53">
        <v>1</v>
      </c>
      <c r="L22" s="53">
        <v>30</v>
      </c>
      <c r="M22" s="129" t="s">
        <v>526</v>
      </c>
    </row>
    <row r="23" spans="1:13" s="5" customFormat="1" ht="69" customHeight="1" x14ac:dyDescent="0.2">
      <c r="A23" s="49" t="s">
        <v>525</v>
      </c>
      <c r="B23" s="8" t="s">
        <v>30</v>
      </c>
      <c r="C23" s="128" t="s">
        <v>40</v>
      </c>
      <c r="D23" s="84">
        <v>1</v>
      </c>
      <c r="E23" s="49">
        <v>30</v>
      </c>
      <c r="F23" s="80">
        <v>45959</v>
      </c>
      <c r="G23" s="81">
        <v>0.375</v>
      </c>
      <c r="H23" s="80">
        <v>45958</v>
      </c>
      <c r="I23" s="81">
        <v>0.5</v>
      </c>
      <c r="J23" s="87">
        <f t="shared" si="0"/>
        <v>0</v>
      </c>
      <c r="K23" s="53">
        <v>1</v>
      </c>
      <c r="L23" s="53">
        <v>30</v>
      </c>
      <c r="M23" s="129" t="s">
        <v>526</v>
      </c>
    </row>
    <row r="24" spans="1:13" s="5" customFormat="1" ht="60" customHeight="1" x14ac:dyDescent="0.2">
      <c r="A24" s="49" t="s">
        <v>525</v>
      </c>
      <c r="B24" s="8" t="s">
        <v>42</v>
      </c>
      <c r="C24" s="128" t="s">
        <v>37</v>
      </c>
      <c r="D24" s="84">
        <v>1</v>
      </c>
      <c r="E24" s="49">
        <v>30</v>
      </c>
      <c r="F24" s="80">
        <v>45959</v>
      </c>
      <c r="G24" s="81">
        <v>0.375</v>
      </c>
      <c r="H24" s="80">
        <v>45958</v>
      </c>
      <c r="I24" s="81">
        <v>0.5</v>
      </c>
      <c r="J24" s="87">
        <f t="shared" si="0"/>
        <v>0</v>
      </c>
      <c r="K24" s="53">
        <v>1</v>
      </c>
      <c r="L24" s="53">
        <v>30</v>
      </c>
      <c r="M24" s="129" t="s">
        <v>526</v>
      </c>
    </row>
    <row r="25" spans="1:13" s="5" customFormat="1" ht="59.25" customHeight="1" x14ac:dyDescent="0.2">
      <c r="A25" s="49" t="s">
        <v>525</v>
      </c>
      <c r="B25" s="8" t="s">
        <v>36</v>
      </c>
      <c r="C25" s="128" t="s">
        <v>43</v>
      </c>
      <c r="D25" s="84">
        <v>1</v>
      </c>
      <c r="E25" s="49">
        <v>30</v>
      </c>
      <c r="F25" s="80">
        <v>45959</v>
      </c>
      <c r="G25" s="81">
        <v>0.375</v>
      </c>
      <c r="H25" s="80">
        <v>45958</v>
      </c>
      <c r="I25" s="81">
        <v>0.5</v>
      </c>
      <c r="J25" s="87">
        <f t="shared" si="0"/>
        <v>0</v>
      </c>
      <c r="K25" s="53">
        <v>1</v>
      </c>
      <c r="L25" s="53">
        <v>30</v>
      </c>
      <c r="M25" s="129" t="s">
        <v>526</v>
      </c>
    </row>
    <row r="26" spans="1:13" s="5" customFormat="1" ht="89.25" customHeight="1" x14ac:dyDescent="0.2">
      <c r="A26" s="49" t="s">
        <v>525</v>
      </c>
      <c r="B26" s="8" t="s">
        <v>510</v>
      </c>
      <c r="C26" s="128" t="s">
        <v>31</v>
      </c>
      <c r="D26" s="84">
        <v>1</v>
      </c>
      <c r="E26" s="49">
        <v>30</v>
      </c>
      <c r="F26" s="80">
        <v>45959</v>
      </c>
      <c r="G26" s="81">
        <v>0.375</v>
      </c>
      <c r="H26" s="80">
        <v>45958</v>
      </c>
      <c r="I26" s="81">
        <v>0.5</v>
      </c>
      <c r="J26" s="87">
        <f t="shared" si="0"/>
        <v>0</v>
      </c>
      <c r="K26" s="53">
        <v>1</v>
      </c>
      <c r="L26" s="53">
        <v>30</v>
      </c>
      <c r="M26" s="129" t="s">
        <v>526</v>
      </c>
    </row>
    <row r="27" spans="1:13" s="5" customFormat="1" ht="87" customHeight="1" x14ac:dyDescent="0.2">
      <c r="A27" s="49" t="s">
        <v>525</v>
      </c>
      <c r="B27" s="8" t="s">
        <v>21</v>
      </c>
      <c r="C27" s="128" t="s">
        <v>34</v>
      </c>
      <c r="D27" s="84">
        <v>1</v>
      </c>
      <c r="E27" s="49">
        <v>30</v>
      </c>
      <c r="F27" s="80">
        <v>45959</v>
      </c>
      <c r="G27" s="81">
        <v>0.375</v>
      </c>
      <c r="H27" s="80">
        <v>45958</v>
      </c>
      <c r="I27" s="81">
        <v>0.5</v>
      </c>
      <c r="J27" s="87">
        <f t="shared" si="0"/>
        <v>0</v>
      </c>
      <c r="K27" s="53">
        <v>1</v>
      </c>
      <c r="L27" s="53">
        <v>30</v>
      </c>
      <c r="M27" s="129" t="s">
        <v>526</v>
      </c>
    </row>
    <row r="28" spans="1:13" s="5" customFormat="1" ht="48.75" customHeight="1" x14ac:dyDescent="0.2">
      <c r="A28" s="49" t="s">
        <v>527</v>
      </c>
      <c r="B28" s="8" t="s">
        <v>136</v>
      </c>
      <c r="C28" s="128" t="s">
        <v>22</v>
      </c>
      <c r="D28" s="84">
        <v>1</v>
      </c>
      <c r="E28" s="49">
        <v>30</v>
      </c>
      <c r="F28" s="80">
        <v>45959</v>
      </c>
      <c r="G28" s="81">
        <v>0.375</v>
      </c>
      <c r="H28" s="80">
        <v>45958</v>
      </c>
      <c r="I28" s="81">
        <v>0.52083333333333337</v>
      </c>
      <c r="J28" s="87">
        <f t="shared" si="0"/>
        <v>6</v>
      </c>
      <c r="K28" s="53">
        <v>2</v>
      </c>
      <c r="L28" s="53">
        <v>24</v>
      </c>
      <c r="M28" s="129" t="s">
        <v>528</v>
      </c>
    </row>
    <row r="29" spans="1:13" s="5" customFormat="1" ht="36.75" customHeight="1" x14ac:dyDescent="0.2">
      <c r="A29" s="49" t="s">
        <v>527</v>
      </c>
      <c r="B29" s="8" t="s">
        <v>30</v>
      </c>
      <c r="C29" s="128" t="s">
        <v>40</v>
      </c>
      <c r="D29" s="84">
        <v>1</v>
      </c>
      <c r="E29" s="49">
        <v>30</v>
      </c>
      <c r="F29" s="80">
        <v>45959</v>
      </c>
      <c r="G29" s="81">
        <v>0.375</v>
      </c>
      <c r="H29" s="80">
        <v>45958</v>
      </c>
      <c r="I29" s="81">
        <v>0.52083333333333337</v>
      </c>
      <c r="J29" s="87">
        <f t="shared" si="0"/>
        <v>6</v>
      </c>
      <c r="K29" s="53">
        <v>2</v>
      </c>
      <c r="L29" s="53">
        <v>24</v>
      </c>
      <c r="M29" s="129" t="s">
        <v>528</v>
      </c>
    </row>
    <row r="30" spans="1:13" s="5" customFormat="1" ht="37.5" customHeight="1" x14ac:dyDescent="0.2">
      <c r="A30" s="49" t="s">
        <v>527</v>
      </c>
      <c r="B30" s="8" t="s">
        <v>42</v>
      </c>
      <c r="C30" s="128" t="s">
        <v>37</v>
      </c>
      <c r="D30" s="84">
        <v>1</v>
      </c>
      <c r="E30" s="49">
        <v>30</v>
      </c>
      <c r="F30" s="80">
        <v>45959</v>
      </c>
      <c r="G30" s="81">
        <v>0.375</v>
      </c>
      <c r="H30" s="80">
        <v>45958</v>
      </c>
      <c r="I30" s="81">
        <v>0.52083333333333337</v>
      </c>
      <c r="J30" s="87">
        <f t="shared" si="0"/>
        <v>6</v>
      </c>
      <c r="K30" s="53">
        <v>2</v>
      </c>
      <c r="L30" s="53">
        <v>24</v>
      </c>
      <c r="M30" s="129" t="s">
        <v>528</v>
      </c>
    </row>
    <row r="31" spans="1:13" s="5" customFormat="1" ht="38.25" customHeight="1" x14ac:dyDescent="0.2">
      <c r="A31" s="49" t="s">
        <v>527</v>
      </c>
      <c r="B31" s="8" t="s">
        <v>36</v>
      </c>
      <c r="C31" s="128" t="s">
        <v>43</v>
      </c>
      <c r="D31" s="84">
        <v>1</v>
      </c>
      <c r="E31" s="49">
        <v>30</v>
      </c>
      <c r="F31" s="80">
        <v>45959</v>
      </c>
      <c r="G31" s="81">
        <v>0.375</v>
      </c>
      <c r="H31" s="80">
        <v>45958</v>
      </c>
      <c r="I31" s="81">
        <v>0.52083333333333337</v>
      </c>
      <c r="J31" s="87">
        <f t="shared" si="0"/>
        <v>6</v>
      </c>
      <c r="K31" s="53">
        <v>2</v>
      </c>
      <c r="L31" s="53">
        <v>24</v>
      </c>
      <c r="M31" s="129" t="s">
        <v>528</v>
      </c>
    </row>
    <row r="32" spans="1:13" s="5" customFormat="1" ht="38.25" customHeight="1" x14ac:dyDescent="0.2">
      <c r="A32" s="49" t="s">
        <v>527</v>
      </c>
      <c r="B32" s="8" t="s">
        <v>510</v>
      </c>
      <c r="C32" s="128" t="s">
        <v>31</v>
      </c>
      <c r="D32" s="84">
        <v>1</v>
      </c>
      <c r="E32" s="49">
        <v>30</v>
      </c>
      <c r="F32" s="80">
        <v>45959</v>
      </c>
      <c r="G32" s="81">
        <v>0.375</v>
      </c>
      <c r="H32" s="80">
        <v>45958</v>
      </c>
      <c r="I32" s="81">
        <v>0.52083333333333337</v>
      </c>
      <c r="J32" s="87">
        <f t="shared" si="0"/>
        <v>6</v>
      </c>
      <c r="K32" s="53">
        <v>2</v>
      </c>
      <c r="L32" s="53">
        <v>24</v>
      </c>
      <c r="M32" s="129" t="s">
        <v>528</v>
      </c>
    </row>
    <row r="33" spans="1:13" s="5" customFormat="1" ht="38.25" customHeight="1" x14ac:dyDescent="0.2">
      <c r="A33" s="49" t="s">
        <v>527</v>
      </c>
      <c r="B33" s="8" t="s">
        <v>21</v>
      </c>
      <c r="C33" s="128" t="s">
        <v>34</v>
      </c>
      <c r="D33" s="84">
        <v>1</v>
      </c>
      <c r="E33" s="49">
        <v>30</v>
      </c>
      <c r="F33" s="80">
        <v>45959</v>
      </c>
      <c r="G33" s="81">
        <v>0.375</v>
      </c>
      <c r="H33" s="80">
        <v>45958</v>
      </c>
      <c r="I33" s="81">
        <v>0.52083333333333337</v>
      </c>
      <c r="J33" s="87">
        <f t="shared" si="0"/>
        <v>6</v>
      </c>
      <c r="K33" s="53">
        <v>2</v>
      </c>
      <c r="L33" s="53">
        <v>24</v>
      </c>
      <c r="M33" s="129" t="s">
        <v>528</v>
      </c>
    </row>
    <row r="34" spans="1:13" s="5" customFormat="1" ht="44.25" customHeight="1" x14ac:dyDescent="0.2">
      <c r="A34" s="49" t="s">
        <v>529</v>
      </c>
      <c r="B34" s="8" t="s">
        <v>136</v>
      </c>
      <c r="C34" s="128" t="s">
        <v>22</v>
      </c>
      <c r="D34" s="84">
        <v>2</v>
      </c>
      <c r="E34" s="49">
        <v>30</v>
      </c>
      <c r="F34" s="80">
        <v>45959</v>
      </c>
      <c r="G34" s="81">
        <v>0.375</v>
      </c>
      <c r="H34" s="80">
        <v>45958</v>
      </c>
      <c r="I34" s="81">
        <v>0.54166666666666663</v>
      </c>
      <c r="J34" s="87">
        <f t="shared" si="0"/>
        <v>1</v>
      </c>
      <c r="K34" s="53">
        <v>1</v>
      </c>
      <c r="L34" s="53">
        <v>29</v>
      </c>
      <c r="M34" s="129" t="s">
        <v>530</v>
      </c>
    </row>
    <row r="35" spans="1:13" s="5" customFormat="1" ht="55.5" customHeight="1" x14ac:dyDescent="0.2">
      <c r="A35" s="49" t="s">
        <v>529</v>
      </c>
      <c r="B35" s="8" t="s">
        <v>30</v>
      </c>
      <c r="C35" s="128" t="s">
        <v>40</v>
      </c>
      <c r="D35" s="84">
        <v>2</v>
      </c>
      <c r="E35" s="49">
        <v>30</v>
      </c>
      <c r="F35" s="80">
        <v>45959</v>
      </c>
      <c r="G35" s="81">
        <v>0.375</v>
      </c>
      <c r="H35" s="80">
        <v>45958</v>
      </c>
      <c r="I35" s="81">
        <v>0.54166666666666663</v>
      </c>
      <c r="J35" s="87">
        <f t="shared" si="0"/>
        <v>1</v>
      </c>
      <c r="K35" s="53">
        <v>1</v>
      </c>
      <c r="L35" s="53">
        <v>29</v>
      </c>
      <c r="M35" s="129" t="s">
        <v>530</v>
      </c>
    </row>
    <row r="36" spans="1:13" s="5" customFormat="1" ht="39" customHeight="1" x14ac:dyDescent="0.2">
      <c r="A36" s="49" t="s">
        <v>529</v>
      </c>
      <c r="B36" s="8" t="s">
        <v>42</v>
      </c>
      <c r="C36" s="128" t="s">
        <v>37</v>
      </c>
      <c r="D36" s="84">
        <v>2</v>
      </c>
      <c r="E36" s="49">
        <v>30</v>
      </c>
      <c r="F36" s="80">
        <v>45959</v>
      </c>
      <c r="G36" s="81">
        <v>0.375</v>
      </c>
      <c r="H36" s="80">
        <v>45958</v>
      </c>
      <c r="I36" s="81">
        <v>0.54166666666666663</v>
      </c>
      <c r="J36" s="87">
        <f t="shared" si="0"/>
        <v>1</v>
      </c>
      <c r="K36" s="53">
        <v>1</v>
      </c>
      <c r="L36" s="53">
        <v>29</v>
      </c>
      <c r="M36" s="129" t="s">
        <v>530</v>
      </c>
    </row>
    <row r="37" spans="1:13" s="5" customFormat="1" ht="42" customHeight="1" x14ac:dyDescent="0.2">
      <c r="A37" s="49" t="s">
        <v>529</v>
      </c>
      <c r="B37" s="8" t="s">
        <v>36</v>
      </c>
      <c r="C37" s="128" t="s">
        <v>43</v>
      </c>
      <c r="D37" s="84">
        <v>2</v>
      </c>
      <c r="E37" s="49">
        <v>30</v>
      </c>
      <c r="F37" s="80">
        <v>45959</v>
      </c>
      <c r="G37" s="81">
        <v>0.375</v>
      </c>
      <c r="H37" s="80">
        <v>45958</v>
      </c>
      <c r="I37" s="81">
        <v>0.54166666666666663</v>
      </c>
      <c r="J37" s="87">
        <f t="shared" si="0"/>
        <v>1</v>
      </c>
      <c r="K37" s="53">
        <v>1</v>
      </c>
      <c r="L37" s="53">
        <v>29</v>
      </c>
      <c r="M37" s="129" t="s">
        <v>530</v>
      </c>
    </row>
    <row r="38" spans="1:13" s="5" customFormat="1" ht="71.25" customHeight="1" x14ac:dyDescent="0.2">
      <c r="A38" s="49" t="s">
        <v>529</v>
      </c>
      <c r="B38" s="8" t="s">
        <v>510</v>
      </c>
      <c r="C38" s="128" t="s">
        <v>31</v>
      </c>
      <c r="D38" s="84">
        <v>2</v>
      </c>
      <c r="E38" s="49">
        <v>30</v>
      </c>
      <c r="F38" s="80">
        <v>45959</v>
      </c>
      <c r="G38" s="81">
        <v>0.375</v>
      </c>
      <c r="H38" s="80">
        <v>45958</v>
      </c>
      <c r="I38" s="81">
        <v>0.54166666666666663</v>
      </c>
      <c r="J38" s="87">
        <f t="shared" si="0"/>
        <v>1</v>
      </c>
      <c r="K38" s="53">
        <v>1</v>
      </c>
      <c r="L38" s="53">
        <v>29</v>
      </c>
      <c r="M38" s="129" t="s">
        <v>530</v>
      </c>
    </row>
    <row r="39" spans="1:13" s="5" customFormat="1" ht="66" customHeight="1" x14ac:dyDescent="0.2">
      <c r="A39" s="49" t="s">
        <v>529</v>
      </c>
      <c r="B39" s="8" t="s">
        <v>21</v>
      </c>
      <c r="C39" s="128" t="s">
        <v>34</v>
      </c>
      <c r="D39" s="84">
        <v>2</v>
      </c>
      <c r="E39" s="49">
        <v>30</v>
      </c>
      <c r="F39" s="80">
        <v>45959</v>
      </c>
      <c r="G39" s="81">
        <v>0.375</v>
      </c>
      <c r="H39" s="80">
        <v>45958</v>
      </c>
      <c r="I39" s="81">
        <v>0.54166666666666663</v>
      </c>
      <c r="J39" s="87">
        <f t="shared" si="0"/>
        <v>1</v>
      </c>
      <c r="K39" s="53">
        <v>1</v>
      </c>
      <c r="L39" s="53">
        <v>29</v>
      </c>
      <c r="M39" s="129" t="s">
        <v>530</v>
      </c>
    </row>
    <row r="40" spans="1:13" s="5" customFormat="1" ht="56.25" customHeight="1" x14ac:dyDescent="0.2">
      <c r="A40" s="49" t="s">
        <v>531</v>
      </c>
      <c r="B40" s="8" t="s">
        <v>136</v>
      </c>
      <c r="C40" s="128" t="s">
        <v>22</v>
      </c>
      <c r="D40" s="84">
        <v>1</v>
      </c>
      <c r="E40" s="49">
        <v>35</v>
      </c>
      <c r="F40" s="80">
        <v>45959</v>
      </c>
      <c r="G40" s="81">
        <v>0.375</v>
      </c>
      <c r="H40" s="80">
        <v>45958</v>
      </c>
      <c r="I40" s="81">
        <v>0.5625</v>
      </c>
      <c r="J40" s="87">
        <f t="shared" si="0"/>
        <v>5</v>
      </c>
      <c r="K40" s="53">
        <v>2</v>
      </c>
      <c r="L40" s="53">
        <v>30</v>
      </c>
      <c r="M40" s="129" t="s">
        <v>532</v>
      </c>
    </row>
    <row r="41" spans="1:13" s="5" customFormat="1" ht="63" customHeight="1" x14ac:dyDescent="0.2">
      <c r="A41" s="49" t="s">
        <v>531</v>
      </c>
      <c r="B41" s="8" t="s">
        <v>30</v>
      </c>
      <c r="C41" s="128" t="s">
        <v>40</v>
      </c>
      <c r="D41" s="84">
        <v>1</v>
      </c>
      <c r="E41" s="49">
        <v>35</v>
      </c>
      <c r="F41" s="80">
        <v>45959</v>
      </c>
      <c r="G41" s="81">
        <v>0.375</v>
      </c>
      <c r="H41" s="80">
        <v>45958</v>
      </c>
      <c r="I41" s="81">
        <v>0.5625</v>
      </c>
      <c r="J41" s="87">
        <f t="shared" si="0"/>
        <v>5</v>
      </c>
      <c r="K41" s="53">
        <v>2</v>
      </c>
      <c r="L41" s="53">
        <v>30</v>
      </c>
      <c r="M41" s="129" t="s">
        <v>532</v>
      </c>
    </row>
    <row r="42" spans="1:13" s="5" customFormat="1" ht="66" customHeight="1" x14ac:dyDescent="0.2">
      <c r="A42" s="49" t="s">
        <v>531</v>
      </c>
      <c r="B42" s="8" t="s">
        <v>42</v>
      </c>
      <c r="C42" s="128" t="s">
        <v>37</v>
      </c>
      <c r="D42" s="84">
        <v>1</v>
      </c>
      <c r="E42" s="49">
        <v>35</v>
      </c>
      <c r="F42" s="80">
        <v>45959</v>
      </c>
      <c r="G42" s="81">
        <v>0.375</v>
      </c>
      <c r="H42" s="80">
        <v>45958</v>
      </c>
      <c r="I42" s="81">
        <v>0.5625</v>
      </c>
      <c r="J42" s="87">
        <f t="shared" si="0"/>
        <v>5</v>
      </c>
      <c r="K42" s="53">
        <v>2</v>
      </c>
      <c r="L42" s="53">
        <v>30</v>
      </c>
      <c r="M42" s="129" t="s">
        <v>532</v>
      </c>
    </row>
    <row r="43" spans="1:13" s="5" customFormat="1" ht="58.5" customHeight="1" x14ac:dyDescent="0.2">
      <c r="A43" s="49" t="s">
        <v>531</v>
      </c>
      <c r="B43" s="8" t="s">
        <v>36</v>
      </c>
      <c r="C43" s="128" t="s">
        <v>43</v>
      </c>
      <c r="D43" s="84">
        <v>1</v>
      </c>
      <c r="E43" s="49">
        <v>35</v>
      </c>
      <c r="F43" s="80">
        <v>45959</v>
      </c>
      <c r="G43" s="81">
        <v>0.375</v>
      </c>
      <c r="H43" s="80">
        <v>45958</v>
      </c>
      <c r="I43" s="81">
        <v>0.5625</v>
      </c>
      <c r="J43" s="87">
        <f t="shared" si="0"/>
        <v>5</v>
      </c>
      <c r="K43" s="53">
        <v>2</v>
      </c>
      <c r="L43" s="53">
        <v>30</v>
      </c>
      <c r="M43" s="129" t="s">
        <v>532</v>
      </c>
    </row>
    <row r="44" spans="1:13" s="5" customFormat="1" ht="57" customHeight="1" x14ac:dyDescent="0.2">
      <c r="A44" s="49" t="s">
        <v>531</v>
      </c>
      <c r="B44" s="8" t="s">
        <v>510</v>
      </c>
      <c r="C44" s="128" t="s">
        <v>31</v>
      </c>
      <c r="D44" s="84">
        <v>1</v>
      </c>
      <c r="E44" s="49">
        <v>35</v>
      </c>
      <c r="F44" s="80">
        <v>45959</v>
      </c>
      <c r="G44" s="81">
        <v>0.375</v>
      </c>
      <c r="H44" s="80">
        <v>45958</v>
      </c>
      <c r="I44" s="81">
        <v>0.5625</v>
      </c>
      <c r="J44" s="87">
        <f t="shared" si="0"/>
        <v>5</v>
      </c>
      <c r="K44" s="53">
        <v>2</v>
      </c>
      <c r="L44" s="53">
        <v>30</v>
      </c>
      <c r="M44" s="129" t="s">
        <v>532</v>
      </c>
    </row>
    <row r="45" spans="1:13" s="5" customFormat="1" ht="55.5" customHeight="1" x14ac:dyDescent="0.2">
      <c r="A45" s="49" t="s">
        <v>531</v>
      </c>
      <c r="B45" s="8" t="s">
        <v>21</v>
      </c>
      <c r="C45" s="128" t="s">
        <v>34</v>
      </c>
      <c r="D45" s="84">
        <v>1</v>
      </c>
      <c r="E45" s="49">
        <v>35</v>
      </c>
      <c r="F45" s="80">
        <v>45959</v>
      </c>
      <c r="G45" s="81">
        <v>0.375</v>
      </c>
      <c r="H45" s="80">
        <v>45958</v>
      </c>
      <c r="I45" s="81">
        <v>0.5625</v>
      </c>
      <c r="J45" s="87">
        <f t="shared" si="0"/>
        <v>5</v>
      </c>
      <c r="K45" s="53">
        <v>2</v>
      </c>
      <c r="L45" s="53">
        <v>30</v>
      </c>
      <c r="M45" s="129" t="s">
        <v>532</v>
      </c>
    </row>
    <row r="46" spans="1:13" ht="87" customHeight="1" x14ac:dyDescent="0.2">
      <c r="A46" s="49" t="s">
        <v>533</v>
      </c>
      <c r="B46" s="8" t="s">
        <v>136</v>
      </c>
      <c r="C46" s="128" t="s">
        <v>22</v>
      </c>
      <c r="D46" s="84">
        <v>1</v>
      </c>
      <c r="E46" s="49">
        <v>30</v>
      </c>
      <c r="F46" s="80">
        <v>45959</v>
      </c>
      <c r="G46" s="81">
        <v>0.375</v>
      </c>
      <c r="H46" s="80">
        <v>45958</v>
      </c>
      <c r="I46" s="81">
        <v>0.58333333333333337</v>
      </c>
      <c r="J46" s="87">
        <f t="shared" si="0"/>
        <v>7</v>
      </c>
      <c r="K46" s="53">
        <v>1</v>
      </c>
      <c r="L46" s="53">
        <v>23</v>
      </c>
      <c r="M46" s="129" t="s">
        <v>534</v>
      </c>
    </row>
    <row r="47" spans="1:13" s="5" customFormat="1" ht="56.25" customHeight="1" x14ac:dyDescent="0.2">
      <c r="A47" s="49" t="s">
        <v>533</v>
      </c>
      <c r="B47" s="8" t="s">
        <v>30</v>
      </c>
      <c r="C47" s="128" t="s">
        <v>40</v>
      </c>
      <c r="D47" s="84">
        <v>1</v>
      </c>
      <c r="E47" s="49">
        <v>30</v>
      </c>
      <c r="F47" s="80">
        <v>45959</v>
      </c>
      <c r="G47" s="81">
        <v>0.375</v>
      </c>
      <c r="H47" s="80">
        <v>45958</v>
      </c>
      <c r="I47" s="81">
        <v>0.58333333333333337</v>
      </c>
      <c r="J47" s="87">
        <f t="shared" si="0"/>
        <v>7</v>
      </c>
      <c r="K47" s="53">
        <v>1</v>
      </c>
      <c r="L47" s="53">
        <v>23</v>
      </c>
      <c r="M47" s="129" t="s">
        <v>534</v>
      </c>
    </row>
    <row r="48" spans="1:13" s="5" customFormat="1" ht="67.5" customHeight="1" x14ac:dyDescent="0.2">
      <c r="A48" s="49" t="s">
        <v>533</v>
      </c>
      <c r="B48" s="8" t="s">
        <v>42</v>
      </c>
      <c r="C48" s="128" t="s">
        <v>37</v>
      </c>
      <c r="D48" s="84">
        <v>1</v>
      </c>
      <c r="E48" s="49">
        <v>30</v>
      </c>
      <c r="F48" s="80">
        <v>45959</v>
      </c>
      <c r="G48" s="81">
        <v>0.375</v>
      </c>
      <c r="H48" s="80">
        <v>45958</v>
      </c>
      <c r="I48" s="81">
        <v>0.58333333333333337</v>
      </c>
      <c r="J48" s="87">
        <f t="shared" si="0"/>
        <v>7</v>
      </c>
      <c r="K48" s="53">
        <v>1</v>
      </c>
      <c r="L48" s="53">
        <v>23</v>
      </c>
      <c r="M48" s="129" t="s">
        <v>534</v>
      </c>
    </row>
    <row r="49" spans="1:13" s="5" customFormat="1" ht="69.75" customHeight="1" x14ac:dyDescent="0.2">
      <c r="A49" s="49" t="s">
        <v>533</v>
      </c>
      <c r="B49" s="8" t="s">
        <v>36</v>
      </c>
      <c r="C49" s="128" t="s">
        <v>43</v>
      </c>
      <c r="D49" s="84">
        <v>1</v>
      </c>
      <c r="E49" s="49">
        <v>30</v>
      </c>
      <c r="F49" s="80">
        <v>45959</v>
      </c>
      <c r="G49" s="81">
        <v>0.375</v>
      </c>
      <c r="H49" s="80">
        <v>45958</v>
      </c>
      <c r="I49" s="81">
        <v>0.58333333333333337</v>
      </c>
      <c r="J49" s="87">
        <f t="shared" si="0"/>
        <v>7</v>
      </c>
      <c r="K49" s="53">
        <v>1</v>
      </c>
      <c r="L49" s="53">
        <v>23</v>
      </c>
      <c r="M49" s="129" t="s">
        <v>534</v>
      </c>
    </row>
    <row r="50" spans="1:13" s="5" customFormat="1" ht="61.5" customHeight="1" x14ac:dyDescent="0.2">
      <c r="A50" s="49" t="s">
        <v>533</v>
      </c>
      <c r="B50" s="8" t="s">
        <v>510</v>
      </c>
      <c r="C50" s="128" t="s">
        <v>31</v>
      </c>
      <c r="D50" s="84">
        <v>1</v>
      </c>
      <c r="E50" s="49">
        <v>30</v>
      </c>
      <c r="F50" s="80">
        <v>45959</v>
      </c>
      <c r="G50" s="81">
        <v>0.375</v>
      </c>
      <c r="H50" s="80">
        <v>45958</v>
      </c>
      <c r="I50" s="81">
        <v>0.58333333333333337</v>
      </c>
      <c r="J50" s="87">
        <f t="shared" si="0"/>
        <v>7</v>
      </c>
      <c r="K50" s="53">
        <v>1</v>
      </c>
      <c r="L50" s="53">
        <v>23</v>
      </c>
      <c r="M50" s="129" t="s">
        <v>534</v>
      </c>
    </row>
    <row r="51" spans="1:13" s="5" customFormat="1" ht="56.25" customHeight="1" x14ac:dyDescent="0.2">
      <c r="A51" s="49" t="s">
        <v>533</v>
      </c>
      <c r="B51" s="8" t="s">
        <v>21</v>
      </c>
      <c r="C51" s="128" t="s">
        <v>34</v>
      </c>
      <c r="D51" s="84">
        <v>1</v>
      </c>
      <c r="E51" s="49">
        <v>30</v>
      </c>
      <c r="F51" s="80">
        <v>45959</v>
      </c>
      <c r="G51" s="81">
        <v>0.375</v>
      </c>
      <c r="H51" s="80">
        <v>45958</v>
      </c>
      <c r="I51" s="81">
        <v>0.58333333333333337</v>
      </c>
      <c r="J51" s="87">
        <f t="shared" si="0"/>
        <v>7</v>
      </c>
      <c r="K51" s="53">
        <v>1</v>
      </c>
      <c r="L51" s="53">
        <v>23</v>
      </c>
      <c r="M51" s="129" t="s">
        <v>534</v>
      </c>
    </row>
    <row r="52" spans="1:13" s="5" customFormat="1" ht="97.5" customHeight="1" x14ac:dyDescent="0.2">
      <c r="A52" s="49" t="s">
        <v>535</v>
      </c>
      <c r="B52" s="8" t="s">
        <v>136</v>
      </c>
      <c r="C52" s="128" t="s">
        <v>22</v>
      </c>
      <c r="D52" s="84">
        <v>1</v>
      </c>
      <c r="E52" s="49">
        <v>30</v>
      </c>
      <c r="F52" s="80">
        <v>45959</v>
      </c>
      <c r="G52" s="81">
        <v>0.375</v>
      </c>
      <c r="H52" s="80">
        <v>45958</v>
      </c>
      <c r="I52" s="81">
        <v>0.60416666666666663</v>
      </c>
      <c r="J52" s="87">
        <f t="shared" si="0"/>
        <v>0</v>
      </c>
      <c r="K52" s="53">
        <v>1</v>
      </c>
      <c r="L52" s="53">
        <v>30</v>
      </c>
      <c r="M52" s="129" t="s">
        <v>536</v>
      </c>
    </row>
    <row r="53" spans="1:13" s="5" customFormat="1" ht="75" customHeight="1" x14ac:dyDescent="0.2">
      <c r="A53" s="49" t="s">
        <v>535</v>
      </c>
      <c r="B53" s="8" t="s">
        <v>30</v>
      </c>
      <c r="C53" s="128" t="s">
        <v>40</v>
      </c>
      <c r="D53" s="84">
        <v>1</v>
      </c>
      <c r="E53" s="49">
        <v>30</v>
      </c>
      <c r="F53" s="80">
        <v>45959</v>
      </c>
      <c r="G53" s="81">
        <v>0.375</v>
      </c>
      <c r="H53" s="80">
        <v>45958</v>
      </c>
      <c r="I53" s="81">
        <v>0.60416666666666663</v>
      </c>
      <c r="J53" s="87">
        <f t="shared" si="0"/>
        <v>0</v>
      </c>
      <c r="K53" s="53">
        <v>1</v>
      </c>
      <c r="L53" s="53">
        <v>30</v>
      </c>
      <c r="M53" s="129" t="s">
        <v>536</v>
      </c>
    </row>
    <row r="54" spans="1:13" s="5" customFormat="1" ht="70.5" customHeight="1" x14ac:dyDescent="0.2">
      <c r="A54" s="49" t="s">
        <v>535</v>
      </c>
      <c r="B54" s="8" t="s">
        <v>42</v>
      </c>
      <c r="C54" s="128" t="s">
        <v>37</v>
      </c>
      <c r="D54" s="84">
        <v>1</v>
      </c>
      <c r="E54" s="49">
        <v>30</v>
      </c>
      <c r="F54" s="80">
        <v>45959</v>
      </c>
      <c r="G54" s="81">
        <v>0.375</v>
      </c>
      <c r="H54" s="80">
        <v>45958</v>
      </c>
      <c r="I54" s="81">
        <v>0.60416666666666663</v>
      </c>
      <c r="J54" s="87">
        <f t="shared" si="0"/>
        <v>0</v>
      </c>
      <c r="K54" s="53">
        <v>1</v>
      </c>
      <c r="L54" s="53">
        <v>30</v>
      </c>
      <c r="M54" s="129" t="s">
        <v>536</v>
      </c>
    </row>
    <row r="55" spans="1:13" s="5" customFormat="1" ht="73.5" customHeight="1" x14ac:dyDescent="0.2">
      <c r="A55" s="49" t="s">
        <v>535</v>
      </c>
      <c r="B55" s="8" t="s">
        <v>36</v>
      </c>
      <c r="C55" s="128" t="s">
        <v>43</v>
      </c>
      <c r="D55" s="84">
        <v>1</v>
      </c>
      <c r="E55" s="49">
        <v>30</v>
      </c>
      <c r="F55" s="80">
        <v>45959</v>
      </c>
      <c r="G55" s="81">
        <v>0.375</v>
      </c>
      <c r="H55" s="80">
        <v>45958</v>
      </c>
      <c r="I55" s="81">
        <v>0.60416666666666663</v>
      </c>
      <c r="J55" s="87">
        <f t="shared" si="0"/>
        <v>0</v>
      </c>
      <c r="K55" s="53">
        <v>1</v>
      </c>
      <c r="L55" s="53">
        <v>30</v>
      </c>
      <c r="M55" s="129" t="s">
        <v>536</v>
      </c>
    </row>
    <row r="56" spans="1:13" s="5" customFormat="1" ht="66.75" customHeight="1" x14ac:dyDescent="0.2">
      <c r="A56" s="49" t="s">
        <v>535</v>
      </c>
      <c r="B56" s="8" t="s">
        <v>510</v>
      </c>
      <c r="C56" s="128" t="s">
        <v>31</v>
      </c>
      <c r="D56" s="84">
        <v>1</v>
      </c>
      <c r="E56" s="49">
        <v>30</v>
      </c>
      <c r="F56" s="80">
        <v>45959</v>
      </c>
      <c r="G56" s="81">
        <v>0.375</v>
      </c>
      <c r="H56" s="80">
        <v>45958</v>
      </c>
      <c r="I56" s="81">
        <v>0.60416666666666663</v>
      </c>
      <c r="J56" s="87">
        <f t="shared" si="0"/>
        <v>0</v>
      </c>
      <c r="K56" s="53">
        <v>1</v>
      </c>
      <c r="L56" s="53">
        <v>30</v>
      </c>
      <c r="M56" s="129" t="s">
        <v>536</v>
      </c>
    </row>
    <row r="57" spans="1:13" s="5" customFormat="1" ht="55.5" customHeight="1" x14ac:dyDescent="0.2">
      <c r="A57" s="49" t="s">
        <v>535</v>
      </c>
      <c r="B57" s="8" t="s">
        <v>21</v>
      </c>
      <c r="C57" s="128" t="s">
        <v>34</v>
      </c>
      <c r="D57" s="84">
        <v>1</v>
      </c>
      <c r="E57" s="49">
        <v>30</v>
      </c>
      <c r="F57" s="80">
        <v>45959</v>
      </c>
      <c r="G57" s="81">
        <v>0.375</v>
      </c>
      <c r="H57" s="80">
        <v>45958</v>
      </c>
      <c r="I57" s="81">
        <v>0.60416666666666663</v>
      </c>
      <c r="J57" s="87">
        <f t="shared" si="0"/>
        <v>0</v>
      </c>
      <c r="K57" s="53">
        <v>1</v>
      </c>
      <c r="L57" s="53">
        <v>30</v>
      </c>
      <c r="M57" s="129" t="s">
        <v>536</v>
      </c>
    </row>
    <row r="58" spans="1:13" s="5" customFormat="1" ht="59.25" customHeight="1" x14ac:dyDescent="0.2">
      <c r="A58" s="49" t="s">
        <v>537</v>
      </c>
      <c r="B58" s="8" t="s">
        <v>510</v>
      </c>
      <c r="C58" s="128" t="s">
        <v>31</v>
      </c>
      <c r="D58" s="84">
        <v>1</v>
      </c>
      <c r="E58" s="49">
        <v>30</v>
      </c>
      <c r="F58" s="80">
        <v>45959</v>
      </c>
      <c r="G58" s="81">
        <v>0.375</v>
      </c>
      <c r="H58" s="80">
        <v>45958</v>
      </c>
      <c r="I58" s="81">
        <v>0.625</v>
      </c>
      <c r="J58" s="87">
        <f t="shared" si="0"/>
        <v>-1</v>
      </c>
      <c r="K58" s="53">
        <v>3</v>
      </c>
      <c r="L58" s="53">
        <v>31</v>
      </c>
      <c r="M58" s="129" t="s">
        <v>538</v>
      </c>
    </row>
    <row r="59" spans="1:13" s="5" customFormat="1" ht="53.25" customHeight="1" x14ac:dyDescent="0.2">
      <c r="A59" s="49" t="s">
        <v>539</v>
      </c>
      <c r="B59" s="8" t="s">
        <v>136</v>
      </c>
      <c r="C59" s="53" t="s">
        <v>22</v>
      </c>
      <c r="D59" s="84">
        <v>1</v>
      </c>
      <c r="E59" s="49">
        <v>30</v>
      </c>
      <c r="F59" s="80">
        <v>45959</v>
      </c>
      <c r="G59" s="81">
        <v>0.375</v>
      </c>
      <c r="H59" s="80">
        <v>45958</v>
      </c>
      <c r="I59" s="81">
        <v>0.625</v>
      </c>
      <c r="J59" s="87">
        <f t="shared" si="0"/>
        <v>5</v>
      </c>
      <c r="K59" s="53">
        <v>2</v>
      </c>
      <c r="L59" s="53">
        <v>25</v>
      </c>
      <c r="M59" s="79" t="s">
        <v>540</v>
      </c>
    </row>
    <row r="60" spans="1:13" s="5" customFormat="1" ht="63.75" customHeight="1" x14ac:dyDescent="0.2">
      <c r="A60" s="49" t="s">
        <v>541</v>
      </c>
      <c r="B60" s="8" t="s">
        <v>510</v>
      </c>
      <c r="C60" s="53" t="s">
        <v>31</v>
      </c>
      <c r="D60" s="84">
        <v>1</v>
      </c>
      <c r="E60" s="49">
        <v>30</v>
      </c>
      <c r="F60" s="80">
        <v>45959</v>
      </c>
      <c r="G60" s="81">
        <v>0.375</v>
      </c>
      <c r="H60" s="80">
        <v>45958</v>
      </c>
      <c r="I60" s="81">
        <v>0.625</v>
      </c>
      <c r="J60" s="87">
        <f t="shared" si="0"/>
        <v>3</v>
      </c>
      <c r="K60" s="53">
        <v>1</v>
      </c>
      <c r="L60" s="53">
        <v>27</v>
      </c>
      <c r="M60" s="79" t="s">
        <v>542</v>
      </c>
    </row>
    <row r="61" spans="1:13" s="5" customFormat="1" ht="57.75" customHeight="1" x14ac:dyDescent="0.2">
      <c r="A61" s="49" t="s">
        <v>541</v>
      </c>
      <c r="B61" s="8" t="s">
        <v>42</v>
      </c>
      <c r="C61" s="53" t="s">
        <v>37</v>
      </c>
      <c r="D61" s="84">
        <v>1</v>
      </c>
      <c r="E61" s="49">
        <v>30</v>
      </c>
      <c r="F61" s="80">
        <v>45959</v>
      </c>
      <c r="G61" s="81">
        <v>0.375</v>
      </c>
      <c r="H61" s="80">
        <v>45958</v>
      </c>
      <c r="I61" s="81">
        <v>0.625</v>
      </c>
      <c r="J61" s="87">
        <f t="shared" si="0"/>
        <v>3</v>
      </c>
      <c r="K61" s="53">
        <v>1</v>
      </c>
      <c r="L61" s="53">
        <v>27</v>
      </c>
      <c r="M61" s="79" t="s">
        <v>542</v>
      </c>
    </row>
    <row r="62" spans="1:13" s="5" customFormat="1" ht="63" customHeight="1" x14ac:dyDescent="0.2">
      <c r="A62" s="49" t="s">
        <v>543</v>
      </c>
      <c r="B62" s="8" t="s">
        <v>30</v>
      </c>
      <c r="C62" s="53" t="s">
        <v>40</v>
      </c>
      <c r="D62" s="84">
        <v>1</v>
      </c>
      <c r="E62" s="49">
        <v>30</v>
      </c>
      <c r="F62" s="80">
        <v>45959</v>
      </c>
      <c r="G62" s="81">
        <v>0.375</v>
      </c>
      <c r="H62" s="80">
        <v>45958</v>
      </c>
      <c r="I62" s="81">
        <v>0.625</v>
      </c>
      <c r="J62" s="87">
        <f t="shared" si="0"/>
        <v>5</v>
      </c>
      <c r="K62" s="53">
        <v>1</v>
      </c>
      <c r="L62" s="53">
        <v>25</v>
      </c>
      <c r="M62" s="79" t="s">
        <v>544</v>
      </c>
    </row>
    <row r="63" spans="1:13" s="5" customFormat="1" ht="71.25" customHeight="1" x14ac:dyDescent="0.2">
      <c r="A63" s="49" t="s">
        <v>545</v>
      </c>
      <c r="B63" s="8" t="s">
        <v>21</v>
      </c>
      <c r="C63" s="53" t="s">
        <v>22</v>
      </c>
      <c r="D63" s="84">
        <v>1</v>
      </c>
      <c r="E63" s="49">
        <v>30</v>
      </c>
      <c r="F63" s="80">
        <v>45959</v>
      </c>
      <c r="G63" s="81">
        <v>0.375</v>
      </c>
      <c r="H63" s="80">
        <v>45958</v>
      </c>
      <c r="I63" s="81">
        <v>0.625</v>
      </c>
      <c r="J63" s="87">
        <f t="shared" si="0"/>
        <v>0</v>
      </c>
      <c r="K63" s="53">
        <v>1</v>
      </c>
      <c r="L63" s="53">
        <v>30</v>
      </c>
      <c r="M63" s="79" t="s">
        <v>546</v>
      </c>
    </row>
    <row r="64" spans="1:13" s="5" customFormat="1" ht="78.75" customHeight="1" x14ac:dyDescent="0.2">
      <c r="A64" s="49" t="s">
        <v>547</v>
      </c>
      <c r="B64" s="8" t="s">
        <v>510</v>
      </c>
      <c r="C64" s="53" t="s">
        <v>40</v>
      </c>
      <c r="D64" s="84">
        <v>1</v>
      </c>
      <c r="E64" s="49">
        <v>30</v>
      </c>
      <c r="F64" s="80">
        <v>45959</v>
      </c>
      <c r="G64" s="81">
        <v>0.375</v>
      </c>
      <c r="H64" s="80">
        <v>45958</v>
      </c>
      <c r="I64" s="81">
        <v>0.64583333333333337</v>
      </c>
      <c r="J64" s="87">
        <f t="shared" si="0"/>
        <v>3</v>
      </c>
      <c r="K64" s="53">
        <v>1</v>
      </c>
      <c r="L64" s="53">
        <v>27</v>
      </c>
      <c r="M64" s="79" t="s">
        <v>548</v>
      </c>
    </row>
    <row r="65" spans="1:13" s="5" customFormat="1" ht="66.75" customHeight="1" x14ac:dyDescent="0.2">
      <c r="A65" s="49" t="s">
        <v>547</v>
      </c>
      <c r="B65" s="8" t="s">
        <v>30</v>
      </c>
      <c r="C65" s="53" t="s">
        <v>31</v>
      </c>
      <c r="D65" s="84">
        <v>1</v>
      </c>
      <c r="E65" s="49">
        <v>30</v>
      </c>
      <c r="F65" s="80">
        <v>45959</v>
      </c>
      <c r="G65" s="81">
        <v>0.375</v>
      </c>
      <c r="H65" s="80">
        <v>45958</v>
      </c>
      <c r="I65" s="81">
        <v>0.64583333333333337</v>
      </c>
      <c r="J65" s="87">
        <f t="shared" si="0"/>
        <v>3</v>
      </c>
      <c r="K65" s="53">
        <v>1</v>
      </c>
      <c r="L65" s="53">
        <v>27</v>
      </c>
      <c r="M65" s="79" t="s">
        <v>548</v>
      </c>
    </row>
    <row r="66" spans="1:13" s="5" customFormat="1" ht="72.75" customHeight="1" x14ac:dyDescent="0.2">
      <c r="A66" s="49" t="s">
        <v>549</v>
      </c>
      <c r="B66" s="8" t="s">
        <v>30</v>
      </c>
      <c r="C66" s="53" t="s">
        <v>40</v>
      </c>
      <c r="D66" s="84">
        <v>1</v>
      </c>
      <c r="E66" s="49">
        <v>30</v>
      </c>
      <c r="F66" s="80">
        <v>45959</v>
      </c>
      <c r="G66" s="81">
        <v>0.375</v>
      </c>
      <c r="H66" s="80">
        <v>45958</v>
      </c>
      <c r="I66" s="81">
        <v>0.66666666666666663</v>
      </c>
      <c r="J66" s="87">
        <f t="shared" si="0"/>
        <v>0</v>
      </c>
      <c r="K66" s="53">
        <v>1</v>
      </c>
      <c r="L66" s="53">
        <v>30</v>
      </c>
      <c r="M66" s="79" t="s">
        <v>550</v>
      </c>
    </row>
    <row r="67" spans="1:13" s="5" customFormat="1" ht="40.5" customHeight="1" x14ac:dyDescent="0.2">
      <c r="A67" s="49" t="s">
        <v>549</v>
      </c>
      <c r="B67" s="8" t="s">
        <v>510</v>
      </c>
      <c r="C67" s="53" t="s">
        <v>31</v>
      </c>
      <c r="D67" s="84">
        <v>1</v>
      </c>
      <c r="E67" s="49">
        <v>30</v>
      </c>
      <c r="F67" s="80">
        <v>45959</v>
      </c>
      <c r="G67" s="81">
        <v>0.375</v>
      </c>
      <c r="H67" s="80">
        <v>45958</v>
      </c>
      <c r="I67" s="81">
        <v>0.66666666666666663</v>
      </c>
      <c r="J67" s="87">
        <f t="shared" si="0"/>
        <v>0</v>
      </c>
      <c r="K67" s="53">
        <v>1</v>
      </c>
      <c r="L67" s="53">
        <v>30</v>
      </c>
      <c r="M67" s="79" t="s">
        <v>550</v>
      </c>
    </row>
    <row r="68" spans="1:13" s="5" customFormat="1" ht="38.25" customHeight="1" x14ac:dyDescent="0.2">
      <c r="A68" s="49" t="s">
        <v>551</v>
      </c>
      <c r="B68" s="8" t="s">
        <v>30</v>
      </c>
      <c r="C68" s="53" t="s">
        <v>40</v>
      </c>
      <c r="D68" s="84">
        <v>1</v>
      </c>
      <c r="E68" s="49">
        <v>30</v>
      </c>
      <c r="F68" s="80">
        <v>45959</v>
      </c>
      <c r="G68" s="81">
        <v>0.375</v>
      </c>
      <c r="H68" s="80">
        <v>45958</v>
      </c>
      <c r="I68" s="81">
        <v>0.6875</v>
      </c>
      <c r="J68" s="87">
        <f t="shared" ref="J68" si="1">E68-L68</f>
        <v>2</v>
      </c>
      <c r="K68" s="53">
        <v>2</v>
      </c>
      <c r="L68" s="53">
        <v>28</v>
      </c>
      <c r="M68" s="79" t="s">
        <v>552</v>
      </c>
    </row>
    <row r="69" spans="1:13" s="5" customFormat="1" ht="38.25" customHeight="1" x14ac:dyDescent="0.2">
      <c r="A69" s="49" t="s">
        <v>551</v>
      </c>
      <c r="B69" s="8" t="s">
        <v>510</v>
      </c>
      <c r="C69" s="53" t="s">
        <v>31</v>
      </c>
      <c r="D69" s="84">
        <v>1</v>
      </c>
      <c r="E69" s="49">
        <v>30</v>
      </c>
      <c r="F69" s="80">
        <v>45959</v>
      </c>
      <c r="G69" s="81">
        <v>0.375</v>
      </c>
      <c r="H69" s="80">
        <v>45958</v>
      </c>
      <c r="I69" s="81">
        <v>0.6875</v>
      </c>
      <c r="J69" s="87">
        <f t="shared" si="0"/>
        <v>2</v>
      </c>
      <c r="K69" s="53">
        <v>2</v>
      </c>
      <c r="L69" s="53">
        <v>28</v>
      </c>
      <c r="M69" s="79" t="s">
        <v>552</v>
      </c>
    </row>
    <row r="70" spans="1:13" s="5" customFormat="1" ht="67.5" customHeight="1" x14ac:dyDescent="0.2">
      <c r="A70" s="49" t="s">
        <v>553</v>
      </c>
      <c r="B70" s="8" t="s">
        <v>30</v>
      </c>
      <c r="C70" s="53" t="s">
        <v>40</v>
      </c>
      <c r="D70" s="84">
        <v>1</v>
      </c>
      <c r="E70" s="49">
        <v>30</v>
      </c>
      <c r="F70" s="80">
        <v>45959</v>
      </c>
      <c r="G70" s="81">
        <v>0.375</v>
      </c>
      <c r="H70" s="80">
        <v>45958</v>
      </c>
      <c r="I70" s="81">
        <v>0.70833333333333337</v>
      </c>
      <c r="J70" s="87">
        <f t="shared" ref="J70:J88" si="2">E70-L70</f>
        <v>5</v>
      </c>
      <c r="K70" s="53">
        <v>1</v>
      </c>
      <c r="L70" s="53">
        <v>25</v>
      </c>
      <c r="M70" s="79" t="s">
        <v>554</v>
      </c>
    </row>
    <row r="71" spans="1:13" s="5" customFormat="1" ht="53.25" customHeight="1" x14ac:dyDescent="0.2">
      <c r="A71" s="49" t="s">
        <v>553</v>
      </c>
      <c r="B71" s="8" t="s">
        <v>510</v>
      </c>
      <c r="C71" s="53" t="s">
        <v>31</v>
      </c>
      <c r="D71" s="84">
        <v>1</v>
      </c>
      <c r="E71" s="49">
        <v>30</v>
      </c>
      <c r="F71" s="80">
        <v>45959</v>
      </c>
      <c r="G71" s="81">
        <v>0.375</v>
      </c>
      <c r="H71" s="80">
        <v>45958</v>
      </c>
      <c r="I71" s="81">
        <v>0.70833333333333337</v>
      </c>
      <c r="J71" s="87">
        <f t="shared" si="2"/>
        <v>5</v>
      </c>
      <c r="K71" s="53">
        <v>1</v>
      </c>
      <c r="L71" s="53">
        <v>25</v>
      </c>
      <c r="M71" s="79" t="s">
        <v>554</v>
      </c>
    </row>
    <row r="72" spans="1:13" s="5" customFormat="1" ht="41.25" customHeight="1" x14ac:dyDescent="0.2">
      <c r="A72" s="49" t="s">
        <v>555</v>
      </c>
      <c r="B72" s="8" t="s">
        <v>30</v>
      </c>
      <c r="C72" s="53" t="s">
        <v>40</v>
      </c>
      <c r="D72" s="84">
        <v>1</v>
      </c>
      <c r="E72" s="49">
        <v>30</v>
      </c>
      <c r="F72" s="80">
        <v>45959</v>
      </c>
      <c r="G72" s="81">
        <v>0.375</v>
      </c>
      <c r="H72" s="80">
        <v>45958</v>
      </c>
      <c r="I72" s="81">
        <v>0.72916666666666663</v>
      </c>
      <c r="J72" s="87">
        <f t="shared" ref="J72" si="3">E72-L72</f>
        <v>4</v>
      </c>
      <c r="K72" s="53">
        <v>2</v>
      </c>
      <c r="L72" s="53">
        <v>26</v>
      </c>
      <c r="M72" s="79" t="s">
        <v>556</v>
      </c>
    </row>
    <row r="73" spans="1:13" s="5" customFormat="1" ht="42.75" customHeight="1" x14ac:dyDescent="0.2">
      <c r="A73" s="49" t="s">
        <v>555</v>
      </c>
      <c r="B73" s="8" t="s">
        <v>510</v>
      </c>
      <c r="C73" s="53" t="s">
        <v>31</v>
      </c>
      <c r="D73" s="84">
        <v>1</v>
      </c>
      <c r="E73" s="49">
        <v>30</v>
      </c>
      <c r="F73" s="80">
        <v>45959</v>
      </c>
      <c r="G73" s="81">
        <v>0.375</v>
      </c>
      <c r="H73" s="80">
        <v>45958</v>
      </c>
      <c r="I73" s="81">
        <v>0.72916666666666663</v>
      </c>
      <c r="J73" s="87">
        <f t="shared" si="2"/>
        <v>4</v>
      </c>
      <c r="K73" s="53">
        <v>2</v>
      </c>
      <c r="L73" s="53">
        <v>26</v>
      </c>
      <c r="M73" s="79" t="s">
        <v>556</v>
      </c>
    </row>
    <row r="74" spans="1:13" s="5" customFormat="1" ht="37.5" customHeight="1" x14ac:dyDescent="0.2">
      <c r="A74" s="49" t="s">
        <v>557</v>
      </c>
      <c r="B74" s="8" t="s">
        <v>21</v>
      </c>
      <c r="C74" s="53" t="s">
        <v>34</v>
      </c>
      <c r="D74" s="84">
        <v>1</v>
      </c>
      <c r="E74" s="49">
        <v>30</v>
      </c>
      <c r="F74" s="80">
        <v>45959</v>
      </c>
      <c r="G74" s="81">
        <v>0.375</v>
      </c>
      <c r="H74" s="80">
        <v>45958</v>
      </c>
      <c r="I74" s="81">
        <v>0.64583333333333337</v>
      </c>
      <c r="J74" s="87">
        <f t="shared" ref="J74" si="4">E74-L74</f>
        <v>4</v>
      </c>
      <c r="K74" s="53">
        <v>1</v>
      </c>
      <c r="L74" s="53">
        <v>26</v>
      </c>
      <c r="M74" s="79" t="s">
        <v>558</v>
      </c>
    </row>
    <row r="75" spans="1:13" s="5" customFormat="1" ht="39.75" customHeight="1" x14ac:dyDescent="0.2">
      <c r="A75" s="49" t="s">
        <v>557</v>
      </c>
      <c r="B75" s="8" t="s">
        <v>136</v>
      </c>
      <c r="C75" s="53" t="s">
        <v>22</v>
      </c>
      <c r="D75" s="84">
        <v>1</v>
      </c>
      <c r="E75" s="49">
        <v>30</v>
      </c>
      <c r="F75" s="80">
        <v>45959</v>
      </c>
      <c r="G75" s="81">
        <v>0.375</v>
      </c>
      <c r="H75" s="80">
        <v>45958</v>
      </c>
      <c r="I75" s="81">
        <v>0.64583333333333337</v>
      </c>
      <c r="J75" s="87">
        <f t="shared" si="2"/>
        <v>4</v>
      </c>
      <c r="K75" s="53">
        <v>1</v>
      </c>
      <c r="L75" s="53">
        <v>26</v>
      </c>
      <c r="M75" s="79" t="s">
        <v>558</v>
      </c>
    </row>
    <row r="76" spans="1:13" s="5" customFormat="1" ht="44.25" customHeight="1" x14ac:dyDescent="0.2">
      <c r="A76" s="49" t="s">
        <v>559</v>
      </c>
      <c r="B76" s="8" t="s">
        <v>21</v>
      </c>
      <c r="C76" s="53" t="s">
        <v>34</v>
      </c>
      <c r="D76" s="84">
        <v>1</v>
      </c>
      <c r="E76" s="49">
        <v>30</v>
      </c>
      <c r="F76" s="80">
        <v>45959</v>
      </c>
      <c r="G76" s="81">
        <v>0.375</v>
      </c>
      <c r="H76" s="80">
        <v>45958</v>
      </c>
      <c r="I76" s="81">
        <v>0.66666666666666663</v>
      </c>
      <c r="J76" s="87">
        <f t="shared" ref="J76" si="5">E76-L76</f>
        <v>2</v>
      </c>
      <c r="K76" s="53">
        <v>1</v>
      </c>
      <c r="L76" s="53">
        <v>28</v>
      </c>
      <c r="M76" s="79" t="s">
        <v>560</v>
      </c>
    </row>
    <row r="77" spans="1:13" s="5" customFormat="1" ht="44.25" customHeight="1" x14ac:dyDescent="0.2">
      <c r="A77" s="49" t="s">
        <v>559</v>
      </c>
      <c r="B77" s="8" t="s">
        <v>136</v>
      </c>
      <c r="C77" s="53" t="s">
        <v>22</v>
      </c>
      <c r="D77" s="84">
        <v>1</v>
      </c>
      <c r="E77" s="49">
        <v>30</v>
      </c>
      <c r="F77" s="80">
        <v>45959</v>
      </c>
      <c r="G77" s="81">
        <v>0.375</v>
      </c>
      <c r="H77" s="80">
        <v>45958</v>
      </c>
      <c r="I77" s="81">
        <v>0.66666666666666663</v>
      </c>
      <c r="J77" s="87">
        <f t="shared" si="2"/>
        <v>2</v>
      </c>
      <c r="K77" s="53">
        <v>1</v>
      </c>
      <c r="L77" s="53">
        <v>28</v>
      </c>
      <c r="M77" s="79" t="s">
        <v>560</v>
      </c>
    </row>
    <row r="78" spans="1:13" s="5" customFormat="1" ht="36.6" customHeight="1" x14ac:dyDescent="0.2">
      <c r="A78" s="49" t="s">
        <v>561</v>
      </c>
      <c r="B78" s="8" t="s">
        <v>21</v>
      </c>
      <c r="C78" s="53" t="s">
        <v>34</v>
      </c>
      <c r="D78" s="84">
        <v>1</v>
      </c>
      <c r="E78" s="49">
        <v>30</v>
      </c>
      <c r="F78" s="80">
        <v>45959</v>
      </c>
      <c r="G78" s="81">
        <v>0.375</v>
      </c>
      <c r="H78" s="80">
        <v>45958</v>
      </c>
      <c r="I78" s="81">
        <v>0.6875</v>
      </c>
      <c r="J78" s="87">
        <f t="shared" ref="J78" si="6">E78-L78</f>
        <v>0</v>
      </c>
      <c r="K78" s="53">
        <v>1</v>
      </c>
      <c r="L78" s="53">
        <v>30</v>
      </c>
      <c r="M78" s="79" t="s">
        <v>562</v>
      </c>
    </row>
    <row r="79" spans="1:13" s="5" customFormat="1" ht="36.6" customHeight="1" x14ac:dyDescent="0.2">
      <c r="A79" s="49" t="s">
        <v>561</v>
      </c>
      <c r="B79" s="8" t="s">
        <v>136</v>
      </c>
      <c r="C79" s="53" t="s">
        <v>22</v>
      </c>
      <c r="D79" s="84">
        <v>1</v>
      </c>
      <c r="E79" s="49">
        <v>30</v>
      </c>
      <c r="F79" s="80">
        <v>45959</v>
      </c>
      <c r="G79" s="81">
        <v>0.375</v>
      </c>
      <c r="H79" s="80">
        <v>45958</v>
      </c>
      <c r="I79" s="81">
        <v>0.6875</v>
      </c>
      <c r="J79" s="87">
        <f t="shared" si="2"/>
        <v>0</v>
      </c>
      <c r="K79" s="53">
        <v>1</v>
      </c>
      <c r="L79" s="53">
        <v>30</v>
      </c>
      <c r="M79" s="79" t="s">
        <v>562</v>
      </c>
    </row>
    <row r="80" spans="1:13" s="5" customFormat="1" ht="44.25" customHeight="1" x14ac:dyDescent="0.2">
      <c r="A80" s="49" t="s">
        <v>563</v>
      </c>
      <c r="B80" s="8" t="s">
        <v>21</v>
      </c>
      <c r="C80" s="53" t="s">
        <v>34</v>
      </c>
      <c r="D80" s="84">
        <v>1</v>
      </c>
      <c r="E80" s="49">
        <v>30</v>
      </c>
      <c r="F80" s="80">
        <v>45959</v>
      </c>
      <c r="G80" s="81">
        <v>0.375</v>
      </c>
      <c r="H80" s="80">
        <v>45958</v>
      </c>
      <c r="I80" s="81">
        <v>0.70833333333333337</v>
      </c>
      <c r="J80" s="87">
        <f t="shared" si="2"/>
        <v>6</v>
      </c>
      <c r="K80" s="53">
        <v>2</v>
      </c>
      <c r="L80" s="53">
        <v>24</v>
      </c>
      <c r="M80" s="79" t="s">
        <v>564</v>
      </c>
    </row>
    <row r="81" spans="1:13" s="5" customFormat="1" ht="46.5" customHeight="1" x14ac:dyDescent="0.2">
      <c r="A81" s="49" t="s">
        <v>563</v>
      </c>
      <c r="B81" s="8" t="s">
        <v>136</v>
      </c>
      <c r="C81" s="53" t="s">
        <v>22</v>
      </c>
      <c r="D81" s="84">
        <v>1</v>
      </c>
      <c r="E81" s="49">
        <v>30</v>
      </c>
      <c r="F81" s="80">
        <v>45959</v>
      </c>
      <c r="G81" s="81">
        <v>0.375</v>
      </c>
      <c r="H81" s="80">
        <v>45958</v>
      </c>
      <c r="I81" s="81">
        <v>0.70833333333333337</v>
      </c>
      <c r="J81" s="87">
        <f t="shared" ref="J81" si="7">E81-L81</f>
        <v>6</v>
      </c>
      <c r="K81" s="53">
        <v>2</v>
      </c>
      <c r="L81" s="53">
        <v>24</v>
      </c>
      <c r="M81" s="79" t="s">
        <v>564</v>
      </c>
    </row>
    <row r="82" spans="1:13" s="5" customFormat="1" ht="48" customHeight="1" x14ac:dyDescent="0.2">
      <c r="A82" s="49" t="s">
        <v>567</v>
      </c>
      <c r="B82" s="8" t="s">
        <v>21</v>
      </c>
      <c r="C82" s="53" t="s">
        <v>34</v>
      </c>
      <c r="D82" s="84">
        <v>1</v>
      </c>
      <c r="E82" s="49">
        <v>30</v>
      </c>
      <c r="F82" s="80">
        <v>45959</v>
      </c>
      <c r="G82" s="81">
        <v>0.375</v>
      </c>
      <c r="H82" s="80">
        <v>45958</v>
      </c>
      <c r="I82" s="81">
        <v>0.72916666666666663</v>
      </c>
      <c r="J82" s="87">
        <f t="shared" si="2"/>
        <v>2</v>
      </c>
      <c r="K82" s="53">
        <v>1</v>
      </c>
      <c r="L82" s="53">
        <v>28</v>
      </c>
      <c r="M82" s="79" t="s">
        <v>572</v>
      </c>
    </row>
    <row r="83" spans="1:13" s="5" customFormat="1" ht="49.5" customHeight="1" x14ac:dyDescent="0.2">
      <c r="A83" s="49" t="s">
        <v>567</v>
      </c>
      <c r="B83" s="8" t="s">
        <v>136</v>
      </c>
      <c r="C83" s="53" t="s">
        <v>22</v>
      </c>
      <c r="D83" s="84">
        <v>1</v>
      </c>
      <c r="E83" s="49">
        <v>30</v>
      </c>
      <c r="F83" s="80">
        <v>45959</v>
      </c>
      <c r="G83" s="81">
        <v>0.375</v>
      </c>
      <c r="H83" s="80">
        <v>45958</v>
      </c>
      <c r="I83" s="81">
        <v>0.72916666666666663</v>
      </c>
      <c r="J83" s="87">
        <f t="shared" ref="J83" si="8">E83-L83</f>
        <v>2</v>
      </c>
      <c r="K83" s="53">
        <v>1</v>
      </c>
      <c r="L83" s="53">
        <v>28</v>
      </c>
      <c r="M83" s="79" t="s">
        <v>572</v>
      </c>
    </row>
    <row r="84" spans="1:13" s="5" customFormat="1" ht="35.450000000000003" customHeight="1" x14ac:dyDescent="0.2">
      <c r="A84" s="49" t="s">
        <v>568</v>
      </c>
      <c r="B84" s="8" t="s">
        <v>21</v>
      </c>
      <c r="C84" s="53" t="s">
        <v>34</v>
      </c>
      <c r="D84" s="84">
        <v>1</v>
      </c>
      <c r="E84" s="49">
        <v>30</v>
      </c>
      <c r="F84" s="80">
        <v>45959</v>
      </c>
      <c r="G84" s="81">
        <v>0.375</v>
      </c>
      <c r="H84" s="80">
        <v>45958</v>
      </c>
      <c r="I84" s="81">
        <v>0.75</v>
      </c>
      <c r="J84" s="87">
        <f t="shared" si="2"/>
        <v>2</v>
      </c>
      <c r="K84" s="53">
        <v>1</v>
      </c>
      <c r="L84" s="53">
        <v>28</v>
      </c>
      <c r="M84" s="79" t="s">
        <v>571</v>
      </c>
    </row>
    <row r="85" spans="1:13" s="5" customFormat="1" ht="35.450000000000003" customHeight="1" x14ac:dyDescent="0.2">
      <c r="A85" s="49" t="s">
        <v>568</v>
      </c>
      <c r="B85" s="8" t="s">
        <v>136</v>
      </c>
      <c r="C85" s="53" t="s">
        <v>22</v>
      </c>
      <c r="D85" s="84">
        <v>1</v>
      </c>
      <c r="E85" s="49">
        <v>30</v>
      </c>
      <c r="F85" s="80">
        <v>45959</v>
      </c>
      <c r="G85" s="81">
        <v>0.375</v>
      </c>
      <c r="H85" s="80">
        <v>45958</v>
      </c>
      <c r="I85" s="81">
        <v>0.75</v>
      </c>
      <c r="J85" s="87">
        <f t="shared" ref="J85" si="9">E85-L85</f>
        <v>2</v>
      </c>
      <c r="K85" s="53">
        <v>1</v>
      </c>
      <c r="L85" s="53">
        <v>28</v>
      </c>
      <c r="M85" s="79" t="s">
        <v>571</v>
      </c>
    </row>
    <row r="86" spans="1:13" s="5" customFormat="1" ht="35.450000000000003" customHeight="1" x14ac:dyDescent="0.2">
      <c r="A86" s="49" t="s">
        <v>566</v>
      </c>
      <c r="B86" s="8" t="s">
        <v>21</v>
      </c>
      <c r="C86" s="53" t="s">
        <v>34</v>
      </c>
      <c r="D86" s="84">
        <v>1</v>
      </c>
      <c r="E86" s="49">
        <v>30</v>
      </c>
      <c r="F86" s="80">
        <v>45959</v>
      </c>
      <c r="G86" s="81">
        <v>0.375</v>
      </c>
      <c r="H86" s="80">
        <v>45958</v>
      </c>
      <c r="I86" s="81">
        <v>0.77083333333333337</v>
      </c>
      <c r="J86" s="87">
        <f t="shared" si="2"/>
        <v>2</v>
      </c>
      <c r="K86" s="53">
        <v>1</v>
      </c>
      <c r="L86" s="53">
        <v>28</v>
      </c>
      <c r="M86" s="79" t="s">
        <v>570</v>
      </c>
    </row>
    <row r="87" spans="1:13" s="5" customFormat="1" ht="35.450000000000003" customHeight="1" x14ac:dyDescent="0.2">
      <c r="A87" s="49" t="s">
        <v>566</v>
      </c>
      <c r="B87" s="8" t="s">
        <v>136</v>
      </c>
      <c r="C87" s="53" t="s">
        <v>22</v>
      </c>
      <c r="D87" s="84">
        <v>1</v>
      </c>
      <c r="E87" s="49">
        <v>30</v>
      </c>
      <c r="F87" s="80">
        <v>45959</v>
      </c>
      <c r="G87" s="81">
        <v>0.375</v>
      </c>
      <c r="H87" s="80">
        <v>45958</v>
      </c>
      <c r="I87" s="81">
        <v>0.77083333333333337</v>
      </c>
      <c r="J87" s="87">
        <f t="shared" ref="J87" si="10">E87-L87</f>
        <v>2</v>
      </c>
      <c r="K87" s="53">
        <v>1</v>
      </c>
      <c r="L87" s="53">
        <v>28</v>
      </c>
      <c r="M87" s="79" t="s">
        <v>570</v>
      </c>
    </row>
    <row r="88" spans="1:13" s="5" customFormat="1" ht="44.25" customHeight="1" x14ac:dyDescent="0.2">
      <c r="A88" s="49" t="s">
        <v>565</v>
      </c>
      <c r="B88" s="8" t="s">
        <v>21</v>
      </c>
      <c r="C88" s="53" t="s">
        <v>34</v>
      </c>
      <c r="D88" s="84">
        <v>1</v>
      </c>
      <c r="E88" s="49">
        <v>20</v>
      </c>
      <c r="F88" s="80">
        <v>45959</v>
      </c>
      <c r="G88" s="81">
        <v>0.375</v>
      </c>
      <c r="H88" s="80">
        <v>45958</v>
      </c>
      <c r="I88" s="81">
        <v>0.79166666666666663</v>
      </c>
      <c r="J88" s="87">
        <f t="shared" si="2"/>
        <v>2</v>
      </c>
      <c r="K88" s="53">
        <v>1</v>
      </c>
      <c r="L88" s="53">
        <v>18</v>
      </c>
      <c r="M88" s="79" t="s">
        <v>569</v>
      </c>
    </row>
    <row r="89" spans="1:13" s="5" customFormat="1" ht="43.5" customHeight="1" x14ac:dyDescent="0.2">
      <c r="A89" s="49" t="s">
        <v>565</v>
      </c>
      <c r="B89" s="8" t="s">
        <v>136</v>
      </c>
      <c r="C89" s="53" t="s">
        <v>40</v>
      </c>
      <c r="D89" s="84">
        <v>1</v>
      </c>
      <c r="E89" s="49">
        <v>20</v>
      </c>
      <c r="F89" s="80">
        <v>45959</v>
      </c>
      <c r="G89" s="81">
        <v>0.375</v>
      </c>
      <c r="H89" s="80">
        <v>45958</v>
      </c>
      <c r="I89" s="81">
        <v>0.79166666666666663</v>
      </c>
      <c r="J89" s="87">
        <f t="shared" si="0"/>
        <v>2</v>
      </c>
      <c r="K89" s="53">
        <v>1</v>
      </c>
      <c r="L89" s="53">
        <v>18</v>
      </c>
      <c r="M89" s="79" t="s">
        <v>569</v>
      </c>
    </row>
    <row r="90" spans="1:13" s="5" customFormat="1" ht="35.450000000000003" customHeight="1" x14ac:dyDescent="0.2">
      <c r="A90" s="106" t="s">
        <v>123</v>
      </c>
      <c r="B90" s="85" t="s">
        <v>42</v>
      </c>
      <c r="C90" s="85" t="s">
        <v>37</v>
      </c>
      <c r="D90" s="49">
        <v>1</v>
      </c>
      <c r="E90" s="49">
        <v>20</v>
      </c>
      <c r="F90" s="85">
        <v>45959</v>
      </c>
      <c r="G90" s="86">
        <v>0.375</v>
      </c>
      <c r="H90" s="85">
        <v>45958</v>
      </c>
      <c r="I90" s="86">
        <v>0.80555555555555558</v>
      </c>
      <c r="J90" s="87">
        <f>E90-L90</f>
        <v>0</v>
      </c>
      <c r="K90" s="53">
        <v>1</v>
      </c>
      <c r="L90" s="88">
        <v>20</v>
      </c>
      <c r="M90" s="93" t="s">
        <v>124</v>
      </c>
    </row>
    <row r="91" spans="1:13" s="5" customFormat="1" ht="35.450000000000003" customHeight="1" x14ac:dyDescent="0.2">
      <c r="A91" s="38" t="s">
        <v>123</v>
      </c>
      <c r="B91" s="85" t="s">
        <v>36</v>
      </c>
      <c r="C91" s="85" t="s">
        <v>43</v>
      </c>
      <c r="D91" s="49">
        <v>1</v>
      </c>
      <c r="E91" s="49">
        <v>20</v>
      </c>
      <c r="F91" s="85">
        <v>45959</v>
      </c>
      <c r="G91" s="86">
        <v>0.375</v>
      </c>
      <c r="H91" s="85">
        <v>45958</v>
      </c>
      <c r="I91" s="86">
        <v>0.80555555555555558</v>
      </c>
      <c r="J91" s="87">
        <f t="shared" ref="J91:J112" si="11">E91-L91</f>
        <v>0</v>
      </c>
      <c r="K91" s="8">
        <v>1</v>
      </c>
      <c r="L91" s="88">
        <v>20</v>
      </c>
      <c r="M91" s="93" t="s">
        <v>124</v>
      </c>
    </row>
    <row r="92" spans="1:13" s="5" customFormat="1" ht="37.5" customHeight="1" x14ac:dyDescent="0.2">
      <c r="A92" s="133" t="s">
        <v>175</v>
      </c>
      <c r="B92" s="133" t="s">
        <v>42</v>
      </c>
      <c r="C92" s="13" t="s">
        <v>37</v>
      </c>
      <c r="D92" s="53">
        <v>1</v>
      </c>
      <c r="E92" s="53">
        <v>30</v>
      </c>
      <c r="F92" s="13">
        <v>45959</v>
      </c>
      <c r="G92" s="86">
        <v>0.375</v>
      </c>
      <c r="H92" s="13">
        <v>45958</v>
      </c>
      <c r="I92" s="12">
        <v>0.83333333333333337</v>
      </c>
      <c r="J92" s="53">
        <f t="shared" si="11"/>
        <v>6</v>
      </c>
      <c r="K92" s="50">
        <v>1</v>
      </c>
      <c r="L92" s="68">
        <v>24</v>
      </c>
      <c r="M92" s="52" t="s">
        <v>176</v>
      </c>
    </row>
    <row r="93" spans="1:13" ht="25.5" x14ac:dyDescent="0.2">
      <c r="A93" s="133" t="s">
        <v>177</v>
      </c>
      <c r="B93" s="133" t="s">
        <v>30</v>
      </c>
      <c r="C93" s="13" t="s">
        <v>40</v>
      </c>
      <c r="D93" s="53">
        <v>1</v>
      </c>
      <c r="E93" s="53">
        <v>30</v>
      </c>
      <c r="F93" s="13">
        <v>45959</v>
      </c>
      <c r="G93" s="86">
        <v>0.375</v>
      </c>
      <c r="H93" s="13">
        <v>45958</v>
      </c>
      <c r="I93" s="12">
        <v>0.83333333333333337</v>
      </c>
      <c r="J93" s="53">
        <f t="shared" si="11"/>
        <v>0</v>
      </c>
      <c r="K93" s="50">
        <v>1</v>
      </c>
      <c r="L93" s="68">
        <v>30</v>
      </c>
      <c r="M93" s="52" t="s">
        <v>178</v>
      </c>
    </row>
    <row r="94" spans="1:13" ht="38.25" x14ac:dyDescent="0.2">
      <c r="A94" s="85" t="s">
        <v>179</v>
      </c>
      <c r="B94" s="133" t="s">
        <v>30</v>
      </c>
      <c r="C94" s="13" t="s">
        <v>40</v>
      </c>
      <c r="D94" s="53">
        <v>5</v>
      </c>
      <c r="E94" s="53">
        <v>50</v>
      </c>
      <c r="F94" s="13">
        <v>45959</v>
      </c>
      <c r="G94" s="86">
        <v>0.375</v>
      </c>
      <c r="H94" s="13">
        <v>45958</v>
      </c>
      <c r="I94" s="12">
        <v>0.86805555555555558</v>
      </c>
      <c r="J94" s="53">
        <f t="shared" si="11"/>
        <v>5</v>
      </c>
      <c r="K94" s="50">
        <v>5</v>
      </c>
      <c r="L94" s="68">
        <v>45</v>
      </c>
      <c r="M94" s="52" t="s">
        <v>180</v>
      </c>
    </row>
    <row r="95" spans="1:13" ht="36" x14ac:dyDescent="0.2">
      <c r="A95" s="23" t="s">
        <v>146</v>
      </c>
      <c r="B95" s="85" t="s">
        <v>510</v>
      </c>
      <c r="C95" s="90" t="s">
        <v>31</v>
      </c>
      <c r="D95" s="84">
        <v>1</v>
      </c>
      <c r="E95" s="49">
        <v>60</v>
      </c>
      <c r="F95" s="85">
        <v>45959</v>
      </c>
      <c r="G95" s="86">
        <v>0.375</v>
      </c>
      <c r="H95" s="85">
        <v>45958</v>
      </c>
      <c r="I95" s="86">
        <v>0.91666666666666663</v>
      </c>
      <c r="J95" s="87">
        <f t="shared" si="11"/>
        <v>50</v>
      </c>
      <c r="K95" s="8">
        <v>1</v>
      </c>
      <c r="L95" s="88">
        <v>10</v>
      </c>
      <c r="M95" s="91" t="s">
        <v>149</v>
      </c>
    </row>
    <row r="96" spans="1:13" ht="36" x14ac:dyDescent="0.2">
      <c r="A96" s="23" t="s">
        <v>146</v>
      </c>
      <c r="B96" s="85" t="s">
        <v>36</v>
      </c>
      <c r="C96" s="90" t="s">
        <v>43</v>
      </c>
      <c r="D96" s="84">
        <v>1</v>
      </c>
      <c r="E96" s="49">
        <v>60</v>
      </c>
      <c r="F96" s="85">
        <v>45959</v>
      </c>
      <c r="G96" s="86">
        <v>0.375</v>
      </c>
      <c r="H96" s="85">
        <v>45958</v>
      </c>
      <c r="I96" s="86">
        <v>0.91666666666666663</v>
      </c>
      <c r="J96" s="87">
        <f t="shared" si="11"/>
        <v>50</v>
      </c>
      <c r="K96" s="8">
        <v>1</v>
      </c>
      <c r="L96" s="88">
        <v>10</v>
      </c>
      <c r="M96" s="91" t="s">
        <v>149</v>
      </c>
    </row>
    <row r="97" spans="1:13" ht="36" x14ac:dyDescent="0.2">
      <c r="A97" s="23" t="s">
        <v>146</v>
      </c>
      <c r="B97" s="85" t="s">
        <v>136</v>
      </c>
      <c r="C97" s="90" t="s">
        <v>22</v>
      </c>
      <c r="D97" s="84">
        <v>1</v>
      </c>
      <c r="E97" s="49">
        <v>60</v>
      </c>
      <c r="F97" s="85">
        <v>45959</v>
      </c>
      <c r="G97" s="86">
        <v>0.375</v>
      </c>
      <c r="H97" s="85">
        <v>45958</v>
      </c>
      <c r="I97" s="86">
        <v>0.91666666666666663</v>
      </c>
      <c r="J97" s="87">
        <f t="shared" si="11"/>
        <v>50</v>
      </c>
      <c r="K97" s="8">
        <v>1</v>
      </c>
      <c r="L97" s="88">
        <v>10</v>
      </c>
      <c r="M97" s="91" t="s">
        <v>149</v>
      </c>
    </row>
    <row r="98" spans="1:13" ht="36" x14ac:dyDescent="0.2">
      <c r="A98" s="23" t="s">
        <v>146</v>
      </c>
      <c r="B98" s="85" t="s">
        <v>21</v>
      </c>
      <c r="C98" s="90" t="s">
        <v>34</v>
      </c>
      <c r="D98" s="84">
        <v>1</v>
      </c>
      <c r="E98" s="49">
        <v>60</v>
      </c>
      <c r="F98" s="85">
        <v>45959</v>
      </c>
      <c r="G98" s="86">
        <v>0.375</v>
      </c>
      <c r="H98" s="85">
        <v>45958</v>
      </c>
      <c r="I98" s="86">
        <v>0.91666666666666663</v>
      </c>
      <c r="J98" s="87">
        <f t="shared" si="11"/>
        <v>50</v>
      </c>
      <c r="K98" s="8">
        <v>1</v>
      </c>
      <c r="L98" s="88">
        <v>10</v>
      </c>
      <c r="M98" s="91" t="s">
        <v>149</v>
      </c>
    </row>
    <row r="99" spans="1:13" ht="36" x14ac:dyDescent="0.2">
      <c r="A99" s="23" t="s">
        <v>146</v>
      </c>
      <c r="B99" s="85" t="s">
        <v>42</v>
      </c>
      <c r="C99" s="90" t="s">
        <v>37</v>
      </c>
      <c r="D99" s="84">
        <v>1</v>
      </c>
      <c r="E99" s="49">
        <v>60</v>
      </c>
      <c r="F99" s="85">
        <v>45959</v>
      </c>
      <c r="G99" s="86">
        <v>0.375</v>
      </c>
      <c r="H99" s="85">
        <v>45958</v>
      </c>
      <c r="I99" s="86">
        <v>0.91666666666666663</v>
      </c>
      <c r="J99" s="87">
        <f t="shared" si="11"/>
        <v>50</v>
      </c>
      <c r="K99" s="8">
        <v>1</v>
      </c>
      <c r="L99" s="88">
        <v>10</v>
      </c>
      <c r="M99" s="91" t="s">
        <v>149</v>
      </c>
    </row>
    <row r="100" spans="1:13" ht="36" x14ac:dyDescent="0.2">
      <c r="A100" s="23" t="s">
        <v>146</v>
      </c>
      <c r="B100" s="85" t="s">
        <v>510</v>
      </c>
      <c r="C100" s="90" t="s">
        <v>40</v>
      </c>
      <c r="D100" s="84">
        <v>1</v>
      </c>
      <c r="E100" s="49">
        <v>60</v>
      </c>
      <c r="F100" s="85">
        <v>45959</v>
      </c>
      <c r="G100" s="86">
        <v>0.375</v>
      </c>
      <c r="H100" s="85">
        <v>45958</v>
      </c>
      <c r="I100" s="86">
        <v>0.91666666666666663</v>
      </c>
      <c r="J100" s="87">
        <f t="shared" si="11"/>
        <v>50</v>
      </c>
      <c r="K100" s="8">
        <v>1</v>
      </c>
      <c r="L100" s="88">
        <v>10</v>
      </c>
      <c r="M100" s="91" t="s">
        <v>149</v>
      </c>
    </row>
    <row r="101" spans="1:13" ht="24" x14ac:dyDescent="0.2">
      <c r="A101" s="23" t="s">
        <v>52</v>
      </c>
      <c r="B101" s="90" t="s">
        <v>136</v>
      </c>
      <c r="C101" s="90" t="s">
        <v>22</v>
      </c>
      <c r="D101" s="84">
        <v>1</v>
      </c>
      <c r="E101" s="49">
        <v>30</v>
      </c>
      <c r="F101" s="85">
        <v>45959</v>
      </c>
      <c r="G101" s="86">
        <v>0.375</v>
      </c>
      <c r="H101" s="85">
        <v>45958</v>
      </c>
      <c r="I101" s="86">
        <v>0.91666666666666663</v>
      </c>
      <c r="J101" s="87">
        <f t="shared" si="11"/>
        <v>0</v>
      </c>
      <c r="K101" s="8">
        <v>1</v>
      </c>
      <c r="L101" s="88">
        <v>30</v>
      </c>
      <c r="M101" s="91" t="s">
        <v>53</v>
      </c>
    </row>
    <row r="102" spans="1:13" ht="24" x14ac:dyDescent="0.2">
      <c r="A102" s="23" t="s">
        <v>153</v>
      </c>
      <c r="B102" s="90" t="s">
        <v>42</v>
      </c>
      <c r="C102" s="90" t="s">
        <v>37</v>
      </c>
      <c r="D102" s="84">
        <v>1</v>
      </c>
      <c r="E102" s="5">
        <v>30</v>
      </c>
      <c r="F102" s="85">
        <v>45959</v>
      </c>
      <c r="G102" s="86">
        <v>0.375</v>
      </c>
      <c r="H102" s="85">
        <v>45958</v>
      </c>
      <c r="I102" s="86">
        <v>0.91666666666666663</v>
      </c>
      <c r="J102" s="87">
        <f t="shared" si="11"/>
        <v>0</v>
      </c>
      <c r="K102" s="8">
        <v>1</v>
      </c>
      <c r="L102" s="88">
        <v>30</v>
      </c>
      <c r="M102" s="91" t="s">
        <v>53</v>
      </c>
    </row>
    <row r="103" spans="1:13" ht="24" x14ac:dyDescent="0.2">
      <c r="A103" s="23" t="s">
        <v>79</v>
      </c>
      <c r="B103" s="85" t="s">
        <v>42</v>
      </c>
      <c r="C103" s="90" t="s">
        <v>37</v>
      </c>
      <c r="D103" s="84">
        <v>1</v>
      </c>
      <c r="E103" s="49">
        <v>45</v>
      </c>
      <c r="F103" s="85">
        <v>45959</v>
      </c>
      <c r="G103" s="86">
        <v>0.375</v>
      </c>
      <c r="H103" s="85">
        <v>45958</v>
      </c>
      <c r="I103" s="86">
        <v>0.9375</v>
      </c>
      <c r="J103" s="87">
        <f t="shared" si="11"/>
        <v>-35</v>
      </c>
      <c r="K103" s="8">
        <v>1</v>
      </c>
      <c r="L103" s="88">
        <v>80</v>
      </c>
      <c r="M103" s="91" t="s">
        <v>81</v>
      </c>
    </row>
    <row r="104" spans="1:13" ht="24" x14ac:dyDescent="0.2">
      <c r="A104" s="23" t="s">
        <v>85</v>
      </c>
      <c r="B104" s="85" t="s">
        <v>136</v>
      </c>
      <c r="C104" s="90" t="s">
        <v>22</v>
      </c>
      <c r="D104" s="84">
        <v>1</v>
      </c>
      <c r="E104" s="49">
        <v>60</v>
      </c>
      <c r="F104" s="85">
        <v>45959</v>
      </c>
      <c r="G104" s="86">
        <v>0.375</v>
      </c>
      <c r="H104" s="85">
        <v>45958</v>
      </c>
      <c r="I104" s="86">
        <v>0.9375</v>
      </c>
      <c r="J104" s="87">
        <f t="shared" si="11"/>
        <v>10</v>
      </c>
      <c r="K104" s="8">
        <v>1</v>
      </c>
      <c r="L104" s="88">
        <v>50</v>
      </c>
      <c r="M104" s="91" t="s">
        <v>87</v>
      </c>
    </row>
    <row r="105" spans="1:13" x14ac:dyDescent="0.2">
      <c r="A105" s="23" t="s">
        <v>88</v>
      </c>
      <c r="B105" s="85" t="s">
        <v>136</v>
      </c>
      <c r="C105" s="85" t="s">
        <v>22</v>
      </c>
      <c r="D105" s="84">
        <v>1</v>
      </c>
      <c r="E105" s="49">
        <v>55</v>
      </c>
      <c r="F105" s="85">
        <v>45959</v>
      </c>
      <c r="G105" s="86">
        <v>0.375</v>
      </c>
      <c r="H105" s="85">
        <v>45958</v>
      </c>
      <c r="I105" s="86">
        <v>0.9375</v>
      </c>
      <c r="J105" s="87">
        <f t="shared" si="11"/>
        <v>0</v>
      </c>
      <c r="K105" s="8">
        <v>1</v>
      </c>
      <c r="L105" s="88">
        <v>55</v>
      </c>
      <c r="M105" s="91" t="s">
        <v>89</v>
      </c>
    </row>
    <row r="106" spans="1:13" ht="24" x14ac:dyDescent="0.2">
      <c r="A106" s="33" t="s">
        <v>131</v>
      </c>
      <c r="B106" s="85" t="s">
        <v>42</v>
      </c>
      <c r="C106" s="85" t="s">
        <v>37</v>
      </c>
      <c r="D106" s="49">
        <v>1</v>
      </c>
      <c r="E106" s="49">
        <v>30</v>
      </c>
      <c r="F106" s="85">
        <v>45959</v>
      </c>
      <c r="G106" s="86">
        <v>0.375</v>
      </c>
      <c r="H106" s="85">
        <v>45958</v>
      </c>
      <c r="I106" s="86">
        <v>0.9375</v>
      </c>
      <c r="J106" s="87">
        <f t="shared" si="11"/>
        <v>-2</v>
      </c>
      <c r="K106" s="8">
        <v>1</v>
      </c>
      <c r="L106" s="88">
        <v>32</v>
      </c>
      <c r="M106" s="91" t="s">
        <v>132</v>
      </c>
    </row>
    <row r="107" spans="1:13" ht="24" x14ac:dyDescent="0.2">
      <c r="A107" s="33" t="s">
        <v>131</v>
      </c>
      <c r="B107" s="85" t="s">
        <v>36</v>
      </c>
      <c r="C107" s="85" t="s">
        <v>43</v>
      </c>
      <c r="D107" s="49">
        <v>1</v>
      </c>
      <c r="E107" s="49">
        <v>30</v>
      </c>
      <c r="F107" s="85">
        <v>45959</v>
      </c>
      <c r="G107" s="86">
        <v>0.375</v>
      </c>
      <c r="H107" s="85">
        <v>45958</v>
      </c>
      <c r="I107" s="86">
        <v>0.9375</v>
      </c>
      <c r="J107" s="87">
        <f t="shared" si="11"/>
        <v>-2</v>
      </c>
      <c r="K107" s="8">
        <v>1</v>
      </c>
      <c r="L107" s="88">
        <v>32</v>
      </c>
      <c r="M107" s="91" t="s">
        <v>132</v>
      </c>
    </row>
    <row r="108" spans="1:13" ht="24" x14ac:dyDescent="0.2">
      <c r="A108" s="33" t="s">
        <v>131</v>
      </c>
      <c r="B108" s="85" t="s">
        <v>510</v>
      </c>
      <c r="C108" s="85" t="s">
        <v>31</v>
      </c>
      <c r="D108" s="49">
        <v>1</v>
      </c>
      <c r="E108" s="49">
        <v>30</v>
      </c>
      <c r="F108" s="85">
        <v>45959</v>
      </c>
      <c r="G108" s="86">
        <v>0.375</v>
      </c>
      <c r="H108" s="85">
        <v>45958</v>
      </c>
      <c r="I108" s="86">
        <v>0.9375</v>
      </c>
      <c r="J108" s="87">
        <f t="shared" si="11"/>
        <v>-2</v>
      </c>
      <c r="K108" s="8">
        <v>1</v>
      </c>
      <c r="L108" s="88">
        <v>32</v>
      </c>
      <c r="M108" s="91" t="s">
        <v>132</v>
      </c>
    </row>
    <row r="109" spans="1:13" ht="24" x14ac:dyDescent="0.2">
      <c r="A109" s="33" t="s">
        <v>131</v>
      </c>
      <c r="B109" s="85" t="s">
        <v>136</v>
      </c>
      <c r="C109" s="85" t="s">
        <v>22</v>
      </c>
      <c r="D109" s="49">
        <v>1</v>
      </c>
      <c r="E109" s="49">
        <v>30</v>
      </c>
      <c r="F109" s="85">
        <v>45959</v>
      </c>
      <c r="G109" s="86">
        <v>0.375</v>
      </c>
      <c r="H109" s="85">
        <v>45958</v>
      </c>
      <c r="I109" s="86">
        <v>0.9375</v>
      </c>
      <c r="J109" s="87">
        <f t="shared" si="11"/>
        <v>-2</v>
      </c>
      <c r="K109" s="8">
        <v>1</v>
      </c>
      <c r="L109" s="88">
        <v>32</v>
      </c>
      <c r="M109" s="91" t="s">
        <v>132</v>
      </c>
    </row>
    <row r="110" spans="1:13" ht="24" x14ac:dyDescent="0.2">
      <c r="A110" s="33" t="s">
        <v>131</v>
      </c>
      <c r="B110" s="85" t="s">
        <v>21</v>
      </c>
      <c r="C110" s="85" t="s">
        <v>34</v>
      </c>
      <c r="D110" s="49">
        <v>1</v>
      </c>
      <c r="E110" s="49">
        <v>30</v>
      </c>
      <c r="F110" s="85">
        <v>45959</v>
      </c>
      <c r="G110" s="86">
        <v>0.375</v>
      </c>
      <c r="H110" s="85">
        <v>45958</v>
      </c>
      <c r="I110" s="86">
        <v>0.9375</v>
      </c>
      <c r="J110" s="87">
        <f t="shared" si="11"/>
        <v>-2</v>
      </c>
      <c r="K110" s="8">
        <v>1</v>
      </c>
      <c r="L110" s="88">
        <v>32</v>
      </c>
      <c r="M110" s="91" t="s">
        <v>132</v>
      </c>
    </row>
    <row r="111" spans="1:13" ht="24" x14ac:dyDescent="0.2">
      <c r="A111" s="33" t="s">
        <v>131</v>
      </c>
      <c r="B111" s="85" t="s">
        <v>30</v>
      </c>
      <c r="C111" s="85" t="s">
        <v>40</v>
      </c>
      <c r="D111" s="49">
        <v>1</v>
      </c>
      <c r="E111" s="49">
        <v>30</v>
      </c>
      <c r="F111" s="85">
        <v>45959</v>
      </c>
      <c r="G111" s="86">
        <v>0.375</v>
      </c>
      <c r="H111" s="85">
        <v>45958</v>
      </c>
      <c r="I111" s="86">
        <v>0.9375</v>
      </c>
      <c r="J111" s="87">
        <f t="shared" si="11"/>
        <v>-2</v>
      </c>
      <c r="K111" s="8">
        <v>1</v>
      </c>
      <c r="L111" s="88">
        <v>32</v>
      </c>
      <c r="M111" s="91" t="s">
        <v>132</v>
      </c>
    </row>
    <row r="112" spans="1:13" ht="24" x14ac:dyDescent="0.2">
      <c r="A112" s="33" t="s">
        <v>133</v>
      </c>
      <c r="B112" s="85" t="s">
        <v>136</v>
      </c>
      <c r="C112" s="85" t="s">
        <v>22</v>
      </c>
      <c r="D112" s="49">
        <v>3</v>
      </c>
      <c r="E112" s="49">
        <v>20</v>
      </c>
      <c r="F112" s="85">
        <v>45959</v>
      </c>
      <c r="G112" s="86">
        <v>0.375</v>
      </c>
      <c r="H112" s="85">
        <v>45959</v>
      </c>
      <c r="I112" s="86">
        <v>0.375</v>
      </c>
      <c r="J112" s="87">
        <f t="shared" si="11"/>
        <v>5</v>
      </c>
      <c r="K112" s="8">
        <v>3</v>
      </c>
      <c r="L112" s="88">
        <v>15</v>
      </c>
      <c r="M112" s="91" t="s">
        <v>134</v>
      </c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5" spans="1:20" x14ac:dyDescent="0.2">
      <c r="A115"/>
      <c r="B115"/>
      <c r="C115"/>
      <c r="D115"/>
      <c r="E115"/>
    </row>
    <row r="116" spans="1:20" x14ac:dyDescent="0.2">
      <c r="A116" s="70" t="s">
        <v>210</v>
      </c>
      <c r="B116" t="s">
        <v>215</v>
      </c>
      <c r="C116" t="s">
        <v>214</v>
      </c>
      <c r="D116" t="s">
        <v>213</v>
      </c>
      <c r="E116" t="s">
        <v>212</v>
      </c>
    </row>
    <row r="117" spans="1:20" x14ac:dyDescent="0.2">
      <c r="A117" s="71" t="s">
        <v>36</v>
      </c>
      <c r="B117" s="134">
        <v>16</v>
      </c>
      <c r="C117" s="134">
        <v>475</v>
      </c>
      <c r="D117" s="134">
        <v>20</v>
      </c>
      <c r="E117" s="134">
        <v>389</v>
      </c>
    </row>
    <row r="118" spans="1:20" x14ac:dyDescent="0.2">
      <c r="A118" s="71" t="s">
        <v>510</v>
      </c>
      <c r="B118" s="134">
        <v>18</v>
      </c>
      <c r="C118" s="134">
        <v>575</v>
      </c>
      <c r="D118" s="134">
        <v>23</v>
      </c>
      <c r="E118" s="134">
        <v>437</v>
      </c>
    </row>
    <row r="119" spans="1:20" x14ac:dyDescent="0.2">
      <c r="A119" s="71" t="s">
        <v>21</v>
      </c>
      <c r="B119" s="134">
        <v>18</v>
      </c>
      <c r="C119" s="134">
        <v>535</v>
      </c>
      <c r="D119" s="134">
        <v>20</v>
      </c>
      <c r="E119" s="134">
        <v>448</v>
      </c>
    </row>
    <row r="120" spans="1:20" x14ac:dyDescent="0.2">
      <c r="A120" s="71" t="s">
        <v>136</v>
      </c>
      <c r="B120" s="134">
        <v>24</v>
      </c>
      <c r="C120" s="134">
        <v>700</v>
      </c>
      <c r="D120" s="134">
        <v>27</v>
      </c>
      <c r="E120" s="134">
        <v>593</v>
      </c>
    </row>
    <row r="121" spans="1:20" s="4" customFormat="1" ht="30" customHeight="1" x14ac:dyDescent="0.2">
      <c r="A121" s="71" t="s">
        <v>42</v>
      </c>
      <c r="B121" s="134">
        <v>21</v>
      </c>
      <c r="C121" s="134">
        <v>640</v>
      </c>
      <c r="D121" s="134">
        <v>25</v>
      </c>
      <c r="E121" s="134">
        <v>575</v>
      </c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1:20" s="4" customFormat="1" ht="23.25" customHeight="1" x14ac:dyDescent="0.2">
      <c r="A122" s="71" t="s">
        <v>30</v>
      </c>
      <c r="B122" s="134">
        <v>20</v>
      </c>
      <c r="C122" s="134">
        <v>475</v>
      </c>
      <c r="D122" s="134">
        <v>23</v>
      </c>
      <c r="E122" s="134">
        <v>434</v>
      </c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3" spans="1:20" x14ac:dyDescent="0.2">
      <c r="A123" s="71" t="s">
        <v>211</v>
      </c>
      <c r="B123" s="134">
        <v>117</v>
      </c>
      <c r="C123" s="134">
        <v>3400</v>
      </c>
      <c r="D123" s="134">
        <v>138</v>
      </c>
      <c r="E123" s="134">
        <v>2876</v>
      </c>
    </row>
    <row r="124" spans="1:20" x14ac:dyDescent="0.2">
      <c r="A124"/>
      <c r="B124"/>
      <c r="C124"/>
    </row>
    <row r="125" spans="1:20" x14ac:dyDescent="0.2">
      <c r="A125"/>
      <c r="B125"/>
      <c r="C125"/>
    </row>
    <row r="126" spans="1:20" x14ac:dyDescent="0.2">
      <c r="A126"/>
      <c r="B126"/>
      <c r="C126"/>
    </row>
    <row r="127" spans="1:20" x14ac:dyDescent="0.2">
      <c r="A127"/>
      <c r="B127"/>
      <c r="C127"/>
    </row>
    <row r="128" spans="1:20" x14ac:dyDescent="0.2">
      <c r="A128"/>
      <c r="B128"/>
      <c r="C128"/>
    </row>
    <row r="129" spans="1:20" s="5" customFormat="1" ht="12" customHeigh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20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20" x14ac:dyDescent="0.2">
      <c r="A131"/>
      <c r="B131"/>
      <c r="C131"/>
    </row>
    <row r="132" spans="1:20" x14ac:dyDescent="0.2">
      <c r="A132"/>
      <c r="B132"/>
      <c r="C132"/>
    </row>
    <row r="133" spans="1:20" x14ac:dyDescent="0.2">
      <c r="A133"/>
      <c r="B133"/>
      <c r="C133"/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SEMANA 8</vt:lpstr>
      <vt:lpstr>SEMANA 9</vt:lpstr>
      <vt:lpstr>DATOS 1</vt:lpstr>
      <vt:lpstr>DATOS 2</vt:lpstr>
      <vt:lpstr>DATOS 3</vt:lpstr>
      <vt:lpstr>DATOS 4</vt:lpstr>
      <vt:lpstr>DATOS 5</vt:lpstr>
      <vt:lpstr>DATOS 6 y 7 </vt:lpstr>
      <vt:lpstr>DATOS 8</vt:lpstr>
      <vt:lpstr>DATOS 9</vt:lpstr>
      <vt:lpstr>EDTs</vt:lpstr>
      <vt:lpstr>DATOS 1 (CICLO 2)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2025-10-28T16:58:38Z</dcterms:modified>
  <cp:category/>
  <cp:contentStatus/>
</cp:coreProperties>
</file>