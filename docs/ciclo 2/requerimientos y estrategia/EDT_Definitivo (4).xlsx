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13FAD568-61A7-4A6D-A1C4-18E5A0718C4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Plantilla" sheetId="2" r:id="rId1"/>
    <sheet name="EDT" sheetId="1" r:id="rId2"/>
    <sheet name="EDT copia" sheetId="4" r:id="rId3"/>
    <sheet name="EDT (CICLO 2)" sheetId="5" r:id="rId4"/>
  </sheets>
  <calcPr calcId="191029"/>
  <pivotCaches>
    <pivotCache cacheId="0" r:id="rId5"/>
    <pivotCache cacheId="1" r:id="rId6"/>
    <pivotCache cacheId="2" r:id="rId7"/>
    <pivotCache cacheId="6" r:id="rId8"/>
    <pivotCache cacheId="14" r:id="rId9"/>
    <pivotCache cacheId="18" r:id="rId10"/>
    <pivotCache cacheId="2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1" i="5" l="1"/>
  <c r="C110" i="5"/>
  <c r="C109" i="5"/>
  <c r="C108" i="5"/>
  <c r="C107" i="5"/>
  <c r="C106" i="5"/>
  <c r="C95" i="5"/>
  <c r="C92" i="5"/>
  <c r="C93" i="5"/>
  <c r="C94" i="5"/>
  <c r="C99" i="5"/>
  <c r="C98" i="5"/>
  <c r="C97" i="5"/>
  <c r="C96" i="5"/>
  <c r="G89" i="5"/>
  <c r="J2" i="4"/>
  <c r="K2" i="4"/>
  <c r="J4" i="4"/>
  <c r="K4" i="4"/>
  <c r="J5" i="4"/>
  <c r="K5" i="4"/>
  <c r="J9" i="4"/>
  <c r="K9" i="4"/>
  <c r="K89" i="4" s="1"/>
  <c r="J13" i="4"/>
  <c r="K13" i="4"/>
  <c r="J14" i="4"/>
  <c r="K14" i="4"/>
  <c r="J16" i="4"/>
  <c r="K16" i="4"/>
  <c r="J17" i="4"/>
  <c r="K17" i="4"/>
  <c r="J18" i="4"/>
  <c r="K18" i="4"/>
  <c r="J19" i="4"/>
  <c r="K19" i="4"/>
  <c r="J20" i="4"/>
  <c r="J21" i="4"/>
  <c r="J22" i="4"/>
  <c r="K22" i="4"/>
  <c r="C93" i="4" s="1"/>
  <c r="J25" i="4"/>
  <c r="K25" i="4"/>
  <c r="J28" i="4"/>
  <c r="K28" i="4"/>
  <c r="K30" i="4"/>
  <c r="J31" i="4"/>
  <c r="K31" i="4"/>
  <c r="J36" i="4"/>
  <c r="K36" i="4"/>
  <c r="J37" i="4"/>
  <c r="K37" i="4"/>
  <c r="J48" i="4"/>
  <c r="K48" i="4"/>
  <c r="J49" i="4"/>
  <c r="K49" i="4"/>
  <c r="K57" i="4"/>
  <c r="K58" i="4"/>
  <c r="J61" i="4"/>
  <c r="K61" i="4"/>
  <c r="J68" i="4"/>
  <c r="K68" i="4"/>
  <c r="J69" i="4"/>
  <c r="K69" i="4"/>
  <c r="J72" i="4"/>
  <c r="K72" i="4"/>
  <c r="J77" i="4"/>
  <c r="K77" i="4"/>
  <c r="J78" i="4"/>
  <c r="K78" i="4"/>
  <c r="J79" i="4"/>
  <c r="K79" i="4"/>
  <c r="J80" i="4"/>
  <c r="K80" i="4"/>
  <c r="J81" i="4"/>
  <c r="K81" i="4"/>
  <c r="J82" i="4"/>
  <c r="K82" i="4"/>
  <c r="J87" i="4"/>
  <c r="K87" i="4"/>
  <c r="J88" i="4"/>
  <c r="K88" i="4"/>
  <c r="K88" i="5"/>
  <c r="K87" i="5"/>
  <c r="K82" i="5"/>
  <c r="K81" i="5"/>
  <c r="K80" i="5"/>
  <c r="K79" i="5"/>
  <c r="K78" i="5"/>
  <c r="K77" i="5"/>
  <c r="K72" i="5"/>
  <c r="K71" i="5"/>
  <c r="K69" i="5"/>
  <c r="K68" i="5"/>
  <c r="K62" i="5"/>
  <c r="K61" i="5"/>
  <c r="K59" i="5"/>
  <c r="K58" i="5"/>
  <c r="K57" i="5"/>
  <c r="K52" i="5"/>
  <c r="K49" i="5"/>
  <c r="K48" i="5"/>
  <c r="K41" i="5"/>
  <c r="K37" i="5"/>
  <c r="K36" i="5"/>
  <c r="K31" i="5"/>
  <c r="K89" i="5" s="1"/>
  <c r="K28" i="5"/>
  <c r="K25" i="5"/>
  <c r="K22" i="5"/>
  <c r="K19" i="5"/>
  <c r="K16" i="5"/>
  <c r="K14" i="5"/>
  <c r="K13" i="5"/>
  <c r="K5" i="5"/>
  <c r="K4" i="5"/>
  <c r="J88" i="5"/>
  <c r="J87" i="5"/>
  <c r="J82" i="5"/>
  <c r="J81" i="5"/>
  <c r="J80" i="5"/>
  <c r="J79" i="5"/>
  <c r="J78" i="5"/>
  <c r="J77" i="5"/>
  <c r="J72" i="5"/>
  <c r="J69" i="5"/>
  <c r="J68" i="5"/>
  <c r="J61" i="5"/>
  <c r="J49" i="5"/>
  <c r="J48" i="5"/>
  <c r="J37" i="5"/>
  <c r="J36" i="5"/>
  <c r="J31" i="5"/>
  <c r="J28" i="5"/>
  <c r="J25" i="5"/>
  <c r="J22" i="5"/>
  <c r="J21" i="5"/>
  <c r="J20" i="5"/>
  <c r="J19" i="5"/>
  <c r="J18" i="5"/>
  <c r="J17" i="5"/>
  <c r="J16" i="5"/>
  <c r="J14" i="5"/>
  <c r="J13" i="5"/>
  <c r="J9" i="5"/>
  <c r="J5" i="5"/>
  <c r="J4" i="5"/>
  <c r="J2" i="5"/>
  <c r="G36" i="5"/>
  <c r="G21" i="5"/>
  <c r="G20" i="5"/>
  <c r="G18" i="5"/>
  <c r="G17" i="5"/>
  <c r="G14" i="5"/>
  <c r="L209" i="5"/>
  <c r="K209" i="5"/>
  <c r="L208" i="5"/>
  <c r="K208" i="5"/>
  <c r="L203" i="5"/>
  <c r="K203" i="5"/>
  <c r="L202" i="5"/>
  <c r="K202" i="5"/>
  <c r="L201" i="5"/>
  <c r="K201" i="5"/>
  <c r="L200" i="5"/>
  <c r="K200" i="5"/>
  <c r="L199" i="5"/>
  <c r="K199" i="5"/>
  <c r="L198" i="5"/>
  <c r="K198" i="5"/>
  <c r="L193" i="5"/>
  <c r="K193" i="5"/>
  <c r="L190" i="5"/>
  <c r="K190" i="5"/>
  <c r="L189" i="5"/>
  <c r="K189" i="5"/>
  <c r="L182" i="5"/>
  <c r="K182" i="5"/>
  <c r="L179" i="5"/>
  <c r="L178" i="5"/>
  <c r="I89" i="5"/>
  <c r="F89" i="5"/>
  <c r="C89" i="5"/>
  <c r="J89" i="5"/>
  <c r="L209" i="1"/>
  <c r="K209" i="1"/>
  <c r="L208" i="1"/>
  <c r="K208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3" i="1"/>
  <c r="K193" i="1"/>
  <c r="L190" i="1"/>
  <c r="K190" i="1"/>
  <c r="L189" i="1"/>
  <c r="K189" i="1"/>
  <c r="L182" i="1"/>
  <c r="K182" i="1"/>
  <c r="L179" i="1"/>
  <c r="L178" i="1"/>
  <c r="C99" i="4"/>
  <c r="C98" i="4"/>
  <c r="C97" i="4"/>
  <c r="C96" i="4"/>
  <c r="C95" i="4"/>
  <c r="C94" i="4"/>
  <c r="I89" i="4"/>
  <c r="F89" i="4"/>
  <c r="C89" i="4"/>
  <c r="C92" i="4"/>
  <c r="H88" i="4"/>
  <c r="G88" i="4"/>
  <c r="H87" i="4"/>
  <c r="G87" i="4"/>
  <c r="H82" i="4"/>
  <c r="G82" i="4"/>
  <c r="H81" i="4"/>
  <c r="G81" i="4"/>
  <c r="H80" i="4"/>
  <c r="G80" i="4"/>
  <c r="H79" i="4"/>
  <c r="G79" i="4"/>
  <c r="H78" i="4"/>
  <c r="G78" i="4"/>
  <c r="H77" i="4"/>
  <c r="G77" i="4"/>
  <c r="H72" i="4"/>
  <c r="G72" i="4"/>
  <c r="H71" i="4"/>
  <c r="H69" i="4"/>
  <c r="G69" i="4"/>
  <c r="H68" i="4"/>
  <c r="G68" i="4"/>
  <c r="H62" i="4"/>
  <c r="H61" i="4"/>
  <c r="G61" i="4"/>
  <c r="H59" i="4"/>
  <c r="H58" i="4"/>
  <c r="H57" i="4"/>
  <c r="H52" i="4"/>
  <c r="H49" i="4"/>
  <c r="G49" i="4"/>
  <c r="H48" i="4"/>
  <c r="G48" i="4"/>
  <c r="H41" i="4"/>
  <c r="H37" i="4"/>
  <c r="G37" i="4"/>
  <c r="H36" i="4"/>
  <c r="G36" i="4"/>
  <c r="H31" i="4"/>
  <c r="G31" i="4"/>
  <c r="H28" i="4"/>
  <c r="G28" i="4"/>
  <c r="H25" i="4"/>
  <c r="G25" i="4"/>
  <c r="H22" i="4"/>
  <c r="G22" i="4"/>
  <c r="G21" i="4"/>
  <c r="G20" i="4"/>
  <c r="H19" i="4"/>
  <c r="G19" i="4"/>
  <c r="G18" i="4"/>
  <c r="G17" i="4"/>
  <c r="H16" i="4"/>
  <c r="G16" i="4"/>
  <c r="H14" i="4"/>
  <c r="G14" i="4"/>
  <c r="H13" i="4"/>
  <c r="G13" i="4"/>
  <c r="G9" i="4"/>
  <c r="J89" i="4"/>
  <c r="H5" i="4"/>
  <c r="G5" i="4"/>
  <c r="H4" i="4"/>
  <c r="H89" i="4" s="1"/>
  <c r="G4" i="4"/>
  <c r="G89" i="4" s="1"/>
  <c r="G2" i="4"/>
  <c r="C99" i="1"/>
  <c r="C98" i="1"/>
  <c r="C97" i="1"/>
  <c r="C96" i="1"/>
  <c r="C95" i="1"/>
  <c r="C94" i="1"/>
  <c r="C93" i="1"/>
  <c r="C92" i="1"/>
  <c r="G89" i="1"/>
  <c r="K88" i="1"/>
  <c r="G28" i="1"/>
  <c r="G19" i="1"/>
  <c r="G14" i="1"/>
  <c r="G4" i="1"/>
  <c r="G5" i="1"/>
  <c r="G49" i="1"/>
  <c r="G48" i="1"/>
  <c r="G37" i="1"/>
  <c r="G36" i="1"/>
  <c r="G31" i="1"/>
  <c r="G25" i="1"/>
  <c r="G22" i="1"/>
  <c r="G21" i="1"/>
  <c r="G20" i="1"/>
  <c r="G18" i="1"/>
  <c r="G17" i="1"/>
  <c r="G16" i="1"/>
  <c r="G13" i="1"/>
  <c r="G9" i="1"/>
  <c r="G2" i="1"/>
  <c r="J88" i="1"/>
  <c r="J87" i="1"/>
  <c r="J82" i="1"/>
  <c r="J81" i="1"/>
  <c r="J80" i="1"/>
  <c r="J79" i="1"/>
  <c r="J78" i="1"/>
  <c r="J77" i="1"/>
  <c r="J72" i="1"/>
  <c r="J69" i="1"/>
  <c r="J68" i="1"/>
  <c r="J61" i="1"/>
  <c r="K58" i="1"/>
  <c r="K57" i="1"/>
  <c r="J49" i="1"/>
  <c r="J48" i="1"/>
  <c r="J37" i="1"/>
  <c r="J36" i="1"/>
  <c r="J31" i="1"/>
  <c r="K30" i="1"/>
  <c r="J28" i="1"/>
  <c r="J25" i="1"/>
  <c r="J22" i="1"/>
  <c r="J17" i="1"/>
  <c r="J18" i="1"/>
  <c r="J19" i="1"/>
  <c r="J20" i="1"/>
  <c r="J21" i="1"/>
  <c r="J16" i="1"/>
  <c r="J14" i="1"/>
  <c r="J13" i="1"/>
  <c r="J9" i="1"/>
  <c r="J5" i="1"/>
  <c r="J4" i="1"/>
  <c r="J2" i="1"/>
  <c r="K17" i="1"/>
  <c r="K18" i="1"/>
  <c r="K19" i="1"/>
  <c r="K16" i="1"/>
  <c r="K14" i="1"/>
  <c r="K13" i="1"/>
  <c r="K25" i="1"/>
  <c r="K22" i="1"/>
  <c r="K31" i="1"/>
  <c r="K28" i="1"/>
  <c r="K37" i="1"/>
  <c r="K36" i="1"/>
  <c r="K49" i="1"/>
  <c r="K48" i="1"/>
  <c r="H48" i="1"/>
  <c r="K61" i="1"/>
  <c r="K69" i="1"/>
  <c r="K68" i="1"/>
  <c r="K72" i="1"/>
  <c r="K78" i="1"/>
  <c r="K77" i="1"/>
  <c r="K79" i="1"/>
  <c r="K81" i="1"/>
  <c r="K82" i="1"/>
  <c r="K80" i="1"/>
  <c r="K87" i="1"/>
  <c r="K9" i="1"/>
  <c r="K2" i="1"/>
  <c r="K5" i="1"/>
  <c r="K4" i="1"/>
  <c r="H4" i="1"/>
  <c r="H36" i="1"/>
  <c r="H19" i="1"/>
  <c r="H16" i="1"/>
  <c r="H41" i="1"/>
  <c r="H49" i="1"/>
  <c r="H37" i="1"/>
  <c r="H31" i="1"/>
  <c r="H28" i="1"/>
  <c r="H25" i="1"/>
  <c r="H22" i="1"/>
  <c r="H13" i="1"/>
  <c r="H14" i="1"/>
  <c r="H5" i="1"/>
  <c r="I89" i="1"/>
  <c r="F89" i="1"/>
  <c r="C89" i="1"/>
  <c r="H89" i="5" l="1"/>
  <c r="J89" i="1"/>
  <c r="K89" i="1"/>
  <c r="H89" i="1"/>
</calcChain>
</file>

<file path=xl/sharedStrings.xml><?xml version="1.0" encoding="utf-8"?>
<sst xmlns="http://schemas.openxmlformats.org/spreadsheetml/2006/main" count="1593" uniqueCount="109">
  <si>
    <t>Versión</t>
  </si>
  <si>
    <t>Fase / Etapa</t>
  </si>
  <si>
    <t>Actividades</t>
  </si>
  <si>
    <t>Responsable/s</t>
  </si>
  <si>
    <t>Tipo</t>
  </si>
  <si>
    <t>Tamaño en codigo</t>
  </si>
  <si>
    <t>Tamaño documentos REAL</t>
  </si>
  <si>
    <t>Tiempo (min) REAL</t>
  </si>
  <si>
    <t>Tamaño en codigo EST</t>
  </si>
  <si>
    <t>Tamaño documentos EST</t>
  </si>
  <si>
    <t>Tiempo (min) EST</t>
  </si>
  <si>
    <t>Lanzamiento / Iniciación</t>
  </si>
  <si>
    <t>Acta de iniciación</t>
  </si>
  <si>
    <t>LE, LP, LA, LC, LD, LS</t>
  </si>
  <si>
    <t>Unico</t>
  </si>
  <si>
    <t>Constitución del equipo</t>
  </si>
  <si>
    <t>LE</t>
  </si>
  <si>
    <t>Definición del objetivo</t>
  </si>
  <si>
    <t>Definición del problema</t>
  </si>
  <si>
    <t>Definición de roles y responsabilidades</t>
  </si>
  <si>
    <t>Log de defectos</t>
  </si>
  <si>
    <t>Común</t>
  </si>
  <si>
    <t>Control de asignaciones</t>
  </si>
  <si>
    <t>LP</t>
  </si>
  <si>
    <t>Desarrollo Pagina Web</t>
  </si>
  <si>
    <t>LE, LD</t>
  </si>
  <si>
    <t>Acta de reunión</t>
  </si>
  <si>
    <t>LC</t>
  </si>
  <si>
    <t>Script de procesos</t>
  </si>
  <si>
    <t>Subida de documentos</t>
  </si>
  <si>
    <t>Maestro de documentos</t>
  </si>
  <si>
    <t>Bitacoras</t>
  </si>
  <si>
    <t>Estrategia</t>
  </si>
  <si>
    <t>Lineamiento Estrategico</t>
  </si>
  <si>
    <t>Estrategia general y diseño conceptual</t>
  </si>
  <si>
    <t>LE, LA</t>
  </si>
  <si>
    <t>Plan de riesgos</t>
  </si>
  <si>
    <t>LP, LD</t>
  </si>
  <si>
    <t>Plan de administración de configuración</t>
  </si>
  <si>
    <t>LC, LS</t>
  </si>
  <si>
    <t>Plan de control de cambios</t>
  </si>
  <si>
    <t>Requerimientos</t>
  </si>
  <si>
    <t>Plan de administración de requerimientos</t>
  </si>
  <si>
    <t>Especificación de Requerimientos de software</t>
  </si>
  <si>
    <t>LP,LE</t>
  </si>
  <si>
    <t>Plantillas Casos de uso</t>
  </si>
  <si>
    <t>Diagrama de Caso de uso</t>
  </si>
  <si>
    <t>LD</t>
  </si>
  <si>
    <t>Plantilla de atributos de calidad</t>
  </si>
  <si>
    <t>LC,LS</t>
  </si>
  <si>
    <t>Modelo de Dominio</t>
  </si>
  <si>
    <t>Planeación</t>
  </si>
  <si>
    <t>Especificación detallada de tareas</t>
  </si>
  <si>
    <t>LP,LD</t>
  </si>
  <si>
    <t>Plan de calidad</t>
  </si>
  <si>
    <t>LE,LA</t>
  </si>
  <si>
    <t>Definir objetivo y alcance</t>
  </si>
  <si>
    <t>Control de cambios</t>
  </si>
  <si>
    <t>LS,LC</t>
  </si>
  <si>
    <t>Definir roles y responsabilidades</t>
  </si>
  <si>
    <t>Descomposición de tareas</t>
  </si>
  <si>
    <t>Arquitectura y diseño detallado</t>
  </si>
  <si>
    <t>Especificación de diseño de Software</t>
  </si>
  <si>
    <t>Arquitectura de la solución</t>
  </si>
  <si>
    <t>LA</t>
  </si>
  <si>
    <t>Diseño funcionales UML</t>
  </si>
  <si>
    <t>LD,LE,LP</t>
  </si>
  <si>
    <t>Implementación</t>
  </si>
  <si>
    <t>Plan de implementación</t>
  </si>
  <si>
    <t>Codificación</t>
  </si>
  <si>
    <t>Propuesta de testeos</t>
  </si>
  <si>
    <t>LA,LC</t>
  </si>
  <si>
    <t>Configuración del repositorio GitHub</t>
  </si>
  <si>
    <t>LE,LS</t>
  </si>
  <si>
    <t>Validaciones</t>
  </si>
  <si>
    <t>Pruebas</t>
  </si>
  <si>
    <t>Plan de pruebas</t>
  </si>
  <si>
    <t>Informes pruebas</t>
  </si>
  <si>
    <t>Testeo local</t>
  </si>
  <si>
    <t>Postmortem</t>
  </si>
  <si>
    <t>Informe de postmortem</t>
  </si>
  <si>
    <t>LE,LA,LS</t>
  </si>
  <si>
    <t>Presentación postmortem</t>
  </si>
  <si>
    <t>Recolección de documentos</t>
  </si>
  <si>
    <t>Correción y revisión</t>
  </si>
  <si>
    <t>SUMA</t>
  </si>
  <si>
    <t>Peso</t>
  </si>
  <si>
    <t>Tiempo (min)</t>
  </si>
  <si>
    <t>Etiquetas de fila</t>
  </si>
  <si>
    <t>Total general</t>
  </si>
  <si>
    <t>Suma de Tiempo (min) EST</t>
  </si>
  <si>
    <t>Suma de Tamaño documentos EST</t>
  </si>
  <si>
    <t>Suma de Tamaño en codigo EST</t>
  </si>
  <si>
    <t>Suma de Tiempo (min) REAL</t>
  </si>
  <si>
    <t>Suma de Tamaño documentos REAL</t>
  </si>
  <si>
    <t>Suma de Tamaño en codigo</t>
  </si>
  <si>
    <t>Bitácoras</t>
  </si>
  <si>
    <t>subida de documentos</t>
  </si>
  <si>
    <t>Control de Asignaciones</t>
  </si>
  <si>
    <t>Informe final</t>
  </si>
  <si>
    <t>Script de definicion de procesos</t>
  </si>
  <si>
    <t>ADMINISTRATIVAS</t>
  </si>
  <si>
    <t>TOTAL EST X FASE</t>
  </si>
  <si>
    <t>Suma de TOTAL EST X FASE</t>
  </si>
  <si>
    <t>FASES TUTURAS</t>
  </si>
  <si>
    <t>CICLO 2</t>
  </si>
  <si>
    <t>CICLO 1</t>
  </si>
  <si>
    <t xml:space="preserve">CICLO 2 </t>
  </si>
  <si>
    <t xml:space="preserve">CICLO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</si>
</sst>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0" xfId="0" applyFont="1"/>
    <xf numFmtId="0" fontId="4" fillId="0" borderId="0" xfId="0" applyFont="1"/>
    <xf numFmtId="0" fontId="2" fillId="3" borderId="0" xfId="0" applyFont="1" applyFill="1"/>
    <xf numFmtId="0" fontId="2" fillId="4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4" fillId="5" borderId="0" xfId="0" applyFont="1" applyFill="1"/>
    <xf numFmtId="0" fontId="4" fillId="5" borderId="4" xfId="0" applyFont="1" applyFill="1" applyBorder="1"/>
    <xf numFmtId="0" fontId="3" fillId="5" borderId="4" xfId="0" applyFont="1" applyFill="1" applyBorder="1"/>
    <xf numFmtId="0" fontId="1" fillId="2" borderId="3" xfId="0" applyFont="1" applyFill="1" applyBorder="1"/>
    <xf numFmtId="0" fontId="0" fillId="0" borderId="5" xfId="0" applyBorder="1"/>
    <xf numFmtId="0" fontId="0" fillId="0" borderId="5" xfId="0" pivotButton="1" applyBorder="1"/>
    <xf numFmtId="0" fontId="0" fillId="0" borderId="7" xfId="0" applyBorder="1"/>
    <xf numFmtId="0" fontId="0" fillId="0" borderId="5" xfId="0" applyBorder="1" applyAlignment="1">
      <alignment horizontal="left"/>
    </xf>
    <xf numFmtId="0" fontId="0" fillId="0" borderId="8" xfId="0" applyBorder="1"/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9" xfId="0" applyBorder="1"/>
    <xf numFmtId="0" fontId="0" fillId="0" borderId="11" xfId="0" applyBorder="1"/>
    <xf numFmtId="0" fontId="0" fillId="0" borderId="6" xfId="0" applyBorder="1"/>
    <xf numFmtId="0" fontId="0" fillId="0" borderId="12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0" xfId="0" applyFont="1"/>
    <xf numFmtId="0" fontId="0" fillId="0" borderId="17" xfId="0" applyBorder="1"/>
    <xf numFmtId="0" fontId="0" fillId="4" borderId="0" xfId="0" applyFill="1"/>
    <xf numFmtId="0" fontId="0" fillId="3" borderId="0" xfId="0" applyFill="1"/>
    <xf numFmtId="0" fontId="0" fillId="0" borderId="18" xfId="0" pivotButton="1" applyBorder="1"/>
    <xf numFmtId="0" fontId="0" fillId="0" borderId="18" xfId="0" applyBorder="1"/>
    <xf numFmtId="0" fontId="0" fillId="0" borderId="19" xfId="0" applyBorder="1"/>
    <xf numFmtId="0" fontId="0" fillId="0" borderId="17" xfId="0" applyBorder="1" applyAlignment="1">
      <alignment horizontal="center"/>
    </xf>
    <xf numFmtId="0" fontId="0" fillId="6" borderId="20" xfId="0" applyFill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6" borderId="18" xfId="0" applyFill="1" applyBorder="1" applyAlignment="1">
      <alignment horizontal="left"/>
    </xf>
    <xf numFmtId="0" fontId="0" fillId="0" borderId="5" xfId="0" applyNumberFormat="1" applyBorder="1"/>
    <xf numFmtId="0" fontId="0" fillId="0" borderId="14" xfId="0" applyNumberFormat="1" applyBorder="1"/>
    <xf numFmtId="0" fontId="0" fillId="0" borderId="11" xfId="0" applyNumberFormat="1" applyBorder="1"/>
    <xf numFmtId="0" fontId="0" fillId="0" borderId="6" xfId="0" applyNumberFormat="1" applyBorder="1"/>
    <xf numFmtId="0" fontId="0" fillId="0" borderId="15" xfId="0" applyNumberFormat="1" applyBorder="1"/>
    <xf numFmtId="0" fontId="0" fillId="0" borderId="12" xfId="0" applyNumberFormat="1" applyBorder="1"/>
    <xf numFmtId="0" fontId="0" fillId="0" borderId="10" xfId="0" applyNumberFormat="1" applyBorder="1"/>
    <xf numFmtId="0" fontId="0" fillId="0" borderId="16" xfId="0" applyNumberFormat="1" applyBorder="1"/>
    <xf numFmtId="0" fontId="0" fillId="0" borderId="13" xfId="0" applyNumberFormat="1" applyBorder="1"/>
  </cellXfs>
  <cellStyles count="1">
    <cellStyle name="Normal" xfId="0" builtinId="0"/>
  </cellStyles>
  <dxfs count="9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1"/>
          <bgColor theme="1"/>
        </patternFill>
      </fill>
    </dxf>
  </dxfs>
  <tableStyles count="3">
    <tableStyle name="Hoja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Copia de Hoja1 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Copia de Hoja1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[EDT_Definitivo (4).xlsx]EDT!TablaDinámica12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EDT!$C$104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EDT!$B$105:$B$113</c:f>
              <c:strCache>
                <c:ptCount val="8"/>
                <c:pt idx="0">
                  <c:v>Acta de reunión</c:v>
                </c:pt>
                <c:pt idx="1">
                  <c:v>Bitácoras</c:v>
                </c:pt>
                <c:pt idx="2">
                  <c:v>Control de Asignaciones</c:v>
                </c:pt>
                <c:pt idx="3">
                  <c:v>Informe final</c:v>
                </c:pt>
                <c:pt idx="4">
                  <c:v>Log de defectos</c:v>
                </c:pt>
                <c:pt idx="5">
                  <c:v>Maestro de documentos</c:v>
                </c:pt>
                <c:pt idx="6">
                  <c:v>Script de definicion de procesos</c:v>
                </c:pt>
                <c:pt idx="7">
                  <c:v>subida de documentos</c:v>
                </c:pt>
              </c:strCache>
            </c:strRef>
          </c:cat>
          <c:val>
            <c:numRef>
              <c:f>EDT!$C$105:$C$113</c:f>
              <c:numCache>
                <c:formatCode>General</c:formatCode>
                <c:ptCount val="8"/>
                <c:pt idx="0">
                  <c:v>240</c:v>
                </c:pt>
                <c:pt idx="1">
                  <c:v>1320</c:v>
                </c:pt>
                <c:pt idx="2">
                  <c:v>240</c:v>
                </c:pt>
                <c:pt idx="3">
                  <c:v>240</c:v>
                </c:pt>
                <c:pt idx="4">
                  <c:v>240</c:v>
                </c:pt>
                <c:pt idx="5">
                  <c:v>1440</c:v>
                </c:pt>
                <c:pt idx="6">
                  <c:v>240</c:v>
                </c:pt>
                <c:pt idx="7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9-445B-BE6F-E74A9E4FFC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9945327"/>
        <c:axId val="619941007"/>
      </c:barChart>
      <c:catAx>
        <c:axId val="6199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9941007"/>
        <c:crosses val="autoZero"/>
        <c:auto val="1"/>
        <c:lblAlgn val="ctr"/>
        <c:lblOffset val="100"/>
        <c:noMultiLvlLbl val="0"/>
      </c:catAx>
      <c:valAx>
        <c:axId val="61994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994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[EDT_Definitivo (4).xlsx]EDT!TablaDinámica14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EDT!$O$3</c:f>
              <c:strCache>
                <c:ptCount val="1"/>
                <c:pt idx="0">
                  <c:v>Suma de Tiempo (min) 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EDT!$N$4:$N$8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Postmortem</c:v>
                </c:pt>
                <c:pt idx="3">
                  <c:v>Requerimientos</c:v>
                </c:pt>
              </c:strCache>
            </c:strRef>
          </c:cat>
          <c:val>
            <c:numRef>
              <c:f>EDT!$O$4:$O$8</c:f>
              <c:numCache>
                <c:formatCode>General</c:formatCode>
                <c:ptCount val="4"/>
                <c:pt idx="0">
                  <c:v>360</c:v>
                </c:pt>
                <c:pt idx="1">
                  <c:v>560</c:v>
                </c:pt>
                <c:pt idx="2">
                  <c:v>300</c:v>
                </c:pt>
                <c:pt idx="3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9-428D-BB32-BB325DAA6343}"/>
            </c:ext>
          </c:extLst>
        </c:ser>
        <c:ser>
          <c:idx val="1"/>
          <c:order val="1"/>
          <c:tx>
            <c:strRef>
              <c:f>EDT!$P$3</c:f>
              <c:strCache>
                <c:ptCount val="1"/>
                <c:pt idx="0">
                  <c:v>Suma de Tamaño documentos 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EDT!$N$4:$N$8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Postmortem</c:v>
                </c:pt>
                <c:pt idx="3">
                  <c:v>Requerimientos</c:v>
                </c:pt>
              </c:strCache>
            </c:strRef>
          </c:cat>
          <c:val>
            <c:numRef>
              <c:f>EDT!$P$4:$P$8</c:f>
              <c:numCache>
                <c:formatCode>General</c:formatCode>
                <c:ptCount val="4"/>
                <c:pt idx="0">
                  <c:v>19</c:v>
                </c:pt>
                <c:pt idx="1">
                  <c:v>24</c:v>
                </c:pt>
                <c:pt idx="2">
                  <c:v>22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9-428D-BB32-BB325DAA6343}"/>
            </c:ext>
          </c:extLst>
        </c:ser>
        <c:ser>
          <c:idx val="2"/>
          <c:order val="2"/>
          <c:tx>
            <c:strRef>
              <c:f>EDT!$Q$3</c:f>
              <c:strCache>
                <c:ptCount val="1"/>
                <c:pt idx="0">
                  <c:v>Suma de Tamaño en codigo 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EDT!$N$4:$N$8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Postmortem</c:v>
                </c:pt>
                <c:pt idx="3">
                  <c:v>Requerimientos</c:v>
                </c:pt>
              </c:strCache>
            </c:strRef>
          </c:cat>
          <c:val>
            <c:numRef>
              <c:f>EDT!$Q$4:$Q$8</c:f>
              <c:numCache>
                <c:formatCode>General</c:formatCode>
                <c:ptCount val="4"/>
                <c:pt idx="0">
                  <c:v>1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79-428D-BB32-BB325DAA6343}"/>
            </c:ext>
          </c:extLst>
        </c:ser>
        <c:ser>
          <c:idx val="3"/>
          <c:order val="3"/>
          <c:tx>
            <c:strRef>
              <c:f>EDT!$R$3</c:f>
              <c:strCache>
                <c:ptCount val="1"/>
                <c:pt idx="0">
                  <c:v>Suma de Tamaño en codigo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EDT!$N$4:$N$8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Postmortem</c:v>
                </c:pt>
                <c:pt idx="3">
                  <c:v>Requerimientos</c:v>
                </c:pt>
              </c:strCache>
            </c:strRef>
          </c:cat>
          <c:val>
            <c:numRef>
              <c:f>EDT!$R$4:$R$8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79-428D-BB32-BB325DAA6343}"/>
            </c:ext>
          </c:extLst>
        </c:ser>
        <c:ser>
          <c:idx val="4"/>
          <c:order val="4"/>
          <c:tx>
            <c:strRef>
              <c:f>EDT!$S$3</c:f>
              <c:strCache>
                <c:ptCount val="1"/>
                <c:pt idx="0">
                  <c:v>Suma de Tamaño documentos REAL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EDT!$N$4:$N$8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Postmortem</c:v>
                </c:pt>
                <c:pt idx="3">
                  <c:v>Requerimientos</c:v>
                </c:pt>
              </c:strCache>
            </c:strRef>
          </c:cat>
          <c:val>
            <c:numRef>
              <c:f>EDT!$S$4:$S$8</c:f>
              <c:numCache>
                <c:formatCode>General</c:formatCode>
                <c:ptCount val="4"/>
                <c:pt idx="0">
                  <c:v>18</c:v>
                </c:pt>
                <c:pt idx="1">
                  <c:v>21</c:v>
                </c:pt>
                <c:pt idx="2">
                  <c:v>15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79-428D-BB32-BB325DAA6343}"/>
            </c:ext>
          </c:extLst>
        </c:ser>
        <c:ser>
          <c:idx val="5"/>
          <c:order val="5"/>
          <c:tx>
            <c:strRef>
              <c:f>EDT!$T$3</c:f>
              <c:strCache>
                <c:ptCount val="1"/>
                <c:pt idx="0">
                  <c:v>Suma de Tiempo (min) REAL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EDT!$N$4:$N$8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Postmortem</c:v>
                </c:pt>
                <c:pt idx="3">
                  <c:v>Requerimientos</c:v>
                </c:pt>
              </c:strCache>
            </c:strRef>
          </c:cat>
          <c:val>
            <c:numRef>
              <c:f>EDT!$T$4:$T$8</c:f>
              <c:numCache>
                <c:formatCode>General</c:formatCode>
                <c:ptCount val="4"/>
                <c:pt idx="0">
                  <c:v>352</c:v>
                </c:pt>
                <c:pt idx="1">
                  <c:v>549</c:v>
                </c:pt>
                <c:pt idx="2">
                  <c:v>278</c:v>
                </c:pt>
                <c:pt idx="3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79-428D-BB32-BB325DAA63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0940351"/>
        <c:axId val="550940831"/>
      </c:barChart>
      <c:catAx>
        <c:axId val="55094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0940831"/>
        <c:crosses val="autoZero"/>
        <c:auto val="1"/>
        <c:lblAlgn val="ctr"/>
        <c:lblOffset val="100"/>
        <c:noMultiLvlLbl val="0"/>
      </c:catAx>
      <c:valAx>
        <c:axId val="55094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094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[EDT_Definitivo (4).xlsx]EDT!TablaDinámica15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EDT!$O$53</c:f>
              <c:strCache>
                <c:ptCount val="1"/>
                <c:pt idx="0">
                  <c:v>Suma de Tiempo (min) 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EDT!$N$54:$N$58</c:f>
              <c:strCache>
                <c:ptCount val="4"/>
                <c:pt idx="0">
                  <c:v>Arquitectura y diseño detallado</c:v>
                </c:pt>
                <c:pt idx="1">
                  <c:v>Implementación</c:v>
                </c:pt>
                <c:pt idx="2">
                  <c:v>Postmortem</c:v>
                </c:pt>
                <c:pt idx="3">
                  <c:v>Pruebas</c:v>
                </c:pt>
              </c:strCache>
            </c:strRef>
          </c:cat>
          <c:val>
            <c:numRef>
              <c:f>EDT!$O$54:$O$58</c:f>
              <c:numCache>
                <c:formatCode>General</c:formatCode>
                <c:ptCount val="4"/>
                <c:pt idx="0">
                  <c:v>600</c:v>
                </c:pt>
                <c:pt idx="1">
                  <c:v>805</c:v>
                </c:pt>
                <c:pt idx="2">
                  <c:v>1110</c:v>
                </c:pt>
                <c:pt idx="3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F-4E64-9DCF-A21E53E2A527}"/>
            </c:ext>
          </c:extLst>
        </c:ser>
        <c:ser>
          <c:idx val="1"/>
          <c:order val="1"/>
          <c:tx>
            <c:strRef>
              <c:f>EDT!$P$53</c:f>
              <c:strCache>
                <c:ptCount val="1"/>
                <c:pt idx="0">
                  <c:v>Suma de Tamaño documentos 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EDT!$N$54:$N$58</c:f>
              <c:strCache>
                <c:ptCount val="4"/>
                <c:pt idx="0">
                  <c:v>Arquitectura y diseño detallado</c:v>
                </c:pt>
                <c:pt idx="1">
                  <c:v>Implementación</c:v>
                </c:pt>
                <c:pt idx="2">
                  <c:v>Postmortem</c:v>
                </c:pt>
                <c:pt idx="3">
                  <c:v>Pruebas</c:v>
                </c:pt>
              </c:strCache>
            </c:strRef>
          </c:cat>
          <c:val>
            <c:numRef>
              <c:f>EDT!$P$54:$P$58</c:f>
              <c:numCache>
                <c:formatCode>General</c:formatCode>
                <c:ptCount val="4"/>
                <c:pt idx="0">
                  <c:v>43</c:v>
                </c:pt>
                <c:pt idx="1">
                  <c:v>48</c:v>
                </c:pt>
                <c:pt idx="2">
                  <c:v>91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FF-4E64-9DCF-A21E53E2A527}"/>
            </c:ext>
          </c:extLst>
        </c:ser>
        <c:ser>
          <c:idx val="2"/>
          <c:order val="2"/>
          <c:tx>
            <c:strRef>
              <c:f>EDT!$Q$53</c:f>
              <c:strCache>
                <c:ptCount val="1"/>
                <c:pt idx="0">
                  <c:v>Suma de Tamaño en codigo 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EDT!$N$54:$N$58</c:f>
              <c:strCache>
                <c:ptCount val="4"/>
                <c:pt idx="0">
                  <c:v>Arquitectura y diseño detallado</c:v>
                </c:pt>
                <c:pt idx="1">
                  <c:v>Implementación</c:v>
                </c:pt>
                <c:pt idx="2">
                  <c:v>Postmortem</c:v>
                </c:pt>
                <c:pt idx="3">
                  <c:v>Pruebas</c:v>
                </c:pt>
              </c:strCache>
            </c:strRef>
          </c:cat>
          <c:val>
            <c:numRef>
              <c:f>EDT!$Q$54:$Q$58</c:f>
              <c:numCache>
                <c:formatCode>General</c:formatCode>
                <c:ptCount val="4"/>
                <c:pt idx="0">
                  <c:v>4</c:v>
                </c:pt>
                <c:pt idx="1">
                  <c:v>10</c:v>
                </c:pt>
                <c:pt idx="2">
                  <c:v>6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FF-4E64-9DCF-A21E53E2A5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0436927"/>
        <c:axId val="560432127"/>
      </c:barChart>
      <c:catAx>
        <c:axId val="56043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0432127"/>
        <c:crosses val="autoZero"/>
        <c:auto val="1"/>
        <c:lblAlgn val="ctr"/>
        <c:lblOffset val="100"/>
        <c:noMultiLvlLbl val="0"/>
      </c:catAx>
      <c:valAx>
        <c:axId val="56043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043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[EDT_Definitivo (4).xlsx]EDT copia!TablaDinámica11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'EDT copia'!$O$1</c:f>
              <c:strCache>
                <c:ptCount val="1"/>
                <c:pt idx="0">
                  <c:v>Suma de Tiempo (min) 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copia'!$N$2:$N$10</c:f>
              <c:strCache>
                <c:ptCount val="8"/>
                <c:pt idx="0">
                  <c:v>Arquitectura y diseño detallado</c:v>
                </c:pt>
                <c:pt idx="1">
                  <c:v>Estrategia</c:v>
                </c:pt>
                <c:pt idx="2">
                  <c:v>Implementación</c:v>
                </c:pt>
                <c:pt idx="3">
                  <c:v>Lanzamiento / Iniciación</c:v>
                </c:pt>
                <c:pt idx="4">
                  <c:v>Planeación</c:v>
                </c:pt>
                <c:pt idx="5">
                  <c:v>Postmortem</c:v>
                </c:pt>
                <c:pt idx="6">
                  <c:v>Pruebas</c:v>
                </c:pt>
                <c:pt idx="7">
                  <c:v>Requerimientos</c:v>
                </c:pt>
              </c:strCache>
            </c:strRef>
          </c:cat>
          <c:val>
            <c:numRef>
              <c:f>'EDT copia'!$O$2:$O$10</c:f>
              <c:numCache>
                <c:formatCode>General</c:formatCode>
                <c:ptCount val="8"/>
                <c:pt idx="0">
                  <c:v>300</c:v>
                </c:pt>
                <c:pt idx="1">
                  <c:v>360</c:v>
                </c:pt>
                <c:pt idx="2">
                  <c:v>445</c:v>
                </c:pt>
                <c:pt idx="3">
                  <c:v>560</c:v>
                </c:pt>
                <c:pt idx="4">
                  <c:v>330</c:v>
                </c:pt>
                <c:pt idx="5">
                  <c:v>300</c:v>
                </c:pt>
                <c:pt idx="6">
                  <c:v>270</c:v>
                </c:pt>
                <c:pt idx="7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1-40AC-9D95-FDFED9FE5F07}"/>
            </c:ext>
          </c:extLst>
        </c:ser>
        <c:ser>
          <c:idx val="1"/>
          <c:order val="1"/>
          <c:tx>
            <c:strRef>
              <c:f>'EDT copia'!$P$1</c:f>
              <c:strCache>
                <c:ptCount val="1"/>
                <c:pt idx="0">
                  <c:v>Suma de Tamaño documentos 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copia'!$N$2:$N$10</c:f>
              <c:strCache>
                <c:ptCount val="8"/>
                <c:pt idx="0">
                  <c:v>Arquitectura y diseño detallado</c:v>
                </c:pt>
                <c:pt idx="1">
                  <c:v>Estrategia</c:v>
                </c:pt>
                <c:pt idx="2">
                  <c:v>Implementación</c:v>
                </c:pt>
                <c:pt idx="3">
                  <c:v>Lanzamiento / Iniciación</c:v>
                </c:pt>
                <c:pt idx="4">
                  <c:v>Planeación</c:v>
                </c:pt>
                <c:pt idx="5">
                  <c:v>Postmortem</c:v>
                </c:pt>
                <c:pt idx="6">
                  <c:v>Pruebas</c:v>
                </c:pt>
                <c:pt idx="7">
                  <c:v>Requerimientos</c:v>
                </c:pt>
              </c:strCache>
            </c:strRef>
          </c:cat>
          <c:val>
            <c:numRef>
              <c:f>'EDT copia'!$P$2:$P$10</c:f>
              <c:numCache>
                <c:formatCode>General</c:formatCode>
                <c:ptCount val="8"/>
                <c:pt idx="0">
                  <c:v>15</c:v>
                </c:pt>
                <c:pt idx="1">
                  <c:v>19</c:v>
                </c:pt>
                <c:pt idx="2">
                  <c:v>18</c:v>
                </c:pt>
                <c:pt idx="3">
                  <c:v>24</c:v>
                </c:pt>
                <c:pt idx="4">
                  <c:v>19</c:v>
                </c:pt>
                <c:pt idx="5">
                  <c:v>22</c:v>
                </c:pt>
                <c:pt idx="6">
                  <c:v>16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1-40AC-9D95-FDFED9FE5F07}"/>
            </c:ext>
          </c:extLst>
        </c:ser>
        <c:ser>
          <c:idx val="2"/>
          <c:order val="2"/>
          <c:tx>
            <c:strRef>
              <c:f>'EDT copia'!$Q$1</c:f>
              <c:strCache>
                <c:ptCount val="1"/>
                <c:pt idx="0">
                  <c:v>Suma de Tamaño en codigo 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copia'!$N$2:$N$10</c:f>
              <c:strCache>
                <c:ptCount val="8"/>
                <c:pt idx="0">
                  <c:v>Arquitectura y diseño detallado</c:v>
                </c:pt>
                <c:pt idx="1">
                  <c:v>Estrategia</c:v>
                </c:pt>
                <c:pt idx="2">
                  <c:v>Implementación</c:v>
                </c:pt>
                <c:pt idx="3">
                  <c:v>Lanzamiento / Iniciación</c:v>
                </c:pt>
                <c:pt idx="4">
                  <c:v>Planeación</c:v>
                </c:pt>
                <c:pt idx="5">
                  <c:v>Postmortem</c:v>
                </c:pt>
                <c:pt idx="6">
                  <c:v>Pruebas</c:v>
                </c:pt>
                <c:pt idx="7">
                  <c:v>Requerimientos</c:v>
                </c:pt>
              </c:strCache>
            </c:strRef>
          </c:cat>
          <c:val>
            <c:numRef>
              <c:f>'EDT copia'!$Q$2:$Q$10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10</c:v>
                </c:pt>
                <c:pt idx="3">
                  <c:v>7</c:v>
                </c:pt>
                <c:pt idx="4">
                  <c:v>2</c:v>
                </c:pt>
                <c:pt idx="5">
                  <c:v>6</c:v>
                </c:pt>
                <c:pt idx="6">
                  <c:v>10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81-40AC-9D95-FDFED9FE5F07}"/>
            </c:ext>
          </c:extLst>
        </c:ser>
        <c:ser>
          <c:idx val="3"/>
          <c:order val="3"/>
          <c:tx>
            <c:strRef>
              <c:f>'EDT copia'!$R$1</c:f>
              <c:strCache>
                <c:ptCount val="1"/>
                <c:pt idx="0">
                  <c:v>Suma de Tiempo (min)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copia'!$N$2:$N$10</c:f>
              <c:strCache>
                <c:ptCount val="8"/>
                <c:pt idx="0">
                  <c:v>Arquitectura y diseño detallado</c:v>
                </c:pt>
                <c:pt idx="1">
                  <c:v>Estrategia</c:v>
                </c:pt>
                <c:pt idx="2">
                  <c:v>Implementación</c:v>
                </c:pt>
                <c:pt idx="3">
                  <c:v>Lanzamiento / Iniciación</c:v>
                </c:pt>
                <c:pt idx="4">
                  <c:v>Planeación</c:v>
                </c:pt>
                <c:pt idx="5">
                  <c:v>Postmortem</c:v>
                </c:pt>
                <c:pt idx="6">
                  <c:v>Pruebas</c:v>
                </c:pt>
                <c:pt idx="7">
                  <c:v>Requerimientos</c:v>
                </c:pt>
              </c:strCache>
            </c:strRef>
          </c:cat>
          <c:val>
            <c:numRef>
              <c:f>'EDT copia'!$R$2:$R$10</c:f>
              <c:numCache>
                <c:formatCode>General</c:formatCode>
                <c:ptCount val="8"/>
                <c:pt idx="0">
                  <c:v>300</c:v>
                </c:pt>
                <c:pt idx="1">
                  <c:v>352</c:v>
                </c:pt>
                <c:pt idx="2">
                  <c:v>445</c:v>
                </c:pt>
                <c:pt idx="3">
                  <c:v>549</c:v>
                </c:pt>
                <c:pt idx="4">
                  <c:v>310</c:v>
                </c:pt>
                <c:pt idx="5">
                  <c:v>278</c:v>
                </c:pt>
                <c:pt idx="6">
                  <c:v>270</c:v>
                </c:pt>
                <c:pt idx="7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81-40AC-9D95-FDFED9FE5F07}"/>
            </c:ext>
          </c:extLst>
        </c:ser>
        <c:ser>
          <c:idx val="4"/>
          <c:order val="4"/>
          <c:tx>
            <c:strRef>
              <c:f>'EDT copia'!$S$1</c:f>
              <c:strCache>
                <c:ptCount val="1"/>
                <c:pt idx="0">
                  <c:v>Suma de Tamaño documentos REAL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copia'!$N$2:$N$10</c:f>
              <c:strCache>
                <c:ptCount val="8"/>
                <c:pt idx="0">
                  <c:v>Arquitectura y diseño detallado</c:v>
                </c:pt>
                <c:pt idx="1">
                  <c:v>Estrategia</c:v>
                </c:pt>
                <c:pt idx="2">
                  <c:v>Implementación</c:v>
                </c:pt>
                <c:pt idx="3">
                  <c:v>Lanzamiento / Iniciación</c:v>
                </c:pt>
                <c:pt idx="4">
                  <c:v>Planeación</c:v>
                </c:pt>
                <c:pt idx="5">
                  <c:v>Postmortem</c:v>
                </c:pt>
                <c:pt idx="6">
                  <c:v>Pruebas</c:v>
                </c:pt>
                <c:pt idx="7">
                  <c:v>Requerimientos</c:v>
                </c:pt>
              </c:strCache>
            </c:strRef>
          </c:cat>
          <c:val>
            <c:numRef>
              <c:f>'EDT copia'!$S$2:$S$10</c:f>
              <c:numCache>
                <c:formatCode>General</c:formatCode>
                <c:ptCount val="8"/>
                <c:pt idx="0">
                  <c:v>13</c:v>
                </c:pt>
                <c:pt idx="1">
                  <c:v>18</c:v>
                </c:pt>
                <c:pt idx="2">
                  <c:v>11</c:v>
                </c:pt>
                <c:pt idx="3">
                  <c:v>21</c:v>
                </c:pt>
                <c:pt idx="4">
                  <c:v>18</c:v>
                </c:pt>
                <c:pt idx="5">
                  <c:v>15</c:v>
                </c:pt>
                <c:pt idx="6">
                  <c:v>9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81-40AC-9D95-FDFED9FE5F07}"/>
            </c:ext>
          </c:extLst>
        </c:ser>
        <c:ser>
          <c:idx val="5"/>
          <c:order val="5"/>
          <c:tx>
            <c:strRef>
              <c:f>'EDT copia'!$T$1</c:f>
              <c:strCache>
                <c:ptCount val="1"/>
                <c:pt idx="0">
                  <c:v>Suma de Tamaño en codigo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copia'!$N$2:$N$10</c:f>
              <c:strCache>
                <c:ptCount val="8"/>
                <c:pt idx="0">
                  <c:v>Arquitectura y diseño detallado</c:v>
                </c:pt>
                <c:pt idx="1">
                  <c:v>Estrategia</c:v>
                </c:pt>
                <c:pt idx="2">
                  <c:v>Implementación</c:v>
                </c:pt>
                <c:pt idx="3">
                  <c:v>Lanzamiento / Iniciación</c:v>
                </c:pt>
                <c:pt idx="4">
                  <c:v>Planeación</c:v>
                </c:pt>
                <c:pt idx="5">
                  <c:v>Postmortem</c:v>
                </c:pt>
                <c:pt idx="6">
                  <c:v>Pruebas</c:v>
                </c:pt>
                <c:pt idx="7">
                  <c:v>Requerimientos</c:v>
                </c:pt>
              </c:strCache>
            </c:strRef>
          </c:cat>
          <c:val>
            <c:numRef>
              <c:f>'EDT copia'!$T$2:$T$10</c:f>
              <c:numCache>
                <c:formatCode>General</c:formatCode>
                <c:ptCount val="8"/>
                <c:pt idx="0">
                  <c:v>5</c:v>
                </c:pt>
                <c:pt idx="1">
                  <c:v>2</c:v>
                </c:pt>
                <c:pt idx="2">
                  <c:v>11</c:v>
                </c:pt>
                <c:pt idx="3">
                  <c:v>5</c:v>
                </c:pt>
                <c:pt idx="4">
                  <c:v>2</c:v>
                </c:pt>
                <c:pt idx="5">
                  <c:v>6</c:v>
                </c:pt>
                <c:pt idx="6">
                  <c:v>9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81-40AC-9D95-FDFED9FE5F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2003951"/>
        <c:axId val="542002031"/>
      </c:barChart>
      <c:catAx>
        <c:axId val="54200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002031"/>
        <c:crosses val="autoZero"/>
        <c:auto val="1"/>
        <c:lblAlgn val="ctr"/>
        <c:lblOffset val="100"/>
        <c:noMultiLvlLbl val="0"/>
      </c:catAx>
      <c:valAx>
        <c:axId val="54200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00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[EDT_Definitivo (4).xlsx]EDT copia!TablaDinámica12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'EDT copia'!$C$104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copia'!$B$105:$B$113</c:f>
              <c:strCache>
                <c:ptCount val="8"/>
                <c:pt idx="0">
                  <c:v>Acta de reunión</c:v>
                </c:pt>
                <c:pt idx="1">
                  <c:v>Bitácoras</c:v>
                </c:pt>
                <c:pt idx="2">
                  <c:v>Control de Asignaciones</c:v>
                </c:pt>
                <c:pt idx="3">
                  <c:v>Informe final</c:v>
                </c:pt>
                <c:pt idx="4">
                  <c:v>Log de defectos</c:v>
                </c:pt>
                <c:pt idx="5">
                  <c:v>Maestro de documentos</c:v>
                </c:pt>
                <c:pt idx="6">
                  <c:v>Script de definicion de procesos</c:v>
                </c:pt>
                <c:pt idx="7">
                  <c:v>subida de documentos</c:v>
                </c:pt>
              </c:strCache>
            </c:strRef>
          </c:cat>
          <c:val>
            <c:numRef>
              <c:f>'EDT copia'!$C$105:$C$113</c:f>
              <c:numCache>
                <c:formatCode>General</c:formatCode>
                <c:ptCount val="8"/>
                <c:pt idx="0">
                  <c:v>240</c:v>
                </c:pt>
                <c:pt idx="1">
                  <c:v>1320</c:v>
                </c:pt>
                <c:pt idx="2">
                  <c:v>240</c:v>
                </c:pt>
                <c:pt idx="3">
                  <c:v>240</c:v>
                </c:pt>
                <c:pt idx="4">
                  <c:v>240</c:v>
                </c:pt>
                <c:pt idx="5">
                  <c:v>1440</c:v>
                </c:pt>
                <c:pt idx="6">
                  <c:v>240</c:v>
                </c:pt>
                <c:pt idx="7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1-42DC-BF79-487B65DA7E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9945327"/>
        <c:axId val="619941007"/>
      </c:barChart>
      <c:catAx>
        <c:axId val="6199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9941007"/>
        <c:crosses val="autoZero"/>
        <c:auto val="1"/>
        <c:lblAlgn val="ctr"/>
        <c:lblOffset val="100"/>
        <c:noMultiLvlLbl val="0"/>
      </c:catAx>
      <c:valAx>
        <c:axId val="61994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994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[EDT_Definitivo (4).xlsx]EDT (CICLO 2)!TablaDinámica14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'EDT (CICLO 2)'!$O$3</c:f>
              <c:strCache>
                <c:ptCount val="1"/>
                <c:pt idx="0">
                  <c:v>Suma de Tiempo (min) 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2)'!$N$4:$N$8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Planeación</c:v>
                </c:pt>
                <c:pt idx="3">
                  <c:v>Requerimientos</c:v>
                </c:pt>
              </c:strCache>
            </c:strRef>
          </c:cat>
          <c:val>
            <c:numRef>
              <c:f>'EDT (CICLO 2)'!$O$4:$O$8</c:f>
              <c:numCache>
                <c:formatCode>General</c:formatCode>
                <c:ptCount val="4"/>
                <c:pt idx="0">
                  <c:v>360</c:v>
                </c:pt>
                <c:pt idx="1">
                  <c:v>560</c:v>
                </c:pt>
                <c:pt idx="2">
                  <c:v>330</c:v>
                </c:pt>
                <c:pt idx="3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9-43BA-9D55-A4565E634558}"/>
            </c:ext>
          </c:extLst>
        </c:ser>
        <c:ser>
          <c:idx val="1"/>
          <c:order val="1"/>
          <c:tx>
            <c:strRef>
              <c:f>'EDT (CICLO 2)'!$P$3</c:f>
              <c:strCache>
                <c:ptCount val="1"/>
                <c:pt idx="0">
                  <c:v>Suma de Tamaño documentos 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2)'!$N$4:$N$8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Planeación</c:v>
                </c:pt>
                <c:pt idx="3">
                  <c:v>Requerimientos</c:v>
                </c:pt>
              </c:strCache>
            </c:strRef>
          </c:cat>
          <c:val>
            <c:numRef>
              <c:f>'EDT (CICLO 2)'!$P$4:$P$8</c:f>
              <c:numCache>
                <c:formatCode>General</c:formatCode>
                <c:ptCount val="4"/>
                <c:pt idx="0">
                  <c:v>19</c:v>
                </c:pt>
                <c:pt idx="1">
                  <c:v>24</c:v>
                </c:pt>
                <c:pt idx="2">
                  <c:v>19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39-43BA-9D55-A4565E634558}"/>
            </c:ext>
          </c:extLst>
        </c:ser>
        <c:ser>
          <c:idx val="2"/>
          <c:order val="2"/>
          <c:tx>
            <c:strRef>
              <c:f>'EDT (CICLO 2)'!$Q$3</c:f>
              <c:strCache>
                <c:ptCount val="1"/>
                <c:pt idx="0">
                  <c:v>Suma de Tamaño en codigo 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2)'!$N$4:$N$8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Planeación</c:v>
                </c:pt>
                <c:pt idx="3">
                  <c:v>Requerimientos</c:v>
                </c:pt>
              </c:strCache>
            </c:strRef>
          </c:cat>
          <c:val>
            <c:numRef>
              <c:f>'EDT (CICLO 2)'!$Q$4:$Q$8</c:f>
              <c:numCache>
                <c:formatCode>General</c:formatCode>
                <c:ptCount val="4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39-43BA-9D55-A4565E634558}"/>
            </c:ext>
          </c:extLst>
        </c:ser>
        <c:ser>
          <c:idx val="3"/>
          <c:order val="3"/>
          <c:tx>
            <c:strRef>
              <c:f>'EDT (CICLO 2)'!$R$3</c:f>
              <c:strCache>
                <c:ptCount val="1"/>
                <c:pt idx="0">
                  <c:v>Suma de Tamaño en codigo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2)'!$N$4:$N$8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Planeación</c:v>
                </c:pt>
                <c:pt idx="3">
                  <c:v>Requerimientos</c:v>
                </c:pt>
              </c:strCache>
            </c:strRef>
          </c:cat>
          <c:val>
            <c:numRef>
              <c:f>'EDT (CICLO 2)'!$R$4:$R$8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39-43BA-9D55-A4565E634558}"/>
            </c:ext>
          </c:extLst>
        </c:ser>
        <c:ser>
          <c:idx val="4"/>
          <c:order val="4"/>
          <c:tx>
            <c:strRef>
              <c:f>'EDT (CICLO 2)'!$S$3</c:f>
              <c:strCache>
                <c:ptCount val="1"/>
                <c:pt idx="0">
                  <c:v>Suma de Tamaño documentos REAL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2)'!$N$4:$N$8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Planeación</c:v>
                </c:pt>
                <c:pt idx="3">
                  <c:v>Requerimientos</c:v>
                </c:pt>
              </c:strCache>
            </c:strRef>
          </c:cat>
          <c:val>
            <c:numRef>
              <c:f>'EDT (CICLO 2)'!$S$4:$S$8</c:f>
              <c:numCache>
                <c:formatCode>General</c:formatCode>
                <c:ptCount val="4"/>
                <c:pt idx="0">
                  <c:v>18</c:v>
                </c:pt>
                <c:pt idx="1">
                  <c:v>21</c:v>
                </c:pt>
                <c:pt idx="2">
                  <c:v>18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39-43BA-9D55-A4565E634558}"/>
            </c:ext>
          </c:extLst>
        </c:ser>
        <c:ser>
          <c:idx val="5"/>
          <c:order val="5"/>
          <c:tx>
            <c:strRef>
              <c:f>'EDT (CICLO 2)'!$T$3</c:f>
              <c:strCache>
                <c:ptCount val="1"/>
                <c:pt idx="0">
                  <c:v>Suma de Tiempo (min) REAL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2)'!$N$4:$N$8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Planeación</c:v>
                </c:pt>
                <c:pt idx="3">
                  <c:v>Requerimientos</c:v>
                </c:pt>
              </c:strCache>
            </c:strRef>
          </c:cat>
          <c:val>
            <c:numRef>
              <c:f>'EDT (CICLO 2)'!$T$4:$T$8</c:f>
              <c:numCache>
                <c:formatCode>General</c:formatCode>
                <c:ptCount val="4"/>
                <c:pt idx="0">
                  <c:v>352</c:v>
                </c:pt>
                <c:pt idx="1">
                  <c:v>549</c:v>
                </c:pt>
                <c:pt idx="2">
                  <c:v>310</c:v>
                </c:pt>
                <c:pt idx="3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39-43BA-9D55-A4565E6345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0940351"/>
        <c:axId val="550940831"/>
      </c:barChart>
      <c:catAx>
        <c:axId val="55094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0940831"/>
        <c:crosses val="autoZero"/>
        <c:auto val="1"/>
        <c:lblAlgn val="ctr"/>
        <c:lblOffset val="100"/>
        <c:noMultiLvlLbl val="0"/>
      </c:catAx>
      <c:valAx>
        <c:axId val="55094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094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[EDT_Definitivo (4).xlsx]EDT (CICLO 2)!TablaDinámica15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'EDT (CICLO 2)'!$O$53</c:f>
              <c:strCache>
                <c:ptCount val="1"/>
                <c:pt idx="0">
                  <c:v>Suma de Tiempo (min) 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2)'!$N$54:$N$58</c:f>
              <c:strCache>
                <c:ptCount val="4"/>
                <c:pt idx="0">
                  <c:v>Arquitectura y diseño detallado</c:v>
                </c:pt>
                <c:pt idx="1">
                  <c:v>Implementación</c:v>
                </c:pt>
                <c:pt idx="2">
                  <c:v>Postmortem</c:v>
                </c:pt>
                <c:pt idx="3">
                  <c:v>Pruebas</c:v>
                </c:pt>
              </c:strCache>
            </c:strRef>
          </c:cat>
          <c:val>
            <c:numRef>
              <c:f>'EDT (CICLO 2)'!$O$54:$O$58</c:f>
              <c:numCache>
                <c:formatCode>General</c:formatCode>
                <c:ptCount val="4"/>
                <c:pt idx="0">
                  <c:v>600</c:v>
                </c:pt>
                <c:pt idx="1">
                  <c:v>805</c:v>
                </c:pt>
                <c:pt idx="2">
                  <c:v>1110</c:v>
                </c:pt>
                <c:pt idx="3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B-422B-8454-0CC2B2F40437}"/>
            </c:ext>
          </c:extLst>
        </c:ser>
        <c:ser>
          <c:idx val="1"/>
          <c:order val="1"/>
          <c:tx>
            <c:strRef>
              <c:f>'EDT (CICLO 2)'!$P$53</c:f>
              <c:strCache>
                <c:ptCount val="1"/>
                <c:pt idx="0">
                  <c:v>Suma de Tamaño documentos 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2)'!$N$54:$N$58</c:f>
              <c:strCache>
                <c:ptCount val="4"/>
                <c:pt idx="0">
                  <c:v>Arquitectura y diseño detallado</c:v>
                </c:pt>
                <c:pt idx="1">
                  <c:v>Implementación</c:v>
                </c:pt>
                <c:pt idx="2">
                  <c:v>Postmortem</c:v>
                </c:pt>
                <c:pt idx="3">
                  <c:v>Pruebas</c:v>
                </c:pt>
              </c:strCache>
            </c:strRef>
          </c:cat>
          <c:val>
            <c:numRef>
              <c:f>'EDT (CICLO 2)'!$P$54:$P$58</c:f>
              <c:numCache>
                <c:formatCode>General</c:formatCode>
                <c:ptCount val="4"/>
                <c:pt idx="0">
                  <c:v>43</c:v>
                </c:pt>
                <c:pt idx="1">
                  <c:v>48</c:v>
                </c:pt>
                <c:pt idx="2">
                  <c:v>91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5B-422B-8454-0CC2B2F40437}"/>
            </c:ext>
          </c:extLst>
        </c:ser>
        <c:ser>
          <c:idx val="2"/>
          <c:order val="2"/>
          <c:tx>
            <c:strRef>
              <c:f>'EDT (CICLO 2)'!$Q$53</c:f>
              <c:strCache>
                <c:ptCount val="1"/>
                <c:pt idx="0">
                  <c:v>Suma de Tamaño en codigo 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2)'!$N$54:$N$58</c:f>
              <c:strCache>
                <c:ptCount val="4"/>
                <c:pt idx="0">
                  <c:v>Arquitectura y diseño detallado</c:v>
                </c:pt>
                <c:pt idx="1">
                  <c:v>Implementación</c:v>
                </c:pt>
                <c:pt idx="2">
                  <c:v>Postmortem</c:v>
                </c:pt>
                <c:pt idx="3">
                  <c:v>Pruebas</c:v>
                </c:pt>
              </c:strCache>
            </c:strRef>
          </c:cat>
          <c:val>
            <c:numRef>
              <c:f>'EDT (CICLO 2)'!$Q$54:$Q$58</c:f>
              <c:numCache>
                <c:formatCode>General</c:formatCode>
                <c:ptCount val="4"/>
                <c:pt idx="0">
                  <c:v>4</c:v>
                </c:pt>
                <c:pt idx="1">
                  <c:v>10</c:v>
                </c:pt>
                <c:pt idx="2">
                  <c:v>6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5B-422B-8454-0CC2B2F404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0436927"/>
        <c:axId val="560432127"/>
      </c:barChart>
      <c:catAx>
        <c:axId val="56043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0432127"/>
        <c:crosses val="autoZero"/>
        <c:auto val="1"/>
        <c:lblAlgn val="ctr"/>
        <c:lblOffset val="100"/>
        <c:noMultiLvlLbl val="0"/>
      </c:catAx>
      <c:valAx>
        <c:axId val="56043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043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[EDT_Definitivo (4).xlsx]EDT (CICLO 2)!TablaDinámica1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CICLO</a:t>
            </a:r>
            <a:r>
              <a:rPr lang="en-US" baseline="0"/>
              <a:t> 2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'EDT (CICLO 2)'!$C$115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2)'!$B$116:$B$124</c:f>
              <c:strCache>
                <c:ptCount val="8"/>
                <c:pt idx="0">
                  <c:v>Acta de reunión</c:v>
                </c:pt>
                <c:pt idx="1">
                  <c:v>Bitácoras</c:v>
                </c:pt>
                <c:pt idx="2">
                  <c:v>Control de Asignaciones</c:v>
                </c:pt>
                <c:pt idx="3">
                  <c:v>Informe final</c:v>
                </c:pt>
                <c:pt idx="4">
                  <c:v>Log de defectos</c:v>
                </c:pt>
                <c:pt idx="5">
                  <c:v>Maestro de documentos</c:v>
                </c:pt>
                <c:pt idx="6">
                  <c:v>Script de definicion de procesos</c:v>
                </c:pt>
                <c:pt idx="7">
                  <c:v>subida de documentos</c:v>
                </c:pt>
              </c:strCache>
            </c:strRef>
          </c:cat>
          <c:val>
            <c:numRef>
              <c:f>'EDT (CICLO 2)'!$C$116:$C$124</c:f>
              <c:numCache>
                <c:formatCode>General</c:formatCode>
                <c:ptCount val="8"/>
                <c:pt idx="0">
                  <c:v>236</c:v>
                </c:pt>
                <c:pt idx="1">
                  <c:v>1320</c:v>
                </c:pt>
                <c:pt idx="2">
                  <c:v>228</c:v>
                </c:pt>
                <c:pt idx="3">
                  <c:v>220</c:v>
                </c:pt>
                <c:pt idx="4">
                  <c:v>225</c:v>
                </c:pt>
                <c:pt idx="5">
                  <c:v>1320</c:v>
                </c:pt>
                <c:pt idx="6">
                  <c:v>215</c:v>
                </c:pt>
                <c:pt idx="7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1-4D4C-87CF-7CF1E9FCC8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4449071"/>
        <c:axId val="394449551"/>
      </c:barChart>
      <c:catAx>
        <c:axId val="39444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4449551"/>
        <c:crosses val="autoZero"/>
        <c:auto val="1"/>
        <c:lblAlgn val="ctr"/>
        <c:lblOffset val="100"/>
        <c:noMultiLvlLbl val="0"/>
      </c:catAx>
      <c:valAx>
        <c:axId val="39444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444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[EDT_Definitivo (4).xlsx]EDT (CICLO 2)!TablaDinámica3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CICLO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'EDT (CICLO 2)'!$C$128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2)'!$B$129:$B$137</c:f>
              <c:strCache>
                <c:ptCount val="8"/>
                <c:pt idx="0">
                  <c:v>Acta de reunión</c:v>
                </c:pt>
                <c:pt idx="1">
                  <c:v>Bitácoras</c:v>
                </c:pt>
                <c:pt idx="2">
                  <c:v>Control de Asignaciones</c:v>
                </c:pt>
                <c:pt idx="3">
                  <c:v>Informe final</c:v>
                </c:pt>
                <c:pt idx="4">
                  <c:v>Log de defectos</c:v>
                </c:pt>
                <c:pt idx="5">
                  <c:v>Maestro de documentos</c:v>
                </c:pt>
                <c:pt idx="6">
                  <c:v>Script de definicion de procesos</c:v>
                </c:pt>
                <c:pt idx="7">
                  <c:v>subida de documentos</c:v>
                </c:pt>
              </c:strCache>
            </c:strRef>
          </c:cat>
          <c:val>
            <c:numRef>
              <c:f>'EDT (CICLO 2)'!$C$129:$C$137</c:f>
              <c:numCache>
                <c:formatCode>General</c:formatCode>
                <c:ptCount val="8"/>
                <c:pt idx="0">
                  <c:v>240</c:v>
                </c:pt>
                <c:pt idx="1">
                  <c:v>1320</c:v>
                </c:pt>
                <c:pt idx="2">
                  <c:v>240</c:v>
                </c:pt>
                <c:pt idx="3">
                  <c:v>240</c:v>
                </c:pt>
                <c:pt idx="4">
                  <c:v>240</c:v>
                </c:pt>
                <c:pt idx="5">
                  <c:v>1440</c:v>
                </c:pt>
                <c:pt idx="6">
                  <c:v>240</c:v>
                </c:pt>
                <c:pt idx="7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C-4BED-ACBC-EEC49BC755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8833263"/>
        <c:axId val="1708824143"/>
      </c:barChart>
      <c:catAx>
        <c:axId val="170883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08824143"/>
        <c:crosses val="autoZero"/>
        <c:auto val="1"/>
        <c:lblAlgn val="ctr"/>
        <c:lblOffset val="100"/>
        <c:noMultiLvlLbl val="0"/>
      </c:catAx>
      <c:valAx>
        <c:axId val="170882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0883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[EDT_Definitivo (4).xlsx]EDT (CICLO 2)!TablaDinámica4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'EDT (CICLO 2)'!$Y$3</c:f>
              <c:strCache>
                <c:ptCount val="1"/>
                <c:pt idx="0">
                  <c:v>Suma de Tamaño en codigo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2)'!$X$4:$X$8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Planeación</c:v>
                </c:pt>
                <c:pt idx="3">
                  <c:v>Requerimientos</c:v>
                </c:pt>
              </c:strCache>
            </c:strRef>
          </c:cat>
          <c:val>
            <c:numRef>
              <c:f>'EDT (CICLO 2)'!$Y$4:$Y$8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C-4C05-A201-06838F21999A}"/>
            </c:ext>
          </c:extLst>
        </c:ser>
        <c:ser>
          <c:idx val="1"/>
          <c:order val="1"/>
          <c:tx>
            <c:strRef>
              <c:f>'EDT (CICLO 2)'!$Z$3</c:f>
              <c:strCache>
                <c:ptCount val="1"/>
                <c:pt idx="0">
                  <c:v>Suma de Tamaño documentos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2)'!$X$4:$X$8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Planeación</c:v>
                </c:pt>
                <c:pt idx="3">
                  <c:v>Requerimientos</c:v>
                </c:pt>
              </c:strCache>
            </c:strRef>
          </c:cat>
          <c:val>
            <c:numRef>
              <c:f>'EDT (CICLO 2)'!$Z$4:$Z$8</c:f>
              <c:numCache>
                <c:formatCode>General</c:formatCode>
                <c:ptCount val="4"/>
                <c:pt idx="0">
                  <c:v>37</c:v>
                </c:pt>
                <c:pt idx="1">
                  <c:v>77</c:v>
                </c:pt>
                <c:pt idx="2">
                  <c:v>54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3C-4C05-A201-06838F21999A}"/>
            </c:ext>
          </c:extLst>
        </c:ser>
        <c:ser>
          <c:idx val="2"/>
          <c:order val="2"/>
          <c:tx>
            <c:strRef>
              <c:f>'EDT (CICLO 2)'!$AA$3</c:f>
              <c:strCache>
                <c:ptCount val="1"/>
                <c:pt idx="0">
                  <c:v>Suma de Tiempo (min)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2)'!$X$4:$X$8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Planeación</c:v>
                </c:pt>
                <c:pt idx="3">
                  <c:v>Requerimientos</c:v>
                </c:pt>
              </c:strCache>
            </c:strRef>
          </c:cat>
          <c:val>
            <c:numRef>
              <c:f>'EDT (CICLO 2)'!$AA$4:$AA$8</c:f>
              <c:numCache>
                <c:formatCode>General</c:formatCode>
                <c:ptCount val="4"/>
                <c:pt idx="0">
                  <c:v>775</c:v>
                </c:pt>
                <c:pt idx="1">
                  <c:v>1399</c:v>
                </c:pt>
                <c:pt idx="2">
                  <c:v>695</c:v>
                </c:pt>
                <c:pt idx="3">
                  <c:v>1059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3C-4C05-A201-06838F21999A}"/>
            </c:ext>
          </c:extLst>
        </c:ser>
        <c:ser>
          <c:idx val="3"/>
          <c:order val="3"/>
          <c:tx>
            <c:strRef>
              <c:f>'EDT (CICLO 2)'!$AB$3</c:f>
              <c:strCache>
                <c:ptCount val="1"/>
                <c:pt idx="0">
                  <c:v>Suma de Tamaño en codigo 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2)'!$X$4:$X$8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Planeación</c:v>
                </c:pt>
                <c:pt idx="3">
                  <c:v>Requerimientos</c:v>
                </c:pt>
              </c:strCache>
            </c:strRef>
          </c:cat>
          <c:val>
            <c:numRef>
              <c:f>'EDT (CICLO 2)'!$AB$4:$AB$8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3C-4C05-A201-06838F21999A}"/>
            </c:ext>
          </c:extLst>
        </c:ser>
        <c:ser>
          <c:idx val="4"/>
          <c:order val="4"/>
          <c:tx>
            <c:strRef>
              <c:f>'EDT (CICLO 2)'!$AC$3</c:f>
              <c:strCache>
                <c:ptCount val="1"/>
                <c:pt idx="0">
                  <c:v>Suma de Tamaño documentos 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2)'!$X$4:$X$8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Planeación</c:v>
                </c:pt>
                <c:pt idx="3">
                  <c:v>Requerimientos</c:v>
                </c:pt>
              </c:strCache>
            </c:strRef>
          </c:cat>
          <c:val>
            <c:numRef>
              <c:f>'EDT (CICLO 2)'!$AC$4:$AC$8</c:f>
              <c:numCache>
                <c:formatCode>General</c:formatCode>
                <c:ptCount val="4"/>
                <c:pt idx="0">
                  <c:v>35</c:v>
                </c:pt>
                <c:pt idx="1">
                  <c:v>70</c:v>
                </c:pt>
                <c:pt idx="2">
                  <c:v>52</c:v>
                </c:pt>
                <c:pt idx="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3C-4C05-A201-06838F21999A}"/>
            </c:ext>
          </c:extLst>
        </c:ser>
        <c:ser>
          <c:idx val="5"/>
          <c:order val="5"/>
          <c:tx>
            <c:strRef>
              <c:f>'EDT (CICLO 2)'!$AD$3</c:f>
              <c:strCache>
                <c:ptCount val="1"/>
                <c:pt idx="0">
                  <c:v>Suma de Tiempo (min) 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2)'!$X$4:$X$8</c:f>
              <c:strCache>
                <c:ptCount val="4"/>
                <c:pt idx="0">
                  <c:v>Estrategia</c:v>
                </c:pt>
                <c:pt idx="1">
                  <c:v>Lanzamiento / Iniciación</c:v>
                </c:pt>
                <c:pt idx="2">
                  <c:v>Planeación</c:v>
                </c:pt>
                <c:pt idx="3">
                  <c:v>Requerimientos</c:v>
                </c:pt>
              </c:strCache>
            </c:strRef>
          </c:cat>
          <c:val>
            <c:numRef>
              <c:f>'EDT (CICLO 2)'!$AD$4:$AD$8</c:f>
              <c:numCache>
                <c:formatCode>General</c:formatCode>
                <c:ptCount val="4"/>
                <c:pt idx="0">
                  <c:v>765</c:v>
                </c:pt>
                <c:pt idx="1">
                  <c:v>1429</c:v>
                </c:pt>
                <c:pt idx="2">
                  <c:v>665</c:v>
                </c:pt>
                <c:pt idx="3">
                  <c:v>1079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3C-4C05-A201-06838F2199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8876943"/>
        <c:axId val="1708877423"/>
      </c:barChart>
      <c:catAx>
        <c:axId val="170887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08877423"/>
        <c:crosses val="autoZero"/>
        <c:auto val="1"/>
        <c:lblAlgn val="ctr"/>
        <c:lblOffset val="100"/>
        <c:noMultiLvlLbl val="0"/>
      </c:catAx>
      <c:valAx>
        <c:axId val="170887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0887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[EDT_Definitivo (4).xlsx]EDT (CICLO 2)!TablaDinámica5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'EDT (CICLO 2)'!$W$52</c:f>
              <c:strCache>
                <c:ptCount val="1"/>
                <c:pt idx="0">
                  <c:v>Suma de Tamaño en codigo 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2)'!$V$53:$V$57</c:f>
              <c:strCache>
                <c:ptCount val="4"/>
                <c:pt idx="0">
                  <c:v>Arquitectura y diseño detallado</c:v>
                </c:pt>
                <c:pt idx="1">
                  <c:v>Implementación</c:v>
                </c:pt>
                <c:pt idx="2">
                  <c:v>Postmortem</c:v>
                </c:pt>
                <c:pt idx="3">
                  <c:v>Pruebas</c:v>
                </c:pt>
              </c:strCache>
            </c:strRef>
          </c:cat>
          <c:val>
            <c:numRef>
              <c:f>'EDT (CICLO 2)'!$W$53:$W$57</c:f>
              <c:numCache>
                <c:formatCode>General</c:formatCode>
                <c:ptCount val="4"/>
                <c:pt idx="0">
                  <c:v>5</c:v>
                </c:pt>
                <c:pt idx="1">
                  <c:v>11</c:v>
                </c:pt>
                <c:pt idx="2">
                  <c:v>6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0-49F9-BB5A-CC009A446CC3}"/>
            </c:ext>
          </c:extLst>
        </c:ser>
        <c:ser>
          <c:idx val="1"/>
          <c:order val="1"/>
          <c:tx>
            <c:strRef>
              <c:f>'EDT (CICLO 2)'!$X$52</c:f>
              <c:strCache>
                <c:ptCount val="1"/>
                <c:pt idx="0">
                  <c:v>Suma de Tamaño documentos 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2)'!$V$53:$V$57</c:f>
              <c:strCache>
                <c:ptCount val="4"/>
                <c:pt idx="0">
                  <c:v>Arquitectura y diseño detallado</c:v>
                </c:pt>
                <c:pt idx="1">
                  <c:v>Implementación</c:v>
                </c:pt>
                <c:pt idx="2">
                  <c:v>Postmortem</c:v>
                </c:pt>
                <c:pt idx="3">
                  <c:v>Pruebas</c:v>
                </c:pt>
              </c:strCache>
            </c:strRef>
          </c:cat>
          <c:val>
            <c:numRef>
              <c:f>'EDT (CICLO 2)'!$X$53:$X$57</c:f>
              <c:numCache>
                <c:formatCode>General</c:formatCode>
                <c:ptCount val="4"/>
                <c:pt idx="0">
                  <c:v>43</c:v>
                </c:pt>
                <c:pt idx="1">
                  <c:v>48</c:v>
                </c:pt>
                <c:pt idx="2">
                  <c:v>79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0-49F9-BB5A-CC009A446CC3}"/>
            </c:ext>
          </c:extLst>
        </c:ser>
        <c:ser>
          <c:idx val="2"/>
          <c:order val="2"/>
          <c:tx>
            <c:strRef>
              <c:f>'EDT (CICLO 2)'!$Y$52</c:f>
              <c:strCache>
                <c:ptCount val="1"/>
                <c:pt idx="0">
                  <c:v>Suma de Tiempo (min) 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'EDT (CICLO 2)'!$V$53:$V$57</c:f>
              <c:strCache>
                <c:ptCount val="4"/>
                <c:pt idx="0">
                  <c:v>Arquitectura y diseño detallado</c:v>
                </c:pt>
                <c:pt idx="1">
                  <c:v>Implementación</c:v>
                </c:pt>
                <c:pt idx="2">
                  <c:v>Postmortem</c:v>
                </c:pt>
                <c:pt idx="3">
                  <c:v>Pruebas</c:v>
                </c:pt>
              </c:strCache>
            </c:strRef>
          </c:cat>
          <c:val>
            <c:numRef>
              <c:f>'EDT (CICLO 2)'!$Y$53:$Y$57</c:f>
              <c:numCache>
                <c:formatCode>General</c:formatCode>
                <c:ptCount val="4"/>
                <c:pt idx="0">
                  <c:v>720</c:v>
                </c:pt>
                <c:pt idx="1">
                  <c:v>890</c:v>
                </c:pt>
                <c:pt idx="2">
                  <c:v>958</c:v>
                </c:pt>
                <c:pt idx="3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0-49F9-BB5A-CC009A446C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2744207"/>
        <c:axId val="1742745167"/>
      </c:barChart>
      <c:catAx>
        <c:axId val="174274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2745167"/>
        <c:crosses val="autoZero"/>
        <c:auto val="1"/>
        <c:lblAlgn val="ctr"/>
        <c:lblOffset val="100"/>
        <c:noMultiLvlLbl val="0"/>
      </c:catAx>
      <c:valAx>
        <c:axId val="174274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274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517585</xdr:colOff>
      <xdr:row>114</xdr:row>
      <xdr:rowOff>120051</xdr:rowOff>
    </xdr:from>
    <xdr:to>
      <xdr:col>4</xdr:col>
      <xdr:colOff>521180</xdr:colOff>
      <xdr:row>137</xdr:row>
      <xdr:rowOff>125803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F14E81-D17A-B4A3-A3A0-2815A82D7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71887</xdr:colOff>
      <xdr:row>14</xdr:row>
      <xdr:rowOff>35942</xdr:rowOff>
    </xdr:from>
    <xdr:to>
      <xdr:col>20</xdr:col>
      <xdr:colOff>17972</xdr:colOff>
      <xdr:row>49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883DF18-9AF6-67DC-DC26-4AF0CC278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37110</xdr:colOff>
      <xdr:row>59</xdr:row>
      <xdr:rowOff>123700</xdr:rowOff>
    </xdr:from>
    <xdr:to>
      <xdr:col>17</xdr:col>
      <xdr:colOff>49480</xdr:colOff>
      <xdr:row>92</xdr:row>
      <xdr:rowOff>29687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03A6398-0EF1-36DD-E47C-8DDBF99F4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695325</xdr:colOff>
      <xdr:row>11</xdr:row>
      <xdr:rowOff>166687</xdr:rowOff>
    </xdr:from>
    <xdr:to>
      <xdr:col>19</xdr:col>
      <xdr:colOff>314325</xdr:colOff>
      <xdr:row>33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4576DA-5D6F-4219-951E-FD71414CF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517585</xdr:colOff>
      <xdr:row>114</xdr:row>
      <xdr:rowOff>120051</xdr:rowOff>
    </xdr:from>
    <xdr:to>
      <xdr:col>4</xdr:col>
      <xdr:colOff>521180</xdr:colOff>
      <xdr:row>137</xdr:row>
      <xdr:rowOff>125803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D25FC3-958C-4C1B-9EE7-3EC7C518C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71887</xdr:colOff>
      <xdr:row>14</xdr:row>
      <xdr:rowOff>35942</xdr:rowOff>
    </xdr:from>
    <xdr:to>
      <xdr:col>20</xdr:col>
      <xdr:colOff>17972</xdr:colOff>
      <xdr:row>49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C90884A-378D-47EC-96B8-EDFD9CE1F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37110</xdr:colOff>
      <xdr:row>59</xdr:row>
      <xdr:rowOff>123700</xdr:rowOff>
    </xdr:from>
    <xdr:to>
      <xdr:col>17</xdr:col>
      <xdr:colOff>49480</xdr:colOff>
      <xdr:row>92</xdr:row>
      <xdr:rowOff>29687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D999ED2-2E3B-4F56-A70D-F455E8F8C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537481</xdr:colOff>
      <xdr:row>140</xdr:row>
      <xdr:rowOff>16330</xdr:rowOff>
    </xdr:from>
    <xdr:to>
      <xdr:col>3</xdr:col>
      <xdr:colOff>2299607</xdr:colOff>
      <xdr:row>160</xdr:row>
      <xdr:rowOff>163286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852B72-2ECD-66FF-FB1F-3D0F876E7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394606</xdr:colOff>
      <xdr:row>139</xdr:row>
      <xdr:rowOff>152400</xdr:rowOff>
    </xdr:from>
    <xdr:to>
      <xdr:col>9</xdr:col>
      <xdr:colOff>204107</xdr:colOff>
      <xdr:row>160</xdr:row>
      <xdr:rowOff>163286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50F2EC1-9E26-D498-2378-232BA4065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996723</xdr:colOff>
      <xdr:row>14</xdr:row>
      <xdr:rowOff>6123</xdr:rowOff>
    </xdr:from>
    <xdr:to>
      <xdr:col>28</xdr:col>
      <xdr:colOff>777040</xdr:colOff>
      <xdr:row>49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62B865A-7122-551E-B5C4-84B208B05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587115</xdr:colOff>
      <xdr:row>60</xdr:row>
      <xdr:rowOff>103993</xdr:rowOff>
    </xdr:from>
    <xdr:to>
      <xdr:col>25</xdr:col>
      <xdr:colOff>1290484</xdr:colOff>
      <xdr:row>92</xdr:row>
      <xdr:rowOff>92178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10957F4-0F52-3A8D-97AA-EADA82D6E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8.988582407408" createdVersion="8" refreshedVersion="8" minRefreshableVersion="3" recordCount="87" xr:uid="{F41B0B43-C7D2-46A3-BC12-39D384FD94DA}">
  <cacheSource type="worksheet">
    <worksheetSource ref="A1:K88" sheet="EDT"/>
  </cacheSource>
  <cacheFields count="11">
    <cacheField name="Versión" numFmtId="0">
      <sharedItems containsSemiMixedTypes="0" containsString="0" containsNumber="1" containsInteger="1" minValue="1" maxValue="8"/>
    </cacheField>
    <cacheField name="Fase / Etapa" numFmtId="0">
      <sharedItems count="8">
        <s v="Lanzamiento / Iniciación"/>
        <s v="Estrategia"/>
        <s v="Requerimientos"/>
        <s v="Planeación"/>
        <s v="Arquitectura y diseño detallado"/>
        <s v="Implementación"/>
        <s v="Pruebas"/>
        <s v="Postmortem"/>
      </sharedItems>
    </cacheField>
    <cacheField name="Actividades" numFmtId="0">
      <sharedItems count="45">
        <s v="Acta de iniciación"/>
        <s v="Constitución del equipo"/>
        <s v="Definición del objetivo"/>
        <s v="Definición del problema"/>
        <s v="Definición de roles y responsabilidades"/>
        <s v="Log de defectos"/>
        <s v="Control de asignaciones"/>
        <s v="Desarrollo Pagina Web"/>
        <s v="Acta de reunión"/>
        <s v="Script de procesos"/>
        <s v="Subida de documentos"/>
        <s v="Maestro de documentos"/>
        <s v="Bitacoras"/>
        <s v="Lineamiento Estrategico"/>
        <s v="Estrategia general y diseño conceptual"/>
        <s v="Plan de riesgos"/>
        <s v="Plan de administración de configuración"/>
        <s v="Plan de control de cambios"/>
        <s v="Plan de administración de requerimientos"/>
        <s v="Especificación de Requerimientos de software"/>
        <s v="Plantillas Casos de uso"/>
        <s v="Diagrama de Caso de uso"/>
        <s v="Plantilla de atributos de calidad"/>
        <s v="Modelo de Dominio"/>
        <s v="Especificación detallada de tareas"/>
        <s v="Plan de calidad"/>
        <s v="Definir objetivo y alcance"/>
        <s v="Control de cambios"/>
        <s v="Definir roles y responsabilidades"/>
        <s v="Descomposición de tareas"/>
        <s v="Especificación de diseño de Software"/>
        <s v="Arquitectura de la solución"/>
        <s v="Diseño funcionales UML"/>
        <s v="Plan de implementación"/>
        <s v="Codificación"/>
        <s v="Propuesta de testeos"/>
        <s v="Configuración del repositorio GitHub"/>
        <s v="Validaciones"/>
        <s v="Plan de pruebas"/>
        <s v="Informes pruebas"/>
        <s v="Testeo local"/>
        <s v="Informe de postmortem"/>
        <s v="Presentación postmortem"/>
        <s v="Recolección de documentos"/>
        <s v="Correción y revisión"/>
      </sharedItems>
    </cacheField>
    <cacheField name="Responsable/s" numFmtId="0">
      <sharedItems count="19">
        <s v="LE, LP, LA, LC, LD, LS"/>
        <s v="LE"/>
        <s v="LP"/>
        <s v="LE, LD"/>
        <s v="LC"/>
        <s v="LE, LA"/>
        <s v="LP, LD"/>
        <s v="LC, LS"/>
        <s v="LP,LE"/>
        <s v="LD"/>
        <s v="LC,LS"/>
        <s v="LP,LD"/>
        <s v="LE,LA"/>
        <s v="LS,LC"/>
        <s v="LA"/>
        <s v="LD,LE,LP"/>
        <s v="LA,LC"/>
        <s v="LE,LS"/>
        <s v="LE,LA,LS"/>
      </sharedItems>
    </cacheField>
    <cacheField name="Tipo" numFmtId="0">
      <sharedItems/>
    </cacheField>
    <cacheField name="Tamaño en codigo" numFmtId="0">
      <sharedItems containsSemiMixedTypes="0" containsString="0" containsNumber="1" containsInteger="1" minValue="0" maxValue="3"/>
    </cacheField>
    <cacheField name="Tamaño documentos REAL" numFmtId="0">
      <sharedItems containsSemiMixedTypes="0" containsString="0" containsNumber="1" containsInteger="1" minValue="0" maxValue="3"/>
    </cacheField>
    <cacheField name="Tiempo (min) REAL" numFmtId="0">
      <sharedItems containsSemiMixedTypes="0" containsString="0" containsNumber="1" containsInteger="1" minValue="10" maxValue="90"/>
    </cacheField>
    <cacheField name="Tamaño en codigo EST" numFmtId="0">
      <sharedItems containsSemiMixedTypes="0" containsString="0" containsNumber="1" containsInteger="1" minValue="0" maxValue="3"/>
    </cacheField>
    <cacheField name="Tamaño documentos EST" numFmtId="0">
      <sharedItems containsSemiMixedTypes="0" containsString="0" containsNumber="1" containsInteger="1" minValue="1" maxValue="3"/>
    </cacheField>
    <cacheField name="Tiempo (min) EST" numFmtId="0">
      <sharedItems containsSemiMixedTypes="0" containsString="0" containsNumber="1" containsInteger="1" minValue="20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9.563873842591" createdVersion="8" refreshedVersion="8" minRefreshableVersion="3" recordCount="8" xr:uid="{7BE095E7-45C5-4029-A5CA-45D00F7FC68B}">
  <cacheSource type="worksheet">
    <worksheetSource ref="B91:C99" sheet="EDT"/>
  </cacheSource>
  <cacheFields count="2">
    <cacheField name="ADMINISTRATIVAS" numFmtId="0">
      <sharedItems count="8">
        <s v="Bitácoras"/>
        <s v="Maestro de documentos"/>
        <s v="subida de documentos"/>
        <s v="Acta de reunión"/>
        <s v="Control de Asignaciones"/>
        <s v="Log de defectos"/>
        <s v="Informe final"/>
        <s v="Script de definicion de procesos"/>
      </sharedItems>
    </cacheField>
    <cacheField name="TOTAL EST X FASE" numFmtId="0">
      <sharedItems containsSemiMixedTypes="0" containsString="0" containsNumber="1" containsInteger="1" minValue="240" maxValue="1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9.57810810185" createdVersion="8" refreshedVersion="8" minRefreshableVersion="3" recordCount="39" xr:uid="{3C2B05B7-3221-4DFB-9B60-3B98A1171023}">
  <cacheSource type="worksheet">
    <worksheetSource ref="B170:L209" sheet="EDT"/>
  </cacheSource>
  <cacheFields count="11">
    <cacheField name="Versión" numFmtId="0">
      <sharedItems containsSemiMixedTypes="0" containsString="0" containsNumber="1" containsInteger="1" minValue="5" maxValue="8"/>
    </cacheField>
    <cacheField name="Fase / Etapa" numFmtId="0">
      <sharedItems count="4">
        <s v="Arquitectura y diseño detallado"/>
        <s v="Implementación"/>
        <s v="Pruebas"/>
        <s v="Postmortem"/>
      </sharedItems>
    </cacheField>
    <cacheField name="Actividades" numFmtId="0">
      <sharedItems/>
    </cacheField>
    <cacheField name="Responsable/s" numFmtId="0">
      <sharedItems/>
    </cacheField>
    <cacheField name="Tipo" numFmtId="0">
      <sharedItems/>
    </cacheField>
    <cacheField name="Tamaño en codigo" numFmtId="0">
      <sharedItems containsNonDate="0" containsString="0" containsBlank="1" count="1">
        <m/>
      </sharedItems>
    </cacheField>
    <cacheField name="Tamaño documentos REAL" numFmtId="0">
      <sharedItems containsNonDate="0" containsString="0" containsBlank="1" count="1">
        <m/>
      </sharedItems>
    </cacheField>
    <cacheField name="Tiempo (min) REAL" numFmtId="0">
      <sharedItems containsNonDate="0" containsString="0" containsBlank="1" count="1">
        <m/>
      </sharedItems>
    </cacheField>
    <cacheField name="Tamaño en codigo EST" numFmtId="0">
      <sharedItems containsSemiMixedTypes="0" containsString="0" containsNumber="1" containsInteger="1" minValue="0" maxValue="3"/>
    </cacheField>
    <cacheField name="Tamaño documentos EST" numFmtId="0">
      <sharedItems containsSemiMixedTypes="0" containsString="0" containsNumber="1" containsInteger="1" minValue="1" maxValue="18"/>
    </cacheField>
    <cacheField name="Tiempo (min) EST" numFmtId="0">
      <sharedItems containsSemiMixedTypes="0" containsString="0" containsNumber="1" containsInteger="1" minValue="25" maxValue="1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66.818573842589" createdVersion="8" refreshedVersion="8" minRefreshableVersion="3" recordCount="8" xr:uid="{7FBAA624-E0C6-4FF4-91BF-16D97C60B5C3}">
  <cacheSource type="worksheet">
    <worksheetSource ref="B91:C99" sheet="EDT (CICLO 2)"/>
  </cacheSource>
  <cacheFields count="2">
    <cacheField name="ADMINISTRATIVAS" numFmtId="0">
      <sharedItems count="8">
        <s v="Bitácoras"/>
        <s v="Maestro de documentos"/>
        <s v="subida de documentos"/>
        <s v="Acta de reunión"/>
        <s v="Control de Asignaciones"/>
        <s v="Log de defectos"/>
        <s v="Informe final"/>
        <s v="Script de definicion de procesos"/>
      </sharedItems>
    </cacheField>
    <cacheField name="TOTAL EST X FASE" numFmtId="0">
      <sharedItems containsSemiMixedTypes="0" containsString="0" containsNumber="1" containsInteger="1" minValue="205" maxValue="13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66.822609143521" createdVersion="8" refreshedVersion="8" minRefreshableVersion="3" recordCount="8" xr:uid="{03C4D817-18CC-41EC-951D-3CD4778AFAE6}">
  <cacheSource type="worksheet">
    <worksheetSource ref="B103:C111" sheet="EDT (CICLO 2)"/>
  </cacheSource>
  <cacheFields count="2">
    <cacheField name="ADMINISTRATIVAS" numFmtId="0">
      <sharedItems count="8">
        <s v="Bitácoras"/>
        <s v="Maestro de documentos"/>
        <s v="subida de documentos"/>
        <s v="Acta de reunión"/>
        <s v="Control de Asignaciones"/>
        <s v="Log de defectos"/>
        <s v="Informe final"/>
        <s v="Script de definicion de procesos"/>
      </sharedItems>
    </cacheField>
    <cacheField name="TOTAL EST X FASE" numFmtId="0">
      <sharedItems containsSemiMixedTypes="0" containsString="0" containsNumber="1" containsInteger="1" minValue="240" maxValue="1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66.828806712962" createdVersion="8" refreshedVersion="8" minRefreshableVersion="3" recordCount="48" xr:uid="{98F17076-1137-4D7A-93E2-91E8DF334A58}">
  <cacheSource type="worksheet">
    <worksheetSource ref="A1:K49" sheet="EDT (CICLO 2)"/>
  </cacheSource>
  <cacheFields count="11">
    <cacheField name="Versión" numFmtId="0">
      <sharedItems containsSemiMixedTypes="0" containsString="0" containsNumber="1" containsInteger="1" minValue="1" maxValue="4"/>
    </cacheField>
    <cacheField name="Fase / Etapa" numFmtId="0">
      <sharedItems count="4">
        <s v="Lanzamiento / Iniciación"/>
        <s v="Estrategia"/>
        <s v="Requerimientos"/>
        <s v="Planeación"/>
      </sharedItems>
    </cacheField>
    <cacheField name="Actividades" numFmtId="0">
      <sharedItems/>
    </cacheField>
    <cacheField name="Responsable/s" numFmtId="0">
      <sharedItems/>
    </cacheField>
    <cacheField name="Tipo" numFmtId="0">
      <sharedItems/>
    </cacheField>
    <cacheField name="Tamaño en codigo" numFmtId="0">
      <sharedItems containsSemiMixedTypes="0" containsString="0" containsNumber="1" containsInteger="1" minValue="0" maxValue="3"/>
    </cacheField>
    <cacheField name="Tamaño documentos REAL" numFmtId="0">
      <sharedItems containsSemiMixedTypes="0" containsString="0" containsNumber="1" containsInteger="1" minValue="1" maxValue="19"/>
    </cacheField>
    <cacheField name="Tiempo (min) REAL" numFmtId="0">
      <sharedItems containsSemiMixedTypes="0" containsString="0" containsNumber="1" containsInteger="1" minValue="15" maxValue="380"/>
    </cacheField>
    <cacheField name="Tamaño en codigo EST" numFmtId="0">
      <sharedItems containsSemiMixedTypes="0" containsString="0" containsNumber="1" containsInteger="1" minValue="0" maxValue="3"/>
    </cacheField>
    <cacheField name="Tamaño documentos EST" numFmtId="0">
      <sharedItems containsSemiMixedTypes="0" containsString="0" containsNumber="1" containsInteger="1" minValue="1" maxValue="18"/>
    </cacheField>
    <cacheField name="Tiempo (min) EST" numFmtId="0">
      <sharedItems containsSemiMixedTypes="0" containsString="0" containsNumber="1" containsInteger="1" minValue="20" maxValue="3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66.835373379632" createdVersion="8" refreshedVersion="8" minRefreshableVersion="3" recordCount="87" xr:uid="{C00A4E54-CF42-4C2E-A225-25887A3F809F}">
  <cacheSource type="worksheet">
    <worksheetSource ref="A1:K88" sheet="EDT (CICLO 2)"/>
  </cacheSource>
  <cacheFields count="11">
    <cacheField name="Versión" numFmtId="0">
      <sharedItems containsSemiMixedTypes="0" containsString="0" containsNumber="1" containsInteger="1" minValue="1" maxValue="8"/>
    </cacheField>
    <cacheField name="Fase / Etapa" numFmtId="0">
      <sharedItems count="8">
        <s v="Lanzamiento / Iniciación"/>
        <s v="Estrategia"/>
        <s v="Requerimientos"/>
        <s v="Planeación"/>
        <s v="Arquitectura y diseño detallado"/>
        <s v="Implementación"/>
        <s v="Pruebas"/>
        <s v="Postmortem"/>
      </sharedItems>
    </cacheField>
    <cacheField name="Actividades" numFmtId="0">
      <sharedItems/>
    </cacheField>
    <cacheField name="Responsable/s" numFmtId="0">
      <sharedItems/>
    </cacheField>
    <cacheField name="Tipo" numFmtId="0">
      <sharedItems/>
    </cacheField>
    <cacheField name="Tamaño en codigo" numFmtId="0">
      <sharedItems containsString="0" containsBlank="1" containsNumber="1" containsInteger="1" minValue="0" maxValue="3"/>
    </cacheField>
    <cacheField name="Tamaño documentos REAL" numFmtId="0">
      <sharedItems containsString="0" containsBlank="1" containsNumber="1" containsInteger="1" minValue="1" maxValue="19"/>
    </cacheField>
    <cacheField name="Tiempo (min) REAL" numFmtId="0">
      <sharedItems containsString="0" containsBlank="1" containsNumber="1" containsInteger="1" minValue="15" maxValue="380"/>
    </cacheField>
    <cacheField name="Tamaño en codigo EST" numFmtId="0">
      <sharedItems containsSemiMixedTypes="0" containsString="0" containsNumber="1" containsInteger="1" minValue="0" maxValue="3"/>
    </cacheField>
    <cacheField name="Tamaño documentos EST" numFmtId="0">
      <sharedItems containsSemiMixedTypes="0" containsString="0" containsNumber="1" containsInteger="1" minValue="1" maxValue="18"/>
    </cacheField>
    <cacheField name="Tiempo (min) EST" numFmtId="0">
      <sharedItems containsSemiMixedTypes="0" containsString="0" containsNumber="1" containsInteger="1" minValue="20" maxValue="3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1"/>
    <x v="0"/>
    <x v="0"/>
    <x v="0"/>
    <s v="Unico"/>
    <n v="0"/>
    <n v="3"/>
    <n v="60"/>
    <n v="0"/>
    <n v="3"/>
    <n v="60"/>
  </r>
  <r>
    <n v="1"/>
    <x v="0"/>
    <x v="1"/>
    <x v="1"/>
    <s v="Unico"/>
    <n v="0"/>
    <n v="1"/>
    <n v="58"/>
    <n v="0"/>
    <n v="1"/>
    <n v="60"/>
  </r>
  <r>
    <n v="1"/>
    <x v="0"/>
    <x v="2"/>
    <x v="0"/>
    <s v="Unico"/>
    <n v="0"/>
    <n v="3"/>
    <n v="60"/>
    <n v="1"/>
    <n v="3"/>
    <n v="60"/>
  </r>
  <r>
    <n v="1"/>
    <x v="0"/>
    <x v="3"/>
    <x v="0"/>
    <s v="Unico"/>
    <n v="0"/>
    <n v="3"/>
    <n v="65"/>
    <n v="0"/>
    <n v="3"/>
    <n v="60"/>
  </r>
  <r>
    <n v="1"/>
    <x v="0"/>
    <x v="4"/>
    <x v="1"/>
    <s v="Unico"/>
    <n v="0"/>
    <n v="1"/>
    <n v="30"/>
    <n v="0"/>
    <n v="1"/>
    <n v="30"/>
  </r>
  <r>
    <n v="1"/>
    <x v="0"/>
    <x v="5"/>
    <x v="1"/>
    <s v="Común"/>
    <n v="0"/>
    <n v="1"/>
    <n v="27"/>
    <n v="1"/>
    <n v="1"/>
    <n v="30"/>
  </r>
  <r>
    <n v="1"/>
    <x v="0"/>
    <x v="6"/>
    <x v="2"/>
    <s v="Común"/>
    <n v="0"/>
    <n v="1"/>
    <n v="30"/>
    <n v="1"/>
    <n v="1"/>
    <n v="30"/>
  </r>
  <r>
    <n v="1"/>
    <x v="0"/>
    <x v="7"/>
    <x v="3"/>
    <s v="Común"/>
    <n v="3"/>
    <n v="0"/>
    <n v="87"/>
    <n v="2"/>
    <n v="2"/>
    <n v="90"/>
  </r>
  <r>
    <n v="1"/>
    <x v="0"/>
    <x v="8"/>
    <x v="4"/>
    <s v="Común"/>
    <n v="0"/>
    <n v="1"/>
    <n v="30"/>
    <n v="0"/>
    <n v="1"/>
    <n v="30"/>
  </r>
  <r>
    <n v="1"/>
    <x v="0"/>
    <x v="9"/>
    <x v="4"/>
    <s v="Común"/>
    <n v="0"/>
    <n v="1"/>
    <n v="27"/>
    <n v="0"/>
    <n v="1"/>
    <n v="30"/>
  </r>
  <r>
    <n v="1"/>
    <x v="0"/>
    <x v="10"/>
    <x v="1"/>
    <s v="Común"/>
    <n v="2"/>
    <n v="0"/>
    <n v="30"/>
    <n v="2"/>
    <n v="1"/>
    <n v="30"/>
  </r>
  <r>
    <n v="1"/>
    <x v="0"/>
    <x v="11"/>
    <x v="0"/>
    <s v="Común"/>
    <n v="0"/>
    <n v="3"/>
    <n v="25"/>
    <n v="0"/>
    <n v="3"/>
    <n v="30"/>
  </r>
  <r>
    <n v="1"/>
    <x v="0"/>
    <x v="12"/>
    <x v="0"/>
    <s v="Común"/>
    <n v="0"/>
    <n v="3"/>
    <n v="20"/>
    <n v="0"/>
    <n v="3"/>
    <n v="20"/>
  </r>
  <r>
    <n v="2"/>
    <x v="1"/>
    <x v="13"/>
    <x v="1"/>
    <s v="Unico"/>
    <n v="0"/>
    <n v="1"/>
    <n v="30"/>
    <n v="0"/>
    <n v="1"/>
    <n v="30"/>
  </r>
  <r>
    <n v="2"/>
    <x v="1"/>
    <x v="14"/>
    <x v="5"/>
    <s v="Unico"/>
    <n v="0"/>
    <n v="2"/>
    <n v="26"/>
    <n v="0"/>
    <n v="2"/>
    <n v="30"/>
  </r>
  <r>
    <n v="2"/>
    <x v="1"/>
    <x v="15"/>
    <x v="6"/>
    <s v="Unico"/>
    <n v="0"/>
    <n v="2"/>
    <n v="30"/>
    <n v="0"/>
    <n v="2"/>
    <n v="30"/>
  </r>
  <r>
    <n v="2"/>
    <x v="1"/>
    <x v="16"/>
    <x v="7"/>
    <s v="Unico"/>
    <n v="0"/>
    <n v="2"/>
    <n v="60"/>
    <n v="0"/>
    <n v="2"/>
    <n v="60"/>
  </r>
  <r>
    <n v="2"/>
    <x v="1"/>
    <x v="17"/>
    <x v="7"/>
    <s v="Unico"/>
    <n v="0"/>
    <n v="2"/>
    <n v="27"/>
    <n v="0"/>
    <n v="2"/>
    <n v="30"/>
  </r>
  <r>
    <n v="2"/>
    <x v="1"/>
    <x v="5"/>
    <x v="1"/>
    <s v="Común"/>
    <n v="0"/>
    <n v="1"/>
    <n v="30"/>
    <n v="0"/>
    <n v="1"/>
    <n v="30"/>
  </r>
  <r>
    <n v="2"/>
    <x v="1"/>
    <x v="6"/>
    <x v="2"/>
    <s v="Común"/>
    <n v="0"/>
    <n v="1"/>
    <n v="28"/>
    <n v="0"/>
    <n v="1"/>
    <n v="30"/>
  </r>
  <r>
    <n v="2"/>
    <x v="1"/>
    <x v="11"/>
    <x v="0"/>
    <s v="Común"/>
    <n v="0"/>
    <n v="3"/>
    <n v="30"/>
    <n v="0"/>
    <n v="3"/>
    <n v="30"/>
  </r>
  <r>
    <n v="2"/>
    <x v="1"/>
    <x v="10"/>
    <x v="1"/>
    <s v="Común"/>
    <n v="0"/>
    <n v="1"/>
    <n v="30"/>
    <n v="0"/>
    <n v="1"/>
    <n v="30"/>
  </r>
  <r>
    <n v="2"/>
    <x v="1"/>
    <x v="8"/>
    <x v="4"/>
    <s v="Común"/>
    <n v="2"/>
    <n v="0"/>
    <n v="31"/>
    <n v="1"/>
    <n v="1"/>
    <n v="30"/>
  </r>
  <r>
    <n v="2"/>
    <x v="1"/>
    <x v="12"/>
    <x v="0"/>
    <s v="Común"/>
    <n v="0"/>
    <n v="3"/>
    <n v="30"/>
    <n v="0"/>
    <n v="3"/>
    <n v="30"/>
  </r>
  <r>
    <n v="3"/>
    <x v="2"/>
    <x v="18"/>
    <x v="4"/>
    <s v="Unico"/>
    <n v="0"/>
    <n v="1"/>
    <n v="34"/>
    <n v="0"/>
    <n v="1"/>
    <n v="30"/>
  </r>
  <r>
    <n v="3"/>
    <x v="2"/>
    <x v="19"/>
    <x v="8"/>
    <s v="Unico"/>
    <n v="0"/>
    <n v="2"/>
    <n v="60"/>
    <n v="0"/>
    <n v="2"/>
    <n v="60"/>
  </r>
  <r>
    <n v="3"/>
    <x v="2"/>
    <x v="20"/>
    <x v="0"/>
    <s v="Unico"/>
    <n v="0"/>
    <n v="3"/>
    <n v="39"/>
    <n v="0"/>
    <n v="3"/>
    <n v="30"/>
  </r>
  <r>
    <n v="3"/>
    <x v="2"/>
    <x v="21"/>
    <x v="9"/>
    <s v="Unico"/>
    <n v="0"/>
    <n v="1"/>
    <n v="30"/>
    <n v="0"/>
    <n v="1"/>
    <n v="30"/>
  </r>
  <r>
    <n v="3"/>
    <x v="2"/>
    <x v="22"/>
    <x v="10"/>
    <s v="Unico"/>
    <n v="0"/>
    <n v="2"/>
    <n v="33"/>
    <n v="0"/>
    <n v="2"/>
    <n v="30"/>
  </r>
  <r>
    <n v="3"/>
    <x v="2"/>
    <x v="23"/>
    <x v="0"/>
    <s v="Unico"/>
    <n v="0"/>
    <n v="3"/>
    <n v="30"/>
    <n v="0"/>
    <n v="3"/>
    <n v="30"/>
  </r>
  <r>
    <n v="3"/>
    <x v="2"/>
    <x v="5"/>
    <x v="1"/>
    <s v="Común"/>
    <n v="0"/>
    <n v="1"/>
    <n v="30"/>
    <n v="0"/>
    <n v="1"/>
    <n v="30"/>
  </r>
  <r>
    <n v="3"/>
    <x v="2"/>
    <x v="6"/>
    <x v="2"/>
    <s v="Común"/>
    <n v="0"/>
    <n v="1"/>
    <n v="30"/>
    <n v="0"/>
    <n v="1"/>
    <n v="30"/>
  </r>
  <r>
    <n v="3"/>
    <x v="2"/>
    <x v="10"/>
    <x v="1"/>
    <s v="Común"/>
    <n v="2"/>
    <n v="0"/>
    <n v="30"/>
    <n v="3"/>
    <n v="1"/>
    <n v="30"/>
  </r>
  <r>
    <n v="3"/>
    <x v="2"/>
    <x v="8"/>
    <x v="4"/>
    <s v="Común"/>
    <n v="0"/>
    <n v="1"/>
    <n v="25"/>
    <n v="0"/>
    <n v="1"/>
    <n v="30"/>
  </r>
  <r>
    <n v="3"/>
    <x v="2"/>
    <x v="11"/>
    <x v="0"/>
    <s v="Común"/>
    <n v="0"/>
    <n v="3"/>
    <n v="30"/>
    <n v="0"/>
    <n v="3"/>
    <n v="30"/>
  </r>
  <r>
    <n v="3"/>
    <x v="2"/>
    <x v="12"/>
    <x v="0"/>
    <s v="Común"/>
    <n v="0"/>
    <n v="3"/>
    <n v="20"/>
    <n v="0"/>
    <n v="3"/>
    <n v="20"/>
  </r>
  <r>
    <n v="4"/>
    <x v="3"/>
    <x v="24"/>
    <x v="11"/>
    <s v="Unico"/>
    <n v="0"/>
    <n v="2"/>
    <n v="10"/>
    <n v="0"/>
    <n v="2"/>
    <n v="20"/>
  </r>
  <r>
    <n v="4"/>
    <x v="3"/>
    <x v="25"/>
    <x v="12"/>
    <s v="Unico"/>
    <n v="0"/>
    <n v="2"/>
    <n v="25"/>
    <n v="0"/>
    <n v="2"/>
    <n v="25"/>
  </r>
  <r>
    <n v="4"/>
    <x v="3"/>
    <x v="26"/>
    <x v="4"/>
    <s v="Unico"/>
    <n v="0"/>
    <n v="1"/>
    <n v="25"/>
    <n v="0"/>
    <n v="1"/>
    <n v="25"/>
  </r>
  <r>
    <n v="4"/>
    <x v="3"/>
    <x v="27"/>
    <x v="13"/>
    <s v="Unico"/>
    <n v="0"/>
    <n v="2"/>
    <n v="20"/>
    <n v="0"/>
    <n v="2"/>
    <n v="20"/>
  </r>
  <r>
    <n v="4"/>
    <x v="3"/>
    <x v="28"/>
    <x v="1"/>
    <s v="Unico"/>
    <n v="0"/>
    <n v="1"/>
    <n v="30"/>
    <n v="0"/>
    <n v="1"/>
    <n v="30"/>
  </r>
  <r>
    <n v="4"/>
    <x v="3"/>
    <x v="29"/>
    <x v="2"/>
    <s v="Unico"/>
    <n v="0"/>
    <n v="1"/>
    <n v="30"/>
    <n v="0"/>
    <n v="1"/>
    <n v="30"/>
  </r>
  <r>
    <n v="4"/>
    <x v="3"/>
    <x v="5"/>
    <x v="1"/>
    <s v="Común"/>
    <n v="0"/>
    <n v="1"/>
    <n v="30"/>
    <n v="0"/>
    <n v="1"/>
    <n v="30"/>
  </r>
  <r>
    <n v="4"/>
    <x v="3"/>
    <x v="6"/>
    <x v="2"/>
    <s v="Común"/>
    <n v="0"/>
    <n v="1"/>
    <n v="20"/>
    <n v="0"/>
    <n v="1"/>
    <n v="30"/>
  </r>
  <r>
    <n v="4"/>
    <x v="3"/>
    <x v="8"/>
    <x v="4"/>
    <s v="Común"/>
    <n v="0"/>
    <n v="1"/>
    <n v="30"/>
    <n v="0"/>
    <n v="1"/>
    <n v="30"/>
  </r>
  <r>
    <n v="4"/>
    <x v="3"/>
    <x v="10"/>
    <x v="1"/>
    <s v="Común"/>
    <n v="2"/>
    <n v="0"/>
    <n v="30"/>
    <n v="2"/>
    <n v="1"/>
    <n v="30"/>
  </r>
  <r>
    <n v="4"/>
    <x v="3"/>
    <x v="11"/>
    <x v="0"/>
    <s v="Común"/>
    <n v="0"/>
    <n v="3"/>
    <n v="30"/>
    <n v="0"/>
    <n v="3"/>
    <n v="30"/>
  </r>
  <r>
    <n v="4"/>
    <x v="3"/>
    <x v="12"/>
    <x v="0"/>
    <s v="Común"/>
    <n v="0"/>
    <n v="3"/>
    <n v="30"/>
    <n v="0"/>
    <n v="3"/>
    <n v="30"/>
  </r>
  <r>
    <n v="5"/>
    <x v="4"/>
    <x v="30"/>
    <x v="2"/>
    <s v="Unico"/>
    <n v="0"/>
    <n v="1"/>
    <n v="30"/>
    <n v="0"/>
    <n v="1"/>
    <n v="30"/>
  </r>
  <r>
    <n v="5"/>
    <x v="4"/>
    <x v="31"/>
    <x v="14"/>
    <s v="Unico"/>
    <n v="3"/>
    <n v="0"/>
    <n v="30"/>
    <n v="3"/>
    <n v="1"/>
    <n v="30"/>
  </r>
  <r>
    <n v="5"/>
    <x v="4"/>
    <x v="32"/>
    <x v="15"/>
    <s v="Unico"/>
    <n v="0"/>
    <n v="3"/>
    <n v="60"/>
    <n v="0"/>
    <n v="3"/>
    <n v="60"/>
  </r>
  <r>
    <n v="5"/>
    <x v="4"/>
    <x v="5"/>
    <x v="1"/>
    <s v="Común"/>
    <n v="0"/>
    <n v="1"/>
    <n v="30"/>
    <n v="0"/>
    <n v="1"/>
    <n v="30"/>
  </r>
  <r>
    <n v="5"/>
    <x v="4"/>
    <x v="6"/>
    <x v="2"/>
    <s v="Común"/>
    <n v="0"/>
    <n v="1"/>
    <n v="30"/>
    <n v="0"/>
    <n v="1"/>
    <n v="30"/>
  </r>
  <r>
    <n v="5"/>
    <x v="4"/>
    <x v="8"/>
    <x v="4"/>
    <s v="Común"/>
    <n v="0"/>
    <n v="1"/>
    <n v="30"/>
    <n v="0"/>
    <n v="1"/>
    <n v="30"/>
  </r>
  <r>
    <n v="5"/>
    <x v="4"/>
    <x v="10"/>
    <x v="1"/>
    <s v="Común"/>
    <n v="2"/>
    <n v="0"/>
    <n v="30"/>
    <n v="1"/>
    <n v="1"/>
    <n v="30"/>
  </r>
  <r>
    <n v="5"/>
    <x v="4"/>
    <x v="11"/>
    <x v="0"/>
    <s v="Común"/>
    <n v="0"/>
    <n v="3"/>
    <n v="30"/>
    <n v="0"/>
    <n v="3"/>
    <n v="30"/>
  </r>
  <r>
    <n v="5"/>
    <x v="4"/>
    <x v="12"/>
    <x v="0"/>
    <s v="Común"/>
    <n v="0"/>
    <n v="3"/>
    <n v="30"/>
    <n v="0"/>
    <n v="3"/>
    <n v="30"/>
  </r>
  <r>
    <n v="6"/>
    <x v="5"/>
    <x v="33"/>
    <x v="8"/>
    <s v="Unico"/>
    <n v="0"/>
    <n v="2"/>
    <n v="60"/>
    <n v="0"/>
    <n v="2"/>
    <n v="60"/>
  </r>
  <r>
    <n v="6"/>
    <x v="5"/>
    <x v="34"/>
    <x v="9"/>
    <s v="Unico"/>
    <n v="3"/>
    <n v="0"/>
    <n v="90"/>
    <n v="3"/>
    <n v="1"/>
    <n v="90"/>
  </r>
  <r>
    <n v="6"/>
    <x v="5"/>
    <x v="35"/>
    <x v="16"/>
    <s v="Unico"/>
    <n v="2"/>
    <n v="0"/>
    <n v="60"/>
    <n v="2"/>
    <n v="2"/>
    <n v="60"/>
  </r>
  <r>
    <n v="6"/>
    <x v="5"/>
    <x v="36"/>
    <x v="17"/>
    <s v="Unico"/>
    <n v="2"/>
    <n v="0"/>
    <n v="25"/>
    <n v="2"/>
    <n v="2"/>
    <n v="25"/>
  </r>
  <r>
    <n v="6"/>
    <x v="5"/>
    <x v="37"/>
    <x v="4"/>
    <s v="Unico"/>
    <n v="2"/>
    <n v="0"/>
    <n v="30"/>
    <n v="1"/>
    <n v="1"/>
    <n v="30"/>
  </r>
  <r>
    <n v="6"/>
    <x v="5"/>
    <x v="5"/>
    <x v="1"/>
    <s v="Común"/>
    <n v="0"/>
    <n v="1"/>
    <n v="30"/>
    <n v="0"/>
    <n v="1"/>
    <n v="30"/>
  </r>
  <r>
    <n v="6"/>
    <x v="5"/>
    <x v="6"/>
    <x v="2"/>
    <s v="Común"/>
    <n v="0"/>
    <n v="1"/>
    <n v="30"/>
    <n v="0"/>
    <n v="1"/>
    <n v="30"/>
  </r>
  <r>
    <n v="6"/>
    <x v="5"/>
    <x v="8"/>
    <x v="4"/>
    <s v="Común"/>
    <n v="0"/>
    <n v="1"/>
    <n v="30"/>
    <n v="0"/>
    <n v="1"/>
    <n v="30"/>
  </r>
  <r>
    <n v="6"/>
    <x v="5"/>
    <x v="10"/>
    <x v="1"/>
    <s v="Común"/>
    <n v="2"/>
    <n v="0"/>
    <n v="30"/>
    <n v="2"/>
    <n v="1"/>
    <n v="30"/>
  </r>
  <r>
    <n v="6"/>
    <x v="5"/>
    <x v="11"/>
    <x v="0"/>
    <s v="Común"/>
    <n v="0"/>
    <n v="3"/>
    <n v="30"/>
    <n v="0"/>
    <n v="3"/>
    <n v="30"/>
  </r>
  <r>
    <n v="6"/>
    <x v="5"/>
    <x v="12"/>
    <x v="0"/>
    <s v="Común"/>
    <n v="0"/>
    <n v="3"/>
    <n v="30"/>
    <n v="0"/>
    <n v="3"/>
    <n v="30"/>
  </r>
  <r>
    <n v="7"/>
    <x v="6"/>
    <x v="38"/>
    <x v="4"/>
    <s v="Unico"/>
    <n v="3"/>
    <n v="0"/>
    <n v="30"/>
    <n v="3"/>
    <n v="1"/>
    <n v="30"/>
  </r>
  <r>
    <n v="7"/>
    <x v="6"/>
    <x v="39"/>
    <x v="10"/>
    <s v="Unico"/>
    <n v="1"/>
    <n v="0"/>
    <n v="30"/>
    <n v="2"/>
    <n v="2"/>
    <n v="30"/>
  </r>
  <r>
    <n v="7"/>
    <x v="6"/>
    <x v="40"/>
    <x v="0"/>
    <s v="Unico"/>
    <n v="3"/>
    <n v="0"/>
    <n v="30"/>
    <n v="2"/>
    <n v="3"/>
    <n v="30"/>
  </r>
  <r>
    <n v="7"/>
    <x v="6"/>
    <x v="5"/>
    <x v="1"/>
    <s v="Común"/>
    <n v="0"/>
    <n v="1"/>
    <n v="30"/>
    <n v="0"/>
    <n v="1"/>
    <n v="30"/>
  </r>
  <r>
    <n v="7"/>
    <x v="6"/>
    <x v="6"/>
    <x v="2"/>
    <s v="Común"/>
    <n v="0"/>
    <n v="1"/>
    <n v="30"/>
    <n v="0"/>
    <n v="1"/>
    <n v="30"/>
  </r>
  <r>
    <n v="7"/>
    <x v="6"/>
    <x v="8"/>
    <x v="4"/>
    <s v="Común"/>
    <n v="0"/>
    <n v="1"/>
    <n v="30"/>
    <n v="0"/>
    <n v="1"/>
    <n v="30"/>
  </r>
  <r>
    <n v="7"/>
    <x v="6"/>
    <x v="10"/>
    <x v="1"/>
    <s v="Común"/>
    <n v="2"/>
    <n v="0"/>
    <n v="30"/>
    <n v="3"/>
    <n v="1"/>
    <n v="30"/>
  </r>
  <r>
    <n v="7"/>
    <x v="6"/>
    <x v="11"/>
    <x v="0"/>
    <s v="Común"/>
    <n v="0"/>
    <n v="3"/>
    <n v="30"/>
    <n v="0"/>
    <n v="3"/>
    <n v="30"/>
  </r>
  <r>
    <n v="7"/>
    <x v="6"/>
    <x v="12"/>
    <x v="0"/>
    <s v="Común"/>
    <n v="0"/>
    <n v="3"/>
    <n v="30"/>
    <n v="0"/>
    <n v="3"/>
    <n v="30"/>
  </r>
  <r>
    <n v="8"/>
    <x v="7"/>
    <x v="41"/>
    <x v="18"/>
    <s v="Unico"/>
    <n v="1"/>
    <n v="0"/>
    <n v="30"/>
    <n v="1"/>
    <n v="3"/>
    <n v="30"/>
  </r>
  <r>
    <n v="8"/>
    <x v="7"/>
    <x v="42"/>
    <x v="0"/>
    <s v="Unico"/>
    <n v="0"/>
    <n v="3"/>
    <n v="30"/>
    <n v="0"/>
    <n v="3"/>
    <n v="30"/>
  </r>
  <r>
    <n v="8"/>
    <x v="7"/>
    <x v="43"/>
    <x v="0"/>
    <s v="Unico"/>
    <n v="0"/>
    <n v="3"/>
    <n v="30"/>
    <n v="0"/>
    <n v="3"/>
    <n v="30"/>
  </r>
  <r>
    <n v="8"/>
    <x v="7"/>
    <x v="44"/>
    <x v="0"/>
    <s v="Unico"/>
    <n v="3"/>
    <n v="0"/>
    <n v="24"/>
    <n v="3"/>
    <n v="3"/>
    <n v="30"/>
  </r>
  <r>
    <n v="8"/>
    <x v="7"/>
    <x v="5"/>
    <x v="1"/>
    <s v="Común"/>
    <n v="0"/>
    <n v="1"/>
    <n v="34"/>
    <n v="0"/>
    <n v="1"/>
    <n v="30"/>
  </r>
  <r>
    <n v="8"/>
    <x v="7"/>
    <x v="6"/>
    <x v="2"/>
    <s v="Común"/>
    <n v="0"/>
    <n v="1"/>
    <n v="30"/>
    <n v="0"/>
    <n v="1"/>
    <n v="30"/>
  </r>
  <r>
    <n v="8"/>
    <x v="7"/>
    <x v="8"/>
    <x v="4"/>
    <s v="Común"/>
    <n v="0"/>
    <n v="1"/>
    <n v="30"/>
    <n v="0"/>
    <n v="1"/>
    <n v="30"/>
  </r>
  <r>
    <n v="8"/>
    <x v="7"/>
    <x v="10"/>
    <x v="1"/>
    <s v="Común"/>
    <n v="2"/>
    <n v="0"/>
    <n v="30"/>
    <n v="2"/>
    <n v="1"/>
    <n v="30"/>
  </r>
  <r>
    <n v="8"/>
    <x v="7"/>
    <x v="11"/>
    <x v="0"/>
    <s v="Común"/>
    <n v="0"/>
    <n v="3"/>
    <n v="10"/>
    <n v="0"/>
    <n v="3"/>
    <n v="30"/>
  </r>
  <r>
    <n v="8"/>
    <x v="7"/>
    <x v="12"/>
    <x v="0"/>
    <s v="Común"/>
    <n v="0"/>
    <n v="3"/>
    <n v="30"/>
    <n v="0"/>
    <n v="3"/>
    <n v="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320"/>
  </r>
  <r>
    <x v="1"/>
    <n v="1440"/>
  </r>
  <r>
    <x v="2"/>
    <n v="240"/>
  </r>
  <r>
    <x v="3"/>
    <n v="240"/>
  </r>
  <r>
    <x v="4"/>
    <n v="240"/>
  </r>
  <r>
    <x v="5"/>
    <n v="240"/>
  </r>
  <r>
    <x v="6"/>
    <n v="240"/>
  </r>
  <r>
    <x v="7"/>
    <n v="24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5"/>
    <x v="0"/>
    <s v="Especificación de diseño de Software"/>
    <s v="LP"/>
    <s v="Unico"/>
    <x v="0"/>
    <x v="0"/>
    <x v="0"/>
    <n v="0"/>
    <n v="1"/>
    <n v="30"/>
  </r>
  <r>
    <n v="5"/>
    <x v="0"/>
    <s v="Arquitectura de la solución"/>
    <s v="LA"/>
    <s v="Unico"/>
    <x v="0"/>
    <x v="0"/>
    <x v="0"/>
    <n v="3"/>
    <n v="1"/>
    <n v="30"/>
  </r>
  <r>
    <n v="5"/>
    <x v="0"/>
    <s v="Diseño funcionales UML"/>
    <s v="LD,LE,LP"/>
    <s v="Unico"/>
    <x v="0"/>
    <x v="0"/>
    <x v="0"/>
    <n v="0"/>
    <n v="1"/>
    <n v="60"/>
  </r>
  <r>
    <n v="5"/>
    <x v="0"/>
    <s v="Log de defectos"/>
    <s v="LE"/>
    <s v="Común"/>
    <x v="0"/>
    <x v="0"/>
    <x v="0"/>
    <n v="0"/>
    <n v="1"/>
    <n v="30"/>
  </r>
  <r>
    <n v="5"/>
    <x v="0"/>
    <s v="Control de asignaciones"/>
    <s v="LP"/>
    <s v="Común"/>
    <x v="0"/>
    <x v="0"/>
    <x v="0"/>
    <n v="0"/>
    <n v="1"/>
    <n v="30"/>
  </r>
  <r>
    <n v="5"/>
    <x v="0"/>
    <s v="Acta de reunión"/>
    <s v="LC"/>
    <s v="Común"/>
    <x v="0"/>
    <x v="0"/>
    <x v="0"/>
    <n v="0"/>
    <n v="1"/>
    <n v="30"/>
  </r>
  <r>
    <n v="5"/>
    <x v="0"/>
    <s v="Subida de documentos"/>
    <s v="LE"/>
    <s v="Común"/>
    <x v="0"/>
    <x v="0"/>
    <x v="0"/>
    <n v="1"/>
    <n v="1"/>
    <n v="30"/>
  </r>
  <r>
    <n v="5"/>
    <x v="0"/>
    <s v="Maestro de documentos"/>
    <s v="LE, LP, LA, LC, LD, LS"/>
    <s v="Común"/>
    <x v="0"/>
    <x v="0"/>
    <x v="0"/>
    <n v="0"/>
    <n v="18"/>
    <n v="180"/>
  </r>
  <r>
    <n v="5"/>
    <x v="0"/>
    <s v="Bitacoras"/>
    <s v="LE, LP, LA, LC, LD, LS"/>
    <s v="Común"/>
    <x v="0"/>
    <x v="0"/>
    <x v="0"/>
    <n v="0"/>
    <n v="18"/>
    <n v="180"/>
  </r>
  <r>
    <n v="6"/>
    <x v="1"/>
    <s v="Plan de implementación"/>
    <s v="LP,LE"/>
    <s v="Unico"/>
    <x v="0"/>
    <x v="0"/>
    <x v="0"/>
    <n v="0"/>
    <n v="1"/>
    <n v="60"/>
  </r>
  <r>
    <n v="6"/>
    <x v="1"/>
    <s v="Codificación"/>
    <s v="LD"/>
    <s v="Unico"/>
    <x v="0"/>
    <x v="0"/>
    <x v="0"/>
    <n v="3"/>
    <n v="1"/>
    <n v="90"/>
  </r>
  <r>
    <n v="6"/>
    <x v="1"/>
    <s v="Propuesta de testeos"/>
    <s v="LA,LC"/>
    <s v="Unico"/>
    <x v="0"/>
    <x v="0"/>
    <x v="0"/>
    <n v="2"/>
    <n v="4"/>
    <n v="120"/>
  </r>
  <r>
    <n v="6"/>
    <x v="1"/>
    <s v="Configuración del repositorio GitHub"/>
    <s v="LE,LS"/>
    <s v="Unico"/>
    <x v="0"/>
    <x v="0"/>
    <x v="0"/>
    <n v="2"/>
    <n v="2"/>
    <n v="25"/>
  </r>
  <r>
    <n v="6"/>
    <x v="1"/>
    <s v="Validaciones"/>
    <s v="LC"/>
    <s v="Unico"/>
    <x v="0"/>
    <x v="0"/>
    <x v="0"/>
    <n v="1"/>
    <n v="2"/>
    <n v="30"/>
  </r>
  <r>
    <n v="6"/>
    <x v="1"/>
    <s v="Log de defectos"/>
    <s v="LE"/>
    <s v="Común"/>
    <x v="0"/>
    <x v="0"/>
    <x v="0"/>
    <n v="0"/>
    <n v="2"/>
    <n v="30"/>
  </r>
  <r>
    <n v="6"/>
    <x v="1"/>
    <s v="Control de asignaciones"/>
    <s v="LP"/>
    <s v="Común"/>
    <x v="0"/>
    <x v="0"/>
    <x v="0"/>
    <n v="0"/>
    <n v="2"/>
    <n v="30"/>
  </r>
  <r>
    <n v="6"/>
    <x v="1"/>
    <s v="Acta de reunión"/>
    <s v="LC"/>
    <s v="Común"/>
    <x v="0"/>
    <x v="0"/>
    <x v="0"/>
    <n v="0"/>
    <n v="2"/>
    <n v="30"/>
  </r>
  <r>
    <n v="6"/>
    <x v="1"/>
    <s v="Subida de documentos"/>
    <s v="LE"/>
    <s v="Común"/>
    <x v="0"/>
    <x v="0"/>
    <x v="0"/>
    <n v="2"/>
    <n v="2"/>
    <n v="30"/>
  </r>
  <r>
    <n v="6"/>
    <x v="1"/>
    <s v="Maestro de documentos"/>
    <s v="LE, LP, LA, LC, LD, LS"/>
    <s v="Común"/>
    <x v="0"/>
    <x v="0"/>
    <x v="0"/>
    <n v="0"/>
    <n v="18"/>
    <n v="180"/>
  </r>
  <r>
    <n v="6"/>
    <x v="1"/>
    <s v="Bitacoras"/>
    <s v="LE, LP, LA, LC, LD, LS"/>
    <s v="Común"/>
    <x v="0"/>
    <x v="0"/>
    <x v="0"/>
    <n v="0"/>
    <n v="12"/>
    <n v="180"/>
  </r>
  <r>
    <n v="7"/>
    <x v="2"/>
    <s v="Plan de pruebas"/>
    <s v="LC"/>
    <s v="Unico"/>
    <x v="0"/>
    <x v="0"/>
    <x v="0"/>
    <n v="3"/>
    <n v="2"/>
    <n v="30"/>
  </r>
  <r>
    <n v="7"/>
    <x v="2"/>
    <s v="Informes pruebas"/>
    <s v="LC,LS"/>
    <s v="Unico"/>
    <x v="0"/>
    <x v="0"/>
    <x v="0"/>
    <n v="2"/>
    <n v="2"/>
    <n v="60"/>
  </r>
  <r>
    <n v="7"/>
    <x v="2"/>
    <s v="Testeo local"/>
    <s v="LE, LP, LA, LC, LD, LS"/>
    <s v="Unico"/>
    <x v="0"/>
    <x v="0"/>
    <x v="0"/>
    <n v="2"/>
    <n v="18"/>
    <n v="180"/>
  </r>
  <r>
    <n v="7"/>
    <x v="2"/>
    <s v="Log de defectos"/>
    <s v="LE"/>
    <s v="Común"/>
    <x v="0"/>
    <x v="0"/>
    <x v="0"/>
    <n v="0"/>
    <n v="4"/>
    <n v="30"/>
  </r>
  <r>
    <n v="7"/>
    <x v="2"/>
    <s v="Control de asignaciones"/>
    <s v="LP"/>
    <s v="Común"/>
    <x v="0"/>
    <x v="0"/>
    <x v="0"/>
    <n v="0"/>
    <n v="4"/>
    <n v="30"/>
  </r>
  <r>
    <n v="7"/>
    <x v="2"/>
    <s v="Acta de reunión"/>
    <s v="LC"/>
    <s v="Común"/>
    <x v="0"/>
    <x v="0"/>
    <x v="0"/>
    <n v="0"/>
    <n v="4"/>
    <n v="30"/>
  </r>
  <r>
    <n v="7"/>
    <x v="2"/>
    <s v="Subida de documentos"/>
    <s v="LE"/>
    <s v="Común"/>
    <x v="0"/>
    <x v="0"/>
    <x v="0"/>
    <n v="3"/>
    <n v="4"/>
    <n v="30"/>
  </r>
  <r>
    <n v="7"/>
    <x v="2"/>
    <s v="Maestro de documentos"/>
    <s v="LE, LP, LA, LC, LD, LS"/>
    <s v="Común"/>
    <x v="0"/>
    <x v="0"/>
    <x v="0"/>
    <n v="0"/>
    <n v="18"/>
    <n v="180"/>
  </r>
  <r>
    <n v="7"/>
    <x v="2"/>
    <s v="Bitacoras"/>
    <s v="LE, LP, LA, LC, LD, LS"/>
    <s v="Común"/>
    <x v="0"/>
    <x v="0"/>
    <x v="0"/>
    <n v="0"/>
    <n v="6"/>
    <n v="180"/>
  </r>
  <r>
    <n v="8"/>
    <x v="3"/>
    <s v="Informe de postmortem"/>
    <s v="LE,LA,LS"/>
    <s v="Unico"/>
    <x v="0"/>
    <x v="0"/>
    <x v="0"/>
    <n v="1"/>
    <n v="9"/>
    <n v="90"/>
  </r>
  <r>
    <n v="8"/>
    <x v="3"/>
    <s v="Presentación postmortem"/>
    <s v="LE, LP, LA, LC, LD, LS"/>
    <s v="Unico"/>
    <x v="0"/>
    <x v="0"/>
    <x v="0"/>
    <n v="0"/>
    <n v="18"/>
    <n v="180"/>
  </r>
  <r>
    <n v="8"/>
    <x v="3"/>
    <s v="Recolección de documentos"/>
    <s v="LE, LP, LA, LC, LD, LS"/>
    <s v="Unico"/>
    <x v="0"/>
    <x v="0"/>
    <x v="0"/>
    <n v="0"/>
    <n v="18"/>
    <n v="180"/>
  </r>
  <r>
    <n v="8"/>
    <x v="3"/>
    <s v="Correción y revisión"/>
    <s v="LE, LP, LA, LC, LD, LS"/>
    <s v="Unico"/>
    <x v="0"/>
    <x v="0"/>
    <x v="0"/>
    <n v="3"/>
    <n v="12"/>
    <n v="180"/>
  </r>
  <r>
    <n v="8"/>
    <x v="3"/>
    <s v="Log de defectos"/>
    <s v="LE"/>
    <s v="Común"/>
    <x v="0"/>
    <x v="0"/>
    <x v="0"/>
    <n v="0"/>
    <n v="1"/>
    <n v="30"/>
  </r>
  <r>
    <n v="8"/>
    <x v="3"/>
    <s v="Control de asignaciones"/>
    <s v="LP"/>
    <s v="Común"/>
    <x v="0"/>
    <x v="0"/>
    <x v="0"/>
    <n v="0"/>
    <n v="1"/>
    <n v="30"/>
  </r>
  <r>
    <n v="8"/>
    <x v="3"/>
    <s v="Acta de reunión"/>
    <s v="LC"/>
    <s v="Común"/>
    <x v="0"/>
    <x v="0"/>
    <x v="0"/>
    <n v="0"/>
    <n v="1"/>
    <n v="30"/>
  </r>
  <r>
    <n v="8"/>
    <x v="3"/>
    <s v="Subida de documentos"/>
    <s v="LE"/>
    <s v="Común"/>
    <x v="0"/>
    <x v="0"/>
    <x v="0"/>
    <n v="2"/>
    <n v="1"/>
    <n v="30"/>
  </r>
  <r>
    <n v="8"/>
    <x v="3"/>
    <s v="Maestro de documentos"/>
    <s v="LE, LP, LA, LC, LD, LS"/>
    <s v="Común"/>
    <x v="0"/>
    <x v="0"/>
    <x v="0"/>
    <n v="0"/>
    <n v="12"/>
    <n v="180"/>
  </r>
  <r>
    <n v="8"/>
    <x v="3"/>
    <s v="Bitacoras"/>
    <s v="LE, LP, LA, LC, LD, LS"/>
    <s v="Común"/>
    <x v="0"/>
    <x v="0"/>
    <x v="0"/>
    <n v="0"/>
    <n v="18"/>
    <n v="18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320"/>
  </r>
  <r>
    <x v="1"/>
    <n v="1320"/>
  </r>
  <r>
    <x v="2"/>
    <n v="205"/>
  </r>
  <r>
    <x v="3"/>
    <n v="236"/>
  </r>
  <r>
    <x v="4"/>
    <n v="228"/>
  </r>
  <r>
    <x v="5"/>
    <n v="225"/>
  </r>
  <r>
    <x v="6"/>
    <n v="220"/>
  </r>
  <r>
    <x v="7"/>
    <n v="2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320"/>
  </r>
  <r>
    <x v="1"/>
    <n v="1440"/>
  </r>
  <r>
    <x v="2"/>
    <n v="240"/>
  </r>
  <r>
    <x v="3"/>
    <n v="240"/>
  </r>
  <r>
    <x v="4"/>
    <n v="240"/>
  </r>
  <r>
    <x v="5"/>
    <n v="240"/>
  </r>
  <r>
    <x v="6"/>
    <n v="240"/>
  </r>
  <r>
    <x v="7"/>
    <n v="24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1"/>
    <x v="0"/>
    <s v="Acta de iniciación"/>
    <s v="LE, LP, LA, LC, LD, LS"/>
    <s v="Unico"/>
    <n v="0"/>
    <n v="19"/>
    <n v="50"/>
    <n v="0"/>
    <n v="18"/>
    <n v="60"/>
  </r>
  <r>
    <n v="1"/>
    <x v="0"/>
    <s v="Constitución del equipo"/>
    <s v="LE"/>
    <s v="Unico"/>
    <n v="0"/>
    <n v="3"/>
    <n v="68"/>
    <n v="0"/>
    <n v="3"/>
    <n v="58"/>
  </r>
  <r>
    <n v="1"/>
    <x v="0"/>
    <s v="Definición del objetivo"/>
    <s v="LE, LP, LA, LC, LD, LS"/>
    <s v="Unico"/>
    <n v="0"/>
    <n v="15"/>
    <n v="350"/>
    <n v="0"/>
    <n v="12"/>
    <n v="360"/>
  </r>
  <r>
    <n v="1"/>
    <x v="0"/>
    <s v="Definición del problema"/>
    <s v="LE, LP, LA, LC, LD, LS"/>
    <s v="Unico"/>
    <n v="0"/>
    <n v="8"/>
    <n v="380"/>
    <n v="0"/>
    <n v="6"/>
    <n v="390"/>
  </r>
  <r>
    <n v="1"/>
    <x v="0"/>
    <s v="Definición de roles y responsabilidades"/>
    <s v="LE"/>
    <s v="Unico"/>
    <n v="0"/>
    <n v="1"/>
    <n v="20"/>
    <n v="0"/>
    <n v="1"/>
    <n v="30"/>
  </r>
  <r>
    <n v="1"/>
    <x v="0"/>
    <s v="Log de defectos"/>
    <s v="LE"/>
    <s v="Común"/>
    <n v="0"/>
    <n v="2"/>
    <n v="37"/>
    <n v="0"/>
    <n v="1"/>
    <n v="27"/>
  </r>
  <r>
    <n v="1"/>
    <x v="0"/>
    <s v="Control de asignaciones"/>
    <s v="LP"/>
    <s v="Común"/>
    <n v="0"/>
    <n v="1"/>
    <n v="20"/>
    <n v="0"/>
    <n v="1"/>
    <n v="30"/>
  </r>
  <r>
    <n v="1"/>
    <x v="0"/>
    <s v="Desarrollo Pagina Web"/>
    <s v="LE, LD"/>
    <s v="Común"/>
    <n v="3"/>
    <n v="5"/>
    <n v="97"/>
    <n v="3"/>
    <n v="4"/>
    <n v="87"/>
  </r>
  <r>
    <n v="1"/>
    <x v="0"/>
    <s v="Acta de reunión"/>
    <s v="LC"/>
    <s v="Común"/>
    <n v="0"/>
    <n v="2"/>
    <n v="20"/>
    <n v="0"/>
    <n v="2"/>
    <n v="30"/>
  </r>
  <r>
    <n v="1"/>
    <x v="0"/>
    <s v="Script de procesos"/>
    <s v="LC"/>
    <s v="Común"/>
    <n v="0"/>
    <n v="2"/>
    <n v="37"/>
    <n v="0"/>
    <n v="2"/>
    <n v="27"/>
  </r>
  <r>
    <n v="1"/>
    <x v="0"/>
    <s v="Subida de documentos"/>
    <s v="LE"/>
    <s v="Común"/>
    <n v="1"/>
    <n v="3"/>
    <n v="20"/>
    <n v="2"/>
    <n v="2"/>
    <n v="30"/>
  </r>
  <r>
    <n v="1"/>
    <x v="0"/>
    <s v="Maestro de documentos"/>
    <s v="LE, LP, LA, LC, LD, LS"/>
    <s v="Común"/>
    <n v="0"/>
    <n v="10"/>
    <n v="190"/>
    <n v="0"/>
    <n v="12"/>
    <n v="180"/>
  </r>
  <r>
    <n v="1"/>
    <x v="0"/>
    <s v="Bitacoras"/>
    <s v="LE, LP, LA, LC, LD, LS"/>
    <s v="Común"/>
    <n v="0"/>
    <n v="6"/>
    <n v="110"/>
    <n v="0"/>
    <n v="6"/>
    <n v="120"/>
  </r>
  <r>
    <n v="2"/>
    <x v="1"/>
    <s v="Lineamiento Estrategico"/>
    <s v="LE"/>
    <s v="Unico"/>
    <n v="0"/>
    <n v="1"/>
    <n v="40"/>
    <n v="0"/>
    <n v="1"/>
    <n v="30"/>
  </r>
  <r>
    <n v="2"/>
    <x v="1"/>
    <s v="Estrategia general y diseño conceptual"/>
    <s v="LE, LA"/>
    <s v="Unico"/>
    <n v="0"/>
    <n v="5"/>
    <n v="42"/>
    <n v="0"/>
    <n v="2"/>
    <n v="52"/>
  </r>
  <r>
    <n v="2"/>
    <x v="1"/>
    <s v="Plan de riesgos"/>
    <s v="LP, LD"/>
    <s v="Unico"/>
    <n v="0"/>
    <n v="2"/>
    <n v="40"/>
    <n v="0"/>
    <n v="2"/>
    <n v="30"/>
  </r>
  <r>
    <n v="2"/>
    <x v="1"/>
    <s v="Plan de administración de configuración"/>
    <s v="LC, LS"/>
    <s v="Unico"/>
    <n v="0"/>
    <n v="2"/>
    <n v="130"/>
    <n v="0"/>
    <n v="2"/>
    <n v="120"/>
  </r>
  <r>
    <n v="2"/>
    <x v="1"/>
    <s v="Plan de control de cambios"/>
    <s v="LC, LS"/>
    <s v="Unico"/>
    <n v="0"/>
    <n v="3"/>
    <n v="44"/>
    <n v="0"/>
    <n v="4"/>
    <n v="54"/>
  </r>
  <r>
    <n v="2"/>
    <x v="1"/>
    <s v="Log de defectos"/>
    <s v="LE"/>
    <s v="Común"/>
    <n v="0"/>
    <n v="2"/>
    <n v="40"/>
    <n v="0"/>
    <n v="2"/>
    <n v="30"/>
  </r>
  <r>
    <n v="2"/>
    <x v="1"/>
    <s v="Control de asignaciones"/>
    <s v="LP"/>
    <s v="Común"/>
    <n v="0"/>
    <n v="2"/>
    <n v="18"/>
    <n v="0"/>
    <n v="2"/>
    <n v="28"/>
  </r>
  <r>
    <n v="2"/>
    <x v="1"/>
    <s v="Maestro de documentos"/>
    <s v="LE, LP, LA, LC, LD, LS"/>
    <s v="Común"/>
    <n v="0"/>
    <n v="15"/>
    <n v="190"/>
    <n v="0"/>
    <n v="12"/>
    <n v="180"/>
  </r>
  <r>
    <n v="2"/>
    <x v="1"/>
    <s v="Subida de documentos"/>
    <s v="LE"/>
    <s v="Común"/>
    <n v="0"/>
    <n v="1"/>
    <n v="20"/>
    <n v="0"/>
    <n v="1"/>
    <n v="30"/>
  </r>
  <r>
    <n v="2"/>
    <x v="1"/>
    <s v="Acta de reunión"/>
    <s v="LC"/>
    <s v="Común"/>
    <n v="3"/>
    <n v="1"/>
    <n v="21"/>
    <n v="2"/>
    <n v="1"/>
    <n v="31"/>
  </r>
  <r>
    <n v="2"/>
    <x v="1"/>
    <s v="Bitacoras"/>
    <s v="LE, LP, LA, LC, LD, LS"/>
    <s v="Común"/>
    <n v="0"/>
    <n v="3"/>
    <n v="190"/>
    <n v="0"/>
    <n v="6"/>
    <n v="180"/>
  </r>
  <r>
    <n v="3"/>
    <x v="2"/>
    <s v="Plan de administración de requerimientos"/>
    <s v="LC"/>
    <s v="Unico"/>
    <n v="0"/>
    <n v="1"/>
    <n v="24"/>
    <n v="0"/>
    <n v="1"/>
    <n v="34"/>
  </r>
  <r>
    <n v="3"/>
    <x v="2"/>
    <s v="Especificación de Requerimientos de software"/>
    <s v="LP,LE"/>
    <s v="Unico"/>
    <n v="0"/>
    <n v="4"/>
    <n v="110"/>
    <n v="0"/>
    <n v="4"/>
    <n v="120"/>
  </r>
  <r>
    <n v="3"/>
    <x v="2"/>
    <s v="Plantillas Casos de uso"/>
    <s v="LE, LP, LA, LC, LD, LS"/>
    <s v="Unico"/>
    <n v="0"/>
    <n v="9"/>
    <n v="244"/>
    <n v="0"/>
    <n v="6"/>
    <n v="234"/>
  </r>
  <r>
    <n v="3"/>
    <x v="2"/>
    <s v="Diagrama de Caso de uso"/>
    <s v="LD"/>
    <s v="Unico"/>
    <n v="0"/>
    <n v="4"/>
    <n v="20"/>
    <n v="0"/>
    <n v="4"/>
    <n v="30"/>
  </r>
  <r>
    <n v="3"/>
    <x v="2"/>
    <s v="Plantilla de atributos de calidad"/>
    <s v="LC,LS"/>
    <s v="Unico"/>
    <n v="0"/>
    <n v="12"/>
    <n v="76"/>
    <n v="0"/>
    <n v="12"/>
    <n v="66"/>
  </r>
  <r>
    <n v="3"/>
    <x v="2"/>
    <s v="Modelo de Dominio"/>
    <s v="LE, LP, LA, LC, LD, LS"/>
    <s v="Unico"/>
    <n v="0"/>
    <n v="10"/>
    <n v="170"/>
    <n v="0"/>
    <n v="12"/>
    <n v="180"/>
  </r>
  <r>
    <n v="3"/>
    <x v="2"/>
    <s v="Log de defectos"/>
    <s v="LE"/>
    <s v="Común"/>
    <n v="0"/>
    <n v="1"/>
    <n v="40"/>
    <n v="0"/>
    <n v="1"/>
    <n v="30"/>
  </r>
  <r>
    <n v="3"/>
    <x v="2"/>
    <s v="Control de asignaciones"/>
    <s v="LP"/>
    <s v="Común"/>
    <n v="0"/>
    <n v="1"/>
    <n v="20"/>
    <n v="0"/>
    <n v="1"/>
    <n v="30"/>
  </r>
  <r>
    <n v="3"/>
    <x v="2"/>
    <s v="Subida de documentos"/>
    <s v="LE"/>
    <s v="Común"/>
    <n v="1"/>
    <n v="3"/>
    <n v="40"/>
    <n v="2"/>
    <n v="1"/>
    <n v="30"/>
  </r>
  <r>
    <n v="3"/>
    <x v="2"/>
    <s v="Acta de reunión"/>
    <s v="LC"/>
    <s v="Común"/>
    <n v="0"/>
    <n v="2"/>
    <n v="15"/>
    <n v="0"/>
    <n v="1"/>
    <n v="25"/>
  </r>
  <r>
    <n v="3"/>
    <x v="2"/>
    <s v="Maestro de documentos"/>
    <s v="LE, LP, LA, LC, LD, LS"/>
    <s v="Común"/>
    <n v="0"/>
    <n v="6"/>
    <n v="190"/>
    <n v="0"/>
    <n v="6"/>
    <n v="180"/>
  </r>
  <r>
    <n v="3"/>
    <x v="2"/>
    <s v="Bitacoras"/>
    <s v="LE, LP, LA, LC, LD, LS"/>
    <s v="Común"/>
    <n v="0"/>
    <n v="9"/>
    <n v="110"/>
    <n v="0"/>
    <n v="12"/>
    <n v="120"/>
  </r>
  <r>
    <n v="4"/>
    <x v="3"/>
    <s v="Especificación detallada de tareas"/>
    <s v="LP,LD"/>
    <s v="Unico"/>
    <n v="0"/>
    <n v="4"/>
    <n v="30"/>
    <n v="0"/>
    <n v="4"/>
    <n v="20"/>
  </r>
  <r>
    <n v="4"/>
    <x v="3"/>
    <s v="Plan de calidad"/>
    <s v="LE,LA"/>
    <s v="Unico"/>
    <n v="0"/>
    <n v="2"/>
    <n v="60"/>
    <n v="0"/>
    <n v="2"/>
    <n v="50"/>
  </r>
  <r>
    <n v="4"/>
    <x v="3"/>
    <s v="Definir objetivo y alcance"/>
    <s v="LC"/>
    <s v="Unico"/>
    <n v="0"/>
    <n v="4"/>
    <n v="35"/>
    <n v="0"/>
    <n v="2"/>
    <n v="25"/>
  </r>
  <r>
    <n v="4"/>
    <x v="3"/>
    <s v="Control de cambios"/>
    <s v="LS,LC"/>
    <s v="Unico"/>
    <n v="0"/>
    <n v="2"/>
    <n v="30"/>
    <n v="0"/>
    <n v="2"/>
    <n v="40"/>
  </r>
  <r>
    <n v="4"/>
    <x v="3"/>
    <s v="Definir roles y responsabilidades"/>
    <s v="LE"/>
    <s v="Unico"/>
    <n v="0"/>
    <n v="1"/>
    <n v="20"/>
    <n v="0"/>
    <n v="1"/>
    <n v="30"/>
  </r>
  <r>
    <n v="4"/>
    <x v="3"/>
    <s v="Descomposición de tareas"/>
    <s v="LP"/>
    <s v="Unico"/>
    <n v="0"/>
    <n v="3"/>
    <n v="40"/>
    <n v="0"/>
    <n v="1"/>
    <n v="30"/>
  </r>
  <r>
    <n v="4"/>
    <x v="3"/>
    <s v="Log de defectos"/>
    <s v="LE"/>
    <s v="Común"/>
    <n v="0"/>
    <n v="1"/>
    <n v="20"/>
    <n v="0"/>
    <n v="1"/>
    <n v="30"/>
  </r>
  <r>
    <n v="4"/>
    <x v="3"/>
    <s v="Control de asignaciones"/>
    <s v="LP"/>
    <s v="Común"/>
    <n v="0"/>
    <n v="2"/>
    <n v="40"/>
    <n v="0"/>
    <n v="1"/>
    <n v="20"/>
  </r>
  <r>
    <n v="4"/>
    <x v="3"/>
    <s v="Acta de reunión"/>
    <s v="LC"/>
    <s v="Común"/>
    <n v="0"/>
    <n v="5"/>
    <n v="20"/>
    <n v="0"/>
    <n v="1"/>
    <n v="30"/>
  </r>
  <r>
    <n v="4"/>
    <x v="3"/>
    <s v="Subida de documentos"/>
    <s v="LE"/>
    <s v="Común"/>
    <n v="3"/>
    <n v="1"/>
    <n v="40"/>
    <n v="2"/>
    <n v="1"/>
    <n v="30"/>
  </r>
  <r>
    <n v="4"/>
    <x v="3"/>
    <s v="Maestro de documentos"/>
    <s v="LE, LP, LA, LC, LD, LS"/>
    <s v="Común"/>
    <n v="0"/>
    <n v="14"/>
    <n v="170"/>
    <n v="0"/>
    <n v="18"/>
    <n v="180"/>
  </r>
  <r>
    <n v="4"/>
    <x v="3"/>
    <s v="Bitacoras"/>
    <s v="LE, LP, LA, LC, LD, LS"/>
    <s v="Común"/>
    <n v="0"/>
    <n v="15"/>
    <n v="190"/>
    <n v="0"/>
    <n v="18"/>
    <n v="18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1"/>
    <x v="0"/>
    <s v="Acta de iniciación"/>
    <s v="LE, LP, LA, LC, LD, LS"/>
    <s v="Unico"/>
    <n v="0"/>
    <n v="19"/>
    <n v="50"/>
    <n v="0"/>
    <n v="18"/>
    <n v="60"/>
  </r>
  <r>
    <n v="1"/>
    <x v="0"/>
    <s v="Constitución del equipo"/>
    <s v="LE"/>
    <s v="Unico"/>
    <n v="0"/>
    <n v="3"/>
    <n v="68"/>
    <n v="0"/>
    <n v="3"/>
    <n v="58"/>
  </r>
  <r>
    <n v="1"/>
    <x v="0"/>
    <s v="Definición del objetivo"/>
    <s v="LE, LP, LA, LC, LD, LS"/>
    <s v="Unico"/>
    <n v="0"/>
    <n v="15"/>
    <n v="350"/>
    <n v="0"/>
    <n v="12"/>
    <n v="360"/>
  </r>
  <r>
    <n v="1"/>
    <x v="0"/>
    <s v="Definición del problema"/>
    <s v="LE, LP, LA, LC, LD, LS"/>
    <s v="Unico"/>
    <n v="0"/>
    <n v="8"/>
    <n v="380"/>
    <n v="0"/>
    <n v="6"/>
    <n v="390"/>
  </r>
  <r>
    <n v="1"/>
    <x v="0"/>
    <s v="Definición de roles y responsabilidades"/>
    <s v="LE"/>
    <s v="Unico"/>
    <n v="0"/>
    <n v="1"/>
    <n v="20"/>
    <n v="0"/>
    <n v="1"/>
    <n v="30"/>
  </r>
  <r>
    <n v="1"/>
    <x v="0"/>
    <s v="Log de defectos"/>
    <s v="LE"/>
    <s v="Común"/>
    <n v="0"/>
    <n v="2"/>
    <n v="37"/>
    <n v="0"/>
    <n v="1"/>
    <n v="27"/>
  </r>
  <r>
    <n v="1"/>
    <x v="0"/>
    <s v="Control de asignaciones"/>
    <s v="LP"/>
    <s v="Común"/>
    <n v="0"/>
    <n v="1"/>
    <n v="20"/>
    <n v="0"/>
    <n v="1"/>
    <n v="30"/>
  </r>
  <r>
    <n v="1"/>
    <x v="0"/>
    <s v="Desarrollo Pagina Web"/>
    <s v="LE, LD"/>
    <s v="Común"/>
    <n v="3"/>
    <n v="5"/>
    <n v="97"/>
    <n v="3"/>
    <n v="4"/>
    <n v="87"/>
  </r>
  <r>
    <n v="1"/>
    <x v="0"/>
    <s v="Acta de reunión"/>
    <s v="LC"/>
    <s v="Común"/>
    <n v="0"/>
    <n v="2"/>
    <n v="20"/>
    <n v="0"/>
    <n v="2"/>
    <n v="30"/>
  </r>
  <r>
    <n v="1"/>
    <x v="0"/>
    <s v="Script de procesos"/>
    <s v="LC"/>
    <s v="Común"/>
    <n v="0"/>
    <n v="2"/>
    <n v="37"/>
    <n v="0"/>
    <n v="2"/>
    <n v="27"/>
  </r>
  <r>
    <n v="1"/>
    <x v="0"/>
    <s v="Subida de documentos"/>
    <s v="LE"/>
    <s v="Común"/>
    <n v="1"/>
    <n v="3"/>
    <n v="20"/>
    <n v="2"/>
    <n v="2"/>
    <n v="30"/>
  </r>
  <r>
    <n v="1"/>
    <x v="0"/>
    <s v="Maestro de documentos"/>
    <s v="LE, LP, LA, LC, LD, LS"/>
    <s v="Común"/>
    <n v="0"/>
    <n v="10"/>
    <n v="190"/>
    <n v="0"/>
    <n v="12"/>
    <n v="180"/>
  </r>
  <r>
    <n v="1"/>
    <x v="0"/>
    <s v="Bitacoras"/>
    <s v="LE, LP, LA, LC, LD, LS"/>
    <s v="Común"/>
    <n v="0"/>
    <n v="6"/>
    <n v="110"/>
    <n v="0"/>
    <n v="6"/>
    <n v="120"/>
  </r>
  <r>
    <n v="2"/>
    <x v="1"/>
    <s v="Lineamiento Estrategico"/>
    <s v="LE"/>
    <s v="Unico"/>
    <n v="0"/>
    <n v="1"/>
    <n v="40"/>
    <n v="0"/>
    <n v="1"/>
    <n v="30"/>
  </r>
  <r>
    <n v="2"/>
    <x v="1"/>
    <s v="Estrategia general y diseño conceptual"/>
    <s v="LE, LA"/>
    <s v="Unico"/>
    <n v="0"/>
    <n v="5"/>
    <n v="42"/>
    <n v="0"/>
    <n v="2"/>
    <n v="52"/>
  </r>
  <r>
    <n v="2"/>
    <x v="1"/>
    <s v="Plan de riesgos"/>
    <s v="LP, LD"/>
    <s v="Unico"/>
    <n v="0"/>
    <n v="2"/>
    <n v="40"/>
    <n v="0"/>
    <n v="2"/>
    <n v="30"/>
  </r>
  <r>
    <n v="2"/>
    <x v="1"/>
    <s v="Plan de administración de configuración"/>
    <s v="LC, LS"/>
    <s v="Unico"/>
    <n v="0"/>
    <n v="2"/>
    <n v="130"/>
    <n v="0"/>
    <n v="2"/>
    <n v="120"/>
  </r>
  <r>
    <n v="2"/>
    <x v="1"/>
    <s v="Plan de control de cambios"/>
    <s v="LC, LS"/>
    <s v="Unico"/>
    <n v="0"/>
    <n v="3"/>
    <n v="44"/>
    <n v="0"/>
    <n v="4"/>
    <n v="54"/>
  </r>
  <r>
    <n v="2"/>
    <x v="1"/>
    <s v="Log de defectos"/>
    <s v="LE"/>
    <s v="Común"/>
    <n v="0"/>
    <n v="2"/>
    <n v="40"/>
    <n v="0"/>
    <n v="2"/>
    <n v="30"/>
  </r>
  <r>
    <n v="2"/>
    <x v="1"/>
    <s v="Control de asignaciones"/>
    <s v="LP"/>
    <s v="Común"/>
    <n v="0"/>
    <n v="2"/>
    <n v="18"/>
    <n v="0"/>
    <n v="2"/>
    <n v="28"/>
  </r>
  <r>
    <n v="2"/>
    <x v="1"/>
    <s v="Maestro de documentos"/>
    <s v="LE, LP, LA, LC, LD, LS"/>
    <s v="Común"/>
    <n v="0"/>
    <n v="15"/>
    <n v="190"/>
    <n v="0"/>
    <n v="12"/>
    <n v="180"/>
  </r>
  <r>
    <n v="2"/>
    <x v="1"/>
    <s v="Subida de documentos"/>
    <s v="LE"/>
    <s v="Común"/>
    <n v="0"/>
    <n v="1"/>
    <n v="20"/>
    <n v="0"/>
    <n v="1"/>
    <n v="30"/>
  </r>
  <r>
    <n v="2"/>
    <x v="1"/>
    <s v="Acta de reunión"/>
    <s v="LC"/>
    <s v="Común"/>
    <n v="3"/>
    <n v="1"/>
    <n v="21"/>
    <n v="2"/>
    <n v="1"/>
    <n v="31"/>
  </r>
  <r>
    <n v="2"/>
    <x v="1"/>
    <s v="Bitacoras"/>
    <s v="LE, LP, LA, LC, LD, LS"/>
    <s v="Común"/>
    <n v="0"/>
    <n v="3"/>
    <n v="190"/>
    <n v="0"/>
    <n v="6"/>
    <n v="180"/>
  </r>
  <r>
    <n v="3"/>
    <x v="2"/>
    <s v="Plan de administración de requerimientos"/>
    <s v="LC"/>
    <s v="Unico"/>
    <n v="0"/>
    <n v="1"/>
    <n v="24"/>
    <n v="0"/>
    <n v="1"/>
    <n v="34"/>
  </r>
  <r>
    <n v="3"/>
    <x v="2"/>
    <s v="Especificación de Requerimientos de software"/>
    <s v="LP,LE"/>
    <s v="Unico"/>
    <n v="0"/>
    <n v="4"/>
    <n v="110"/>
    <n v="0"/>
    <n v="4"/>
    <n v="120"/>
  </r>
  <r>
    <n v="3"/>
    <x v="2"/>
    <s v="Plantillas Casos de uso"/>
    <s v="LE, LP, LA, LC, LD, LS"/>
    <s v="Unico"/>
    <n v="0"/>
    <n v="9"/>
    <n v="244"/>
    <n v="0"/>
    <n v="6"/>
    <n v="234"/>
  </r>
  <r>
    <n v="3"/>
    <x v="2"/>
    <s v="Diagrama de Caso de uso"/>
    <s v="LD"/>
    <s v="Unico"/>
    <n v="0"/>
    <n v="4"/>
    <n v="20"/>
    <n v="0"/>
    <n v="4"/>
    <n v="30"/>
  </r>
  <r>
    <n v="3"/>
    <x v="2"/>
    <s v="Plantilla de atributos de calidad"/>
    <s v="LC,LS"/>
    <s v="Unico"/>
    <n v="0"/>
    <n v="12"/>
    <n v="76"/>
    <n v="0"/>
    <n v="12"/>
    <n v="66"/>
  </r>
  <r>
    <n v="3"/>
    <x v="2"/>
    <s v="Modelo de Dominio"/>
    <s v="LE, LP, LA, LC, LD, LS"/>
    <s v="Unico"/>
    <n v="0"/>
    <n v="10"/>
    <n v="170"/>
    <n v="0"/>
    <n v="12"/>
    <n v="180"/>
  </r>
  <r>
    <n v="3"/>
    <x v="2"/>
    <s v="Log de defectos"/>
    <s v="LE"/>
    <s v="Común"/>
    <n v="0"/>
    <n v="1"/>
    <n v="40"/>
    <n v="0"/>
    <n v="1"/>
    <n v="30"/>
  </r>
  <r>
    <n v="3"/>
    <x v="2"/>
    <s v="Control de asignaciones"/>
    <s v="LP"/>
    <s v="Común"/>
    <n v="0"/>
    <n v="1"/>
    <n v="20"/>
    <n v="0"/>
    <n v="1"/>
    <n v="30"/>
  </r>
  <r>
    <n v="3"/>
    <x v="2"/>
    <s v="Subida de documentos"/>
    <s v="LE"/>
    <s v="Común"/>
    <n v="1"/>
    <n v="3"/>
    <n v="40"/>
    <n v="2"/>
    <n v="1"/>
    <n v="30"/>
  </r>
  <r>
    <n v="3"/>
    <x v="2"/>
    <s v="Acta de reunión"/>
    <s v="LC"/>
    <s v="Común"/>
    <n v="0"/>
    <n v="2"/>
    <n v="15"/>
    <n v="0"/>
    <n v="1"/>
    <n v="25"/>
  </r>
  <r>
    <n v="3"/>
    <x v="2"/>
    <s v="Maestro de documentos"/>
    <s v="LE, LP, LA, LC, LD, LS"/>
    <s v="Común"/>
    <n v="0"/>
    <n v="6"/>
    <n v="190"/>
    <n v="0"/>
    <n v="6"/>
    <n v="180"/>
  </r>
  <r>
    <n v="3"/>
    <x v="2"/>
    <s v="Bitacoras"/>
    <s v="LE, LP, LA, LC, LD, LS"/>
    <s v="Común"/>
    <n v="0"/>
    <n v="9"/>
    <n v="110"/>
    <n v="0"/>
    <n v="12"/>
    <n v="120"/>
  </r>
  <r>
    <n v="4"/>
    <x v="3"/>
    <s v="Especificación detallada de tareas"/>
    <s v="LP,LD"/>
    <s v="Unico"/>
    <n v="0"/>
    <n v="4"/>
    <n v="30"/>
    <n v="0"/>
    <n v="4"/>
    <n v="20"/>
  </r>
  <r>
    <n v="4"/>
    <x v="3"/>
    <s v="Plan de calidad"/>
    <s v="LE,LA"/>
    <s v="Unico"/>
    <n v="0"/>
    <n v="2"/>
    <n v="60"/>
    <n v="0"/>
    <n v="2"/>
    <n v="50"/>
  </r>
  <r>
    <n v="4"/>
    <x v="3"/>
    <s v="Definir objetivo y alcance"/>
    <s v="LC"/>
    <s v="Unico"/>
    <n v="0"/>
    <n v="4"/>
    <n v="35"/>
    <n v="0"/>
    <n v="2"/>
    <n v="25"/>
  </r>
  <r>
    <n v="4"/>
    <x v="3"/>
    <s v="Control de cambios"/>
    <s v="LS,LC"/>
    <s v="Unico"/>
    <n v="0"/>
    <n v="2"/>
    <n v="30"/>
    <n v="0"/>
    <n v="2"/>
    <n v="40"/>
  </r>
  <r>
    <n v="4"/>
    <x v="3"/>
    <s v="Definir roles y responsabilidades"/>
    <s v="LE"/>
    <s v="Unico"/>
    <n v="0"/>
    <n v="1"/>
    <n v="20"/>
    <n v="0"/>
    <n v="1"/>
    <n v="30"/>
  </r>
  <r>
    <n v="4"/>
    <x v="3"/>
    <s v="Descomposición de tareas"/>
    <s v="LP"/>
    <s v="Unico"/>
    <n v="0"/>
    <n v="3"/>
    <n v="40"/>
    <n v="0"/>
    <n v="1"/>
    <n v="30"/>
  </r>
  <r>
    <n v="4"/>
    <x v="3"/>
    <s v="Log de defectos"/>
    <s v="LE"/>
    <s v="Común"/>
    <n v="0"/>
    <n v="1"/>
    <n v="20"/>
    <n v="0"/>
    <n v="1"/>
    <n v="30"/>
  </r>
  <r>
    <n v="4"/>
    <x v="3"/>
    <s v="Control de asignaciones"/>
    <s v="LP"/>
    <s v="Común"/>
    <n v="0"/>
    <n v="2"/>
    <n v="40"/>
    <n v="0"/>
    <n v="1"/>
    <n v="20"/>
  </r>
  <r>
    <n v="4"/>
    <x v="3"/>
    <s v="Acta de reunión"/>
    <s v="LC"/>
    <s v="Común"/>
    <n v="0"/>
    <n v="5"/>
    <n v="20"/>
    <n v="0"/>
    <n v="1"/>
    <n v="30"/>
  </r>
  <r>
    <n v="4"/>
    <x v="3"/>
    <s v="Subida de documentos"/>
    <s v="LE"/>
    <s v="Común"/>
    <n v="3"/>
    <n v="1"/>
    <n v="40"/>
    <n v="2"/>
    <n v="1"/>
    <n v="30"/>
  </r>
  <r>
    <n v="4"/>
    <x v="3"/>
    <s v="Maestro de documentos"/>
    <s v="LE, LP, LA, LC, LD, LS"/>
    <s v="Común"/>
    <n v="0"/>
    <n v="14"/>
    <n v="170"/>
    <n v="0"/>
    <n v="18"/>
    <n v="180"/>
  </r>
  <r>
    <n v="4"/>
    <x v="3"/>
    <s v="Bitacoras"/>
    <s v="LE, LP, LA, LC, LD, LS"/>
    <s v="Común"/>
    <n v="0"/>
    <n v="15"/>
    <n v="190"/>
    <n v="0"/>
    <n v="18"/>
    <n v="180"/>
  </r>
  <r>
    <n v="5"/>
    <x v="4"/>
    <s v="Especificación de diseño de Software"/>
    <s v="LP"/>
    <s v="Unico"/>
    <m/>
    <m/>
    <m/>
    <n v="0"/>
    <n v="1"/>
    <n v="30"/>
  </r>
  <r>
    <n v="5"/>
    <x v="4"/>
    <s v="Arquitectura de la solución"/>
    <s v="LA"/>
    <s v="Unico"/>
    <m/>
    <m/>
    <m/>
    <n v="3"/>
    <n v="1"/>
    <n v="30"/>
  </r>
  <r>
    <n v="5"/>
    <x v="4"/>
    <s v="Diseño funcionales UML"/>
    <s v="LD,LE,LP"/>
    <s v="Unico"/>
    <m/>
    <m/>
    <m/>
    <n v="0"/>
    <n v="1"/>
    <n v="180"/>
  </r>
  <r>
    <n v="5"/>
    <x v="4"/>
    <s v="Log de defectos"/>
    <s v="LE"/>
    <s v="Común"/>
    <m/>
    <m/>
    <m/>
    <n v="0"/>
    <n v="1"/>
    <n v="30"/>
  </r>
  <r>
    <n v="5"/>
    <x v="4"/>
    <s v="Control de asignaciones"/>
    <s v="LP"/>
    <s v="Común"/>
    <m/>
    <m/>
    <m/>
    <n v="0"/>
    <n v="1"/>
    <n v="30"/>
  </r>
  <r>
    <n v="5"/>
    <x v="4"/>
    <s v="Acta de reunión"/>
    <s v="LC"/>
    <s v="Común"/>
    <m/>
    <m/>
    <m/>
    <n v="0"/>
    <n v="1"/>
    <n v="30"/>
  </r>
  <r>
    <n v="5"/>
    <x v="4"/>
    <s v="Subida de documentos"/>
    <s v="LE"/>
    <s v="Común"/>
    <m/>
    <m/>
    <m/>
    <n v="2"/>
    <n v="1"/>
    <n v="30"/>
  </r>
  <r>
    <n v="5"/>
    <x v="4"/>
    <s v="Maestro de documentos"/>
    <s v="LE, LP, LA, LC, LD, LS"/>
    <s v="Común"/>
    <m/>
    <m/>
    <m/>
    <n v="0"/>
    <n v="18"/>
    <n v="180"/>
  </r>
  <r>
    <n v="5"/>
    <x v="4"/>
    <s v="Bitacoras"/>
    <s v="LE, LP, LA, LC, LD, LS"/>
    <s v="Común"/>
    <m/>
    <m/>
    <m/>
    <n v="0"/>
    <n v="18"/>
    <n v="180"/>
  </r>
  <r>
    <n v="6"/>
    <x v="5"/>
    <s v="Plan de implementación"/>
    <s v="LP,LE"/>
    <s v="Unico"/>
    <m/>
    <m/>
    <m/>
    <n v="0"/>
    <n v="1"/>
    <n v="120"/>
  </r>
  <r>
    <n v="6"/>
    <x v="5"/>
    <s v="Codificación"/>
    <s v="LD"/>
    <s v="Unico"/>
    <m/>
    <m/>
    <m/>
    <n v="3"/>
    <n v="1"/>
    <n v="90"/>
  </r>
  <r>
    <n v="6"/>
    <x v="5"/>
    <s v="Propuesta de testeos"/>
    <s v="LA,LC"/>
    <s v="Unico"/>
    <m/>
    <m/>
    <m/>
    <n v="2"/>
    <n v="4"/>
    <n v="120"/>
  </r>
  <r>
    <n v="6"/>
    <x v="5"/>
    <s v="Configuración del repositorio GitHub"/>
    <s v="LE,LS"/>
    <s v="Unico"/>
    <m/>
    <m/>
    <m/>
    <n v="2"/>
    <n v="2"/>
    <n v="50"/>
  </r>
  <r>
    <n v="6"/>
    <x v="5"/>
    <s v="Validaciones"/>
    <s v="LC"/>
    <s v="Unico"/>
    <m/>
    <m/>
    <m/>
    <n v="2"/>
    <n v="2"/>
    <n v="30"/>
  </r>
  <r>
    <n v="6"/>
    <x v="5"/>
    <s v="Log de defectos"/>
    <s v="LE"/>
    <s v="Común"/>
    <m/>
    <m/>
    <m/>
    <n v="0"/>
    <n v="2"/>
    <n v="30"/>
  </r>
  <r>
    <n v="6"/>
    <x v="5"/>
    <s v="Control de asignaciones"/>
    <s v="LP"/>
    <s v="Común"/>
    <m/>
    <m/>
    <m/>
    <n v="0"/>
    <n v="2"/>
    <n v="30"/>
  </r>
  <r>
    <n v="6"/>
    <x v="5"/>
    <s v="Acta de reunión"/>
    <s v="LC"/>
    <s v="Común"/>
    <m/>
    <m/>
    <m/>
    <n v="0"/>
    <n v="2"/>
    <n v="30"/>
  </r>
  <r>
    <n v="6"/>
    <x v="5"/>
    <s v="Subida de documentos"/>
    <s v="LE"/>
    <s v="Común"/>
    <m/>
    <m/>
    <m/>
    <n v="2"/>
    <n v="2"/>
    <n v="30"/>
  </r>
  <r>
    <n v="6"/>
    <x v="5"/>
    <s v="Maestro de documentos"/>
    <s v="LE, LP, LA, LC, LD, LS"/>
    <s v="Común"/>
    <m/>
    <m/>
    <m/>
    <n v="0"/>
    <n v="18"/>
    <n v="180"/>
  </r>
  <r>
    <n v="6"/>
    <x v="5"/>
    <s v="Bitacoras"/>
    <s v="LE, LP, LA, LC, LD, LS"/>
    <s v="Común"/>
    <m/>
    <m/>
    <m/>
    <n v="0"/>
    <n v="12"/>
    <n v="180"/>
  </r>
  <r>
    <n v="7"/>
    <x v="6"/>
    <s v="Plan de pruebas"/>
    <s v="LC"/>
    <s v="Unico"/>
    <m/>
    <m/>
    <m/>
    <n v="3"/>
    <n v="2"/>
    <n v="30"/>
  </r>
  <r>
    <n v="7"/>
    <x v="6"/>
    <s v="Informes pruebas"/>
    <s v="LC,LS"/>
    <s v="Unico"/>
    <m/>
    <m/>
    <m/>
    <n v="1"/>
    <n v="2"/>
    <n v="60"/>
  </r>
  <r>
    <n v="7"/>
    <x v="6"/>
    <s v="Testeo local"/>
    <s v="LE, LP, LA, LC, LD, LS"/>
    <s v="Unico"/>
    <m/>
    <m/>
    <m/>
    <n v="3"/>
    <n v="18"/>
    <n v="180"/>
  </r>
  <r>
    <n v="7"/>
    <x v="6"/>
    <s v="Log de defectos"/>
    <s v="LE"/>
    <s v="Común"/>
    <m/>
    <m/>
    <m/>
    <n v="0"/>
    <n v="4"/>
    <n v="30"/>
  </r>
  <r>
    <n v="7"/>
    <x v="6"/>
    <s v="Control de asignaciones"/>
    <s v="LP"/>
    <s v="Común"/>
    <m/>
    <m/>
    <m/>
    <n v="0"/>
    <n v="4"/>
    <n v="30"/>
  </r>
  <r>
    <n v="7"/>
    <x v="6"/>
    <s v="Acta de reunión"/>
    <s v="LC"/>
    <s v="Común"/>
    <m/>
    <m/>
    <m/>
    <n v="0"/>
    <n v="4"/>
    <n v="30"/>
  </r>
  <r>
    <n v="7"/>
    <x v="6"/>
    <s v="Subida de documentos"/>
    <s v="LE"/>
    <s v="Común"/>
    <m/>
    <m/>
    <m/>
    <n v="2"/>
    <n v="4"/>
    <n v="30"/>
  </r>
  <r>
    <n v="7"/>
    <x v="6"/>
    <s v="Maestro de documentos"/>
    <s v="LE, LP, LA, LC, LD, LS"/>
    <s v="Común"/>
    <m/>
    <m/>
    <m/>
    <n v="0"/>
    <n v="12"/>
    <n v="180"/>
  </r>
  <r>
    <n v="7"/>
    <x v="6"/>
    <s v="Bitacoras"/>
    <s v="LE, LP, LA, LC, LD, LS"/>
    <s v="Común"/>
    <m/>
    <m/>
    <m/>
    <n v="0"/>
    <n v="6"/>
    <n v="180"/>
  </r>
  <r>
    <n v="8"/>
    <x v="7"/>
    <s v="Informe de postmortem"/>
    <s v="LE,LA,LS"/>
    <s v="Unico"/>
    <m/>
    <m/>
    <m/>
    <n v="1"/>
    <n v="9"/>
    <n v="90"/>
  </r>
  <r>
    <n v="8"/>
    <x v="7"/>
    <s v="Presentación postmortem"/>
    <s v="LE, LP, LA, LC, LD, LS"/>
    <s v="Unico"/>
    <m/>
    <m/>
    <m/>
    <n v="0"/>
    <n v="18"/>
    <n v="180"/>
  </r>
  <r>
    <n v="8"/>
    <x v="7"/>
    <s v="Recolección de documentos"/>
    <s v="LE, LP, LA, LC, LD, LS"/>
    <s v="Unico"/>
    <m/>
    <m/>
    <m/>
    <n v="0"/>
    <n v="6"/>
    <n v="180"/>
  </r>
  <r>
    <n v="8"/>
    <x v="7"/>
    <s v="Correción y revisión"/>
    <s v="LE, LP, LA, LC, LD, LS"/>
    <s v="Unico"/>
    <m/>
    <m/>
    <m/>
    <n v="3"/>
    <n v="12"/>
    <n v="144"/>
  </r>
  <r>
    <n v="8"/>
    <x v="7"/>
    <s v="Log de defectos"/>
    <s v="LE"/>
    <s v="Común"/>
    <m/>
    <m/>
    <m/>
    <n v="0"/>
    <n v="1"/>
    <n v="34"/>
  </r>
  <r>
    <n v="8"/>
    <x v="7"/>
    <s v="Control de asignaciones"/>
    <s v="LP"/>
    <s v="Común"/>
    <m/>
    <m/>
    <m/>
    <n v="0"/>
    <n v="1"/>
    <n v="30"/>
  </r>
  <r>
    <n v="8"/>
    <x v="7"/>
    <s v="Acta de reunión"/>
    <s v="LC"/>
    <s v="Común"/>
    <m/>
    <m/>
    <m/>
    <n v="0"/>
    <n v="1"/>
    <n v="30"/>
  </r>
  <r>
    <n v="8"/>
    <x v="7"/>
    <s v="Subida de documentos"/>
    <s v="LE"/>
    <s v="Común"/>
    <m/>
    <m/>
    <m/>
    <n v="2"/>
    <n v="1"/>
    <n v="30"/>
  </r>
  <r>
    <n v="8"/>
    <x v="7"/>
    <s v="Maestro de documentos"/>
    <s v="LE, LP, LA, LC, LD, LS"/>
    <s v="Común"/>
    <m/>
    <m/>
    <m/>
    <n v="0"/>
    <n v="12"/>
    <n v="60"/>
  </r>
  <r>
    <n v="8"/>
    <x v="7"/>
    <s v="Bitacoras"/>
    <s v="LE, LP, LA, LC, LD, LS"/>
    <s v="Común"/>
    <m/>
    <m/>
    <m/>
    <n v="0"/>
    <n v="18"/>
    <n v="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6C277-0D69-4339-AD0F-1F255E927ECA}" name="TablaDinámica1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N53:Q58" firstHeaderRow="0" firstDataRow="1" firstDataCol="1"/>
  <pivotFields count="11"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dataField="1"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iempo (min) EST" fld="10" baseField="0" baseItem="0"/>
    <dataField name="Suma de Tamaño documentos EST" fld="9" baseField="0" baseItem="0"/>
    <dataField name="Suma de Tamaño en codigo EST" fld="8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18B91-33B3-464F-8896-8FE27EA10C79}" name="TablaDiná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N3:T8" firstHeaderRow="0" firstDataRow="1" firstDataCol="1"/>
  <pivotFields count="11">
    <pivotField showAll="0"/>
    <pivotField axis="axisRow" showAll="0">
      <items count="9">
        <item h="1" x="4"/>
        <item x="1"/>
        <item h="1" x="5"/>
        <item x="0"/>
        <item h="1" x="3"/>
        <item x="7"/>
        <item h="1" x="6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5">
    <i>
      <x v="1"/>
    </i>
    <i>
      <x v="3"/>
    </i>
    <i>
      <x v="5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iempo (min) EST" fld="10" baseField="0" baseItem="0"/>
    <dataField name="Suma de Tamaño documentos EST" fld="9" baseField="0" baseItem="0"/>
    <dataField name="Suma de Tamaño en codigo EST" fld="8" baseField="0" baseItem="0"/>
    <dataField name="Suma de Tamaño en codigo" fld="5" baseField="0" baseItem="0"/>
    <dataField name="Suma de Tamaño documentos REAL" fld="6" baseField="0" baseItem="0"/>
    <dataField name="Suma de Tiempo (min) REAL" fld="7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82636-0E82-4AB3-B1BA-834CD1FE76E3}" name="TablaDiná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04:C113" firstHeaderRow="1" firstDataRow="1" firstDataCol="1"/>
  <pivotFields count="2">
    <pivotField axis="axisRow" showAll="0">
      <items count="9">
        <item x="3"/>
        <item x="0"/>
        <item x="4"/>
        <item x="6"/>
        <item x="5"/>
        <item x="1"/>
        <item x="7"/>
        <item x="2"/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de TOTAL EST X FASE" fld="1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98A61-8D59-49CE-A1A6-47774C5E710B}" name="TablaDiná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N1:T10" firstHeaderRow="0" firstDataRow="1" firstDataCol="1"/>
  <pivotFields count="11">
    <pivotField showAll="0"/>
    <pivotField axis="axisRow" showAll="0">
      <items count="9">
        <item x="4"/>
        <item x="1"/>
        <item x="5"/>
        <item x="0"/>
        <item x="3"/>
        <item x="7"/>
        <item x="6"/>
        <item x="2"/>
        <item t="default"/>
      </items>
    </pivotField>
    <pivotField showAll="0">
      <items count="46">
        <item x="0"/>
        <item x="8"/>
        <item x="31"/>
        <item x="12"/>
        <item x="34"/>
        <item x="36"/>
        <item x="1"/>
        <item x="6"/>
        <item x="27"/>
        <item x="44"/>
        <item x="4"/>
        <item x="2"/>
        <item x="3"/>
        <item x="26"/>
        <item x="28"/>
        <item x="7"/>
        <item x="29"/>
        <item x="21"/>
        <item x="32"/>
        <item x="30"/>
        <item x="19"/>
        <item x="24"/>
        <item x="14"/>
        <item x="41"/>
        <item x="39"/>
        <item x="13"/>
        <item x="5"/>
        <item x="11"/>
        <item x="23"/>
        <item x="16"/>
        <item x="18"/>
        <item x="25"/>
        <item x="17"/>
        <item x="33"/>
        <item x="38"/>
        <item x="15"/>
        <item x="22"/>
        <item x="20"/>
        <item x="42"/>
        <item x="35"/>
        <item x="43"/>
        <item x="9"/>
        <item x="10"/>
        <item x="40"/>
        <item x="37"/>
        <item t="default"/>
      </items>
    </pivotField>
    <pivotField showAll="0">
      <items count="20">
        <item x="14"/>
        <item x="16"/>
        <item x="4"/>
        <item x="7"/>
        <item x="10"/>
        <item x="9"/>
        <item x="15"/>
        <item x="1"/>
        <item x="5"/>
        <item x="3"/>
        <item x="0"/>
        <item x="12"/>
        <item x="18"/>
        <item x="17"/>
        <item x="2"/>
        <item x="6"/>
        <item x="11"/>
        <item x="8"/>
        <item x="13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iempo (min) EST" fld="10" baseField="0" baseItem="0"/>
    <dataField name="Suma de Tamaño documentos EST" fld="9" baseField="0" baseItem="0"/>
    <dataField name="Suma de Tamaño en codigo EST" fld="8" baseField="0" baseItem="0"/>
    <dataField name="Suma de Tiempo (min) REAL" fld="7" baseField="0" baseItem="0"/>
    <dataField name="Suma de Tamaño documentos REAL" fld="6" baseField="0" baseItem="0"/>
    <dataField name="Suma de Tamaño en codigo" fld="5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A41D9-7D76-4456-8E17-409253C01293}" name="TablaDiná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04:C113" firstHeaderRow="1" firstDataRow="1" firstDataCol="1"/>
  <pivotFields count="2">
    <pivotField axis="axisRow" showAll="0">
      <items count="9">
        <item x="3"/>
        <item x="0"/>
        <item x="4"/>
        <item x="6"/>
        <item x="5"/>
        <item x="1"/>
        <item x="7"/>
        <item x="2"/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de TOTAL EST X FASE" fld="1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5D2C5-24FD-4423-8B40-C9C1865FA4E6}" name="TablaDinámica5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V52:Y57" firstHeaderRow="0" firstDataRow="1" firstDataCol="1"/>
  <pivotFields count="11">
    <pivotField showAll="0"/>
    <pivotField axis="axisRow" showAll="0">
      <items count="9">
        <item x="4"/>
        <item h="1" x="1"/>
        <item x="5"/>
        <item h="1" x="0"/>
        <item h="1" x="3"/>
        <item x="7"/>
        <item x="6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"/>
  </rowFields>
  <rowItems count="5">
    <i>
      <x/>
    </i>
    <i>
      <x v="2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amaño en codigo EST" fld="8" baseField="0" baseItem="0"/>
    <dataField name="Suma de Tamaño documentos EST" fld="9" baseField="0" baseItem="0"/>
    <dataField name="Suma de Tiempo (min) EST" fld="10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ADF48-AA66-496D-8AAD-16D06F1AF8EE}" name="TablaDinámica4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X3:AD8" firstHeaderRow="0" firstDataRow="1" firstDataCol="1"/>
  <pivotFields count="11"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amaño en codigo" fld="5" baseField="0" baseItem="0"/>
    <dataField name="Suma de Tamaño documentos REAL" fld="6" baseField="0" baseItem="0"/>
    <dataField name="Suma de Tiempo (min) REAL" fld="7" baseField="0" baseItem="0"/>
    <dataField name="Suma de Tamaño en codigo EST" fld="8" baseField="0" baseItem="0"/>
    <dataField name="Suma de Tamaño documentos EST" fld="9" baseField="0" baseItem="0"/>
    <dataField name="Suma de Tiempo (min) EST" fld="10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8A969-22CA-4DC1-895B-544F6F0E5434}" name="TablaDiná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128:C137" firstHeaderRow="1" firstDataRow="1" firstDataCol="1"/>
  <pivotFields count="2">
    <pivotField axis="axisRow" showAll="0">
      <items count="9">
        <item x="3"/>
        <item x="0"/>
        <item x="4"/>
        <item x="6"/>
        <item x="5"/>
        <item x="1"/>
        <item x="7"/>
        <item x="2"/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de TOTAL EST X FASE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3D7A0-1348-47A6-9F7E-A9A280680304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115:C124" firstHeaderRow="1" firstDataRow="1" firstDataCol="1"/>
  <pivotFields count="2">
    <pivotField axis="axisRow" showAll="0">
      <items count="9">
        <item x="3"/>
        <item x="0"/>
        <item x="4"/>
        <item x="6"/>
        <item x="5"/>
        <item x="1"/>
        <item x="7"/>
        <item x="2"/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de TOTAL EST X FASE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61A47-F41C-4D3A-BE2E-142A03787770}" name="TablaDiná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N3:T8" firstHeaderRow="0" firstDataRow="1" firstDataCol="1"/>
  <pivotFields count="11">
    <pivotField showAll="0"/>
    <pivotField axis="axisRow" showAll="0">
      <items count="9">
        <item h="1" x="4"/>
        <item x="1"/>
        <item h="1" x="5"/>
        <item x="0"/>
        <item x="3"/>
        <item h="1" x="7"/>
        <item h="1" x="6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5">
    <i>
      <x v="1"/>
    </i>
    <i>
      <x v="3"/>
    </i>
    <i>
      <x v="4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iempo (min) EST" fld="10" baseField="0" baseItem="0"/>
    <dataField name="Suma de Tamaño documentos EST" fld="9" baseField="0" baseItem="0"/>
    <dataField name="Suma de Tamaño en codigo EST" fld="8" baseField="0" baseItem="0"/>
    <dataField name="Suma de Tamaño en codigo" fld="5" baseField="0" baseItem="0"/>
    <dataField name="Suma de Tamaño documentos REAL" fld="6" baseField="0" baseItem="0"/>
    <dataField name="Suma de Tiempo (min) REAL" fld="7" baseField="0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ACDDA-F770-4B99-8028-FA99E80415BF}" name="TablaDinámica1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N53:Q58" firstHeaderRow="0" firstDataRow="1" firstDataCol="1"/>
  <pivotFields count="11"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dataField="1"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iempo (min) EST" fld="10" baseField="0" baseItem="0"/>
    <dataField name="Suma de Tamaño documentos EST" fld="9" baseField="0" baseItem="0"/>
    <dataField name="Suma de Tamaño en codigo EST" fld="8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89">
  <tableColumns count="7">
    <tableColumn id="1" xr3:uid="{00000000-0010-0000-0100-000001000000}" name="Versión"/>
    <tableColumn id="2" xr3:uid="{00000000-0010-0000-0100-000002000000}" name="Fase / Etapa"/>
    <tableColumn id="3" xr3:uid="{00000000-0010-0000-0100-000003000000}" name="Actividades"/>
    <tableColumn id="4" xr3:uid="{00000000-0010-0000-0100-000004000000}" name="Responsable/s"/>
    <tableColumn id="5" xr3:uid="{00000000-0010-0000-0100-000005000000}" name="Tipo"/>
    <tableColumn id="6" xr3:uid="{00000000-0010-0000-0100-000006000000}" name="Peso"/>
    <tableColumn id="7" xr3:uid="{00000000-0010-0000-0100-000007000000}" name="Tiempo (min)"/>
  </tableColumns>
  <tableStyleInfo name="Copia de Hoja1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89">
  <tableColumns count="11">
    <tableColumn id="1" xr3:uid="{00000000-0010-0000-0000-000001000000}" name="Versión"/>
    <tableColumn id="2" xr3:uid="{00000000-0010-0000-0000-000002000000}" name="Fase / Etapa"/>
    <tableColumn id="3" xr3:uid="{00000000-0010-0000-0000-000003000000}" name="Actividades"/>
    <tableColumn id="4" xr3:uid="{00000000-0010-0000-0000-000004000000}" name="Responsable/s"/>
    <tableColumn id="5" xr3:uid="{00000000-0010-0000-0000-000005000000}" name="Tipo"/>
    <tableColumn id="6" xr3:uid="{00000000-0010-0000-0000-000006000000}" name="Tamaño en codigo"/>
    <tableColumn id="7" xr3:uid="{00000000-0010-0000-0000-000007000000}" name="Tamaño documentos REAL"/>
    <tableColumn id="8" xr3:uid="{00000000-0010-0000-0000-000008000000}" name="Tiempo (min) REAL"/>
    <tableColumn id="9" xr3:uid="{00000000-0010-0000-0000-000009000000}" name="Tamaño en codigo EST"/>
    <tableColumn id="10" xr3:uid="{00000000-0010-0000-0000-00000A000000}" name="Tamaño documentos EST"/>
    <tableColumn id="11" xr3:uid="{00000000-0010-0000-0000-00000B000000}" name="Tiempo (min) EST"/>
  </tableColumns>
  <tableStyleInfo name="Hoja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4019A-ABE8-45A0-8821-8E45293E81C9}" name="Table_14" displayName="Table_14" ref="A1:K89">
  <tableColumns count="11">
    <tableColumn id="1" xr3:uid="{75BE65FC-B7EE-4B10-A691-B6588C552F91}" name="Versión"/>
    <tableColumn id="2" xr3:uid="{04C95069-0976-4A3D-97AB-90404719F9D5}" name="Fase / Etapa"/>
    <tableColumn id="3" xr3:uid="{A998EEE4-A70D-49E9-ADA4-DE4ACF6ADF6F}" name="Actividades"/>
    <tableColumn id="4" xr3:uid="{3F9EAFB9-A313-43F8-82DF-C98C92BF71EC}" name="Responsable/s"/>
    <tableColumn id="5" xr3:uid="{FD439AEF-7F2B-49F3-BD2D-EFC0CBE0A1E2}" name="Tipo"/>
    <tableColumn id="6" xr3:uid="{1C4E49A1-FECC-476E-AB97-B3F4E5ACCA04}" name="Tamaño en codigo"/>
    <tableColumn id="7" xr3:uid="{75431C68-FE3E-4004-AF3E-470FF01AEB2C}" name="Tamaño documentos REAL"/>
    <tableColumn id="8" xr3:uid="{4C50B3CF-7177-4644-8368-D8800C07A5BA}" name="Tiempo (min) REAL"/>
    <tableColumn id="9" xr3:uid="{35133176-03D3-45CF-B5A0-81B8954F733D}" name="Tamaño en codigo EST"/>
    <tableColumn id="10" xr3:uid="{984AFB58-20EC-4257-B321-EA50AC3EAE20}" name="Tamaño documentos EST"/>
    <tableColumn id="11" xr3:uid="{06A691B2-4BAC-4F7D-963B-4C7B6FCB0A19}" name="Tiempo (min) EST"/>
  </tableColumns>
  <tableStyleInfo name="Hoja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C18DAF-AD22-49F6-AD1B-F63B0FBFA841}" name="Table_15" displayName="Table_15" ref="A1:K89">
  <tableColumns count="11">
    <tableColumn id="1" xr3:uid="{AC2E24BE-798D-49F7-A9F6-5149B8081C3A}" name="Versión"/>
    <tableColumn id="2" xr3:uid="{2A021C6A-5529-461C-9A67-11A1DBE174B7}" name="Fase / Etapa"/>
    <tableColumn id="3" xr3:uid="{21788A7A-4726-44D5-9DBA-690F73A35B72}" name="Actividades"/>
    <tableColumn id="4" xr3:uid="{A2B080F9-DFEF-4BD4-912F-F2824BCFD5A1}" name="Responsable/s"/>
    <tableColumn id="5" xr3:uid="{B6723049-B564-4AF7-9C6F-CBBB92740C1B}" name="Tipo"/>
    <tableColumn id="6" xr3:uid="{F782E161-75E6-4D9E-94C4-8643BA55FA2D}" name="Tamaño en codigo"/>
    <tableColumn id="7" xr3:uid="{DEE06148-32DB-479E-82BA-0A44C1FB6975}" name="Tamaño documentos REAL"/>
    <tableColumn id="8" xr3:uid="{E50F3780-268A-4985-B876-2C2003DF2A2C}" name="Tiempo (min) REAL"/>
    <tableColumn id="9" xr3:uid="{F08FFFD3-C144-4F91-8BCD-1B5D385245A9}" name="Tamaño en codigo EST"/>
    <tableColumn id="10" xr3:uid="{75FB74BE-E6B5-4950-85A0-7B94C9C5EB50}" name="Tamaño documentos EST"/>
    <tableColumn id="11" xr3:uid="{B79E743D-4EC2-450E-8B4E-18D26BA6CF8A}" name="Tiempo (min) EST"/>
  </tableColumns>
  <tableStyleInfo name="Hoj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pivotTable" Target="../pivotTables/pivotTable8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3"/>
  <sheetViews>
    <sheetView workbookViewId="0">
      <selection activeCell="B90" sqref="B90"/>
    </sheetView>
  </sheetViews>
  <sheetFormatPr baseColWidth="10" defaultColWidth="12.5703125" defaultRowHeight="15" customHeight="1" x14ac:dyDescent="0.25"/>
  <cols>
    <col min="1" max="1" width="7" customWidth="1"/>
    <col min="2" max="2" width="26.140625" customWidth="1"/>
    <col min="3" max="3" width="38.42578125" customWidth="1"/>
    <col min="4" max="4" width="35" customWidth="1"/>
    <col min="5" max="5" width="11.85546875" customWidth="1"/>
    <col min="6" max="6" width="7.85546875" customWidth="1"/>
    <col min="7" max="7" width="18.7109375" customWidth="1"/>
    <col min="8" max="26" width="10.5703125" customWidth="1"/>
  </cols>
  <sheetData>
    <row r="1" spans="1:7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86</v>
      </c>
      <c r="G1" s="15" t="s">
        <v>87</v>
      </c>
    </row>
    <row r="2" spans="1:7" ht="14.25" customHeight="1" x14ac:dyDescent="0.25">
      <c r="A2" s="5"/>
      <c r="B2" s="6"/>
      <c r="C2" s="5"/>
      <c r="D2" s="6"/>
      <c r="E2" s="5"/>
      <c r="F2" s="6"/>
      <c r="G2" s="6"/>
    </row>
    <row r="3" spans="1:7" ht="14.25" customHeight="1" x14ac:dyDescent="0.25">
      <c r="A3" s="5"/>
      <c r="B3" s="5"/>
      <c r="C3" s="5"/>
      <c r="D3" s="6"/>
      <c r="E3" s="5"/>
      <c r="F3" s="6"/>
      <c r="G3" s="6"/>
    </row>
    <row r="4" spans="1:7" ht="14.25" customHeight="1" x14ac:dyDescent="0.25">
      <c r="A4" s="5"/>
      <c r="B4" s="5"/>
      <c r="C4" s="5"/>
      <c r="D4" s="6"/>
      <c r="E4" s="5"/>
      <c r="F4" s="6"/>
      <c r="G4" s="5"/>
    </row>
    <row r="5" spans="1:7" ht="14.25" customHeight="1" x14ac:dyDescent="0.25">
      <c r="A5" s="5"/>
      <c r="B5" s="5"/>
      <c r="C5" s="5"/>
      <c r="D5" s="6"/>
      <c r="E5" s="5"/>
      <c r="F5" s="6"/>
      <c r="G5" s="5"/>
    </row>
    <row r="6" spans="1:7" ht="14.25" customHeight="1" x14ac:dyDescent="0.25">
      <c r="A6" s="5"/>
      <c r="B6" s="5"/>
      <c r="C6" s="5"/>
      <c r="D6" s="6"/>
      <c r="E6" s="5"/>
      <c r="F6" s="6"/>
      <c r="G6" s="5"/>
    </row>
    <row r="7" spans="1:7" ht="14.25" customHeight="1" x14ac:dyDescent="0.25">
      <c r="A7" s="5"/>
      <c r="B7" s="5"/>
      <c r="C7" s="5"/>
      <c r="D7" s="6"/>
      <c r="E7" s="6"/>
      <c r="F7" s="6"/>
      <c r="G7" s="5"/>
    </row>
    <row r="8" spans="1:7" ht="14.25" customHeight="1" x14ac:dyDescent="0.25">
      <c r="A8" s="5"/>
      <c r="B8" s="5"/>
      <c r="C8" s="5"/>
      <c r="D8" s="6"/>
      <c r="E8" s="6"/>
      <c r="F8" s="6"/>
      <c r="G8" s="5"/>
    </row>
    <row r="9" spans="1:7" ht="14.25" customHeight="1" x14ac:dyDescent="0.25">
      <c r="A9" s="5"/>
      <c r="B9" s="5"/>
      <c r="C9" s="5"/>
      <c r="D9" s="6"/>
      <c r="E9" s="6"/>
      <c r="F9" s="6"/>
      <c r="G9" s="5"/>
    </row>
    <row r="10" spans="1:7" ht="14.25" customHeight="1" x14ac:dyDescent="0.25">
      <c r="A10" s="5"/>
      <c r="B10" s="5"/>
      <c r="C10" s="5"/>
      <c r="D10" s="6"/>
      <c r="E10" s="6"/>
      <c r="F10" s="6"/>
      <c r="G10" s="5"/>
    </row>
    <row r="11" spans="1:7" ht="14.25" customHeight="1" x14ac:dyDescent="0.25">
      <c r="A11" s="5"/>
      <c r="B11" s="5"/>
      <c r="C11" s="5"/>
      <c r="D11" s="6"/>
      <c r="E11" s="6"/>
      <c r="F11" s="6"/>
      <c r="G11" s="5"/>
    </row>
    <row r="12" spans="1:7" ht="14.25" customHeight="1" x14ac:dyDescent="0.25">
      <c r="A12" s="5"/>
      <c r="B12" s="5"/>
      <c r="C12" s="6"/>
      <c r="D12" s="6"/>
      <c r="E12" s="6"/>
      <c r="F12" s="6"/>
      <c r="G12" s="5"/>
    </row>
    <row r="13" spans="1:7" ht="14.25" customHeight="1" x14ac:dyDescent="0.25">
      <c r="A13" s="5"/>
      <c r="B13" s="5"/>
      <c r="C13" s="5"/>
      <c r="D13" s="6"/>
      <c r="E13" s="6"/>
      <c r="F13" s="6"/>
      <c r="G13" s="5"/>
    </row>
    <row r="14" spans="1:7" ht="14.25" customHeight="1" x14ac:dyDescent="0.25">
      <c r="A14" s="5"/>
      <c r="B14" s="5"/>
      <c r="C14" s="5"/>
      <c r="D14" s="6"/>
      <c r="E14" s="6"/>
      <c r="F14" s="6"/>
      <c r="G14" s="5"/>
    </row>
    <row r="15" spans="1:7" ht="14.25" customHeight="1" x14ac:dyDescent="0.25">
      <c r="A15" s="5"/>
      <c r="B15" s="5"/>
      <c r="C15" s="5"/>
      <c r="D15" s="6"/>
      <c r="E15" s="6"/>
      <c r="F15" s="6"/>
      <c r="G15" s="5"/>
    </row>
    <row r="16" spans="1:7" ht="14.25" customHeight="1" x14ac:dyDescent="0.25">
      <c r="A16" s="5"/>
      <c r="B16" s="5"/>
      <c r="C16" s="5"/>
      <c r="D16" s="6"/>
      <c r="E16" s="6"/>
      <c r="F16" s="6"/>
      <c r="G16" s="5"/>
    </row>
    <row r="17" spans="1:7" ht="14.25" customHeight="1" x14ac:dyDescent="0.25">
      <c r="A17" s="5"/>
      <c r="B17" s="5"/>
      <c r="C17" s="5"/>
      <c r="D17" s="6"/>
      <c r="E17" s="6"/>
      <c r="F17" s="6"/>
      <c r="G17" s="5"/>
    </row>
    <row r="18" spans="1:7" ht="14.25" customHeight="1" x14ac:dyDescent="0.25">
      <c r="A18" s="5"/>
      <c r="B18" s="5"/>
      <c r="C18" s="5"/>
      <c r="D18" s="6"/>
      <c r="E18" s="6"/>
      <c r="F18" s="6"/>
      <c r="G18" s="5"/>
    </row>
    <row r="19" spans="1:7" ht="14.25" customHeight="1" x14ac:dyDescent="0.25">
      <c r="A19" s="5"/>
      <c r="B19" s="5"/>
      <c r="C19" s="5"/>
      <c r="D19" s="6"/>
      <c r="E19" s="6"/>
      <c r="F19" s="6"/>
      <c r="G19" s="5"/>
    </row>
    <row r="20" spans="1:7" ht="14.25" customHeight="1" x14ac:dyDescent="0.25">
      <c r="A20" s="5"/>
      <c r="B20" s="5"/>
      <c r="C20" s="5"/>
      <c r="D20" s="6"/>
      <c r="E20" s="6"/>
      <c r="F20" s="6"/>
      <c r="G20" s="5"/>
    </row>
    <row r="21" spans="1:7" ht="14.25" customHeight="1" x14ac:dyDescent="0.25">
      <c r="A21" s="5"/>
      <c r="B21" s="5"/>
      <c r="C21" s="5"/>
      <c r="D21" s="6"/>
      <c r="E21" s="6"/>
      <c r="F21" s="6"/>
      <c r="G21" s="5"/>
    </row>
    <row r="22" spans="1:7" ht="14.25" customHeight="1" x14ac:dyDescent="0.25">
      <c r="A22" s="5"/>
      <c r="B22" s="5"/>
      <c r="C22" s="5"/>
      <c r="D22" s="6"/>
      <c r="E22" s="6"/>
      <c r="F22" s="6"/>
      <c r="G22" s="5"/>
    </row>
    <row r="23" spans="1:7" ht="14.25" customHeight="1" x14ac:dyDescent="0.25">
      <c r="A23" s="5"/>
      <c r="B23" s="5"/>
      <c r="C23" s="6"/>
      <c r="D23" s="6"/>
      <c r="E23" s="6"/>
      <c r="F23" s="6"/>
      <c r="G23" s="5"/>
    </row>
    <row r="24" spans="1:7" ht="14.25" customHeight="1" x14ac:dyDescent="0.25">
      <c r="A24" s="5"/>
      <c r="B24" s="5"/>
      <c r="C24" s="5"/>
      <c r="D24" s="6"/>
      <c r="E24" s="6"/>
      <c r="F24" s="6"/>
      <c r="G24" s="5"/>
    </row>
    <row r="25" spans="1:7" ht="14.25" customHeight="1" x14ac:dyDescent="0.25">
      <c r="A25" s="5"/>
      <c r="B25" s="5"/>
      <c r="C25" s="5"/>
      <c r="D25" s="6"/>
      <c r="E25" s="6"/>
      <c r="F25" s="6"/>
      <c r="G25" s="5"/>
    </row>
    <row r="26" spans="1:7" ht="14.25" customHeight="1" x14ac:dyDescent="0.25">
      <c r="A26" s="5"/>
      <c r="B26" s="5"/>
      <c r="C26" s="5"/>
      <c r="D26" s="6"/>
      <c r="E26" s="6"/>
      <c r="F26" s="6"/>
      <c r="G26" s="5"/>
    </row>
    <row r="27" spans="1:7" ht="14.25" customHeight="1" x14ac:dyDescent="0.25">
      <c r="A27" s="5"/>
      <c r="B27" s="5"/>
      <c r="C27" s="5"/>
      <c r="D27" s="6"/>
      <c r="E27" s="6"/>
      <c r="F27" s="6"/>
      <c r="G27" s="5"/>
    </row>
    <row r="28" spans="1:7" ht="14.25" customHeight="1" x14ac:dyDescent="0.25">
      <c r="A28" s="5"/>
      <c r="B28" s="5"/>
      <c r="C28" s="5"/>
      <c r="D28" s="6"/>
      <c r="E28" s="6"/>
      <c r="F28" s="6"/>
      <c r="G28" s="5"/>
    </row>
    <row r="29" spans="1:7" ht="14.25" customHeight="1" x14ac:dyDescent="0.25">
      <c r="A29" s="5"/>
      <c r="B29" s="5"/>
      <c r="C29" s="5"/>
      <c r="D29" s="6"/>
      <c r="E29" s="6"/>
      <c r="F29" s="6"/>
      <c r="G29" s="5"/>
    </row>
    <row r="30" spans="1:7" ht="14.25" customHeight="1" x14ac:dyDescent="0.25">
      <c r="A30" s="5"/>
      <c r="B30" s="5"/>
      <c r="C30" s="5"/>
      <c r="D30" s="6"/>
      <c r="E30" s="6"/>
      <c r="F30" s="6"/>
      <c r="G30" s="5"/>
    </row>
    <row r="31" spans="1:7" ht="14.25" customHeight="1" x14ac:dyDescent="0.25">
      <c r="A31" s="5"/>
      <c r="B31" s="5"/>
      <c r="C31" s="5"/>
      <c r="D31" s="6"/>
      <c r="E31" s="6"/>
      <c r="F31" s="6"/>
      <c r="G31" s="5"/>
    </row>
    <row r="32" spans="1:7" ht="14.25" customHeight="1" x14ac:dyDescent="0.25">
      <c r="A32" s="5"/>
      <c r="B32" s="5"/>
      <c r="C32" s="5"/>
      <c r="D32" s="6"/>
      <c r="E32" s="6"/>
      <c r="F32" s="6"/>
      <c r="G32" s="5"/>
    </row>
    <row r="33" spans="1:7" ht="14.25" customHeight="1" x14ac:dyDescent="0.25">
      <c r="A33" s="5"/>
      <c r="B33" s="5"/>
      <c r="C33" s="5"/>
      <c r="D33" s="6"/>
      <c r="E33" s="6"/>
      <c r="F33" s="6"/>
      <c r="G33" s="5"/>
    </row>
    <row r="34" spans="1:7" ht="14.25" customHeight="1" x14ac:dyDescent="0.25">
      <c r="A34" s="5"/>
      <c r="B34" s="5"/>
      <c r="C34" s="6"/>
      <c r="D34" s="6"/>
      <c r="E34" s="6"/>
      <c r="F34" s="6"/>
      <c r="G34" s="5"/>
    </row>
    <row r="35" spans="1:7" ht="14.25" customHeight="1" x14ac:dyDescent="0.25">
      <c r="A35" s="5"/>
      <c r="B35" s="5"/>
      <c r="C35" s="6"/>
      <c r="D35" s="6"/>
      <c r="E35" s="6"/>
      <c r="F35" s="6"/>
      <c r="G35" s="5"/>
    </row>
    <row r="36" spans="1:7" ht="14.25" customHeight="1" x14ac:dyDescent="0.25">
      <c r="A36" s="5"/>
      <c r="B36" s="5"/>
      <c r="C36" s="6"/>
      <c r="D36" s="6"/>
      <c r="E36" s="6"/>
      <c r="F36" s="6"/>
      <c r="G36" s="5"/>
    </row>
    <row r="37" spans="1:7" ht="14.25" customHeight="1" x14ac:dyDescent="0.25">
      <c r="A37" s="5"/>
      <c r="B37" s="5"/>
      <c r="C37" s="6"/>
      <c r="D37" s="6"/>
      <c r="E37" s="6"/>
      <c r="F37" s="6"/>
      <c r="G37" s="5"/>
    </row>
    <row r="38" spans="1:7" ht="14.25" customHeight="1" x14ac:dyDescent="0.25">
      <c r="A38" s="5"/>
      <c r="B38" s="5"/>
      <c r="C38" s="6"/>
      <c r="D38" s="6"/>
      <c r="E38" s="6"/>
      <c r="F38" s="6"/>
      <c r="G38" s="5"/>
    </row>
    <row r="39" spans="1:7" ht="14.25" customHeight="1" x14ac:dyDescent="0.25">
      <c r="A39" s="5"/>
      <c r="B39" s="5"/>
      <c r="C39" s="6"/>
      <c r="D39" s="6"/>
      <c r="E39" s="6"/>
      <c r="F39" s="6"/>
      <c r="G39" s="5"/>
    </row>
    <row r="40" spans="1:7" ht="14.25" customHeight="1" x14ac:dyDescent="0.25">
      <c r="A40" s="5"/>
      <c r="B40" s="5"/>
      <c r="C40" s="6"/>
      <c r="D40" s="6"/>
      <c r="E40" s="6"/>
      <c r="F40" s="6"/>
      <c r="G40" s="5"/>
    </row>
    <row r="41" spans="1:7" ht="14.25" customHeight="1" x14ac:dyDescent="0.25">
      <c r="A41" s="5"/>
      <c r="B41" s="5"/>
      <c r="C41" s="6"/>
      <c r="D41" s="6"/>
      <c r="E41" s="6"/>
      <c r="F41" s="6"/>
      <c r="G41" s="5"/>
    </row>
    <row r="42" spans="1:7" ht="14.25" customHeight="1" x14ac:dyDescent="0.25">
      <c r="A42" s="5"/>
      <c r="B42" s="5"/>
      <c r="C42" s="6"/>
      <c r="D42" s="6"/>
      <c r="E42" s="6"/>
      <c r="F42" s="6"/>
      <c r="G42" s="5"/>
    </row>
    <row r="43" spans="1:7" ht="14.25" customHeight="1" x14ac:dyDescent="0.25">
      <c r="A43" s="5"/>
      <c r="B43" s="5"/>
      <c r="C43" s="6"/>
      <c r="D43" s="6"/>
      <c r="E43" s="6"/>
      <c r="F43" s="6"/>
      <c r="G43" s="5"/>
    </row>
    <row r="44" spans="1:7" ht="14.25" customHeight="1" x14ac:dyDescent="0.25">
      <c r="A44" s="5"/>
      <c r="B44" s="5"/>
      <c r="C44" s="6"/>
      <c r="D44" s="6"/>
      <c r="E44" s="6"/>
      <c r="F44" s="6"/>
      <c r="G44" s="5"/>
    </row>
    <row r="45" spans="1:7" ht="14.25" customHeight="1" x14ac:dyDescent="0.25">
      <c r="A45" s="5"/>
      <c r="B45" s="5"/>
      <c r="C45" s="6"/>
      <c r="D45" s="6"/>
      <c r="E45" s="6"/>
      <c r="F45" s="6"/>
      <c r="G45" s="5"/>
    </row>
    <row r="46" spans="1:7" ht="14.25" customHeight="1" x14ac:dyDescent="0.25">
      <c r="A46" s="5"/>
      <c r="B46" s="5"/>
      <c r="C46" s="5"/>
      <c r="D46" s="6"/>
      <c r="E46" s="6"/>
      <c r="F46" s="6"/>
      <c r="G46" s="5"/>
    </row>
    <row r="47" spans="1:7" ht="14.25" customHeight="1" x14ac:dyDescent="0.25">
      <c r="A47" s="5"/>
      <c r="B47" s="5"/>
      <c r="C47" s="6"/>
      <c r="D47" s="6"/>
      <c r="E47" s="6"/>
      <c r="F47" s="6"/>
      <c r="G47" s="5"/>
    </row>
    <row r="48" spans="1:7" ht="14.25" customHeight="1" x14ac:dyDescent="0.25">
      <c r="A48" s="5"/>
      <c r="B48" s="5"/>
      <c r="C48" s="5"/>
      <c r="D48" s="6"/>
      <c r="E48" s="6"/>
      <c r="F48" s="6"/>
      <c r="G48" s="5"/>
    </row>
    <row r="49" spans="1:7" ht="14.25" customHeight="1" x14ac:dyDescent="0.25">
      <c r="A49" s="5"/>
      <c r="B49" s="5"/>
      <c r="C49" s="5"/>
      <c r="D49" s="6"/>
      <c r="E49" s="6"/>
      <c r="F49" s="6"/>
      <c r="G49" s="5"/>
    </row>
    <row r="50" spans="1:7" ht="14.25" customHeight="1" x14ac:dyDescent="0.25">
      <c r="A50" s="6"/>
      <c r="B50" s="6"/>
      <c r="C50" s="6"/>
      <c r="D50" s="6"/>
      <c r="E50" s="6"/>
      <c r="F50" s="6"/>
      <c r="G50" s="5"/>
    </row>
    <row r="51" spans="1:7" ht="14.25" customHeight="1" x14ac:dyDescent="0.25">
      <c r="A51" s="6"/>
      <c r="B51" s="6"/>
      <c r="C51" s="6"/>
      <c r="D51" s="6"/>
      <c r="E51" s="6"/>
      <c r="F51" s="6"/>
      <c r="G51" s="5"/>
    </row>
    <row r="52" spans="1:7" ht="14.25" customHeight="1" x14ac:dyDescent="0.25">
      <c r="A52" s="6"/>
      <c r="B52" s="6"/>
      <c r="C52" s="6"/>
      <c r="D52" s="6"/>
      <c r="E52" s="6"/>
      <c r="F52" s="6"/>
      <c r="G52" s="5"/>
    </row>
    <row r="53" spans="1:7" ht="14.25" customHeight="1" x14ac:dyDescent="0.25">
      <c r="A53" s="6"/>
      <c r="B53" s="6"/>
      <c r="C53" s="6"/>
      <c r="D53" s="6"/>
      <c r="E53" s="6"/>
      <c r="F53" s="6"/>
      <c r="G53" s="5"/>
    </row>
    <row r="54" spans="1:7" ht="14.25" customHeight="1" x14ac:dyDescent="0.25">
      <c r="A54" s="6"/>
      <c r="B54" s="6"/>
      <c r="C54" s="6"/>
      <c r="D54" s="6"/>
      <c r="E54" s="6"/>
      <c r="F54" s="6"/>
      <c r="G54" s="5"/>
    </row>
    <row r="55" spans="1:7" ht="14.25" customHeight="1" x14ac:dyDescent="0.25">
      <c r="A55" s="6"/>
      <c r="B55" s="6"/>
      <c r="C55" s="5"/>
      <c r="D55" s="6"/>
      <c r="E55" s="6"/>
      <c r="F55" s="6"/>
      <c r="G55" s="5"/>
    </row>
    <row r="56" spans="1:7" ht="14.25" customHeight="1" x14ac:dyDescent="0.25">
      <c r="A56" s="6"/>
      <c r="B56" s="6"/>
      <c r="C56" s="6"/>
      <c r="D56" s="6"/>
      <c r="E56" s="6"/>
      <c r="F56" s="6"/>
      <c r="G56" s="5"/>
    </row>
    <row r="57" spans="1:7" ht="14.25" customHeight="1" x14ac:dyDescent="0.25">
      <c r="A57" s="6"/>
      <c r="B57" s="6"/>
      <c r="C57" s="5"/>
      <c r="D57" s="6"/>
      <c r="E57" s="6"/>
      <c r="F57" s="6"/>
      <c r="G57" s="5"/>
    </row>
    <row r="58" spans="1:7" ht="14.25" customHeight="1" x14ac:dyDescent="0.25">
      <c r="A58" s="6"/>
      <c r="B58" s="6"/>
      <c r="C58" s="5"/>
      <c r="D58" s="6"/>
      <c r="E58" s="6"/>
      <c r="F58" s="6"/>
      <c r="G58" s="5"/>
    </row>
    <row r="59" spans="1:7" ht="14.25" customHeight="1" x14ac:dyDescent="0.25">
      <c r="A59" s="6"/>
      <c r="B59" s="6"/>
      <c r="C59" s="6"/>
      <c r="D59" s="6"/>
      <c r="E59" s="6"/>
      <c r="F59" s="6"/>
      <c r="G59" s="5"/>
    </row>
    <row r="60" spans="1:7" ht="14.25" customHeight="1" x14ac:dyDescent="0.25">
      <c r="A60" s="6"/>
      <c r="B60" s="6"/>
      <c r="C60" s="6"/>
      <c r="D60" s="6"/>
      <c r="E60" s="6"/>
      <c r="F60" s="6"/>
      <c r="G60" s="5"/>
    </row>
    <row r="61" spans="1:7" ht="14.25" customHeight="1" x14ac:dyDescent="0.25">
      <c r="A61" s="6"/>
      <c r="B61" s="6"/>
      <c r="C61" s="6"/>
      <c r="D61" s="6"/>
      <c r="E61" s="6"/>
      <c r="F61" s="6"/>
      <c r="G61" s="5"/>
    </row>
    <row r="62" spans="1:7" ht="14.25" customHeight="1" x14ac:dyDescent="0.25">
      <c r="A62" s="6"/>
      <c r="B62" s="6"/>
      <c r="C62" s="6"/>
      <c r="D62" s="6"/>
      <c r="E62" s="6"/>
      <c r="F62" s="6"/>
      <c r="G62" s="5"/>
    </row>
    <row r="63" spans="1:7" ht="14.25" customHeight="1" x14ac:dyDescent="0.25">
      <c r="A63" s="6"/>
      <c r="B63" s="6"/>
      <c r="C63" s="6"/>
      <c r="D63" s="6"/>
      <c r="E63" s="6"/>
      <c r="F63" s="6"/>
      <c r="G63" s="5"/>
    </row>
    <row r="64" spans="1:7" ht="14.25" customHeight="1" x14ac:dyDescent="0.25">
      <c r="A64" s="6"/>
      <c r="B64" s="6"/>
      <c r="C64" s="7"/>
      <c r="D64" s="6"/>
      <c r="E64" s="6"/>
      <c r="F64" s="6"/>
      <c r="G64" s="5"/>
    </row>
    <row r="65" spans="1:7" ht="14.25" customHeight="1" x14ac:dyDescent="0.25">
      <c r="A65" s="6"/>
      <c r="B65" s="6"/>
      <c r="C65" s="8"/>
      <c r="D65" s="6"/>
      <c r="E65" s="6"/>
      <c r="F65" s="6"/>
      <c r="G65" s="5"/>
    </row>
    <row r="66" spans="1:7" ht="14.25" customHeight="1" x14ac:dyDescent="0.25">
      <c r="A66" s="6"/>
      <c r="B66" s="6"/>
      <c r="C66" s="9"/>
      <c r="D66" s="6"/>
      <c r="E66" s="6"/>
      <c r="F66" s="6"/>
      <c r="G66" s="5"/>
    </row>
    <row r="67" spans="1:7" ht="14.25" customHeight="1" x14ac:dyDescent="0.25">
      <c r="A67" s="6"/>
      <c r="B67" s="6"/>
      <c r="C67" s="8"/>
      <c r="D67" s="6"/>
      <c r="E67" s="6"/>
      <c r="F67" s="6"/>
      <c r="G67" s="5"/>
    </row>
    <row r="68" spans="1:7" ht="14.25" customHeight="1" x14ac:dyDescent="0.25">
      <c r="A68" s="6"/>
      <c r="B68" s="6"/>
      <c r="C68" s="9"/>
      <c r="D68" s="6"/>
      <c r="E68" s="6"/>
      <c r="F68" s="6"/>
      <c r="G68" s="5"/>
    </row>
    <row r="69" spans="1:7" ht="14.25" customHeight="1" x14ac:dyDescent="0.25">
      <c r="A69" s="6"/>
      <c r="B69" s="6"/>
      <c r="C69" s="10"/>
      <c r="D69" s="6"/>
      <c r="E69" s="6"/>
      <c r="F69" s="6"/>
      <c r="G69" s="5"/>
    </row>
    <row r="70" spans="1:7" ht="14.25" customHeight="1" x14ac:dyDescent="0.25">
      <c r="A70" s="6"/>
      <c r="B70" s="6"/>
      <c r="C70" s="8"/>
      <c r="D70" s="6"/>
      <c r="E70" s="6"/>
      <c r="F70" s="6"/>
      <c r="G70" s="5"/>
    </row>
    <row r="71" spans="1:7" ht="14.25" customHeight="1" x14ac:dyDescent="0.25">
      <c r="A71" s="6"/>
      <c r="B71" s="6"/>
      <c r="C71" s="8"/>
      <c r="D71" s="6"/>
      <c r="E71" s="6"/>
      <c r="F71" s="6"/>
      <c r="G71" s="5"/>
    </row>
    <row r="72" spans="1:7" ht="14.25" customHeight="1" x14ac:dyDescent="0.25">
      <c r="A72" s="6"/>
      <c r="B72" s="6"/>
      <c r="C72" s="8"/>
      <c r="D72" s="6"/>
      <c r="E72" s="6"/>
      <c r="F72" s="6"/>
      <c r="G72" s="5"/>
    </row>
    <row r="73" spans="1:7" ht="14.25" customHeight="1" x14ac:dyDescent="0.25">
      <c r="A73" s="6"/>
      <c r="B73" s="6"/>
      <c r="C73" s="7"/>
      <c r="D73" s="6"/>
      <c r="E73" s="6"/>
      <c r="F73" s="6"/>
      <c r="G73" s="5"/>
    </row>
    <row r="74" spans="1:7" ht="14.25" customHeight="1" x14ac:dyDescent="0.25">
      <c r="A74" s="6"/>
      <c r="B74" s="6"/>
      <c r="C74" s="8"/>
      <c r="D74" s="6"/>
      <c r="E74" s="6"/>
      <c r="F74" s="6"/>
      <c r="G74" s="5"/>
    </row>
    <row r="75" spans="1:7" ht="14.25" customHeight="1" x14ac:dyDescent="0.25">
      <c r="A75" s="6"/>
      <c r="B75" s="6"/>
      <c r="C75" s="9"/>
      <c r="D75" s="6"/>
      <c r="E75" s="6"/>
      <c r="F75" s="6"/>
      <c r="G75" s="5"/>
    </row>
    <row r="76" spans="1:7" ht="14.25" customHeight="1" x14ac:dyDescent="0.25">
      <c r="A76" s="6"/>
      <c r="B76" s="6"/>
      <c r="C76" s="8"/>
      <c r="D76" s="6"/>
      <c r="E76" s="6"/>
      <c r="F76" s="6"/>
      <c r="G76" s="5"/>
    </row>
    <row r="77" spans="1:7" ht="14.25" customHeight="1" x14ac:dyDescent="0.25">
      <c r="A77" s="6"/>
      <c r="B77" s="6"/>
      <c r="C77" s="9"/>
      <c r="D77" s="6"/>
      <c r="E77" s="6"/>
      <c r="F77" s="6"/>
      <c r="G77" s="5"/>
    </row>
    <row r="78" spans="1:7" ht="14.25" customHeight="1" x14ac:dyDescent="0.25">
      <c r="A78" s="6"/>
      <c r="B78" s="6"/>
      <c r="C78" s="10"/>
      <c r="D78" s="6"/>
      <c r="E78" s="6"/>
      <c r="F78" s="6"/>
      <c r="G78" s="5"/>
    </row>
    <row r="79" spans="1:7" ht="14.25" customHeight="1" x14ac:dyDescent="0.25">
      <c r="A79" s="6"/>
      <c r="B79" s="6"/>
      <c r="C79" s="8"/>
      <c r="D79" s="6"/>
      <c r="E79" s="6"/>
      <c r="F79" s="6"/>
      <c r="G79" s="5"/>
    </row>
    <row r="80" spans="1:7" ht="14.25" customHeight="1" x14ac:dyDescent="0.25">
      <c r="A80" s="6"/>
      <c r="B80" s="6"/>
      <c r="C80" s="8"/>
      <c r="D80" s="6"/>
      <c r="E80" s="6"/>
      <c r="F80" s="6"/>
      <c r="G80" s="5"/>
    </row>
    <row r="81" spans="1:7" ht="14.25" customHeight="1" x14ac:dyDescent="0.25">
      <c r="A81" s="6"/>
      <c r="B81" s="6"/>
      <c r="C81" s="8"/>
      <c r="D81" s="6"/>
      <c r="E81" s="6"/>
      <c r="F81" s="6"/>
      <c r="G81" s="5"/>
    </row>
    <row r="82" spans="1:7" ht="14.25" customHeight="1" x14ac:dyDescent="0.25">
      <c r="A82" s="6"/>
      <c r="B82" s="6"/>
      <c r="C82" s="8"/>
      <c r="D82" s="6"/>
      <c r="E82" s="6"/>
      <c r="F82" s="6"/>
      <c r="G82" s="5"/>
    </row>
    <row r="83" spans="1:7" ht="14.25" customHeight="1" x14ac:dyDescent="0.25">
      <c r="A83" s="6"/>
      <c r="B83" s="6"/>
      <c r="C83" s="7"/>
      <c r="D83" s="6"/>
      <c r="E83" s="6"/>
      <c r="F83" s="6"/>
      <c r="G83" s="5"/>
    </row>
    <row r="84" spans="1:7" ht="14.25" customHeight="1" x14ac:dyDescent="0.25">
      <c r="A84" s="6"/>
      <c r="B84" s="6"/>
      <c r="C84" s="8"/>
      <c r="D84" s="6"/>
      <c r="E84" s="6"/>
      <c r="F84" s="6"/>
      <c r="G84" s="5"/>
    </row>
    <row r="85" spans="1:7" ht="14.25" customHeight="1" x14ac:dyDescent="0.25">
      <c r="A85" s="6"/>
      <c r="B85" s="6"/>
      <c r="C85" s="9"/>
      <c r="D85" s="6"/>
      <c r="E85" s="6"/>
      <c r="F85" s="6"/>
      <c r="G85" s="5"/>
    </row>
    <row r="86" spans="1:7" ht="14.25" customHeight="1" x14ac:dyDescent="0.25">
      <c r="A86" s="6"/>
      <c r="B86" s="6"/>
      <c r="C86" s="8"/>
      <c r="D86" s="6"/>
      <c r="E86" s="6"/>
      <c r="F86" s="6"/>
      <c r="G86" s="5"/>
    </row>
    <row r="87" spans="1:7" ht="14.25" customHeight="1" x14ac:dyDescent="0.25">
      <c r="A87" s="6"/>
      <c r="B87" s="6"/>
      <c r="C87" s="9"/>
      <c r="D87" s="6"/>
      <c r="E87" s="6"/>
      <c r="F87" s="6"/>
      <c r="G87" s="5"/>
    </row>
    <row r="88" spans="1:7" ht="14.25" customHeight="1" x14ac:dyDescent="0.25">
      <c r="A88" s="6"/>
      <c r="B88" s="6"/>
      <c r="C88" s="10"/>
      <c r="D88" s="6"/>
      <c r="E88" s="6"/>
      <c r="F88" s="6"/>
      <c r="G88" s="5"/>
    </row>
    <row r="89" spans="1:7" ht="14.25" customHeight="1" x14ac:dyDescent="0.25">
      <c r="A89" s="6"/>
      <c r="B89" s="6"/>
      <c r="C89" s="11"/>
      <c r="D89" s="6"/>
      <c r="E89" s="6"/>
      <c r="F89" s="13"/>
      <c r="G89" s="14"/>
    </row>
    <row r="90" spans="1:7" ht="14.25" customHeight="1" x14ac:dyDescent="0.25"/>
    <row r="91" spans="1:7" ht="14.25" customHeight="1" x14ac:dyDescent="0.25"/>
    <row r="92" spans="1:7" ht="14.25" customHeight="1" x14ac:dyDescent="0.25"/>
    <row r="93" spans="1:7" ht="14.25" customHeight="1" x14ac:dyDescent="0.25"/>
    <row r="94" spans="1:7" ht="14.25" customHeight="1" x14ac:dyDescent="0.25"/>
    <row r="95" spans="1:7" ht="14.25" customHeight="1" x14ac:dyDescent="0.25"/>
    <row r="96" spans="1:7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</sheetData>
  <dataValidations count="2">
    <dataValidation type="list" allowBlank="1" showErrorMessage="1" sqref="E2:E88" xr:uid="{00000000-0002-0000-0100-000000000000}">
      <formula1>"Unico,Común"</formula1>
    </dataValidation>
    <dataValidation type="list" allowBlank="1" showErrorMessage="1" sqref="F2:F88" xr:uid="{00000000-0002-0000-0100-000001000000}">
      <formula1>"3,1,2"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3"/>
  <sheetViews>
    <sheetView topLeftCell="A85" zoomScale="79" zoomScaleNormal="115" workbookViewId="0">
      <selection activeCell="E98" sqref="E98"/>
    </sheetView>
  </sheetViews>
  <sheetFormatPr baseColWidth="10" defaultColWidth="12.5703125" defaultRowHeight="15" customHeight="1" x14ac:dyDescent="0.25"/>
  <cols>
    <col min="1" max="1" width="8.140625" customWidth="1"/>
    <col min="2" max="2" width="33.85546875" bestFit="1" customWidth="1"/>
    <col min="3" max="3" width="30.85546875" bestFit="1" customWidth="1"/>
    <col min="4" max="4" width="35" customWidth="1"/>
    <col min="5" max="5" width="11.85546875" customWidth="1"/>
    <col min="6" max="6" width="20.28515625" customWidth="1"/>
    <col min="7" max="7" width="27.42578125" customWidth="1"/>
    <col min="8" max="8" width="20.42578125" customWidth="1"/>
    <col min="9" max="9" width="23.28515625" customWidth="1"/>
    <col min="10" max="10" width="26.7109375" customWidth="1"/>
    <col min="11" max="11" width="19.42578125" customWidth="1"/>
    <col min="12" max="13" width="10.5703125" customWidth="1"/>
    <col min="14" max="14" width="25.85546875" bestFit="1" customWidth="1"/>
    <col min="15" max="15" width="29.42578125" bestFit="1" customWidth="1"/>
    <col min="16" max="16" width="38.140625" bestFit="1" customWidth="1"/>
    <col min="17" max="17" width="35.28515625" bestFit="1" customWidth="1"/>
    <col min="18" max="18" width="30.140625" bestFit="1" customWidth="1"/>
    <col min="19" max="19" width="40.140625" bestFit="1" customWidth="1"/>
    <col min="20" max="20" width="31.140625" bestFit="1" customWidth="1"/>
    <col min="21" max="21" width="15.7109375" bestFit="1" customWidth="1"/>
    <col min="22" max="28" width="10.5703125" customWidth="1"/>
  </cols>
  <sheetData>
    <row r="1" spans="1:20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</row>
    <row r="2" spans="1:20" ht="14.25" customHeight="1" x14ac:dyDescent="0.25">
      <c r="A2" s="5">
        <v>1</v>
      </c>
      <c r="B2" s="6" t="s">
        <v>11</v>
      </c>
      <c r="C2" s="5" t="s">
        <v>12</v>
      </c>
      <c r="D2" s="6" t="s">
        <v>13</v>
      </c>
      <c r="E2" s="5" t="s">
        <v>14</v>
      </c>
      <c r="F2" s="6">
        <v>0</v>
      </c>
      <c r="G2" s="6">
        <f>PRODUCT(3*6)</f>
        <v>18</v>
      </c>
      <c r="H2" s="6">
        <v>60</v>
      </c>
      <c r="I2" s="6">
        <v>0</v>
      </c>
      <c r="J2" s="6">
        <f>PRODUCT(3*6)</f>
        <v>18</v>
      </c>
      <c r="K2" s="6">
        <f>PRODUCT(60*6)</f>
        <v>360</v>
      </c>
    </row>
    <row r="3" spans="1:20" ht="14.25" customHeight="1" x14ac:dyDescent="0.25">
      <c r="A3" s="5">
        <v>1</v>
      </c>
      <c r="B3" s="6" t="s">
        <v>11</v>
      </c>
      <c r="C3" s="5" t="s">
        <v>15</v>
      </c>
      <c r="D3" s="6" t="s">
        <v>16</v>
      </c>
      <c r="E3" s="5" t="s">
        <v>14</v>
      </c>
      <c r="F3" s="6">
        <v>0</v>
      </c>
      <c r="G3" s="6">
        <v>3</v>
      </c>
      <c r="H3" s="6">
        <v>58</v>
      </c>
      <c r="I3" s="6">
        <v>0</v>
      </c>
      <c r="J3" s="6">
        <v>3</v>
      </c>
      <c r="K3" s="6">
        <v>60</v>
      </c>
      <c r="N3" s="17" t="s">
        <v>88</v>
      </c>
      <c r="O3" s="16" t="s">
        <v>90</v>
      </c>
      <c r="P3" s="29" t="s">
        <v>91</v>
      </c>
      <c r="Q3" s="29" t="s">
        <v>92</v>
      </c>
      <c r="R3" s="29" t="s">
        <v>95</v>
      </c>
      <c r="S3" s="29" t="s">
        <v>94</v>
      </c>
      <c r="T3" s="24" t="s">
        <v>93</v>
      </c>
    </row>
    <row r="4" spans="1:20" ht="14.25" customHeight="1" x14ac:dyDescent="0.25">
      <c r="A4" s="5">
        <v>1</v>
      </c>
      <c r="B4" s="6" t="s">
        <v>11</v>
      </c>
      <c r="C4" s="5" t="s">
        <v>17</v>
      </c>
      <c r="D4" s="6" t="s">
        <v>13</v>
      </c>
      <c r="E4" s="6" t="s">
        <v>14</v>
      </c>
      <c r="F4" s="6">
        <v>0</v>
      </c>
      <c r="G4" s="6">
        <f>PRODUCT(2*6)</f>
        <v>12</v>
      </c>
      <c r="H4" s="6">
        <f>PRODUCT(60*6)</f>
        <v>360</v>
      </c>
      <c r="I4" s="6">
        <v>1</v>
      </c>
      <c r="J4" s="6">
        <f>PRODUCT(3*6)</f>
        <v>18</v>
      </c>
      <c r="K4" s="6">
        <f>PRODUCT(60*6)</f>
        <v>360</v>
      </c>
      <c r="N4" s="19" t="s">
        <v>32</v>
      </c>
      <c r="O4" s="16">
        <v>360</v>
      </c>
      <c r="P4" s="29">
        <v>19</v>
      </c>
      <c r="Q4" s="29">
        <v>1</v>
      </c>
      <c r="R4" s="29">
        <v>2</v>
      </c>
      <c r="S4" s="29">
        <v>18</v>
      </c>
      <c r="T4" s="24">
        <v>352</v>
      </c>
    </row>
    <row r="5" spans="1:20" ht="14.25" customHeight="1" x14ac:dyDescent="0.25">
      <c r="A5" s="5">
        <v>1</v>
      </c>
      <c r="B5" s="6" t="s">
        <v>11</v>
      </c>
      <c r="C5" s="5" t="s">
        <v>18</v>
      </c>
      <c r="D5" s="6" t="s">
        <v>13</v>
      </c>
      <c r="E5" s="5" t="s">
        <v>14</v>
      </c>
      <c r="F5" s="6">
        <v>0</v>
      </c>
      <c r="G5" s="6">
        <f>PRODUCT(1*6)</f>
        <v>6</v>
      </c>
      <c r="H5" s="6">
        <f>PRODUCT(65*6)</f>
        <v>390</v>
      </c>
      <c r="I5" s="6">
        <v>0</v>
      </c>
      <c r="J5" s="6">
        <f>PRODUCT(2*6)</f>
        <v>12</v>
      </c>
      <c r="K5" s="6">
        <f>PRODUCT(60*6)</f>
        <v>360</v>
      </c>
      <c r="N5" s="21" t="s">
        <v>11</v>
      </c>
      <c r="O5" s="25">
        <v>560</v>
      </c>
      <c r="P5" s="30">
        <v>24</v>
      </c>
      <c r="Q5" s="30">
        <v>7</v>
      </c>
      <c r="R5" s="30">
        <v>5</v>
      </c>
      <c r="S5" s="30">
        <v>21</v>
      </c>
      <c r="T5" s="26">
        <v>549</v>
      </c>
    </row>
    <row r="6" spans="1:20" ht="14.25" customHeight="1" x14ac:dyDescent="0.25">
      <c r="A6" s="5">
        <v>1</v>
      </c>
      <c r="B6" s="6" t="s">
        <v>11</v>
      </c>
      <c r="C6" s="5" t="s">
        <v>19</v>
      </c>
      <c r="D6" s="6" t="s">
        <v>16</v>
      </c>
      <c r="E6" s="5" t="s">
        <v>14</v>
      </c>
      <c r="F6" s="6">
        <v>0</v>
      </c>
      <c r="G6" s="6">
        <v>1</v>
      </c>
      <c r="H6" s="6">
        <v>30</v>
      </c>
      <c r="I6" s="6">
        <v>0</v>
      </c>
      <c r="J6" s="6">
        <v>1</v>
      </c>
      <c r="K6" s="6">
        <v>30</v>
      </c>
      <c r="N6" s="21" t="s">
        <v>79</v>
      </c>
      <c r="O6" s="25">
        <v>300</v>
      </c>
      <c r="P6" s="30">
        <v>22</v>
      </c>
      <c r="Q6" s="30">
        <v>6</v>
      </c>
      <c r="R6" s="30">
        <v>6</v>
      </c>
      <c r="S6" s="30">
        <v>15</v>
      </c>
      <c r="T6" s="26">
        <v>278</v>
      </c>
    </row>
    <row r="7" spans="1:20" ht="14.25" customHeight="1" x14ac:dyDescent="0.25">
      <c r="A7" s="5">
        <v>1</v>
      </c>
      <c r="B7" s="6" t="s">
        <v>11</v>
      </c>
      <c r="C7" s="5" t="s">
        <v>20</v>
      </c>
      <c r="D7" s="6" t="s">
        <v>16</v>
      </c>
      <c r="E7" s="6" t="s">
        <v>21</v>
      </c>
      <c r="F7" s="6">
        <v>0</v>
      </c>
      <c r="G7" s="6">
        <v>1</v>
      </c>
      <c r="H7" s="6">
        <v>27</v>
      </c>
      <c r="I7" s="6">
        <v>1</v>
      </c>
      <c r="J7" s="6">
        <v>1</v>
      </c>
      <c r="K7" s="6">
        <v>30</v>
      </c>
      <c r="N7" s="21" t="s">
        <v>41</v>
      </c>
      <c r="O7" s="25">
        <v>380</v>
      </c>
      <c r="P7" s="30">
        <v>22</v>
      </c>
      <c r="Q7" s="30">
        <v>3</v>
      </c>
      <c r="R7" s="30">
        <v>2</v>
      </c>
      <c r="S7" s="30">
        <v>21</v>
      </c>
      <c r="T7" s="26">
        <v>391</v>
      </c>
    </row>
    <row r="8" spans="1:20" ht="14.25" customHeight="1" x14ac:dyDescent="0.25">
      <c r="A8" s="5">
        <v>1</v>
      </c>
      <c r="B8" s="6" t="s">
        <v>11</v>
      </c>
      <c r="C8" s="5" t="s">
        <v>22</v>
      </c>
      <c r="D8" s="6" t="s">
        <v>23</v>
      </c>
      <c r="E8" s="6" t="s">
        <v>21</v>
      </c>
      <c r="F8" s="6">
        <v>0</v>
      </c>
      <c r="G8" s="6">
        <v>1</v>
      </c>
      <c r="H8" s="6">
        <v>30</v>
      </c>
      <c r="I8" s="6">
        <v>1</v>
      </c>
      <c r="J8" s="6">
        <v>1</v>
      </c>
      <c r="K8" s="6">
        <v>30</v>
      </c>
      <c r="N8" s="22" t="s">
        <v>89</v>
      </c>
      <c r="O8" s="27">
        <v>1600</v>
      </c>
      <c r="P8" s="31">
        <v>87</v>
      </c>
      <c r="Q8" s="31">
        <v>17</v>
      </c>
      <c r="R8" s="31">
        <v>15</v>
      </c>
      <c r="S8" s="31">
        <v>75</v>
      </c>
      <c r="T8" s="28">
        <v>1570</v>
      </c>
    </row>
    <row r="9" spans="1:20" ht="14.25" customHeight="1" x14ac:dyDescent="0.25">
      <c r="A9" s="5">
        <v>1</v>
      </c>
      <c r="B9" s="6" t="s">
        <v>11</v>
      </c>
      <c r="C9" s="5" t="s">
        <v>24</v>
      </c>
      <c r="D9" s="6" t="s">
        <v>25</v>
      </c>
      <c r="E9" s="6" t="s">
        <v>21</v>
      </c>
      <c r="F9" s="6">
        <v>3</v>
      </c>
      <c r="G9" s="6">
        <f>PRODUCT(2*2)</f>
        <v>4</v>
      </c>
      <c r="H9" s="6">
        <v>87</v>
      </c>
      <c r="I9" s="6">
        <v>2</v>
      </c>
      <c r="J9" s="6">
        <f>PRODUCT(2*2)</f>
        <v>4</v>
      </c>
      <c r="K9" s="6">
        <f>PRODUCT(90*2)</f>
        <v>180</v>
      </c>
    </row>
    <row r="10" spans="1:20" ht="14.25" customHeight="1" x14ac:dyDescent="0.25">
      <c r="A10" s="5">
        <v>1</v>
      </c>
      <c r="B10" s="6" t="s">
        <v>11</v>
      </c>
      <c r="C10" s="5" t="s">
        <v>26</v>
      </c>
      <c r="D10" s="6" t="s">
        <v>27</v>
      </c>
      <c r="E10" s="6" t="s">
        <v>21</v>
      </c>
      <c r="F10" s="6">
        <v>0</v>
      </c>
      <c r="G10" s="6">
        <v>2</v>
      </c>
      <c r="H10" s="6">
        <v>30</v>
      </c>
      <c r="I10" s="6">
        <v>0</v>
      </c>
      <c r="J10" s="6">
        <v>2</v>
      </c>
      <c r="K10" s="6">
        <v>30</v>
      </c>
    </row>
    <row r="11" spans="1:20" ht="14.25" customHeight="1" x14ac:dyDescent="0.25">
      <c r="A11" s="5">
        <v>1</v>
      </c>
      <c r="B11" s="6" t="s">
        <v>11</v>
      </c>
      <c r="C11" s="5" t="s">
        <v>28</v>
      </c>
      <c r="D11" s="6" t="s">
        <v>27</v>
      </c>
      <c r="E11" s="6" t="s">
        <v>21</v>
      </c>
      <c r="F11" s="6">
        <v>0</v>
      </c>
      <c r="G11" s="6">
        <v>2</v>
      </c>
      <c r="H11" s="6">
        <v>27</v>
      </c>
      <c r="I11" s="6">
        <v>0</v>
      </c>
      <c r="J11" s="6">
        <v>2</v>
      </c>
      <c r="K11" s="6">
        <v>30</v>
      </c>
    </row>
    <row r="12" spans="1:20" ht="14.25" customHeight="1" x14ac:dyDescent="0.25">
      <c r="A12" s="5">
        <v>1</v>
      </c>
      <c r="B12" s="6" t="s">
        <v>11</v>
      </c>
      <c r="C12" s="6" t="s">
        <v>29</v>
      </c>
      <c r="D12" s="6" t="s">
        <v>16</v>
      </c>
      <c r="E12" s="6" t="s">
        <v>21</v>
      </c>
      <c r="F12" s="6">
        <v>2</v>
      </c>
      <c r="G12" s="6">
        <v>2</v>
      </c>
      <c r="H12" s="6">
        <v>30</v>
      </c>
      <c r="I12" s="6">
        <v>2</v>
      </c>
      <c r="J12" s="6">
        <v>2</v>
      </c>
      <c r="K12" s="6">
        <v>30</v>
      </c>
    </row>
    <row r="13" spans="1:20" ht="14.25" customHeight="1" x14ac:dyDescent="0.25">
      <c r="A13" s="5">
        <v>1</v>
      </c>
      <c r="B13" s="6" t="s">
        <v>11</v>
      </c>
      <c r="C13" s="5" t="s">
        <v>30</v>
      </c>
      <c r="D13" s="6" t="s">
        <v>13</v>
      </c>
      <c r="E13" s="6" t="s">
        <v>21</v>
      </c>
      <c r="F13" s="6">
        <v>0</v>
      </c>
      <c r="G13" s="6">
        <f>PRODUCT(2*6)</f>
        <v>12</v>
      </c>
      <c r="H13" s="6">
        <f>PRODUCT(30*6)</f>
        <v>180</v>
      </c>
      <c r="I13" s="6">
        <v>0</v>
      </c>
      <c r="J13" s="6">
        <f>PRODUCT(2*6)</f>
        <v>12</v>
      </c>
      <c r="K13" s="6">
        <f>PRODUCT(30*6)</f>
        <v>180</v>
      </c>
    </row>
    <row r="14" spans="1:20" ht="14.25" customHeight="1" x14ac:dyDescent="0.25">
      <c r="A14" s="5">
        <v>1</v>
      </c>
      <c r="B14" s="6" t="s">
        <v>11</v>
      </c>
      <c r="C14" s="5" t="s">
        <v>31</v>
      </c>
      <c r="D14" s="6" t="s">
        <v>13</v>
      </c>
      <c r="E14" s="6" t="s">
        <v>21</v>
      </c>
      <c r="F14" s="6">
        <v>0</v>
      </c>
      <c r="G14" s="6">
        <f>PRODUCT(1*6)</f>
        <v>6</v>
      </c>
      <c r="H14" s="6">
        <f>PRODUCT(20*6)</f>
        <v>120</v>
      </c>
      <c r="I14" s="6">
        <v>0</v>
      </c>
      <c r="J14" s="6">
        <f>PRODUCT(2*6)</f>
        <v>12</v>
      </c>
      <c r="K14" s="6">
        <f>PRODUCT(20*6)</f>
        <v>120</v>
      </c>
    </row>
    <row r="15" spans="1:20" ht="14.25" customHeight="1" x14ac:dyDescent="0.25">
      <c r="A15" s="5">
        <v>2</v>
      </c>
      <c r="B15" s="5" t="s">
        <v>32</v>
      </c>
      <c r="C15" s="5" t="s">
        <v>33</v>
      </c>
      <c r="D15" s="6" t="s">
        <v>16</v>
      </c>
      <c r="E15" s="6" t="s">
        <v>14</v>
      </c>
      <c r="F15" s="6">
        <v>0</v>
      </c>
      <c r="G15" s="6">
        <v>1</v>
      </c>
      <c r="H15" s="6">
        <v>30</v>
      </c>
      <c r="I15" s="6">
        <v>0</v>
      </c>
      <c r="J15" s="6">
        <v>1</v>
      </c>
      <c r="K15" s="6">
        <v>30</v>
      </c>
    </row>
    <row r="16" spans="1:20" ht="14.25" customHeight="1" x14ac:dyDescent="0.25">
      <c r="A16" s="5">
        <v>2</v>
      </c>
      <c r="B16" s="5" t="s">
        <v>32</v>
      </c>
      <c r="C16" s="5" t="s">
        <v>34</v>
      </c>
      <c r="D16" s="6" t="s">
        <v>35</v>
      </c>
      <c r="E16" s="6" t="s">
        <v>14</v>
      </c>
      <c r="F16" s="6">
        <v>0</v>
      </c>
      <c r="G16" s="6">
        <f>PRODUCT(1*2)</f>
        <v>2</v>
      </c>
      <c r="H16" s="6">
        <f>PRODUCT(26*2)</f>
        <v>52</v>
      </c>
      <c r="I16" s="6">
        <v>0</v>
      </c>
      <c r="J16" s="6">
        <f>PRODUCT(1*2)</f>
        <v>2</v>
      </c>
      <c r="K16" s="6">
        <f>PRODUCT(30*2)</f>
        <v>60</v>
      </c>
    </row>
    <row r="17" spans="1:11" ht="14.25" customHeight="1" x14ac:dyDescent="0.25">
      <c r="A17" s="5">
        <v>2</v>
      </c>
      <c r="B17" s="5" t="s">
        <v>32</v>
      </c>
      <c r="C17" s="5" t="s">
        <v>36</v>
      </c>
      <c r="D17" s="6" t="s">
        <v>37</v>
      </c>
      <c r="E17" s="6" t="s">
        <v>14</v>
      </c>
      <c r="F17" s="6">
        <v>0</v>
      </c>
      <c r="G17" s="6">
        <f t="shared" ref="G17:G21" si="0">PRODUCT(1*2)</f>
        <v>2</v>
      </c>
      <c r="H17" s="6">
        <v>30</v>
      </c>
      <c r="I17" s="6">
        <v>0</v>
      </c>
      <c r="J17" s="6">
        <f t="shared" ref="J17:J21" si="1">PRODUCT(1*2)</f>
        <v>2</v>
      </c>
      <c r="K17" s="6">
        <f t="shared" ref="K17:K19" si="2">PRODUCT(30*2)</f>
        <v>60</v>
      </c>
    </row>
    <row r="18" spans="1:11" ht="14.25" customHeight="1" x14ac:dyDescent="0.25">
      <c r="A18" s="5">
        <v>2</v>
      </c>
      <c r="B18" s="5" t="s">
        <v>32</v>
      </c>
      <c r="C18" s="5" t="s">
        <v>38</v>
      </c>
      <c r="D18" s="6" t="s">
        <v>39</v>
      </c>
      <c r="E18" s="6" t="s">
        <v>14</v>
      </c>
      <c r="F18" s="6">
        <v>0</v>
      </c>
      <c r="G18" s="6">
        <f t="shared" si="0"/>
        <v>2</v>
      </c>
      <c r="H18" s="6">
        <v>120</v>
      </c>
      <c r="I18" s="6">
        <v>0</v>
      </c>
      <c r="J18" s="6">
        <f t="shared" si="1"/>
        <v>2</v>
      </c>
      <c r="K18" s="6">
        <f t="shared" si="2"/>
        <v>60</v>
      </c>
    </row>
    <row r="19" spans="1:11" ht="14.25" customHeight="1" x14ac:dyDescent="0.25">
      <c r="A19" s="5">
        <v>2</v>
      </c>
      <c r="B19" s="5" t="s">
        <v>32</v>
      </c>
      <c r="C19" s="5" t="s">
        <v>40</v>
      </c>
      <c r="D19" s="6" t="s">
        <v>39</v>
      </c>
      <c r="E19" s="6" t="s">
        <v>14</v>
      </c>
      <c r="F19" s="6">
        <v>0</v>
      </c>
      <c r="G19" s="6">
        <f>PRODUCT(2*2)</f>
        <v>4</v>
      </c>
      <c r="H19" s="6">
        <f>PRODUCT(27*2)</f>
        <v>54</v>
      </c>
      <c r="I19" s="6">
        <v>0</v>
      </c>
      <c r="J19" s="6">
        <f t="shared" si="1"/>
        <v>2</v>
      </c>
      <c r="K19" s="6">
        <f t="shared" si="2"/>
        <v>60</v>
      </c>
    </row>
    <row r="20" spans="1:11" ht="14.25" customHeight="1" x14ac:dyDescent="0.25">
      <c r="A20" s="5">
        <v>2</v>
      </c>
      <c r="B20" s="5" t="s">
        <v>32</v>
      </c>
      <c r="C20" s="5" t="s">
        <v>20</v>
      </c>
      <c r="D20" s="6" t="s">
        <v>16</v>
      </c>
      <c r="E20" s="6" t="s">
        <v>21</v>
      </c>
      <c r="F20" s="6">
        <v>0</v>
      </c>
      <c r="G20" s="6">
        <f t="shared" si="0"/>
        <v>2</v>
      </c>
      <c r="H20" s="6">
        <v>30</v>
      </c>
      <c r="I20" s="6">
        <v>0</v>
      </c>
      <c r="J20" s="6">
        <f t="shared" si="1"/>
        <v>2</v>
      </c>
      <c r="K20" s="6">
        <v>30</v>
      </c>
    </row>
    <row r="21" spans="1:11" ht="14.25" customHeight="1" x14ac:dyDescent="0.25">
      <c r="A21" s="5">
        <v>2</v>
      </c>
      <c r="B21" s="5" t="s">
        <v>32</v>
      </c>
      <c r="C21" s="5" t="s">
        <v>22</v>
      </c>
      <c r="D21" s="6" t="s">
        <v>23</v>
      </c>
      <c r="E21" s="6" t="s">
        <v>21</v>
      </c>
      <c r="F21" s="6">
        <v>0</v>
      </c>
      <c r="G21" s="6">
        <f t="shared" si="0"/>
        <v>2</v>
      </c>
      <c r="H21" s="6">
        <v>28</v>
      </c>
      <c r="I21" s="6">
        <v>0</v>
      </c>
      <c r="J21" s="6">
        <f t="shared" si="1"/>
        <v>2</v>
      </c>
      <c r="K21" s="6">
        <v>30</v>
      </c>
    </row>
    <row r="22" spans="1:11" ht="14.25" customHeight="1" x14ac:dyDescent="0.25">
      <c r="A22" s="5">
        <v>2</v>
      </c>
      <c r="B22" s="5" t="s">
        <v>32</v>
      </c>
      <c r="C22" s="5" t="s">
        <v>30</v>
      </c>
      <c r="D22" s="6" t="s">
        <v>13</v>
      </c>
      <c r="E22" s="6" t="s">
        <v>21</v>
      </c>
      <c r="F22" s="6">
        <v>0</v>
      </c>
      <c r="G22" s="6">
        <f>PRODUCT(2*6)</f>
        <v>12</v>
      </c>
      <c r="H22" s="6">
        <f>PRODUCT(30*6)</f>
        <v>180</v>
      </c>
      <c r="I22" s="6">
        <v>0</v>
      </c>
      <c r="J22" s="6">
        <f>PRODUCT(2*6)</f>
        <v>12</v>
      </c>
      <c r="K22" s="6">
        <f>PRODUCT(30*6)</f>
        <v>180</v>
      </c>
    </row>
    <row r="23" spans="1:11" ht="14.25" customHeight="1" x14ac:dyDescent="0.25">
      <c r="A23" s="5">
        <v>2</v>
      </c>
      <c r="B23" s="5" t="s">
        <v>32</v>
      </c>
      <c r="C23" s="6" t="s">
        <v>29</v>
      </c>
      <c r="D23" s="6" t="s">
        <v>16</v>
      </c>
      <c r="E23" s="6" t="s">
        <v>21</v>
      </c>
      <c r="F23" s="6">
        <v>0</v>
      </c>
      <c r="G23" s="6">
        <v>1</v>
      </c>
      <c r="H23" s="6">
        <v>30</v>
      </c>
      <c r="I23" s="6">
        <v>0</v>
      </c>
      <c r="J23" s="6">
        <v>1</v>
      </c>
      <c r="K23" s="6">
        <v>30</v>
      </c>
    </row>
    <row r="24" spans="1:11" ht="14.25" customHeight="1" x14ac:dyDescent="0.25">
      <c r="A24" s="5">
        <v>2</v>
      </c>
      <c r="B24" s="5" t="s">
        <v>32</v>
      </c>
      <c r="C24" s="5" t="s">
        <v>26</v>
      </c>
      <c r="D24" s="6" t="s">
        <v>27</v>
      </c>
      <c r="E24" s="6" t="s">
        <v>21</v>
      </c>
      <c r="F24" s="6">
        <v>2</v>
      </c>
      <c r="G24" s="6">
        <v>1</v>
      </c>
      <c r="H24" s="6">
        <v>31</v>
      </c>
      <c r="I24" s="6">
        <v>1</v>
      </c>
      <c r="J24" s="6">
        <v>1</v>
      </c>
      <c r="K24" s="6">
        <v>30</v>
      </c>
    </row>
    <row r="25" spans="1:11" ht="14.25" customHeight="1" x14ac:dyDescent="0.25">
      <c r="A25" s="5">
        <v>2</v>
      </c>
      <c r="B25" s="5" t="s">
        <v>32</v>
      </c>
      <c r="C25" s="5" t="s">
        <v>31</v>
      </c>
      <c r="D25" s="6" t="s">
        <v>13</v>
      </c>
      <c r="E25" s="6" t="s">
        <v>21</v>
      </c>
      <c r="F25" s="6">
        <v>0</v>
      </c>
      <c r="G25" s="6">
        <f>PRODUCT(1*6)</f>
        <v>6</v>
      </c>
      <c r="H25" s="6">
        <f>PRODUCT(30*6)</f>
        <v>180</v>
      </c>
      <c r="I25" s="6">
        <v>0</v>
      </c>
      <c r="J25" s="6">
        <f>PRODUCT(1*6)</f>
        <v>6</v>
      </c>
      <c r="K25" s="6">
        <f>PRODUCT(30*6)</f>
        <v>180</v>
      </c>
    </row>
    <row r="26" spans="1:11" ht="14.25" customHeight="1" x14ac:dyDescent="0.25">
      <c r="A26" s="5">
        <v>3</v>
      </c>
      <c r="B26" s="5" t="s">
        <v>41</v>
      </c>
      <c r="C26" s="5" t="s">
        <v>42</v>
      </c>
      <c r="D26" s="6" t="s">
        <v>27</v>
      </c>
      <c r="E26" s="6" t="s">
        <v>14</v>
      </c>
      <c r="F26" s="6">
        <v>0</v>
      </c>
      <c r="G26" s="6">
        <v>1</v>
      </c>
      <c r="H26" s="6">
        <v>34</v>
      </c>
      <c r="I26" s="6">
        <v>0</v>
      </c>
      <c r="J26" s="6">
        <v>1</v>
      </c>
      <c r="K26" s="6">
        <v>30</v>
      </c>
    </row>
    <row r="27" spans="1:11" ht="14.25" customHeight="1" x14ac:dyDescent="0.25">
      <c r="A27" s="5">
        <v>3</v>
      </c>
      <c r="B27" s="5" t="s">
        <v>41</v>
      </c>
      <c r="C27" s="5" t="s">
        <v>43</v>
      </c>
      <c r="D27" s="6" t="s">
        <v>44</v>
      </c>
      <c r="E27" s="6" t="s">
        <v>14</v>
      </c>
      <c r="F27" s="6">
        <v>0</v>
      </c>
      <c r="G27" s="6">
        <v>4</v>
      </c>
      <c r="H27" s="6">
        <v>120</v>
      </c>
      <c r="I27" s="6">
        <v>0</v>
      </c>
      <c r="J27" s="6">
        <v>4</v>
      </c>
      <c r="K27" s="6">
        <v>60</v>
      </c>
    </row>
    <row r="28" spans="1:11" ht="14.25" customHeight="1" x14ac:dyDescent="0.25">
      <c r="A28" s="5">
        <v>3</v>
      </c>
      <c r="B28" s="5" t="s">
        <v>41</v>
      </c>
      <c r="C28" s="5" t="s">
        <v>45</v>
      </c>
      <c r="D28" s="6" t="s">
        <v>13</v>
      </c>
      <c r="E28" s="6" t="s">
        <v>14</v>
      </c>
      <c r="F28" s="6">
        <v>0</v>
      </c>
      <c r="G28" s="6">
        <f>PRODUCT(1*6)</f>
        <v>6</v>
      </c>
      <c r="H28" s="6">
        <f>PRODUCT(39*6)</f>
        <v>234</v>
      </c>
      <c r="I28" s="6">
        <v>0</v>
      </c>
      <c r="J28" s="6">
        <f>PRODUCT(3*6)</f>
        <v>18</v>
      </c>
      <c r="K28" s="6">
        <f>PRODUCT(30*6)</f>
        <v>180</v>
      </c>
    </row>
    <row r="29" spans="1:11" ht="14.25" customHeight="1" x14ac:dyDescent="0.25">
      <c r="A29" s="5">
        <v>3</v>
      </c>
      <c r="B29" s="5" t="s">
        <v>41</v>
      </c>
      <c r="C29" s="5" t="s">
        <v>46</v>
      </c>
      <c r="D29" s="6" t="s">
        <v>47</v>
      </c>
      <c r="E29" s="6" t="s">
        <v>14</v>
      </c>
      <c r="F29" s="6">
        <v>0</v>
      </c>
      <c r="G29" s="6">
        <v>4</v>
      </c>
      <c r="H29" s="6">
        <v>30</v>
      </c>
      <c r="I29" s="6">
        <v>0</v>
      </c>
      <c r="J29" s="6">
        <v>4</v>
      </c>
      <c r="K29" s="6">
        <v>30</v>
      </c>
    </row>
    <row r="30" spans="1:11" ht="14.25" customHeight="1" x14ac:dyDescent="0.25">
      <c r="A30" s="5">
        <v>3</v>
      </c>
      <c r="B30" s="5" t="s">
        <v>41</v>
      </c>
      <c r="C30" s="5" t="s">
        <v>48</v>
      </c>
      <c r="D30" s="6" t="s">
        <v>49</v>
      </c>
      <c r="E30" s="6" t="s">
        <v>14</v>
      </c>
      <c r="F30" s="6">
        <v>0</v>
      </c>
      <c r="G30" s="6">
        <v>12</v>
      </c>
      <c r="H30" s="6">
        <v>66</v>
      </c>
      <c r="I30" s="6">
        <v>0</v>
      </c>
      <c r="J30" s="6">
        <v>12</v>
      </c>
      <c r="K30" s="6">
        <f>PRODUCT(30*6)</f>
        <v>180</v>
      </c>
    </row>
    <row r="31" spans="1:11" ht="14.25" customHeight="1" x14ac:dyDescent="0.25">
      <c r="A31" s="5">
        <v>3</v>
      </c>
      <c r="B31" s="5" t="s">
        <v>41</v>
      </c>
      <c r="C31" s="5" t="s">
        <v>50</v>
      </c>
      <c r="D31" s="6" t="s">
        <v>13</v>
      </c>
      <c r="E31" s="6" t="s">
        <v>14</v>
      </c>
      <c r="F31" s="6">
        <v>0</v>
      </c>
      <c r="G31" s="6">
        <f>PRODUCT(2*6)</f>
        <v>12</v>
      </c>
      <c r="H31" s="6">
        <f>PRODUCT(30*6)</f>
        <v>180</v>
      </c>
      <c r="I31" s="6">
        <v>0</v>
      </c>
      <c r="J31" s="6">
        <f>PRODUCT(2*6)</f>
        <v>12</v>
      </c>
      <c r="K31" s="6">
        <f>PRODUCT(30*6)</f>
        <v>180</v>
      </c>
    </row>
    <row r="32" spans="1:11" ht="14.25" customHeight="1" x14ac:dyDescent="0.25">
      <c r="A32" s="5">
        <v>3</v>
      </c>
      <c r="B32" s="5" t="s">
        <v>41</v>
      </c>
      <c r="C32" s="5" t="s">
        <v>20</v>
      </c>
      <c r="D32" s="6" t="s">
        <v>16</v>
      </c>
      <c r="E32" s="6" t="s">
        <v>21</v>
      </c>
      <c r="F32" s="6">
        <v>0</v>
      </c>
      <c r="G32" s="6">
        <v>1</v>
      </c>
      <c r="H32" s="6">
        <v>30</v>
      </c>
      <c r="I32" s="6">
        <v>0</v>
      </c>
      <c r="J32" s="6">
        <v>1</v>
      </c>
      <c r="K32" s="6">
        <v>30</v>
      </c>
    </row>
    <row r="33" spans="1:11" ht="14.25" customHeight="1" x14ac:dyDescent="0.25">
      <c r="A33" s="5">
        <v>3</v>
      </c>
      <c r="B33" s="5" t="s">
        <v>41</v>
      </c>
      <c r="C33" s="5" t="s">
        <v>22</v>
      </c>
      <c r="D33" s="6" t="s">
        <v>23</v>
      </c>
      <c r="E33" s="6" t="s">
        <v>21</v>
      </c>
      <c r="F33" s="6">
        <v>0</v>
      </c>
      <c r="G33" s="6">
        <v>1</v>
      </c>
      <c r="H33" s="6">
        <v>30</v>
      </c>
      <c r="I33" s="6">
        <v>0</v>
      </c>
      <c r="J33" s="6">
        <v>1</v>
      </c>
      <c r="K33" s="6">
        <v>30</v>
      </c>
    </row>
    <row r="34" spans="1:11" ht="14.25" customHeight="1" x14ac:dyDescent="0.25">
      <c r="A34" s="5">
        <v>3</v>
      </c>
      <c r="B34" s="5" t="s">
        <v>41</v>
      </c>
      <c r="C34" s="6" t="s">
        <v>29</v>
      </c>
      <c r="D34" s="6" t="s">
        <v>16</v>
      </c>
      <c r="E34" s="6" t="s">
        <v>21</v>
      </c>
      <c r="F34" s="6">
        <v>2</v>
      </c>
      <c r="G34" s="6">
        <v>1</v>
      </c>
      <c r="H34" s="6">
        <v>30</v>
      </c>
      <c r="I34" s="6">
        <v>3</v>
      </c>
      <c r="J34" s="6">
        <v>1</v>
      </c>
      <c r="K34" s="6">
        <v>30</v>
      </c>
    </row>
    <row r="35" spans="1:11" ht="14.25" customHeight="1" x14ac:dyDescent="0.25">
      <c r="A35" s="5">
        <v>3</v>
      </c>
      <c r="B35" s="5" t="s">
        <v>41</v>
      </c>
      <c r="C35" s="6" t="s">
        <v>26</v>
      </c>
      <c r="D35" s="6" t="s">
        <v>27</v>
      </c>
      <c r="E35" s="6" t="s">
        <v>21</v>
      </c>
      <c r="F35" s="6">
        <v>0</v>
      </c>
      <c r="G35" s="6">
        <v>1</v>
      </c>
      <c r="H35" s="6">
        <v>25</v>
      </c>
      <c r="I35" s="6">
        <v>0</v>
      </c>
      <c r="J35" s="6">
        <v>1</v>
      </c>
      <c r="K35" s="6">
        <v>30</v>
      </c>
    </row>
    <row r="36" spans="1:11" ht="14.25" customHeight="1" x14ac:dyDescent="0.25">
      <c r="A36" s="5">
        <v>3</v>
      </c>
      <c r="B36" s="5" t="s">
        <v>41</v>
      </c>
      <c r="C36" s="6" t="s">
        <v>30</v>
      </c>
      <c r="D36" s="6" t="s">
        <v>13</v>
      </c>
      <c r="E36" s="6" t="s">
        <v>21</v>
      </c>
      <c r="F36" s="6">
        <v>0</v>
      </c>
      <c r="G36" s="6">
        <f>PRODUCT(1*6)</f>
        <v>6</v>
      </c>
      <c r="H36" s="6">
        <f>PRODUCT(30*6)</f>
        <v>180</v>
      </c>
      <c r="I36" s="6">
        <v>0</v>
      </c>
      <c r="J36" s="6">
        <f>PRODUCT(1*6)</f>
        <v>6</v>
      </c>
      <c r="K36" s="6">
        <f>PRODUCT(30*6)</f>
        <v>180</v>
      </c>
    </row>
    <row r="37" spans="1:11" ht="14.25" customHeight="1" x14ac:dyDescent="0.25">
      <c r="A37" s="5">
        <v>3</v>
      </c>
      <c r="B37" s="5" t="s">
        <v>41</v>
      </c>
      <c r="C37" s="6" t="s">
        <v>31</v>
      </c>
      <c r="D37" s="6" t="s">
        <v>13</v>
      </c>
      <c r="E37" s="6" t="s">
        <v>21</v>
      </c>
      <c r="F37" s="6">
        <v>0</v>
      </c>
      <c r="G37" s="6">
        <f>PRODUCT(2*6)</f>
        <v>12</v>
      </c>
      <c r="H37" s="6">
        <f>PRODUCT(20*6)</f>
        <v>120</v>
      </c>
      <c r="I37" s="6">
        <v>0</v>
      </c>
      <c r="J37" s="6">
        <f>PRODUCT(2*6)</f>
        <v>12</v>
      </c>
      <c r="K37" s="6">
        <f>PRODUCT(20*6)</f>
        <v>120</v>
      </c>
    </row>
    <row r="38" spans="1:11" ht="14.25" customHeight="1" x14ac:dyDescent="0.25">
      <c r="A38" s="5">
        <v>4</v>
      </c>
      <c r="B38" s="5" t="s">
        <v>51</v>
      </c>
      <c r="C38" s="6" t="s">
        <v>52</v>
      </c>
      <c r="D38" s="6" t="s">
        <v>53</v>
      </c>
      <c r="E38" s="6" t="s">
        <v>14</v>
      </c>
      <c r="F38" s="6">
        <v>0</v>
      </c>
      <c r="G38" s="6">
        <v>4</v>
      </c>
      <c r="H38" s="6">
        <v>20</v>
      </c>
      <c r="I38" s="6">
        <v>0</v>
      </c>
      <c r="J38" s="6">
        <v>4</v>
      </c>
      <c r="K38" s="6">
        <v>40</v>
      </c>
    </row>
    <row r="39" spans="1:11" ht="14.25" customHeight="1" x14ac:dyDescent="0.25">
      <c r="A39" s="5">
        <v>4</v>
      </c>
      <c r="B39" s="5" t="s">
        <v>51</v>
      </c>
      <c r="C39" s="6" t="s">
        <v>54</v>
      </c>
      <c r="D39" s="6" t="s">
        <v>55</v>
      </c>
      <c r="E39" s="6" t="s">
        <v>14</v>
      </c>
      <c r="F39" s="6">
        <v>0</v>
      </c>
      <c r="G39" s="6">
        <v>2</v>
      </c>
      <c r="H39" s="6">
        <v>50</v>
      </c>
      <c r="I39" s="6">
        <v>0</v>
      </c>
      <c r="J39" s="6">
        <v>2</v>
      </c>
      <c r="K39" s="6">
        <v>50</v>
      </c>
    </row>
    <row r="40" spans="1:11" ht="14.25" customHeight="1" x14ac:dyDescent="0.25">
      <c r="A40" s="5">
        <v>4</v>
      </c>
      <c r="B40" s="5" t="s">
        <v>51</v>
      </c>
      <c r="C40" s="6" t="s">
        <v>56</v>
      </c>
      <c r="D40" s="6" t="s">
        <v>27</v>
      </c>
      <c r="E40" s="6" t="s">
        <v>14</v>
      </c>
      <c r="F40" s="6">
        <v>0</v>
      </c>
      <c r="G40" s="6">
        <v>2</v>
      </c>
      <c r="H40" s="6">
        <v>25</v>
      </c>
      <c r="I40" s="6">
        <v>0</v>
      </c>
      <c r="J40" s="6">
        <v>2</v>
      </c>
      <c r="K40" s="6">
        <v>25</v>
      </c>
    </row>
    <row r="41" spans="1:11" ht="14.25" customHeight="1" x14ac:dyDescent="0.25">
      <c r="A41" s="5">
        <v>4</v>
      </c>
      <c r="B41" s="5" t="s">
        <v>51</v>
      </c>
      <c r="C41" s="6" t="s">
        <v>57</v>
      </c>
      <c r="D41" s="6" t="s">
        <v>58</v>
      </c>
      <c r="E41" s="6" t="s">
        <v>14</v>
      </c>
      <c r="F41" s="6">
        <v>0</v>
      </c>
      <c r="G41" s="6">
        <v>2</v>
      </c>
      <c r="H41" s="6">
        <f>PRODUCT(20*2)</f>
        <v>40</v>
      </c>
      <c r="I41" s="6">
        <v>0</v>
      </c>
      <c r="J41" s="6">
        <v>2</v>
      </c>
      <c r="K41" s="6">
        <v>40</v>
      </c>
    </row>
    <row r="42" spans="1:11" ht="14.25" customHeight="1" x14ac:dyDescent="0.25">
      <c r="A42" s="5">
        <v>4</v>
      </c>
      <c r="B42" s="5" t="s">
        <v>51</v>
      </c>
      <c r="C42" s="6" t="s">
        <v>59</v>
      </c>
      <c r="D42" s="6" t="s">
        <v>16</v>
      </c>
      <c r="E42" s="6" t="s">
        <v>14</v>
      </c>
      <c r="F42" s="6">
        <v>0</v>
      </c>
      <c r="G42" s="6">
        <v>1</v>
      </c>
      <c r="H42" s="6">
        <v>30</v>
      </c>
      <c r="I42" s="6">
        <v>0</v>
      </c>
      <c r="J42" s="6">
        <v>1</v>
      </c>
      <c r="K42" s="6">
        <v>30</v>
      </c>
    </row>
    <row r="43" spans="1:11" ht="14.25" customHeight="1" x14ac:dyDescent="0.25">
      <c r="A43" s="5">
        <v>4</v>
      </c>
      <c r="B43" s="5" t="s">
        <v>51</v>
      </c>
      <c r="C43" s="6" t="s">
        <v>60</v>
      </c>
      <c r="D43" s="6" t="s">
        <v>23</v>
      </c>
      <c r="E43" s="6" t="s">
        <v>14</v>
      </c>
      <c r="F43" s="6">
        <v>0</v>
      </c>
      <c r="G43" s="6">
        <v>1</v>
      </c>
      <c r="H43" s="6">
        <v>30</v>
      </c>
      <c r="I43" s="6">
        <v>0</v>
      </c>
      <c r="J43" s="6">
        <v>1</v>
      </c>
      <c r="K43" s="6">
        <v>30</v>
      </c>
    </row>
    <row r="44" spans="1:11" ht="14.25" customHeight="1" x14ac:dyDescent="0.25">
      <c r="A44" s="5">
        <v>4</v>
      </c>
      <c r="B44" s="5" t="s">
        <v>51</v>
      </c>
      <c r="C44" s="6" t="s">
        <v>20</v>
      </c>
      <c r="D44" s="6" t="s">
        <v>16</v>
      </c>
      <c r="E44" s="6" t="s">
        <v>21</v>
      </c>
      <c r="F44" s="6">
        <v>0</v>
      </c>
      <c r="G44" s="6">
        <v>1</v>
      </c>
      <c r="H44" s="6">
        <v>30</v>
      </c>
      <c r="I44" s="6">
        <v>0</v>
      </c>
      <c r="J44" s="6">
        <v>1</v>
      </c>
      <c r="K44" s="6">
        <v>30</v>
      </c>
    </row>
    <row r="45" spans="1:11" ht="14.25" customHeight="1" x14ac:dyDescent="0.25">
      <c r="A45" s="5">
        <v>4</v>
      </c>
      <c r="B45" s="5" t="s">
        <v>51</v>
      </c>
      <c r="C45" s="6" t="s">
        <v>22</v>
      </c>
      <c r="D45" s="6" t="s">
        <v>23</v>
      </c>
      <c r="E45" s="6" t="s">
        <v>21</v>
      </c>
      <c r="F45" s="6">
        <v>0</v>
      </c>
      <c r="G45" s="6">
        <v>1</v>
      </c>
      <c r="H45" s="6">
        <v>20</v>
      </c>
      <c r="I45" s="6">
        <v>0</v>
      </c>
      <c r="J45" s="6">
        <v>1</v>
      </c>
      <c r="K45" s="6">
        <v>30</v>
      </c>
    </row>
    <row r="46" spans="1:11" ht="14.25" customHeight="1" x14ac:dyDescent="0.25">
      <c r="A46" s="5">
        <v>4</v>
      </c>
      <c r="B46" s="5" t="s">
        <v>51</v>
      </c>
      <c r="C46" s="5" t="s">
        <v>26</v>
      </c>
      <c r="D46" s="6" t="s">
        <v>27</v>
      </c>
      <c r="E46" s="6" t="s">
        <v>21</v>
      </c>
      <c r="F46" s="6">
        <v>0</v>
      </c>
      <c r="G46" s="6">
        <v>1</v>
      </c>
      <c r="H46" s="6">
        <v>30</v>
      </c>
      <c r="I46" s="6">
        <v>0</v>
      </c>
      <c r="J46" s="6">
        <v>1</v>
      </c>
      <c r="K46" s="6">
        <v>30</v>
      </c>
    </row>
    <row r="47" spans="1:11" ht="14.25" customHeight="1" x14ac:dyDescent="0.25">
      <c r="A47" s="5">
        <v>4</v>
      </c>
      <c r="B47" s="5" t="s">
        <v>51</v>
      </c>
      <c r="C47" s="6" t="s">
        <v>29</v>
      </c>
      <c r="D47" s="6" t="s">
        <v>16</v>
      </c>
      <c r="E47" s="6" t="s">
        <v>21</v>
      </c>
      <c r="F47" s="6">
        <v>2</v>
      </c>
      <c r="G47" s="6">
        <v>1</v>
      </c>
      <c r="H47" s="6">
        <v>30</v>
      </c>
      <c r="I47" s="6">
        <v>2</v>
      </c>
      <c r="J47" s="6">
        <v>1</v>
      </c>
      <c r="K47" s="6">
        <v>30</v>
      </c>
    </row>
    <row r="48" spans="1:11" ht="14.25" customHeight="1" x14ac:dyDescent="0.25">
      <c r="A48" s="5">
        <v>4</v>
      </c>
      <c r="B48" s="5" t="s">
        <v>51</v>
      </c>
      <c r="C48" s="5" t="s">
        <v>30</v>
      </c>
      <c r="D48" s="6" t="s">
        <v>13</v>
      </c>
      <c r="E48" s="6" t="s">
        <v>21</v>
      </c>
      <c r="F48" s="6">
        <v>0</v>
      </c>
      <c r="G48" s="6">
        <f>PRODUCT(3*6)</f>
        <v>18</v>
      </c>
      <c r="H48" s="6">
        <f>PRODUCT(30*6)</f>
        <v>180</v>
      </c>
      <c r="I48" s="6">
        <v>0</v>
      </c>
      <c r="J48" s="6">
        <f>PRODUCT(3*6)</f>
        <v>18</v>
      </c>
      <c r="K48" s="6">
        <f>PRODUCT(30*6)</f>
        <v>180</v>
      </c>
    </row>
    <row r="49" spans="1:17" ht="14.25" customHeight="1" x14ac:dyDescent="0.25">
      <c r="A49" s="5">
        <v>4</v>
      </c>
      <c r="B49" s="5" t="s">
        <v>51</v>
      </c>
      <c r="C49" s="5" t="s">
        <v>31</v>
      </c>
      <c r="D49" s="6" t="s">
        <v>13</v>
      </c>
      <c r="E49" s="6" t="s">
        <v>21</v>
      </c>
      <c r="F49" s="6">
        <v>0</v>
      </c>
      <c r="G49" s="6">
        <f>PRODUCT(3*6)</f>
        <v>18</v>
      </c>
      <c r="H49" s="6">
        <f>PRODUCT(30*6)</f>
        <v>180</v>
      </c>
      <c r="I49" s="6">
        <v>0</v>
      </c>
      <c r="J49" s="6">
        <f>PRODUCT(3*6)</f>
        <v>18</v>
      </c>
      <c r="K49" s="6">
        <f>PRODUCT(30*6)</f>
        <v>180</v>
      </c>
    </row>
    <row r="50" spans="1:17" ht="14.25" customHeight="1" x14ac:dyDescent="0.25">
      <c r="A50" s="6">
        <v>5</v>
      </c>
      <c r="B50" s="6" t="s">
        <v>61</v>
      </c>
      <c r="C50" s="6" t="s">
        <v>62</v>
      </c>
      <c r="D50" s="6" t="s">
        <v>23</v>
      </c>
      <c r="E50" s="6" t="s">
        <v>14</v>
      </c>
      <c r="F50" s="6"/>
      <c r="G50" s="6"/>
      <c r="H50" s="6"/>
      <c r="I50" s="6">
        <v>0</v>
      </c>
      <c r="J50" s="6">
        <v>1</v>
      </c>
      <c r="K50" s="6">
        <v>30</v>
      </c>
    </row>
    <row r="51" spans="1:17" ht="14.25" customHeight="1" x14ac:dyDescent="0.25">
      <c r="A51" s="6">
        <v>5</v>
      </c>
      <c r="B51" s="6" t="s">
        <v>61</v>
      </c>
      <c r="C51" s="6" t="s">
        <v>63</v>
      </c>
      <c r="D51" s="6" t="s">
        <v>64</v>
      </c>
      <c r="E51" s="6" t="s">
        <v>14</v>
      </c>
      <c r="F51" s="6"/>
      <c r="G51" s="6"/>
      <c r="H51" s="6"/>
      <c r="I51" s="6">
        <v>3</v>
      </c>
      <c r="J51" s="6">
        <v>1</v>
      </c>
      <c r="K51" s="6">
        <v>30</v>
      </c>
    </row>
    <row r="52" spans="1:17" ht="14.25" customHeight="1" x14ac:dyDescent="0.25">
      <c r="A52" s="6">
        <v>5</v>
      </c>
      <c r="B52" s="6" t="s">
        <v>61</v>
      </c>
      <c r="C52" s="6" t="s">
        <v>65</v>
      </c>
      <c r="D52" s="6" t="s">
        <v>66</v>
      </c>
      <c r="E52" s="6" t="s">
        <v>14</v>
      </c>
      <c r="F52" s="6"/>
      <c r="G52" s="6"/>
      <c r="H52" s="6"/>
      <c r="I52" s="6">
        <v>0</v>
      </c>
      <c r="J52" s="6">
        <v>1</v>
      </c>
      <c r="K52" s="6">
        <v>60</v>
      </c>
      <c r="N52" s="39" t="s">
        <v>104</v>
      </c>
      <c r="O52" s="39"/>
      <c r="P52" s="39"/>
      <c r="Q52" s="39"/>
    </row>
    <row r="53" spans="1:17" ht="14.25" customHeight="1" x14ac:dyDescent="0.25">
      <c r="A53" s="6">
        <v>5</v>
      </c>
      <c r="B53" s="6" t="s">
        <v>61</v>
      </c>
      <c r="C53" s="6" t="s">
        <v>20</v>
      </c>
      <c r="D53" s="6" t="s">
        <v>16</v>
      </c>
      <c r="E53" s="6" t="s">
        <v>21</v>
      </c>
      <c r="F53" s="6"/>
      <c r="G53" s="6"/>
      <c r="H53" s="6"/>
      <c r="I53" s="6">
        <v>0</v>
      </c>
      <c r="J53" s="6">
        <v>1</v>
      </c>
      <c r="K53" s="6">
        <v>30</v>
      </c>
      <c r="N53" s="36" t="s">
        <v>88</v>
      </c>
      <c r="O53" s="37" t="s">
        <v>90</v>
      </c>
      <c r="P53" t="s">
        <v>91</v>
      </c>
      <c r="Q53" s="38" t="s">
        <v>92</v>
      </c>
    </row>
    <row r="54" spans="1:17" ht="14.25" customHeight="1" x14ac:dyDescent="0.25">
      <c r="A54" s="6">
        <v>5</v>
      </c>
      <c r="B54" s="6" t="s">
        <v>61</v>
      </c>
      <c r="C54" s="6" t="s">
        <v>22</v>
      </c>
      <c r="D54" s="6" t="s">
        <v>23</v>
      </c>
      <c r="E54" s="6" t="s">
        <v>21</v>
      </c>
      <c r="F54" s="6"/>
      <c r="G54" s="6"/>
      <c r="H54" s="6"/>
      <c r="I54" s="6">
        <v>0</v>
      </c>
      <c r="J54" s="6">
        <v>1</v>
      </c>
      <c r="K54" s="6">
        <v>30</v>
      </c>
      <c r="N54" s="19" t="s">
        <v>61</v>
      </c>
      <c r="O54" s="16">
        <v>600</v>
      </c>
      <c r="P54" s="29">
        <v>43</v>
      </c>
      <c r="Q54" s="24">
        <v>4</v>
      </c>
    </row>
    <row r="55" spans="1:17" ht="14.25" customHeight="1" x14ac:dyDescent="0.25">
      <c r="A55" s="6">
        <v>5</v>
      </c>
      <c r="B55" s="6" t="s">
        <v>61</v>
      </c>
      <c r="C55" s="5" t="s">
        <v>26</v>
      </c>
      <c r="D55" s="6" t="s">
        <v>27</v>
      </c>
      <c r="E55" s="6" t="s">
        <v>21</v>
      </c>
      <c r="F55" s="6"/>
      <c r="G55" s="6"/>
      <c r="H55" s="6"/>
      <c r="I55" s="6">
        <v>0</v>
      </c>
      <c r="J55" s="6">
        <v>1</v>
      </c>
      <c r="K55" s="6">
        <v>30</v>
      </c>
      <c r="N55" s="21" t="s">
        <v>67</v>
      </c>
      <c r="O55" s="25">
        <v>805</v>
      </c>
      <c r="P55" s="30">
        <v>48</v>
      </c>
      <c r="Q55" s="26">
        <v>10</v>
      </c>
    </row>
    <row r="56" spans="1:17" ht="14.25" customHeight="1" x14ac:dyDescent="0.25">
      <c r="A56" s="6">
        <v>5</v>
      </c>
      <c r="B56" s="6" t="s">
        <v>61</v>
      </c>
      <c r="C56" s="6" t="s">
        <v>29</v>
      </c>
      <c r="D56" s="6" t="s">
        <v>16</v>
      </c>
      <c r="E56" s="6" t="s">
        <v>21</v>
      </c>
      <c r="F56" s="6"/>
      <c r="G56" s="6"/>
      <c r="H56" s="6"/>
      <c r="I56" s="6">
        <v>1</v>
      </c>
      <c r="J56" s="6">
        <v>1</v>
      </c>
      <c r="K56" s="6">
        <v>30</v>
      </c>
      <c r="N56" s="21" t="s">
        <v>79</v>
      </c>
      <c r="O56" s="25">
        <v>1110</v>
      </c>
      <c r="P56" s="30">
        <v>91</v>
      </c>
      <c r="Q56" s="26">
        <v>6</v>
      </c>
    </row>
    <row r="57" spans="1:17" ht="14.25" customHeight="1" x14ac:dyDescent="0.25">
      <c r="A57" s="6">
        <v>5</v>
      </c>
      <c r="B57" s="6" t="s">
        <v>61</v>
      </c>
      <c r="C57" s="5" t="s">
        <v>30</v>
      </c>
      <c r="D57" s="6" t="s">
        <v>13</v>
      </c>
      <c r="E57" s="6" t="s">
        <v>21</v>
      </c>
      <c r="F57" s="6"/>
      <c r="G57" s="6"/>
      <c r="H57" s="6"/>
      <c r="I57" s="6">
        <v>0</v>
      </c>
      <c r="J57" s="6">
        <v>18</v>
      </c>
      <c r="K57" s="6">
        <f>PRODUCT(30*6)</f>
        <v>180</v>
      </c>
      <c r="N57" s="21" t="s">
        <v>75</v>
      </c>
      <c r="O57" s="25">
        <v>750</v>
      </c>
      <c r="P57" s="30">
        <v>62</v>
      </c>
      <c r="Q57" s="26">
        <v>10</v>
      </c>
    </row>
    <row r="58" spans="1:17" ht="14.25" customHeight="1" x14ac:dyDescent="0.25">
      <c r="A58" s="6">
        <v>5</v>
      </c>
      <c r="B58" s="6" t="s">
        <v>61</v>
      </c>
      <c r="C58" s="5" t="s">
        <v>31</v>
      </c>
      <c r="D58" s="6" t="s">
        <v>13</v>
      </c>
      <c r="E58" s="6" t="s">
        <v>21</v>
      </c>
      <c r="F58" s="6"/>
      <c r="G58" s="6"/>
      <c r="H58" s="6"/>
      <c r="I58" s="6">
        <v>0</v>
      </c>
      <c r="J58" s="6">
        <v>18</v>
      </c>
      <c r="K58" s="6">
        <f>PRODUCT(30*6)</f>
        <v>180</v>
      </c>
      <c r="N58" s="22" t="s">
        <v>89</v>
      </c>
      <c r="O58" s="27">
        <v>3265</v>
      </c>
      <c r="P58" s="31">
        <v>244</v>
      </c>
      <c r="Q58" s="28">
        <v>30</v>
      </c>
    </row>
    <row r="59" spans="1:17" ht="14.25" customHeight="1" x14ac:dyDescent="0.25">
      <c r="A59" s="6">
        <v>6</v>
      </c>
      <c r="B59" s="6" t="s">
        <v>67</v>
      </c>
      <c r="C59" s="6" t="s">
        <v>68</v>
      </c>
      <c r="D59" s="6" t="s">
        <v>44</v>
      </c>
      <c r="E59" s="6" t="s">
        <v>14</v>
      </c>
      <c r="F59" s="6"/>
      <c r="G59" s="6"/>
      <c r="H59" s="6"/>
      <c r="I59" s="6">
        <v>0</v>
      </c>
      <c r="J59" s="6">
        <v>1</v>
      </c>
      <c r="K59" s="6">
        <v>60</v>
      </c>
    </row>
    <row r="60" spans="1:17" ht="14.25" customHeight="1" x14ac:dyDescent="0.25">
      <c r="A60" s="6">
        <v>6</v>
      </c>
      <c r="B60" s="6" t="s">
        <v>67</v>
      </c>
      <c r="C60" s="6" t="s">
        <v>69</v>
      </c>
      <c r="D60" s="6" t="s">
        <v>47</v>
      </c>
      <c r="E60" s="6" t="s">
        <v>14</v>
      </c>
      <c r="F60" s="6"/>
      <c r="G60" s="6"/>
      <c r="H60" s="6"/>
      <c r="I60" s="6">
        <v>3</v>
      </c>
      <c r="J60" s="6">
        <v>1</v>
      </c>
      <c r="K60" s="6">
        <v>90</v>
      </c>
    </row>
    <row r="61" spans="1:17" ht="14.25" customHeight="1" x14ac:dyDescent="0.25">
      <c r="A61" s="6">
        <v>6</v>
      </c>
      <c r="B61" s="6" t="s">
        <v>67</v>
      </c>
      <c r="C61" s="6" t="s">
        <v>70</v>
      </c>
      <c r="D61" s="6" t="s">
        <v>71</v>
      </c>
      <c r="E61" s="6" t="s">
        <v>14</v>
      </c>
      <c r="F61" s="6"/>
      <c r="G61" s="6"/>
      <c r="H61" s="6"/>
      <c r="I61" s="6">
        <v>2</v>
      </c>
      <c r="J61" s="6">
        <f>PRODUCT(2*2)</f>
        <v>4</v>
      </c>
      <c r="K61" s="6">
        <f>PRODUCT(60*2)</f>
        <v>120</v>
      </c>
    </row>
    <row r="62" spans="1:17" ht="14.25" customHeight="1" x14ac:dyDescent="0.25">
      <c r="A62" s="6">
        <v>6</v>
      </c>
      <c r="B62" s="6" t="s">
        <v>67</v>
      </c>
      <c r="C62" s="6" t="s">
        <v>72</v>
      </c>
      <c r="D62" s="6" t="s">
        <v>73</v>
      </c>
      <c r="E62" s="6" t="s">
        <v>14</v>
      </c>
      <c r="F62" s="6"/>
      <c r="G62" s="6"/>
      <c r="H62" s="6"/>
      <c r="I62" s="6">
        <v>2</v>
      </c>
      <c r="J62" s="6">
        <v>2</v>
      </c>
      <c r="K62" s="6">
        <v>25</v>
      </c>
    </row>
    <row r="63" spans="1:17" ht="14.25" customHeight="1" x14ac:dyDescent="0.25">
      <c r="A63" s="6">
        <v>6</v>
      </c>
      <c r="B63" s="6" t="s">
        <v>67</v>
      </c>
      <c r="C63" s="6" t="s">
        <v>74</v>
      </c>
      <c r="D63" s="6" t="s">
        <v>27</v>
      </c>
      <c r="E63" s="6" t="s">
        <v>14</v>
      </c>
      <c r="F63" s="6"/>
      <c r="G63" s="6"/>
      <c r="H63" s="6"/>
      <c r="I63" s="6">
        <v>1</v>
      </c>
      <c r="J63" s="6">
        <v>2</v>
      </c>
      <c r="K63" s="6">
        <v>30</v>
      </c>
    </row>
    <row r="64" spans="1:17" ht="14.25" customHeight="1" x14ac:dyDescent="0.25">
      <c r="A64" s="6">
        <v>6</v>
      </c>
      <c r="B64" s="6" t="s">
        <v>67</v>
      </c>
      <c r="C64" s="7" t="s">
        <v>20</v>
      </c>
      <c r="D64" s="6" t="s">
        <v>16</v>
      </c>
      <c r="E64" s="6" t="s">
        <v>21</v>
      </c>
      <c r="F64" s="6"/>
      <c r="G64" s="6"/>
      <c r="H64" s="6"/>
      <c r="I64" s="6">
        <v>0</v>
      </c>
      <c r="J64" s="6">
        <v>2</v>
      </c>
      <c r="K64" s="6">
        <v>30</v>
      </c>
    </row>
    <row r="65" spans="1:11" ht="14.25" customHeight="1" x14ac:dyDescent="0.25">
      <c r="A65" s="6">
        <v>6</v>
      </c>
      <c r="B65" s="6" t="s">
        <v>67</v>
      </c>
      <c r="C65" s="8" t="s">
        <v>22</v>
      </c>
      <c r="D65" s="6" t="s">
        <v>23</v>
      </c>
      <c r="E65" s="6" t="s">
        <v>21</v>
      </c>
      <c r="F65" s="6"/>
      <c r="G65" s="6"/>
      <c r="H65" s="6"/>
      <c r="I65" s="6">
        <v>0</v>
      </c>
      <c r="J65" s="6">
        <v>2</v>
      </c>
      <c r="K65" s="6">
        <v>30</v>
      </c>
    </row>
    <row r="66" spans="1:11" ht="14.25" customHeight="1" x14ac:dyDescent="0.25">
      <c r="A66" s="6">
        <v>6</v>
      </c>
      <c r="B66" s="6" t="s">
        <v>67</v>
      </c>
      <c r="C66" s="9" t="s">
        <v>26</v>
      </c>
      <c r="D66" s="6" t="s">
        <v>27</v>
      </c>
      <c r="E66" s="6" t="s">
        <v>21</v>
      </c>
      <c r="F66" s="6"/>
      <c r="G66" s="6"/>
      <c r="H66" s="6"/>
      <c r="I66" s="6">
        <v>0</v>
      </c>
      <c r="J66" s="6">
        <v>2</v>
      </c>
      <c r="K66" s="6">
        <v>30</v>
      </c>
    </row>
    <row r="67" spans="1:11" ht="14.25" customHeight="1" x14ac:dyDescent="0.25">
      <c r="A67" s="6">
        <v>6</v>
      </c>
      <c r="B67" s="6" t="s">
        <v>67</v>
      </c>
      <c r="C67" s="8" t="s">
        <v>29</v>
      </c>
      <c r="D67" s="6" t="s">
        <v>16</v>
      </c>
      <c r="E67" s="6" t="s">
        <v>21</v>
      </c>
      <c r="F67" s="6"/>
      <c r="G67" s="6"/>
      <c r="H67" s="6"/>
      <c r="I67" s="6">
        <v>2</v>
      </c>
      <c r="J67" s="6">
        <v>2</v>
      </c>
      <c r="K67" s="6">
        <v>30</v>
      </c>
    </row>
    <row r="68" spans="1:11" ht="14.25" customHeight="1" x14ac:dyDescent="0.25">
      <c r="A68" s="6">
        <v>6</v>
      </c>
      <c r="B68" s="6" t="s">
        <v>67</v>
      </c>
      <c r="C68" s="9" t="s">
        <v>30</v>
      </c>
      <c r="D68" s="6" t="s">
        <v>13</v>
      </c>
      <c r="E68" s="6" t="s">
        <v>21</v>
      </c>
      <c r="F68" s="6"/>
      <c r="G68" s="6"/>
      <c r="H68" s="6"/>
      <c r="I68" s="6">
        <v>0</v>
      </c>
      <c r="J68" s="6">
        <f>PRODUCT(3*6)</f>
        <v>18</v>
      </c>
      <c r="K68" s="6">
        <f>PRODUCT(30*6)</f>
        <v>180</v>
      </c>
    </row>
    <row r="69" spans="1:11" ht="14.25" customHeight="1" x14ac:dyDescent="0.25">
      <c r="A69" s="6">
        <v>6</v>
      </c>
      <c r="B69" s="6" t="s">
        <v>67</v>
      </c>
      <c r="C69" s="10" t="s">
        <v>31</v>
      </c>
      <c r="D69" s="6" t="s">
        <v>13</v>
      </c>
      <c r="E69" s="6" t="s">
        <v>21</v>
      </c>
      <c r="F69" s="6"/>
      <c r="G69" s="6"/>
      <c r="H69" s="6"/>
      <c r="I69" s="6">
        <v>0</v>
      </c>
      <c r="J69" s="6">
        <f>PRODUCT(2*6)</f>
        <v>12</v>
      </c>
      <c r="K69" s="6">
        <f>PRODUCT(30*6)</f>
        <v>180</v>
      </c>
    </row>
    <row r="70" spans="1:11" ht="14.25" customHeight="1" x14ac:dyDescent="0.25">
      <c r="A70" s="6">
        <v>7</v>
      </c>
      <c r="B70" s="6" t="s">
        <v>75</v>
      </c>
      <c r="C70" s="8" t="s">
        <v>76</v>
      </c>
      <c r="D70" s="6" t="s">
        <v>27</v>
      </c>
      <c r="E70" s="6" t="s">
        <v>14</v>
      </c>
      <c r="F70" s="6"/>
      <c r="G70" s="6"/>
      <c r="H70" s="6"/>
      <c r="I70" s="6">
        <v>3</v>
      </c>
      <c r="J70" s="6">
        <v>2</v>
      </c>
      <c r="K70" s="6">
        <v>30</v>
      </c>
    </row>
    <row r="71" spans="1:11" ht="14.25" customHeight="1" x14ac:dyDescent="0.25">
      <c r="A71" s="6">
        <v>7</v>
      </c>
      <c r="B71" s="6" t="s">
        <v>75</v>
      </c>
      <c r="C71" s="8" t="s">
        <v>77</v>
      </c>
      <c r="D71" s="6" t="s">
        <v>49</v>
      </c>
      <c r="E71" s="6" t="s">
        <v>14</v>
      </c>
      <c r="F71" s="6"/>
      <c r="G71" s="6"/>
      <c r="H71" s="6"/>
      <c r="I71" s="6">
        <v>2</v>
      </c>
      <c r="J71" s="6">
        <v>2</v>
      </c>
      <c r="K71" s="6">
        <v>60</v>
      </c>
    </row>
    <row r="72" spans="1:11" ht="14.25" customHeight="1" x14ac:dyDescent="0.25">
      <c r="A72" s="6">
        <v>7</v>
      </c>
      <c r="B72" s="6" t="s">
        <v>75</v>
      </c>
      <c r="C72" s="8" t="s">
        <v>78</v>
      </c>
      <c r="D72" s="6" t="s">
        <v>13</v>
      </c>
      <c r="E72" s="6" t="s">
        <v>14</v>
      </c>
      <c r="F72" s="6"/>
      <c r="G72" s="6"/>
      <c r="H72" s="6"/>
      <c r="I72" s="6">
        <v>2</v>
      </c>
      <c r="J72" s="6">
        <f>PRODUCT(3*6)</f>
        <v>18</v>
      </c>
      <c r="K72" s="6">
        <f>PRODUCT(30*6)</f>
        <v>180</v>
      </c>
    </row>
    <row r="73" spans="1:11" ht="14.25" customHeight="1" x14ac:dyDescent="0.25">
      <c r="A73" s="6">
        <v>7</v>
      </c>
      <c r="B73" s="6" t="s">
        <v>75</v>
      </c>
      <c r="C73" s="7" t="s">
        <v>20</v>
      </c>
      <c r="D73" s="6" t="s">
        <v>16</v>
      </c>
      <c r="E73" s="6" t="s">
        <v>21</v>
      </c>
      <c r="F73" s="6"/>
      <c r="G73" s="6"/>
      <c r="H73" s="6"/>
      <c r="I73" s="6">
        <v>0</v>
      </c>
      <c r="J73" s="6">
        <v>4</v>
      </c>
      <c r="K73" s="6">
        <v>30</v>
      </c>
    </row>
    <row r="74" spans="1:11" ht="14.25" customHeight="1" x14ac:dyDescent="0.25">
      <c r="A74" s="6">
        <v>7</v>
      </c>
      <c r="B74" s="6" t="s">
        <v>75</v>
      </c>
      <c r="C74" s="8" t="s">
        <v>22</v>
      </c>
      <c r="D74" s="6" t="s">
        <v>23</v>
      </c>
      <c r="E74" s="6" t="s">
        <v>21</v>
      </c>
      <c r="F74" s="6"/>
      <c r="G74" s="6"/>
      <c r="H74" s="6"/>
      <c r="I74" s="6">
        <v>0</v>
      </c>
      <c r="J74" s="6">
        <v>4</v>
      </c>
      <c r="K74" s="6">
        <v>30</v>
      </c>
    </row>
    <row r="75" spans="1:11" ht="14.25" customHeight="1" x14ac:dyDescent="0.25">
      <c r="A75" s="6">
        <v>7</v>
      </c>
      <c r="B75" s="6" t="s">
        <v>75</v>
      </c>
      <c r="C75" s="9" t="s">
        <v>26</v>
      </c>
      <c r="D75" s="6" t="s">
        <v>27</v>
      </c>
      <c r="E75" s="6" t="s">
        <v>21</v>
      </c>
      <c r="F75" s="6"/>
      <c r="G75" s="6"/>
      <c r="H75" s="6"/>
      <c r="I75" s="6">
        <v>0</v>
      </c>
      <c r="J75" s="6">
        <v>4</v>
      </c>
      <c r="K75" s="6">
        <v>30</v>
      </c>
    </row>
    <row r="76" spans="1:11" ht="14.25" customHeight="1" x14ac:dyDescent="0.25">
      <c r="A76" s="6">
        <v>7</v>
      </c>
      <c r="B76" s="6" t="s">
        <v>75</v>
      </c>
      <c r="C76" s="8" t="s">
        <v>29</v>
      </c>
      <c r="D76" s="6" t="s">
        <v>16</v>
      </c>
      <c r="E76" s="6" t="s">
        <v>21</v>
      </c>
      <c r="F76" s="6"/>
      <c r="G76" s="6"/>
      <c r="H76" s="6"/>
      <c r="I76" s="6">
        <v>3</v>
      </c>
      <c r="J76" s="6">
        <v>4</v>
      </c>
      <c r="K76" s="6">
        <v>30</v>
      </c>
    </row>
    <row r="77" spans="1:11" ht="14.25" customHeight="1" x14ac:dyDescent="0.25">
      <c r="A77" s="6">
        <v>7</v>
      </c>
      <c r="B77" s="6" t="s">
        <v>75</v>
      </c>
      <c r="C77" s="9" t="s">
        <v>30</v>
      </c>
      <c r="D77" s="6" t="s">
        <v>13</v>
      </c>
      <c r="E77" s="6" t="s">
        <v>21</v>
      </c>
      <c r="F77" s="6"/>
      <c r="G77" s="6"/>
      <c r="H77" s="6"/>
      <c r="I77" s="6">
        <v>0</v>
      </c>
      <c r="J77" s="6">
        <f>PRODUCT(3*6)</f>
        <v>18</v>
      </c>
      <c r="K77" s="6">
        <f>PRODUCT(30*6)</f>
        <v>180</v>
      </c>
    </row>
    <row r="78" spans="1:11" ht="14.25" customHeight="1" x14ac:dyDescent="0.25">
      <c r="A78" s="6">
        <v>7</v>
      </c>
      <c r="B78" s="6" t="s">
        <v>75</v>
      </c>
      <c r="C78" s="10" t="s">
        <v>31</v>
      </c>
      <c r="D78" s="6" t="s">
        <v>13</v>
      </c>
      <c r="E78" s="6" t="s">
        <v>21</v>
      </c>
      <c r="F78" s="6"/>
      <c r="G78" s="6"/>
      <c r="H78" s="6"/>
      <c r="I78" s="6">
        <v>0</v>
      </c>
      <c r="J78" s="6">
        <f>PRODUCT(1*6)</f>
        <v>6</v>
      </c>
      <c r="K78" s="6">
        <f>PRODUCT(30*6)</f>
        <v>180</v>
      </c>
    </row>
    <row r="79" spans="1:11" ht="14.25" customHeight="1" x14ac:dyDescent="0.25">
      <c r="A79" s="6">
        <v>8</v>
      </c>
      <c r="B79" s="6" t="s">
        <v>79</v>
      </c>
      <c r="C79" s="8" t="s">
        <v>80</v>
      </c>
      <c r="D79" s="6" t="s">
        <v>81</v>
      </c>
      <c r="E79" s="6" t="s">
        <v>14</v>
      </c>
      <c r="F79" s="6"/>
      <c r="G79" s="6"/>
      <c r="H79" s="6"/>
      <c r="I79" s="6">
        <v>1</v>
      </c>
      <c r="J79" s="6">
        <f>PRODUCT(3*3)</f>
        <v>9</v>
      </c>
      <c r="K79" s="6">
        <f>PRODUCT(30*3)</f>
        <v>90</v>
      </c>
    </row>
    <row r="80" spans="1:11" ht="14.25" customHeight="1" x14ac:dyDescent="0.25">
      <c r="A80" s="6">
        <v>8</v>
      </c>
      <c r="B80" s="6" t="s">
        <v>79</v>
      </c>
      <c r="C80" s="8" t="s">
        <v>82</v>
      </c>
      <c r="D80" s="6" t="s">
        <v>13</v>
      </c>
      <c r="E80" s="6" t="s">
        <v>14</v>
      </c>
      <c r="F80" s="6"/>
      <c r="G80" s="6"/>
      <c r="H80" s="6"/>
      <c r="I80" s="6">
        <v>0</v>
      </c>
      <c r="J80" s="6">
        <f>PRODUCT(3*6)</f>
        <v>18</v>
      </c>
      <c r="K80" s="6">
        <f>PRODUCT(30*6)</f>
        <v>180</v>
      </c>
    </row>
    <row r="81" spans="1:11" ht="14.25" customHeight="1" x14ac:dyDescent="0.25">
      <c r="A81" s="6">
        <v>8</v>
      </c>
      <c r="B81" s="6" t="s">
        <v>79</v>
      </c>
      <c r="C81" s="8" t="s">
        <v>83</v>
      </c>
      <c r="D81" s="6" t="s">
        <v>13</v>
      </c>
      <c r="E81" s="6" t="s">
        <v>14</v>
      </c>
      <c r="F81" s="6"/>
      <c r="G81" s="6"/>
      <c r="H81" s="6"/>
      <c r="I81" s="6">
        <v>0</v>
      </c>
      <c r="J81" s="6">
        <f>PRODUCT(3*6)</f>
        <v>18</v>
      </c>
      <c r="K81" s="6">
        <f t="shared" ref="K81:K82" si="3">PRODUCT(30*6)</f>
        <v>180</v>
      </c>
    </row>
    <row r="82" spans="1:11" ht="14.25" customHeight="1" x14ac:dyDescent="0.25">
      <c r="A82" s="6">
        <v>8</v>
      </c>
      <c r="B82" s="6" t="s">
        <v>79</v>
      </c>
      <c r="C82" s="8" t="s">
        <v>84</v>
      </c>
      <c r="D82" s="6" t="s">
        <v>13</v>
      </c>
      <c r="E82" s="6" t="s">
        <v>14</v>
      </c>
      <c r="F82" s="6"/>
      <c r="G82" s="6"/>
      <c r="H82" s="6"/>
      <c r="I82" s="6">
        <v>3</v>
      </c>
      <c r="J82" s="6">
        <f>PRODUCT(2*6)</f>
        <v>12</v>
      </c>
      <c r="K82" s="6">
        <f t="shared" si="3"/>
        <v>180</v>
      </c>
    </row>
    <row r="83" spans="1:11" ht="14.25" customHeight="1" x14ac:dyDescent="0.25">
      <c r="A83" s="6">
        <v>8</v>
      </c>
      <c r="B83" s="6" t="s">
        <v>79</v>
      </c>
      <c r="C83" s="7" t="s">
        <v>20</v>
      </c>
      <c r="D83" s="6" t="s">
        <v>16</v>
      </c>
      <c r="E83" s="6" t="s">
        <v>21</v>
      </c>
      <c r="F83" s="6"/>
      <c r="G83" s="6"/>
      <c r="H83" s="6"/>
      <c r="I83" s="6">
        <v>0</v>
      </c>
      <c r="J83" s="6">
        <v>1</v>
      </c>
      <c r="K83" s="6">
        <v>30</v>
      </c>
    </row>
    <row r="84" spans="1:11" ht="14.25" customHeight="1" x14ac:dyDescent="0.25">
      <c r="A84" s="6">
        <v>8</v>
      </c>
      <c r="B84" s="6" t="s">
        <v>79</v>
      </c>
      <c r="C84" s="8" t="s">
        <v>22</v>
      </c>
      <c r="D84" s="6" t="s">
        <v>23</v>
      </c>
      <c r="E84" s="6" t="s">
        <v>21</v>
      </c>
      <c r="F84" s="6"/>
      <c r="G84" s="6"/>
      <c r="H84" s="6"/>
      <c r="I84" s="6">
        <v>0</v>
      </c>
      <c r="J84" s="6">
        <v>1</v>
      </c>
      <c r="K84" s="6">
        <v>30</v>
      </c>
    </row>
    <row r="85" spans="1:11" ht="14.25" customHeight="1" x14ac:dyDescent="0.25">
      <c r="A85" s="6">
        <v>8</v>
      </c>
      <c r="B85" s="6" t="s">
        <v>79</v>
      </c>
      <c r="C85" s="9" t="s">
        <v>26</v>
      </c>
      <c r="D85" s="6" t="s">
        <v>27</v>
      </c>
      <c r="E85" s="6" t="s">
        <v>21</v>
      </c>
      <c r="F85" s="6"/>
      <c r="G85" s="6"/>
      <c r="H85" s="6"/>
      <c r="I85" s="6">
        <v>0</v>
      </c>
      <c r="J85" s="6">
        <v>1</v>
      </c>
      <c r="K85" s="6">
        <v>30</v>
      </c>
    </row>
    <row r="86" spans="1:11" ht="14.25" customHeight="1" x14ac:dyDescent="0.25">
      <c r="A86" s="6">
        <v>8</v>
      </c>
      <c r="B86" s="6" t="s">
        <v>79</v>
      </c>
      <c r="C86" s="8" t="s">
        <v>29</v>
      </c>
      <c r="D86" s="6" t="s">
        <v>16</v>
      </c>
      <c r="E86" s="6" t="s">
        <v>21</v>
      </c>
      <c r="F86" s="6"/>
      <c r="G86" s="6"/>
      <c r="H86" s="6"/>
      <c r="I86" s="6">
        <v>2</v>
      </c>
      <c r="J86" s="6">
        <v>1</v>
      </c>
      <c r="K86" s="6">
        <v>30</v>
      </c>
    </row>
    <row r="87" spans="1:11" ht="14.25" customHeight="1" x14ac:dyDescent="0.25">
      <c r="A87" s="6">
        <v>8</v>
      </c>
      <c r="B87" s="6" t="s">
        <v>79</v>
      </c>
      <c r="C87" s="9" t="s">
        <v>30</v>
      </c>
      <c r="D87" s="6" t="s">
        <v>13</v>
      </c>
      <c r="E87" s="6" t="s">
        <v>21</v>
      </c>
      <c r="F87" s="6"/>
      <c r="G87" s="6"/>
      <c r="H87" s="6"/>
      <c r="I87" s="6">
        <v>0</v>
      </c>
      <c r="J87" s="6">
        <f>PRODUCT(2*6)</f>
        <v>12</v>
      </c>
      <c r="K87" s="6">
        <f>PRODUCT(30*6)</f>
        <v>180</v>
      </c>
    </row>
    <row r="88" spans="1:11" ht="14.25" customHeight="1" x14ac:dyDescent="0.25">
      <c r="A88" s="6">
        <v>8</v>
      </c>
      <c r="B88" s="6" t="s">
        <v>79</v>
      </c>
      <c r="C88" s="10" t="s">
        <v>31</v>
      </c>
      <c r="D88" s="6" t="s">
        <v>13</v>
      </c>
      <c r="E88" s="6" t="s">
        <v>21</v>
      </c>
      <c r="F88" s="6"/>
      <c r="G88" s="6"/>
      <c r="H88" s="6"/>
      <c r="I88" s="6">
        <v>0</v>
      </c>
      <c r="J88" s="6">
        <f>PRODUCT(3*6)</f>
        <v>18</v>
      </c>
      <c r="K88" s="6">
        <f>PRODUCT(30*6)</f>
        <v>180</v>
      </c>
    </row>
    <row r="89" spans="1:11" ht="14.25" customHeight="1" x14ac:dyDescent="0.25">
      <c r="A89" s="6" t="s">
        <v>85</v>
      </c>
      <c r="B89" s="6"/>
      <c r="C89" s="11">
        <f>COUNTA(C3:C88)</f>
        <v>86</v>
      </c>
      <c r="D89" s="6"/>
      <c r="E89" s="6"/>
      <c r="F89" s="12">
        <f>SUM(F2:F88)</f>
        <v>11</v>
      </c>
      <c r="G89" s="13">
        <f>SUM(G3:G88)</f>
        <v>200</v>
      </c>
      <c r="H89" s="14">
        <f t="shared" ref="H89:I89" si="4">SUM(H2:H88)</f>
        <v>3938</v>
      </c>
      <c r="I89" s="13">
        <f t="shared" si="4"/>
        <v>43</v>
      </c>
      <c r="J89" s="13">
        <f>SUM(J3:J88)</f>
        <v>472</v>
      </c>
      <c r="K89" s="14">
        <f>SUM(K2:K88)</f>
        <v>7590</v>
      </c>
    </row>
    <row r="90" spans="1:11" ht="14.25" customHeight="1" x14ac:dyDescent="0.25"/>
    <row r="91" spans="1:11" ht="14.25" customHeight="1" x14ac:dyDescent="0.25">
      <c r="B91" s="33" t="s">
        <v>101</v>
      </c>
      <c r="C91" s="33" t="s">
        <v>102</v>
      </c>
    </row>
    <row r="92" spans="1:11" ht="14.25" customHeight="1" x14ac:dyDescent="0.25">
      <c r="B92" s="33" t="s">
        <v>96</v>
      </c>
      <c r="C92" s="33">
        <f>SUM(K88+K78+K69+K58+K49+K37+K25+K14)</f>
        <v>1320</v>
      </c>
    </row>
    <row r="93" spans="1:11" ht="14.25" customHeight="1" x14ac:dyDescent="0.25">
      <c r="B93" s="33" t="s">
        <v>30</v>
      </c>
      <c r="C93" s="33">
        <f>SUM(K87+K77+K68+K57+K48+K36+K22+K13)</f>
        <v>1440</v>
      </c>
    </row>
    <row r="94" spans="1:11" ht="14.25" customHeight="1" x14ac:dyDescent="0.25">
      <c r="B94" s="33" t="s">
        <v>97</v>
      </c>
      <c r="C94" s="33">
        <f t="shared" ref="C94:C99" si="5">PRODUCT(30*8)</f>
        <v>240</v>
      </c>
    </row>
    <row r="95" spans="1:11" ht="14.25" customHeight="1" x14ac:dyDescent="0.25">
      <c r="B95" s="33" t="s">
        <v>26</v>
      </c>
      <c r="C95" s="33">
        <f t="shared" si="5"/>
        <v>240</v>
      </c>
    </row>
    <row r="96" spans="1:11" ht="14.25" customHeight="1" x14ac:dyDescent="0.25">
      <c r="B96" s="33" t="s">
        <v>98</v>
      </c>
      <c r="C96" s="33">
        <f t="shared" si="5"/>
        <v>240</v>
      </c>
    </row>
    <row r="97" spans="2:3" ht="14.25" customHeight="1" x14ac:dyDescent="0.25">
      <c r="B97" s="33" t="s">
        <v>20</v>
      </c>
      <c r="C97" s="33">
        <f t="shared" si="5"/>
        <v>240</v>
      </c>
    </row>
    <row r="98" spans="2:3" ht="14.25" customHeight="1" x14ac:dyDescent="0.25">
      <c r="B98" s="33" t="s">
        <v>99</v>
      </c>
      <c r="C98" s="33">
        <f t="shared" si="5"/>
        <v>240</v>
      </c>
    </row>
    <row r="99" spans="2:3" ht="14.25" customHeight="1" x14ac:dyDescent="0.25">
      <c r="B99" s="33" t="s">
        <v>100</v>
      </c>
      <c r="C99" s="33">
        <f t="shared" si="5"/>
        <v>240</v>
      </c>
    </row>
    <row r="100" spans="2:3" ht="14.25" customHeight="1" x14ac:dyDescent="0.25"/>
    <row r="101" spans="2:3" ht="14.25" customHeight="1" x14ac:dyDescent="0.25"/>
    <row r="102" spans="2:3" ht="14.25" customHeight="1" x14ac:dyDescent="0.25"/>
    <row r="103" spans="2:3" ht="14.25" customHeight="1" x14ac:dyDescent="0.25"/>
    <row r="104" spans="2:3" ht="14.25" customHeight="1" x14ac:dyDescent="0.25">
      <c r="B104" s="17" t="s">
        <v>88</v>
      </c>
      <c r="C104" s="18" t="s">
        <v>103</v>
      </c>
    </row>
    <row r="105" spans="2:3" ht="14.25" customHeight="1" x14ac:dyDescent="0.25">
      <c r="B105" s="19" t="s">
        <v>26</v>
      </c>
      <c r="C105" s="18">
        <v>240</v>
      </c>
    </row>
    <row r="106" spans="2:3" ht="14.25" customHeight="1" x14ac:dyDescent="0.25">
      <c r="B106" s="21" t="s">
        <v>96</v>
      </c>
      <c r="C106" s="20">
        <v>1320</v>
      </c>
    </row>
    <row r="107" spans="2:3" ht="14.25" customHeight="1" x14ac:dyDescent="0.25">
      <c r="B107" s="21" t="s">
        <v>98</v>
      </c>
      <c r="C107" s="20">
        <v>240</v>
      </c>
    </row>
    <row r="108" spans="2:3" ht="14.25" customHeight="1" x14ac:dyDescent="0.25">
      <c r="B108" s="21" t="s">
        <v>99</v>
      </c>
      <c r="C108" s="20">
        <v>240</v>
      </c>
    </row>
    <row r="109" spans="2:3" ht="14.25" customHeight="1" x14ac:dyDescent="0.25">
      <c r="B109" s="21" t="s">
        <v>20</v>
      </c>
      <c r="C109" s="20">
        <v>240</v>
      </c>
    </row>
    <row r="110" spans="2:3" ht="14.25" customHeight="1" x14ac:dyDescent="0.25">
      <c r="B110" s="21" t="s">
        <v>30</v>
      </c>
      <c r="C110" s="20">
        <v>1440</v>
      </c>
    </row>
    <row r="111" spans="2:3" ht="14.25" customHeight="1" x14ac:dyDescent="0.25">
      <c r="B111" s="21" t="s">
        <v>100</v>
      </c>
      <c r="C111" s="20">
        <v>240</v>
      </c>
    </row>
    <row r="112" spans="2:3" ht="14.25" customHeight="1" x14ac:dyDescent="0.25">
      <c r="B112" s="21" t="s">
        <v>97</v>
      </c>
      <c r="C112" s="20">
        <v>240</v>
      </c>
    </row>
    <row r="113" spans="2:3" ht="14.25" customHeight="1" x14ac:dyDescent="0.25">
      <c r="B113" s="22" t="s">
        <v>89</v>
      </c>
      <c r="C113" s="23">
        <v>4200</v>
      </c>
    </row>
    <row r="114" spans="2:3" ht="14.25" customHeight="1" x14ac:dyDescent="0.25"/>
    <row r="115" spans="2:3" ht="14.25" customHeight="1" x14ac:dyDescent="0.25"/>
    <row r="116" spans="2:3" ht="14.25" customHeight="1" x14ac:dyDescent="0.25"/>
    <row r="117" spans="2:3" ht="14.25" customHeight="1" x14ac:dyDescent="0.25"/>
    <row r="118" spans="2:3" ht="14.25" customHeight="1" x14ac:dyDescent="0.25"/>
    <row r="119" spans="2:3" ht="14.25" customHeight="1" x14ac:dyDescent="0.25"/>
    <row r="120" spans="2:3" ht="14.25" customHeight="1" x14ac:dyDescent="0.25"/>
    <row r="121" spans="2:3" ht="14.25" customHeight="1" x14ac:dyDescent="0.25"/>
    <row r="122" spans="2:3" ht="14.25" customHeight="1" x14ac:dyDescent="0.25"/>
    <row r="123" spans="2:3" ht="14.25" customHeight="1" x14ac:dyDescent="0.25"/>
    <row r="124" spans="2:3" ht="14.25" customHeight="1" x14ac:dyDescent="0.25"/>
    <row r="125" spans="2:3" ht="14.25" customHeight="1" x14ac:dyDescent="0.25"/>
    <row r="126" spans="2:3" ht="14.25" customHeight="1" x14ac:dyDescent="0.25"/>
    <row r="127" spans="2:3" ht="14.25" customHeight="1" x14ac:dyDescent="0.25"/>
    <row r="128" spans="2:3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spans="2:12" ht="14.25" customHeight="1" x14ac:dyDescent="0.25"/>
    <row r="162" spans="2:12" ht="14.25" customHeight="1" x14ac:dyDescent="0.25"/>
    <row r="163" spans="2:12" ht="14.25" customHeight="1" x14ac:dyDescent="0.25"/>
    <row r="164" spans="2:12" ht="14.25" customHeight="1" x14ac:dyDescent="0.25"/>
    <row r="165" spans="2:12" ht="14.25" customHeight="1" x14ac:dyDescent="0.25"/>
    <row r="166" spans="2:12" ht="14.25" customHeight="1" x14ac:dyDescent="0.25"/>
    <row r="167" spans="2:12" ht="14.25" customHeight="1" x14ac:dyDescent="0.25"/>
    <row r="168" spans="2:12" ht="14.25" customHeight="1" x14ac:dyDescent="0.25"/>
    <row r="169" spans="2:12" ht="14.25" customHeight="1" x14ac:dyDescent="0.25"/>
    <row r="170" spans="2:12" ht="14.25" customHeight="1" thickBot="1" x14ac:dyDescent="0.3">
      <c r="B170" s="1" t="s">
        <v>0</v>
      </c>
      <c r="C170" s="2" t="s">
        <v>1</v>
      </c>
      <c r="D170" s="2" t="s">
        <v>2</v>
      </c>
      <c r="E170" s="2" t="s">
        <v>3</v>
      </c>
      <c r="F170" s="2" t="s">
        <v>4</v>
      </c>
      <c r="G170" s="3" t="s">
        <v>5</v>
      </c>
      <c r="H170" s="3" t="s">
        <v>6</v>
      </c>
      <c r="I170" s="4" t="s">
        <v>7</v>
      </c>
      <c r="J170" s="3" t="s">
        <v>8</v>
      </c>
      <c r="K170" s="3" t="s">
        <v>9</v>
      </c>
      <c r="L170" s="4" t="s">
        <v>10</v>
      </c>
    </row>
    <row r="171" spans="2:12" ht="14.25" customHeight="1" x14ac:dyDescent="0.25">
      <c r="B171" s="7">
        <v>5</v>
      </c>
      <c r="C171" s="7" t="s">
        <v>61</v>
      </c>
      <c r="D171" s="7" t="s">
        <v>62</v>
      </c>
      <c r="E171" s="7" t="s">
        <v>23</v>
      </c>
      <c r="F171" s="7" t="s">
        <v>14</v>
      </c>
      <c r="G171" s="7"/>
      <c r="H171" s="7"/>
      <c r="I171" s="7"/>
      <c r="J171" s="7">
        <v>0</v>
      </c>
      <c r="K171" s="7">
        <v>1</v>
      </c>
      <c r="L171" s="7">
        <v>30</v>
      </c>
    </row>
    <row r="172" spans="2:12" ht="14.25" customHeight="1" x14ac:dyDescent="0.25">
      <c r="B172" s="8">
        <v>5</v>
      </c>
      <c r="C172" s="8" t="s">
        <v>61</v>
      </c>
      <c r="D172" s="8" t="s">
        <v>63</v>
      </c>
      <c r="E172" s="8" t="s">
        <v>64</v>
      </c>
      <c r="F172" s="8" t="s">
        <v>14</v>
      </c>
      <c r="G172" s="8"/>
      <c r="H172" s="8"/>
      <c r="I172" s="8"/>
      <c r="J172" s="8">
        <v>3</v>
      </c>
      <c r="K172" s="8">
        <v>1</v>
      </c>
      <c r="L172" s="8">
        <v>30</v>
      </c>
    </row>
    <row r="173" spans="2:12" ht="14.25" customHeight="1" x14ac:dyDescent="0.25">
      <c r="B173" s="7">
        <v>5</v>
      </c>
      <c r="C173" s="7" t="s">
        <v>61</v>
      </c>
      <c r="D173" s="7" t="s">
        <v>65</v>
      </c>
      <c r="E173" s="7" t="s">
        <v>66</v>
      </c>
      <c r="F173" s="7" t="s">
        <v>14</v>
      </c>
      <c r="G173" s="7"/>
      <c r="H173" s="7"/>
      <c r="I173" s="7"/>
      <c r="J173" s="7">
        <v>0</v>
      </c>
      <c r="K173" s="7">
        <v>1</v>
      </c>
      <c r="L173" s="7">
        <v>60</v>
      </c>
    </row>
    <row r="174" spans="2:12" ht="14.25" customHeight="1" x14ac:dyDescent="0.25">
      <c r="B174" s="8">
        <v>5</v>
      </c>
      <c r="C174" s="8" t="s">
        <v>61</v>
      </c>
      <c r="D174" s="8" t="s">
        <v>20</v>
      </c>
      <c r="E174" s="8" t="s">
        <v>16</v>
      </c>
      <c r="F174" s="8" t="s">
        <v>21</v>
      </c>
      <c r="G174" s="8"/>
      <c r="H174" s="8"/>
      <c r="I174" s="8"/>
      <c r="J174" s="8">
        <v>0</v>
      </c>
      <c r="K174" s="8">
        <v>1</v>
      </c>
      <c r="L174" s="8">
        <v>30</v>
      </c>
    </row>
    <row r="175" spans="2:12" ht="14.25" customHeight="1" x14ac:dyDescent="0.25">
      <c r="B175" s="7">
        <v>5</v>
      </c>
      <c r="C175" s="7" t="s">
        <v>61</v>
      </c>
      <c r="D175" s="7" t="s">
        <v>22</v>
      </c>
      <c r="E175" s="7" t="s">
        <v>23</v>
      </c>
      <c r="F175" s="7" t="s">
        <v>21</v>
      </c>
      <c r="G175" s="7"/>
      <c r="H175" s="7"/>
      <c r="I175" s="7"/>
      <c r="J175" s="7">
        <v>0</v>
      </c>
      <c r="K175" s="7">
        <v>1</v>
      </c>
      <c r="L175" s="7">
        <v>30</v>
      </c>
    </row>
    <row r="176" spans="2:12" ht="14.25" customHeight="1" x14ac:dyDescent="0.25">
      <c r="B176" s="8">
        <v>5</v>
      </c>
      <c r="C176" s="8" t="s">
        <v>61</v>
      </c>
      <c r="D176" s="34" t="s">
        <v>26</v>
      </c>
      <c r="E176" s="8" t="s">
        <v>27</v>
      </c>
      <c r="F176" s="8" t="s">
        <v>21</v>
      </c>
      <c r="G176" s="8"/>
      <c r="H176" s="8"/>
      <c r="I176" s="8"/>
      <c r="J176" s="8">
        <v>0</v>
      </c>
      <c r="K176" s="8">
        <v>1</v>
      </c>
      <c r="L176" s="8">
        <v>30</v>
      </c>
    </row>
    <row r="177" spans="2:12" ht="14.25" customHeight="1" x14ac:dyDescent="0.25">
      <c r="B177" s="7">
        <v>5</v>
      </c>
      <c r="C177" s="7" t="s">
        <v>61</v>
      </c>
      <c r="D177" s="7" t="s">
        <v>29</v>
      </c>
      <c r="E177" s="7" t="s">
        <v>16</v>
      </c>
      <c r="F177" s="7" t="s">
        <v>21</v>
      </c>
      <c r="G177" s="7"/>
      <c r="H177" s="7"/>
      <c r="I177" s="7"/>
      <c r="J177" s="7">
        <v>1</v>
      </c>
      <c r="K177" s="7">
        <v>1</v>
      </c>
      <c r="L177" s="7">
        <v>30</v>
      </c>
    </row>
    <row r="178" spans="2:12" ht="14.25" customHeight="1" x14ac:dyDescent="0.25">
      <c r="B178" s="8">
        <v>5</v>
      </c>
      <c r="C178" s="8" t="s">
        <v>61</v>
      </c>
      <c r="D178" s="34" t="s">
        <v>30</v>
      </c>
      <c r="E178" s="8" t="s">
        <v>13</v>
      </c>
      <c r="F178" s="8" t="s">
        <v>21</v>
      </c>
      <c r="G178" s="8"/>
      <c r="H178" s="8"/>
      <c r="I178" s="8"/>
      <c r="J178" s="8">
        <v>0</v>
      </c>
      <c r="K178" s="8">
        <v>18</v>
      </c>
      <c r="L178" s="8">
        <f>PRODUCT(30*6)</f>
        <v>180</v>
      </c>
    </row>
    <row r="179" spans="2:12" ht="14.25" customHeight="1" x14ac:dyDescent="0.25">
      <c r="B179" s="7">
        <v>5</v>
      </c>
      <c r="C179" s="7" t="s">
        <v>61</v>
      </c>
      <c r="D179" s="35" t="s">
        <v>31</v>
      </c>
      <c r="E179" s="7" t="s">
        <v>13</v>
      </c>
      <c r="F179" s="7" t="s">
        <v>21</v>
      </c>
      <c r="G179" s="7"/>
      <c r="H179" s="7"/>
      <c r="I179" s="7"/>
      <c r="J179" s="7">
        <v>0</v>
      </c>
      <c r="K179" s="7">
        <v>18</v>
      </c>
      <c r="L179" s="7">
        <f>PRODUCT(30*6)</f>
        <v>180</v>
      </c>
    </row>
    <row r="180" spans="2:12" ht="14.25" customHeight="1" x14ac:dyDescent="0.25">
      <c r="B180" s="8">
        <v>6</v>
      </c>
      <c r="C180" s="8" t="s">
        <v>67</v>
      </c>
      <c r="D180" s="8" t="s">
        <v>68</v>
      </c>
      <c r="E180" s="8" t="s">
        <v>44</v>
      </c>
      <c r="F180" s="8" t="s">
        <v>14</v>
      </c>
      <c r="G180" s="8"/>
      <c r="H180" s="8"/>
      <c r="I180" s="8"/>
      <c r="J180" s="8">
        <v>0</v>
      </c>
      <c r="K180" s="8">
        <v>1</v>
      </c>
      <c r="L180" s="8">
        <v>60</v>
      </c>
    </row>
    <row r="181" spans="2:12" ht="14.25" customHeight="1" x14ac:dyDescent="0.25">
      <c r="B181" s="7">
        <v>6</v>
      </c>
      <c r="C181" s="7" t="s">
        <v>67</v>
      </c>
      <c r="D181" s="7" t="s">
        <v>69</v>
      </c>
      <c r="E181" s="7" t="s">
        <v>47</v>
      </c>
      <c r="F181" s="7" t="s">
        <v>14</v>
      </c>
      <c r="G181" s="7"/>
      <c r="H181" s="7"/>
      <c r="I181" s="7"/>
      <c r="J181" s="7">
        <v>3</v>
      </c>
      <c r="K181" s="7">
        <v>1</v>
      </c>
      <c r="L181" s="7">
        <v>90</v>
      </c>
    </row>
    <row r="182" spans="2:12" ht="14.25" customHeight="1" x14ac:dyDescent="0.25">
      <c r="B182" s="8">
        <v>6</v>
      </c>
      <c r="C182" s="8" t="s">
        <v>67</v>
      </c>
      <c r="D182" s="8" t="s">
        <v>70</v>
      </c>
      <c r="E182" s="8" t="s">
        <v>71</v>
      </c>
      <c r="F182" s="8" t="s">
        <v>14</v>
      </c>
      <c r="G182" s="8"/>
      <c r="H182" s="8"/>
      <c r="I182" s="8"/>
      <c r="J182" s="8">
        <v>2</v>
      </c>
      <c r="K182" s="8">
        <f>PRODUCT(2*2)</f>
        <v>4</v>
      </c>
      <c r="L182" s="8">
        <f>PRODUCT(60*2)</f>
        <v>120</v>
      </c>
    </row>
    <row r="183" spans="2:12" ht="14.25" customHeight="1" x14ac:dyDescent="0.25">
      <c r="B183" s="7">
        <v>6</v>
      </c>
      <c r="C183" s="7" t="s">
        <v>67</v>
      </c>
      <c r="D183" s="7" t="s">
        <v>72</v>
      </c>
      <c r="E183" s="7" t="s">
        <v>73</v>
      </c>
      <c r="F183" s="7" t="s">
        <v>14</v>
      </c>
      <c r="G183" s="7"/>
      <c r="H183" s="7"/>
      <c r="I183" s="7"/>
      <c r="J183" s="7">
        <v>2</v>
      </c>
      <c r="K183" s="7">
        <v>2</v>
      </c>
      <c r="L183" s="7">
        <v>25</v>
      </c>
    </row>
    <row r="184" spans="2:12" ht="14.25" customHeight="1" x14ac:dyDescent="0.25">
      <c r="B184" s="8">
        <v>6</v>
      </c>
      <c r="C184" s="8" t="s">
        <v>67</v>
      </c>
      <c r="D184" s="8" t="s">
        <v>74</v>
      </c>
      <c r="E184" s="8" t="s">
        <v>27</v>
      </c>
      <c r="F184" s="8" t="s">
        <v>14</v>
      </c>
      <c r="G184" s="8"/>
      <c r="H184" s="8"/>
      <c r="I184" s="8"/>
      <c r="J184" s="8">
        <v>1</v>
      </c>
      <c r="K184" s="8">
        <v>2</v>
      </c>
      <c r="L184" s="8">
        <v>30</v>
      </c>
    </row>
    <row r="185" spans="2:12" ht="14.25" customHeight="1" x14ac:dyDescent="0.25">
      <c r="B185" s="7">
        <v>6</v>
      </c>
      <c r="C185" s="7" t="s">
        <v>67</v>
      </c>
      <c r="D185" s="7" t="s">
        <v>20</v>
      </c>
      <c r="E185" s="7" t="s">
        <v>16</v>
      </c>
      <c r="F185" s="7" t="s">
        <v>21</v>
      </c>
      <c r="G185" s="7"/>
      <c r="H185" s="7"/>
      <c r="I185" s="7"/>
      <c r="J185" s="7">
        <v>0</v>
      </c>
      <c r="K185" s="7">
        <v>2</v>
      </c>
      <c r="L185" s="7">
        <v>30</v>
      </c>
    </row>
    <row r="186" spans="2:12" ht="14.25" customHeight="1" x14ac:dyDescent="0.25">
      <c r="B186" s="8">
        <v>6</v>
      </c>
      <c r="C186" s="8" t="s">
        <v>67</v>
      </c>
      <c r="D186" s="8" t="s">
        <v>22</v>
      </c>
      <c r="E186" s="8" t="s">
        <v>23</v>
      </c>
      <c r="F186" s="8" t="s">
        <v>21</v>
      </c>
      <c r="G186" s="8"/>
      <c r="H186" s="8"/>
      <c r="I186" s="8"/>
      <c r="J186" s="8">
        <v>0</v>
      </c>
      <c r="K186" s="8">
        <v>2</v>
      </c>
      <c r="L186" s="8">
        <v>30</v>
      </c>
    </row>
    <row r="187" spans="2:12" ht="14.25" customHeight="1" x14ac:dyDescent="0.25">
      <c r="B187" s="7">
        <v>6</v>
      </c>
      <c r="C187" s="7" t="s">
        <v>67</v>
      </c>
      <c r="D187" s="9" t="s">
        <v>26</v>
      </c>
      <c r="E187" s="7" t="s">
        <v>27</v>
      </c>
      <c r="F187" s="7" t="s">
        <v>21</v>
      </c>
      <c r="G187" s="7"/>
      <c r="H187" s="7"/>
      <c r="I187" s="7"/>
      <c r="J187" s="7">
        <v>0</v>
      </c>
      <c r="K187" s="7">
        <v>2</v>
      </c>
      <c r="L187" s="7">
        <v>30</v>
      </c>
    </row>
    <row r="188" spans="2:12" ht="14.25" customHeight="1" x14ac:dyDescent="0.25">
      <c r="B188" s="8">
        <v>6</v>
      </c>
      <c r="C188" s="8" t="s">
        <v>67</v>
      </c>
      <c r="D188" s="8" t="s">
        <v>29</v>
      </c>
      <c r="E188" s="8" t="s">
        <v>16</v>
      </c>
      <c r="F188" s="8" t="s">
        <v>21</v>
      </c>
      <c r="G188" s="8"/>
      <c r="H188" s="8"/>
      <c r="I188" s="8"/>
      <c r="J188" s="8">
        <v>2</v>
      </c>
      <c r="K188" s="8">
        <v>2</v>
      </c>
      <c r="L188" s="8">
        <v>30</v>
      </c>
    </row>
    <row r="189" spans="2:12" ht="14.25" customHeight="1" x14ac:dyDescent="0.25">
      <c r="B189" s="7">
        <v>6</v>
      </c>
      <c r="C189" s="7" t="s">
        <v>67</v>
      </c>
      <c r="D189" s="9" t="s">
        <v>30</v>
      </c>
      <c r="E189" s="7" t="s">
        <v>13</v>
      </c>
      <c r="F189" s="7" t="s">
        <v>21</v>
      </c>
      <c r="G189" s="7"/>
      <c r="H189" s="7"/>
      <c r="I189" s="7"/>
      <c r="J189" s="7">
        <v>0</v>
      </c>
      <c r="K189" s="7">
        <f>PRODUCT(3*6)</f>
        <v>18</v>
      </c>
      <c r="L189" s="7">
        <f>PRODUCT(30*6)</f>
        <v>180</v>
      </c>
    </row>
    <row r="190" spans="2:12" ht="14.25" customHeight="1" x14ac:dyDescent="0.25">
      <c r="B190" s="8">
        <v>6</v>
      </c>
      <c r="C190" s="8" t="s">
        <v>67</v>
      </c>
      <c r="D190" s="10" t="s">
        <v>31</v>
      </c>
      <c r="E190" s="8" t="s">
        <v>13</v>
      </c>
      <c r="F190" s="8" t="s">
        <v>21</v>
      </c>
      <c r="G190" s="8"/>
      <c r="H190" s="8"/>
      <c r="I190" s="8"/>
      <c r="J190" s="8">
        <v>0</v>
      </c>
      <c r="K190" s="8">
        <f>PRODUCT(2*6)</f>
        <v>12</v>
      </c>
      <c r="L190" s="8">
        <f>PRODUCT(30*6)</f>
        <v>180</v>
      </c>
    </row>
    <row r="191" spans="2:12" ht="14.25" customHeight="1" x14ac:dyDescent="0.25">
      <c r="B191" s="7">
        <v>7</v>
      </c>
      <c r="C191" s="7" t="s">
        <v>75</v>
      </c>
      <c r="D191" s="8" t="s">
        <v>76</v>
      </c>
      <c r="E191" s="7" t="s">
        <v>27</v>
      </c>
      <c r="F191" s="7" t="s">
        <v>14</v>
      </c>
      <c r="G191" s="7"/>
      <c r="H191" s="7"/>
      <c r="I191" s="7"/>
      <c r="J191" s="7">
        <v>3</v>
      </c>
      <c r="K191" s="7">
        <v>2</v>
      </c>
      <c r="L191" s="7">
        <v>30</v>
      </c>
    </row>
    <row r="192" spans="2:12" ht="14.25" customHeight="1" x14ac:dyDescent="0.25">
      <c r="B192" s="8">
        <v>7</v>
      </c>
      <c r="C192" s="8" t="s">
        <v>75</v>
      </c>
      <c r="D192" s="8" t="s">
        <v>77</v>
      </c>
      <c r="E192" s="8" t="s">
        <v>49</v>
      </c>
      <c r="F192" s="8" t="s">
        <v>14</v>
      </c>
      <c r="G192" s="8"/>
      <c r="H192" s="8"/>
      <c r="I192" s="8"/>
      <c r="J192" s="8">
        <v>2</v>
      </c>
      <c r="K192" s="8">
        <v>2</v>
      </c>
      <c r="L192" s="8">
        <v>60</v>
      </c>
    </row>
    <row r="193" spans="2:12" ht="14.25" customHeight="1" x14ac:dyDescent="0.25">
      <c r="B193" s="7">
        <v>7</v>
      </c>
      <c r="C193" s="7" t="s">
        <v>75</v>
      </c>
      <c r="D193" s="8" t="s">
        <v>78</v>
      </c>
      <c r="E193" s="7" t="s">
        <v>13</v>
      </c>
      <c r="F193" s="7" t="s">
        <v>14</v>
      </c>
      <c r="G193" s="7"/>
      <c r="H193" s="7"/>
      <c r="I193" s="7"/>
      <c r="J193" s="7">
        <v>2</v>
      </c>
      <c r="K193" s="7">
        <f>PRODUCT(3*6)</f>
        <v>18</v>
      </c>
      <c r="L193" s="7">
        <f>PRODUCT(30*6)</f>
        <v>180</v>
      </c>
    </row>
    <row r="194" spans="2:12" ht="14.25" customHeight="1" x14ac:dyDescent="0.25">
      <c r="B194" s="8">
        <v>7</v>
      </c>
      <c r="C194" s="8" t="s">
        <v>75</v>
      </c>
      <c r="D194" s="7" t="s">
        <v>20</v>
      </c>
      <c r="E194" s="8" t="s">
        <v>16</v>
      </c>
      <c r="F194" s="8" t="s">
        <v>21</v>
      </c>
      <c r="G194" s="8"/>
      <c r="H194" s="8"/>
      <c r="I194" s="8"/>
      <c r="J194" s="8">
        <v>0</v>
      </c>
      <c r="K194" s="8">
        <v>4</v>
      </c>
      <c r="L194" s="8">
        <v>30</v>
      </c>
    </row>
    <row r="195" spans="2:12" ht="14.25" customHeight="1" x14ac:dyDescent="0.25">
      <c r="B195" s="7">
        <v>7</v>
      </c>
      <c r="C195" s="7" t="s">
        <v>75</v>
      </c>
      <c r="D195" s="8" t="s">
        <v>22</v>
      </c>
      <c r="E195" s="7" t="s">
        <v>23</v>
      </c>
      <c r="F195" s="7" t="s">
        <v>21</v>
      </c>
      <c r="G195" s="7"/>
      <c r="H195" s="7"/>
      <c r="I195" s="7"/>
      <c r="J195" s="7">
        <v>0</v>
      </c>
      <c r="K195" s="7">
        <v>4</v>
      </c>
      <c r="L195" s="7">
        <v>30</v>
      </c>
    </row>
    <row r="196" spans="2:12" ht="14.25" customHeight="1" x14ac:dyDescent="0.25">
      <c r="B196" s="8">
        <v>7</v>
      </c>
      <c r="C196" s="8" t="s">
        <v>75</v>
      </c>
      <c r="D196" s="9" t="s">
        <v>26</v>
      </c>
      <c r="E196" s="8" t="s">
        <v>27</v>
      </c>
      <c r="F196" s="8" t="s">
        <v>21</v>
      </c>
      <c r="G196" s="8"/>
      <c r="H196" s="8"/>
      <c r="I196" s="8"/>
      <c r="J196" s="8">
        <v>0</v>
      </c>
      <c r="K196" s="8">
        <v>4</v>
      </c>
      <c r="L196" s="8">
        <v>30</v>
      </c>
    </row>
    <row r="197" spans="2:12" ht="14.25" customHeight="1" x14ac:dyDescent="0.25">
      <c r="B197" s="7">
        <v>7</v>
      </c>
      <c r="C197" s="7" t="s">
        <v>75</v>
      </c>
      <c r="D197" s="8" t="s">
        <v>29</v>
      </c>
      <c r="E197" s="7" t="s">
        <v>16</v>
      </c>
      <c r="F197" s="7" t="s">
        <v>21</v>
      </c>
      <c r="G197" s="7"/>
      <c r="H197" s="7"/>
      <c r="I197" s="7"/>
      <c r="J197" s="7">
        <v>3</v>
      </c>
      <c r="K197" s="7">
        <v>4</v>
      </c>
      <c r="L197" s="7">
        <v>30</v>
      </c>
    </row>
    <row r="198" spans="2:12" ht="14.25" customHeight="1" x14ac:dyDescent="0.25">
      <c r="B198" s="8">
        <v>7</v>
      </c>
      <c r="C198" s="8" t="s">
        <v>75</v>
      </c>
      <c r="D198" s="9" t="s">
        <v>30</v>
      </c>
      <c r="E198" s="8" t="s">
        <v>13</v>
      </c>
      <c r="F198" s="8" t="s">
        <v>21</v>
      </c>
      <c r="G198" s="8"/>
      <c r="H198" s="8"/>
      <c r="I198" s="8"/>
      <c r="J198" s="8">
        <v>0</v>
      </c>
      <c r="K198" s="8">
        <f>PRODUCT(3*6)</f>
        <v>18</v>
      </c>
      <c r="L198" s="8">
        <f>PRODUCT(30*6)</f>
        <v>180</v>
      </c>
    </row>
    <row r="199" spans="2:12" ht="14.25" customHeight="1" x14ac:dyDescent="0.25">
      <c r="B199" s="7">
        <v>7</v>
      </c>
      <c r="C199" s="7" t="s">
        <v>75</v>
      </c>
      <c r="D199" s="10" t="s">
        <v>31</v>
      </c>
      <c r="E199" s="7" t="s">
        <v>13</v>
      </c>
      <c r="F199" s="7" t="s">
        <v>21</v>
      </c>
      <c r="G199" s="7"/>
      <c r="H199" s="7"/>
      <c r="I199" s="7"/>
      <c r="J199" s="7">
        <v>0</v>
      </c>
      <c r="K199" s="7">
        <f>PRODUCT(1*6)</f>
        <v>6</v>
      </c>
      <c r="L199" s="7">
        <f>PRODUCT(30*6)</f>
        <v>180</v>
      </c>
    </row>
    <row r="200" spans="2:12" ht="14.25" customHeight="1" x14ac:dyDescent="0.25">
      <c r="B200" s="8">
        <v>8</v>
      </c>
      <c r="C200" s="8" t="s">
        <v>79</v>
      </c>
      <c r="D200" s="8" t="s">
        <v>80</v>
      </c>
      <c r="E200" s="8" t="s">
        <v>81</v>
      </c>
      <c r="F200" s="8" t="s">
        <v>14</v>
      </c>
      <c r="G200" s="8"/>
      <c r="H200" s="8"/>
      <c r="I200" s="8"/>
      <c r="J200" s="8">
        <v>1</v>
      </c>
      <c r="K200" s="8">
        <f>PRODUCT(3*3)</f>
        <v>9</v>
      </c>
      <c r="L200" s="8">
        <f>PRODUCT(30*3)</f>
        <v>90</v>
      </c>
    </row>
    <row r="201" spans="2:12" ht="14.25" customHeight="1" x14ac:dyDescent="0.25">
      <c r="B201" s="7">
        <v>8</v>
      </c>
      <c r="C201" s="7" t="s">
        <v>79</v>
      </c>
      <c r="D201" s="8" t="s">
        <v>82</v>
      </c>
      <c r="E201" s="7" t="s">
        <v>13</v>
      </c>
      <c r="F201" s="7" t="s">
        <v>14</v>
      </c>
      <c r="G201" s="7"/>
      <c r="H201" s="7"/>
      <c r="I201" s="7"/>
      <c r="J201" s="7">
        <v>0</v>
      </c>
      <c r="K201" s="7">
        <f>PRODUCT(3*6)</f>
        <v>18</v>
      </c>
      <c r="L201" s="7">
        <f>PRODUCT(30*6)</f>
        <v>180</v>
      </c>
    </row>
    <row r="202" spans="2:12" ht="14.25" customHeight="1" x14ac:dyDescent="0.25">
      <c r="B202" s="8">
        <v>8</v>
      </c>
      <c r="C202" s="8" t="s">
        <v>79</v>
      </c>
      <c r="D202" s="8" t="s">
        <v>83</v>
      </c>
      <c r="E202" s="8" t="s">
        <v>13</v>
      </c>
      <c r="F202" s="8" t="s">
        <v>14</v>
      </c>
      <c r="G202" s="8"/>
      <c r="H202" s="8"/>
      <c r="I202" s="8"/>
      <c r="J202" s="8">
        <v>0</v>
      </c>
      <c r="K202" s="8">
        <f>PRODUCT(3*6)</f>
        <v>18</v>
      </c>
      <c r="L202" s="8">
        <f t="shared" ref="L202:L203" si="6">PRODUCT(30*6)</f>
        <v>180</v>
      </c>
    </row>
    <row r="203" spans="2:12" ht="14.25" customHeight="1" x14ac:dyDescent="0.25">
      <c r="B203" s="7">
        <v>8</v>
      </c>
      <c r="C203" s="7" t="s">
        <v>79</v>
      </c>
      <c r="D203" s="8" t="s">
        <v>84</v>
      </c>
      <c r="E203" s="7" t="s">
        <v>13</v>
      </c>
      <c r="F203" s="7" t="s">
        <v>14</v>
      </c>
      <c r="G203" s="7"/>
      <c r="H203" s="7"/>
      <c r="I203" s="7"/>
      <c r="J203" s="7">
        <v>3</v>
      </c>
      <c r="K203" s="7">
        <f>PRODUCT(2*6)</f>
        <v>12</v>
      </c>
      <c r="L203" s="7">
        <f t="shared" si="6"/>
        <v>180</v>
      </c>
    </row>
    <row r="204" spans="2:12" ht="14.25" customHeight="1" x14ac:dyDescent="0.25">
      <c r="B204" s="8">
        <v>8</v>
      </c>
      <c r="C204" s="8" t="s">
        <v>79</v>
      </c>
      <c r="D204" s="7" t="s">
        <v>20</v>
      </c>
      <c r="E204" s="8" t="s">
        <v>16</v>
      </c>
      <c r="F204" s="8" t="s">
        <v>21</v>
      </c>
      <c r="G204" s="8"/>
      <c r="H204" s="8"/>
      <c r="I204" s="8"/>
      <c r="J204" s="8">
        <v>0</v>
      </c>
      <c r="K204" s="8">
        <v>1</v>
      </c>
      <c r="L204" s="8">
        <v>30</v>
      </c>
    </row>
    <row r="205" spans="2:12" ht="14.25" customHeight="1" x14ac:dyDescent="0.25">
      <c r="B205" s="7">
        <v>8</v>
      </c>
      <c r="C205" s="7" t="s">
        <v>79</v>
      </c>
      <c r="D205" s="8" t="s">
        <v>22</v>
      </c>
      <c r="E205" s="7" t="s">
        <v>23</v>
      </c>
      <c r="F205" s="7" t="s">
        <v>21</v>
      </c>
      <c r="G205" s="7"/>
      <c r="H205" s="7"/>
      <c r="I205" s="7"/>
      <c r="J205" s="7">
        <v>0</v>
      </c>
      <c r="K205" s="7">
        <v>1</v>
      </c>
      <c r="L205" s="7">
        <v>30</v>
      </c>
    </row>
    <row r="206" spans="2:12" ht="14.25" customHeight="1" x14ac:dyDescent="0.25">
      <c r="B206" s="8">
        <v>8</v>
      </c>
      <c r="C206" s="8" t="s">
        <v>79</v>
      </c>
      <c r="D206" s="9" t="s">
        <v>26</v>
      </c>
      <c r="E206" s="8" t="s">
        <v>27</v>
      </c>
      <c r="F206" s="8" t="s">
        <v>21</v>
      </c>
      <c r="G206" s="8"/>
      <c r="H206" s="8"/>
      <c r="I206" s="8"/>
      <c r="J206" s="8">
        <v>0</v>
      </c>
      <c r="K206" s="8">
        <v>1</v>
      </c>
      <c r="L206" s="8">
        <v>30</v>
      </c>
    </row>
    <row r="207" spans="2:12" ht="14.25" customHeight="1" x14ac:dyDescent="0.25">
      <c r="B207" s="7">
        <v>8</v>
      </c>
      <c r="C207" s="7" t="s">
        <v>79</v>
      </c>
      <c r="D207" s="8" t="s">
        <v>29</v>
      </c>
      <c r="E207" s="7" t="s">
        <v>16</v>
      </c>
      <c r="F207" s="7" t="s">
        <v>21</v>
      </c>
      <c r="G207" s="7"/>
      <c r="H207" s="7"/>
      <c r="I207" s="7"/>
      <c r="J207" s="7">
        <v>2</v>
      </c>
      <c r="K207" s="7">
        <v>1</v>
      </c>
      <c r="L207" s="7">
        <v>30</v>
      </c>
    </row>
    <row r="208" spans="2:12" ht="14.25" customHeight="1" x14ac:dyDescent="0.25">
      <c r="B208" s="8">
        <v>8</v>
      </c>
      <c r="C208" s="8" t="s">
        <v>79</v>
      </c>
      <c r="D208" s="9" t="s">
        <v>30</v>
      </c>
      <c r="E208" s="8" t="s">
        <v>13</v>
      </c>
      <c r="F208" s="8" t="s">
        <v>21</v>
      </c>
      <c r="G208" s="8"/>
      <c r="H208" s="8"/>
      <c r="I208" s="8"/>
      <c r="J208" s="8">
        <v>0</v>
      </c>
      <c r="K208" s="8">
        <f>PRODUCT(2*6)</f>
        <v>12</v>
      </c>
      <c r="L208" s="8">
        <f>PRODUCT(30*6)</f>
        <v>180</v>
      </c>
    </row>
    <row r="209" spans="2:12" ht="14.25" customHeight="1" x14ac:dyDescent="0.25">
      <c r="B209" s="7">
        <v>8</v>
      </c>
      <c r="C209" s="7" t="s">
        <v>79</v>
      </c>
      <c r="D209" s="10" t="s">
        <v>31</v>
      </c>
      <c r="E209" s="7" t="s">
        <v>13</v>
      </c>
      <c r="F209" s="7" t="s">
        <v>21</v>
      </c>
      <c r="G209" s="7"/>
      <c r="H209" s="7"/>
      <c r="I209" s="7"/>
      <c r="J209" s="7">
        <v>0</v>
      </c>
      <c r="K209" s="7">
        <f>PRODUCT(3*6)</f>
        <v>18</v>
      </c>
      <c r="L209" s="7">
        <f>PRODUCT(30*6)</f>
        <v>180</v>
      </c>
    </row>
    <row r="210" spans="2:12" ht="14.25" customHeight="1" x14ac:dyDescent="0.25"/>
    <row r="211" spans="2:12" ht="14.25" customHeight="1" x14ac:dyDescent="0.25"/>
    <row r="212" spans="2:12" ht="14.25" customHeight="1" x14ac:dyDescent="0.25"/>
    <row r="213" spans="2:12" ht="14.25" customHeight="1" x14ac:dyDescent="0.25"/>
    <row r="214" spans="2:12" ht="14.25" customHeight="1" x14ac:dyDescent="0.25"/>
    <row r="215" spans="2:12" ht="14.25" customHeight="1" x14ac:dyDescent="0.25"/>
    <row r="216" spans="2:12" ht="14.25" customHeight="1" x14ac:dyDescent="0.25"/>
    <row r="217" spans="2:12" ht="14.25" customHeight="1" x14ac:dyDescent="0.25"/>
    <row r="218" spans="2:12" ht="14.25" customHeight="1" x14ac:dyDescent="0.25"/>
    <row r="219" spans="2:12" ht="14.25" customHeight="1" x14ac:dyDescent="0.25"/>
    <row r="220" spans="2:12" ht="14.25" customHeight="1" x14ac:dyDescent="0.25"/>
    <row r="221" spans="2:12" ht="14.25" customHeight="1" x14ac:dyDescent="0.25"/>
    <row r="222" spans="2:12" ht="14.25" customHeight="1" x14ac:dyDescent="0.25"/>
    <row r="223" spans="2:12" ht="14.25" customHeight="1" x14ac:dyDescent="0.25"/>
    <row r="224" spans="2:12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</sheetData>
  <mergeCells count="1">
    <mergeCell ref="N52:Q52"/>
  </mergeCells>
  <dataValidations count="2">
    <dataValidation type="list" allowBlank="1" showErrorMessage="1" sqref="E2:E88 F171:F209" xr:uid="{00000000-0002-0000-0000-000000000000}">
      <formula1>"Unico,Común"</formula1>
    </dataValidation>
    <dataValidation type="list" allowBlank="1" showErrorMessage="1" sqref="I2:I88 F2:F88 J171:J209 G171:G209" xr:uid="{00000000-0002-0000-0000-000001000000}">
      <formula1>"3,1,2,0"</formula1>
    </dataValidation>
  </dataValidations>
  <pageMargins left="0.7" right="0.7" top="0.75" bottom="0.75" header="0" footer="0"/>
  <pageSetup orientation="landscape"/>
  <drawing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391B-B8EA-4CD8-A626-316C7604DF29}">
  <dimension ref="A1:T1003"/>
  <sheetViews>
    <sheetView topLeftCell="C1" zoomScale="70" zoomScaleNormal="70" workbookViewId="0">
      <selection activeCell="F2" sqref="F2:H2"/>
    </sheetView>
  </sheetViews>
  <sheetFormatPr baseColWidth="10" defaultColWidth="12.5703125" defaultRowHeight="15" customHeight="1" x14ac:dyDescent="0.25"/>
  <cols>
    <col min="1" max="1" width="8.140625" customWidth="1"/>
    <col min="2" max="2" width="33.85546875" bestFit="1" customWidth="1"/>
    <col min="3" max="3" width="30.85546875" bestFit="1" customWidth="1"/>
    <col min="4" max="4" width="35" customWidth="1"/>
    <col min="5" max="5" width="11.85546875" customWidth="1"/>
    <col min="6" max="6" width="20.28515625" customWidth="1"/>
    <col min="7" max="7" width="27.42578125" customWidth="1"/>
    <col min="8" max="8" width="20.42578125" customWidth="1"/>
    <col min="9" max="9" width="23.28515625" customWidth="1"/>
    <col min="10" max="10" width="26.7109375" customWidth="1"/>
    <col min="11" max="11" width="19.42578125" customWidth="1"/>
    <col min="12" max="13" width="10.5703125" customWidth="1"/>
    <col min="14" max="14" width="28.85546875" bestFit="1" customWidth="1"/>
    <col min="15" max="15" width="24.5703125" bestFit="1" customWidth="1"/>
    <col min="16" max="16" width="31.7109375" bestFit="1" customWidth="1"/>
    <col min="17" max="17" width="29.140625" bestFit="1" customWidth="1"/>
    <col min="18" max="18" width="25.7109375" bestFit="1" customWidth="1"/>
    <col min="19" max="19" width="32.85546875" bestFit="1" customWidth="1"/>
    <col min="20" max="20" width="28" customWidth="1"/>
    <col min="21" max="21" width="15.7109375" bestFit="1" customWidth="1"/>
    <col min="22" max="28" width="10.5703125" customWidth="1"/>
  </cols>
  <sheetData>
    <row r="1" spans="1:20" ht="14.2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  <c r="N1" s="16" t="s">
        <v>88</v>
      </c>
      <c r="O1" s="16" t="s">
        <v>90</v>
      </c>
      <c r="P1" s="29" t="s">
        <v>91</v>
      </c>
      <c r="Q1" s="29" t="s">
        <v>92</v>
      </c>
      <c r="R1" s="29" t="s">
        <v>93</v>
      </c>
      <c r="S1" s="29" t="s">
        <v>94</v>
      </c>
      <c r="T1" s="24" t="s">
        <v>95</v>
      </c>
    </row>
    <row r="2" spans="1:20" ht="14.25" customHeight="1" x14ac:dyDescent="0.25">
      <c r="A2" s="5">
        <v>1</v>
      </c>
      <c r="B2" s="6" t="s">
        <v>11</v>
      </c>
      <c r="C2" s="5" t="s">
        <v>12</v>
      </c>
      <c r="D2" s="6" t="s">
        <v>13</v>
      </c>
      <c r="E2" s="5" t="s">
        <v>14</v>
      </c>
      <c r="F2" s="6">
        <v>0</v>
      </c>
      <c r="G2" s="6">
        <f>PRODUCT(3*6)</f>
        <v>18</v>
      </c>
      <c r="H2" s="6">
        <v>60</v>
      </c>
      <c r="I2" s="6">
        <v>0</v>
      </c>
      <c r="J2" s="6">
        <f>PRODUCT(3*6)</f>
        <v>18</v>
      </c>
      <c r="K2" s="6">
        <f>PRODUCT(60*6)</f>
        <v>360</v>
      </c>
      <c r="N2" s="19" t="s">
        <v>61</v>
      </c>
      <c r="O2" s="16">
        <v>300</v>
      </c>
      <c r="P2" s="29">
        <v>15</v>
      </c>
      <c r="Q2" s="29">
        <v>4</v>
      </c>
      <c r="R2" s="29">
        <v>300</v>
      </c>
      <c r="S2" s="29">
        <v>13</v>
      </c>
      <c r="T2" s="24">
        <v>5</v>
      </c>
    </row>
    <row r="3" spans="1:20" ht="14.25" customHeight="1" x14ac:dyDescent="0.25">
      <c r="A3" s="5">
        <v>1</v>
      </c>
      <c r="B3" s="6" t="s">
        <v>11</v>
      </c>
      <c r="C3" s="5" t="s">
        <v>15</v>
      </c>
      <c r="D3" s="6" t="s">
        <v>16</v>
      </c>
      <c r="E3" s="5" t="s">
        <v>14</v>
      </c>
      <c r="F3" s="6">
        <v>0</v>
      </c>
      <c r="G3" s="6">
        <v>3</v>
      </c>
      <c r="H3" s="6">
        <v>58</v>
      </c>
      <c r="I3" s="6">
        <v>0</v>
      </c>
      <c r="J3" s="6">
        <v>3</v>
      </c>
      <c r="K3" s="6">
        <v>60</v>
      </c>
      <c r="N3" s="21" t="s">
        <v>32</v>
      </c>
      <c r="O3" s="25">
        <v>360</v>
      </c>
      <c r="P3" s="30">
        <v>19</v>
      </c>
      <c r="Q3" s="30">
        <v>1</v>
      </c>
      <c r="R3" s="30">
        <v>352</v>
      </c>
      <c r="S3" s="30">
        <v>18</v>
      </c>
      <c r="T3" s="26">
        <v>2</v>
      </c>
    </row>
    <row r="4" spans="1:20" ht="14.25" customHeight="1" x14ac:dyDescent="0.25">
      <c r="A4" s="5">
        <v>1</v>
      </c>
      <c r="B4" s="6" t="s">
        <v>11</v>
      </c>
      <c r="C4" s="5" t="s">
        <v>17</v>
      </c>
      <c r="D4" s="6" t="s">
        <v>13</v>
      </c>
      <c r="E4" s="6" t="s">
        <v>14</v>
      </c>
      <c r="F4" s="6">
        <v>0</v>
      </c>
      <c r="G4" s="6">
        <f>PRODUCT(2*6)</f>
        <v>12</v>
      </c>
      <c r="H4" s="6">
        <f>PRODUCT(60*6)</f>
        <v>360</v>
      </c>
      <c r="I4" s="6">
        <v>1</v>
      </c>
      <c r="J4" s="6">
        <f>PRODUCT(3*6)</f>
        <v>18</v>
      </c>
      <c r="K4" s="6">
        <f>PRODUCT(60*6)</f>
        <v>360</v>
      </c>
      <c r="N4" s="21" t="s">
        <v>67</v>
      </c>
      <c r="O4" s="25">
        <v>445</v>
      </c>
      <c r="P4" s="30">
        <v>18</v>
      </c>
      <c r="Q4" s="30">
        <v>10</v>
      </c>
      <c r="R4" s="30">
        <v>445</v>
      </c>
      <c r="S4" s="30">
        <v>11</v>
      </c>
      <c r="T4" s="26">
        <v>11</v>
      </c>
    </row>
    <row r="5" spans="1:20" ht="14.25" customHeight="1" x14ac:dyDescent="0.25">
      <c r="A5" s="5">
        <v>1</v>
      </c>
      <c r="B5" s="6" t="s">
        <v>11</v>
      </c>
      <c r="C5" s="5" t="s">
        <v>18</v>
      </c>
      <c r="D5" s="6" t="s">
        <v>13</v>
      </c>
      <c r="E5" s="5" t="s">
        <v>14</v>
      </c>
      <c r="F5" s="6">
        <v>0</v>
      </c>
      <c r="G5" s="6">
        <f>PRODUCT(1*6)</f>
        <v>6</v>
      </c>
      <c r="H5" s="6">
        <f>PRODUCT(65*6)</f>
        <v>390</v>
      </c>
      <c r="I5" s="6">
        <v>0</v>
      </c>
      <c r="J5" s="6">
        <f>PRODUCT(2*6)</f>
        <v>12</v>
      </c>
      <c r="K5" s="6">
        <f>PRODUCT(60*6)</f>
        <v>360</v>
      </c>
      <c r="N5" s="21" t="s">
        <v>11</v>
      </c>
      <c r="O5" s="25">
        <v>560</v>
      </c>
      <c r="P5" s="30">
        <v>24</v>
      </c>
      <c r="Q5" s="30">
        <v>7</v>
      </c>
      <c r="R5" s="30">
        <v>549</v>
      </c>
      <c r="S5" s="30">
        <v>21</v>
      </c>
      <c r="T5" s="26">
        <v>5</v>
      </c>
    </row>
    <row r="6" spans="1:20" ht="14.25" customHeight="1" x14ac:dyDescent="0.25">
      <c r="A6" s="5">
        <v>1</v>
      </c>
      <c r="B6" s="6" t="s">
        <v>11</v>
      </c>
      <c r="C6" s="5" t="s">
        <v>19</v>
      </c>
      <c r="D6" s="6" t="s">
        <v>16</v>
      </c>
      <c r="E6" s="5" t="s">
        <v>14</v>
      </c>
      <c r="F6" s="6">
        <v>0</v>
      </c>
      <c r="G6" s="6">
        <v>1</v>
      </c>
      <c r="H6" s="6">
        <v>30</v>
      </c>
      <c r="I6" s="6">
        <v>0</v>
      </c>
      <c r="J6" s="6">
        <v>1</v>
      </c>
      <c r="K6" s="6">
        <v>30</v>
      </c>
      <c r="N6" s="21" t="s">
        <v>51</v>
      </c>
      <c r="O6" s="25">
        <v>330</v>
      </c>
      <c r="P6" s="30">
        <v>19</v>
      </c>
      <c r="Q6" s="30">
        <v>2</v>
      </c>
      <c r="R6" s="30">
        <v>310</v>
      </c>
      <c r="S6" s="30">
        <v>18</v>
      </c>
      <c r="T6" s="26">
        <v>2</v>
      </c>
    </row>
    <row r="7" spans="1:20" ht="14.25" customHeight="1" x14ac:dyDescent="0.25">
      <c r="A7" s="5">
        <v>1</v>
      </c>
      <c r="B7" s="6" t="s">
        <v>11</v>
      </c>
      <c r="C7" s="5" t="s">
        <v>20</v>
      </c>
      <c r="D7" s="6" t="s">
        <v>16</v>
      </c>
      <c r="E7" s="6" t="s">
        <v>21</v>
      </c>
      <c r="F7" s="6">
        <v>0</v>
      </c>
      <c r="G7" s="6">
        <v>1</v>
      </c>
      <c r="H7" s="6">
        <v>27</v>
      </c>
      <c r="I7" s="6">
        <v>1</v>
      </c>
      <c r="J7" s="6">
        <v>1</v>
      </c>
      <c r="K7" s="6">
        <v>30</v>
      </c>
      <c r="N7" s="21" t="s">
        <v>79</v>
      </c>
      <c r="O7" s="25">
        <v>300</v>
      </c>
      <c r="P7" s="30">
        <v>22</v>
      </c>
      <c r="Q7" s="30">
        <v>6</v>
      </c>
      <c r="R7" s="30">
        <v>278</v>
      </c>
      <c r="S7" s="30">
        <v>15</v>
      </c>
      <c r="T7" s="26">
        <v>6</v>
      </c>
    </row>
    <row r="8" spans="1:20" ht="14.25" customHeight="1" x14ac:dyDescent="0.25">
      <c r="A8" s="5">
        <v>1</v>
      </c>
      <c r="B8" s="6" t="s">
        <v>11</v>
      </c>
      <c r="C8" s="5" t="s">
        <v>22</v>
      </c>
      <c r="D8" s="6" t="s">
        <v>23</v>
      </c>
      <c r="E8" s="6" t="s">
        <v>21</v>
      </c>
      <c r="F8" s="6">
        <v>0</v>
      </c>
      <c r="G8" s="6">
        <v>1</v>
      </c>
      <c r="H8" s="6">
        <v>30</v>
      </c>
      <c r="I8" s="6">
        <v>1</v>
      </c>
      <c r="J8" s="6">
        <v>1</v>
      </c>
      <c r="K8" s="6">
        <v>30</v>
      </c>
      <c r="N8" s="21" t="s">
        <v>75</v>
      </c>
      <c r="O8" s="25">
        <v>270</v>
      </c>
      <c r="P8" s="30">
        <v>16</v>
      </c>
      <c r="Q8" s="30">
        <v>10</v>
      </c>
      <c r="R8" s="30">
        <v>270</v>
      </c>
      <c r="S8" s="30">
        <v>9</v>
      </c>
      <c r="T8" s="26">
        <v>9</v>
      </c>
    </row>
    <row r="9" spans="1:20" ht="14.25" customHeight="1" x14ac:dyDescent="0.25">
      <c r="A9" s="5">
        <v>1</v>
      </c>
      <c r="B9" s="6" t="s">
        <v>11</v>
      </c>
      <c r="C9" s="5" t="s">
        <v>24</v>
      </c>
      <c r="D9" s="6" t="s">
        <v>25</v>
      </c>
      <c r="E9" s="6" t="s">
        <v>21</v>
      </c>
      <c r="F9" s="6">
        <v>3</v>
      </c>
      <c r="G9" s="6">
        <f>PRODUCT(2*2)</f>
        <v>4</v>
      </c>
      <c r="H9" s="6">
        <v>87</v>
      </c>
      <c r="I9" s="6">
        <v>2</v>
      </c>
      <c r="J9" s="6">
        <f>PRODUCT(2*2)</f>
        <v>4</v>
      </c>
      <c r="K9" s="6">
        <f>PRODUCT(90*2)</f>
        <v>180</v>
      </c>
      <c r="N9" s="21" t="s">
        <v>41</v>
      </c>
      <c r="O9" s="25">
        <v>380</v>
      </c>
      <c r="P9" s="30">
        <v>22</v>
      </c>
      <c r="Q9" s="30">
        <v>3</v>
      </c>
      <c r="R9" s="30">
        <v>391</v>
      </c>
      <c r="S9" s="30">
        <v>21</v>
      </c>
      <c r="T9" s="26">
        <v>2</v>
      </c>
    </row>
    <row r="10" spans="1:20" ht="14.25" customHeight="1" x14ac:dyDescent="0.25">
      <c r="A10" s="5">
        <v>1</v>
      </c>
      <c r="B10" s="6" t="s">
        <v>11</v>
      </c>
      <c r="C10" s="5" t="s">
        <v>26</v>
      </c>
      <c r="D10" s="6" t="s">
        <v>27</v>
      </c>
      <c r="E10" s="6" t="s">
        <v>21</v>
      </c>
      <c r="F10" s="6">
        <v>0</v>
      </c>
      <c r="G10" s="6">
        <v>2</v>
      </c>
      <c r="H10" s="6">
        <v>30</v>
      </c>
      <c r="I10" s="6">
        <v>0</v>
      </c>
      <c r="J10" s="6">
        <v>2</v>
      </c>
      <c r="K10" s="6">
        <v>30</v>
      </c>
      <c r="N10" s="22" t="s">
        <v>89</v>
      </c>
      <c r="O10" s="27">
        <v>2945</v>
      </c>
      <c r="P10" s="31">
        <v>155</v>
      </c>
      <c r="Q10" s="31">
        <v>43</v>
      </c>
      <c r="R10" s="31">
        <v>2895</v>
      </c>
      <c r="S10" s="31">
        <v>126</v>
      </c>
      <c r="T10" s="28">
        <v>42</v>
      </c>
    </row>
    <row r="11" spans="1:20" ht="14.25" customHeight="1" x14ac:dyDescent="0.25">
      <c r="A11" s="5">
        <v>1</v>
      </c>
      <c r="B11" s="6" t="s">
        <v>11</v>
      </c>
      <c r="C11" s="5" t="s">
        <v>28</v>
      </c>
      <c r="D11" s="6" t="s">
        <v>27</v>
      </c>
      <c r="E11" s="6" t="s">
        <v>21</v>
      </c>
      <c r="F11" s="6">
        <v>0</v>
      </c>
      <c r="G11" s="6">
        <v>2</v>
      </c>
      <c r="H11" s="6">
        <v>27</v>
      </c>
      <c r="I11" s="6">
        <v>0</v>
      </c>
      <c r="J11" s="6">
        <v>2</v>
      </c>
      <c r="K11" s="6">
        <v>30</v>
      </c>
    </row>
    <row r="12" spans="1:20" ht="14.25" customHeight="1" x14ac:dyDescent="0.25">
      <c r="A12" s="5">
        <v>1</v>
      </c>
      <c r="B12" s="6" t="s">
        <v>11</v>
      </c>
      <c r="C12" s="6" t="s">
        <v>29</v>
      </c>
      <c r="D12" s="6" t="s">
        <v>16</v>
      </c>
      <c r="E12" s="6" t="s">
        <v>21</v>
      </c>
      <c r="F12" s="6">
        <v>2</v>
      </c>
      <c r="G12" s="6">
        <v>2</v>
      </c>
      <c r="H12" s="6">
        <v>30</v>
      </c>
      <c r="I12" s="6">
        <v>2</v>
      </c>
      <c r="J12" s="6">
        <v>2</v>
      </c>
      <c r="K12" s="6">
        <v>30</v>
      </c>
    </row>
    <row r="13" spans="1:20" ht="14.25" customHeight="1" x14ac:dyDescent="0.25">
      <c r="A13" s="5">
        <v>1</v>
      </c>
      <c r="B13" s="6" t="s">
        <v>11</v>
      </c>
      <c r="C13" s="5" t="s">
        <v>30</v>
      </c>
      <c r="D13" s="6" t="s">
        <v>13</v>
      </c>
      <c r="E13" s="6" t="s">
        <v>21</v>
      </c>
      <c r="F13" s="6">
        <v>0</v>
      </c>
      <c r="G13" s="6">
        <f>PRODUCT(2*6)</f>
        <v>12</v>
      </c>
      <c r="H13" s="6">
        <f>PRODUCT(30*6)</f>
        <v>180</v>
      </c>
      <c r="I13" s="6">
        <v>0</v>
      </c>
      <c r="J13" s="6">
        <f>PRODUCT(2*6)</f>
        <v>12</v>
      </c>
      <c r="K13" s="6">
        <f>PRODUCT(30*6)</f>
        <v>180</v>
      </c>
    </row>
    <row r="14" spans="1:20" ht="14.25" customHeight="1" x14ac:dyDescent="0.25">
      <c r="A14" s="5">
        <v>1</v>
      </c>
      <c r="B14" s="6" t="s">
        <v>11</v>
      </c>
      <c r="C14" s="5" t="s">
        <v>31</v>
      </c>
      <c r="D14" s="6" t="s">
        <v>13</v>
      </c>
      <c r="E14" s="6" t="s">
        <v>21</v>
      </c>
      <c r="F14" s="6">
        <v>0</v>
      </c>
      <c r="G14" s="6">
        <f>PRODUCT(1*6)</f>
        <v>6</v>
      </c>
      <c r="H14" s="6">
        <f>PRODUCT(20*6)</f>
        <v>120</v>
      </c>
      <c r="I14" s="6">
        <v>0</v>
      </c>
      <c r="J14" s="6">
        <f>PRODUCT(2*6)</f>
        <v>12</v>
      </c>
      <c r="K14" s="6">
        <f>PRODUCT(20*6)</f>
        <v>120</v>
      </c>
    </row>
    <row r="15" spans="1:20" ht="14.25" customHeight="1" x14ac:dyDescent="0.25">
      <c r="A15" s="5">
        <v>2</v>
      </c>
      <c r="B15" s="5" t="s">
        <v>32</v>
      </c>
      <c r="C15" s="5" t="s">
        <v>33</v>
      </c>
      <c r="D15" s="6" t="s">
        <v>16</v>
      </c>
      <c r="E15" s="6" t="s">
        <v>14</v>
      </c>
      <c r="F15" s="6">
        <v>0</v>
      </c>
      <c r="G15" s="6">
        <v>1</v>
      </c>
      <c r="H15" s="6">
        <v>30</v>
      </c>
      <c r="I15" s="6">
        <v>0</v>
      </c>
      <c r="J15" s="6">
        <v>1</v>
      </c>
      <c r="K15" s="6">
        <v>30</v>
      </c>
    </row>
    <row r="16" spans="1:20" ht="14.25" customHeight="1" x14ac:dyDescent="0.25">
      <c r="A16" s="5">
        <v>2</v>
      </c>
      <c r="B16" s="5" t="s">
        <v>32</v>
      </c>
      <c r="C16" s="5" t="s">
        <v>34</v>
      </c>
      <c r="D16" s="6" t="s">
        <v>35</v>
      </c>
      <c r="E16" s="6" t="s">
        <v>14</v>
      </c>
      <c r="F16" s="6">
        <v>0</v>
      </c>
      <c r="G16" s="6">
        <f>PRODUCT(1*2)</f>
        <v>2</v>
      </c>
      <c r="H16" s="6">
        <f>PRODUCT(26*2)</f>
        <v>52</v>
      </c>
      <c r="I16" s="6">
        <v>0</v>
      </c>
      <c r="J16" s="6">
        <f>PRODUCT(1*2)</f>
        <v>2</v>
      </c>
      <c r="K16" s="6">
        <f>PRODUCT(30*2)</f>
        <v>60</v>
      </c>
    </row>
    <row r="17" spans="1:11" ht="14.25" customHeight="1" x14ac:dyDescent="0.25">
      <c r="A17" s="5">
        <v>2</v>
      </c>
      <c r="B17" s="5" t="s">
        <v>32</v>
      </c>
      <c r="C17" s="5" t="s">
        <v>36</v>
      </c>
      <c r="D17" s="6" t="s">
        <v>37</v>
      </c>
      <c r="E17" s="6" t="s">
        <v>14</v>
      </c>
      <c r="F17" s="6">
        <v>0</v>
      </c>
      <c r="G17" s="6">
        <f t="shared" ref="G17:G21" si="0">PRODUCT(1*2)</f>
        <v>2</v>
      </c>
      <c r="H17" s="6">
        <v>30</v>
      </c>
      <c r="I17" s="6">
        <v>0</v>
      </c>
      <c r="J17" s="6">
        <f t="shared" ref="J17:J21" si="1">PRODUCT(1*2)</f>
        <v>2</v>
      </c>
      <c r="K17" s="6">
        <f t="shared" ref="K17:K19" si="2">PRODUCT(30*2)</f>
        <v>60</v>
      </c>
    </row>
    <row r="18" spans="1:11" ht="14.25" customHeight="1" x14ac:dyDescent="0.25">
      <c r="A18" s="5">
        <v>2</v>
      </c>
      <c r="B18" s="5" t="s">
        <v>32</v>
      </c>
      <c r="C18" s="5" t="s">
        <v>38</v>
      </c>
      <c r="D18" s="6" t="s">
        <v>39</v>
      </c>
      <c r="E18" s="6" t="s">
        <v>14</v>
      </c>
      <c r="F18" s="6">
        <v>0</v>
      </c>
      <c r="G18" s="6">
        <f t="shared" si="0"/>
        <v>2</v>
      </c>
      <c r="H18" s="6">
        <v>120</v>
      </c>
      <c r="I18" s="6">
        <v>0</v>
      </c>
      <c r="J18" s="6">
        <f t="shared" si="1"/>
        <v>2</v>
      </c>
      <c r="K18" s="6">
        <f t="shared" si="2"/>
        <v>60</v>
      </c>
    </row>
    <row r="19" spans="1:11" ht="14.25" customHeight="1" x14ac:dyDescent="0.25">
      <c r="A19" s="5">
        <v>2</v>
      </c>
      <c r="B19" s="5" t="s">
        <v>32</v>
      </c>
      <c r="C19" s="5" t="s">
        <v>40</v>
      </c>
      <c r="D19" s="6" t="s">
        <v>39</v>
      </c>
      <c r="E19" s="6" t="s">
        <v>14</v>
      </c>
      <c r="F19" s="6">
        <v>0</v>
      </c>
      <c r="G19" s="6">
        <f>PRODUCT(2*2)</f>
        <v>4</v>
      </c>
      <c r="H19" s="6">
        <f>PRODUCT(27*2)</f>
        <v>54</v>
      </c>
      <c r="I19" s="6">
        <v>0</v>
      </c>
      <c r="J19" s="6">
        <f t="shared" si="1"/>
        <v>2</v>
      </c>
      <c r="K19" s="6">
        <f t="shared" si="2"/>
        <v>60</v>
      </c>
    </row>
    <row r="20" spans="1:11" ht="14.25" customHeight="1" x14ac:dyDescent="0.25">
      <c r="A20" s="5">
        <v>2</v>
      </c>
      <c r="B20" s="5" t="s">
        <v>32</v>
      </c>
      <c r="C20" s="5" t="s">
        <v>20</v>
      </c>
      <c r="D20" s="6" t="s">
        <v>16</v>
      </c>
      <c r="E20" s="6" t="s">
        <v>21</v>
      </c>
      <c r="F20" s="6">
        <v>0</v>
      </c>
      <c r="G20" s="6">
        <f t="shared" si="0"/>
        <v>2</v>
      </c>
      <c r="H20" s="6">
        <v>30</v>
      </c>
      <c r="I20" s="6">
        <v>0</v>
      </c>
      <c r="J20" s="6">
        <f t="shared" si="1"/>
        <v>2</v>
      </c>
      <c r="K20" s="6">
        <v>30</v>
      </c>
    </row>
    <row r="21" spans="1:11" ht="14.25" customHeight="1" x14ac:dyDescent="0.25">
      <c r="A21" s="5">
        <v>2</v>
      </c>
      <c r="B21" s="5" t="s">
        <v>32</v>
      </c>
      <c r="C21" s="5" t="s">
        <v>22</v>
      </c>
      <c r="D21" s="6" t="s">
        <v>23</v>
      </c>
      <c r="E21" s="6" t="s">
        <v>21</v>
      </c>
      <c r="F21" s="6">
        <v>0</v>
      </c>
      <c r="G21" s="6">
        <f t="shared" si="0"/>
        <v>2</v>
      </c>
      <c r="H21" s="6">
        <v>28</v>
      </c>
      <c r="I21" s="6">
        <v>0</v>
      </c>
      <c r="J21" s="6">
        <f t="shared" si="1"/>
        <v>2</v>
      </c>
      <c r="K21" s="6">
        <v>30</v>
      </c>
    </row>
    <row r="22" spans="1:11" ht="14.25" customHeight="1" x14ac:dyDescent="0.25">
      <c r="A22" s="5">
        <v>2</v>
      </c>
      <c r="B22" s="5" t="s">
        <v>32</v>
      </c>
      <c r="C22" s="5" t="s">
        <v>30</v>
      </c>
      <c r="D22" s="6" t="s">
        <v>13</v>
      </c>
      <c r="E22" s="6" t="s">
        <v>21</v>
      </c>
      <c r="F22" s="6">
        <v>0</v>
      </c>
      <c r="G22" s="6">
        <f>PRODUCT(2*6)</f>
        <v>12</v>
      </c>
      <c r="H22" s="6">
        <f>PRODUCT(30*6)</f>
        <v>180</v>
      </c>
      <c r="I22" s="6">
        <v>0</v>
      </c>
      <c r="J22" s="6">
        <f>PRODUCT(2*6)</f>
        <v>12</v>
      </c>
      <c r="K22" s="6">
        <f>PRODUCT(30*6)</f>
        <v>180</v>
      </c>
    </row>
    <row r="23" spans="1:11" ht="14.25" customHeight="1" x14ac:dyDescent="0.25">
      <c r="A23" s="5">
        <v>2</v>
      </c>
      <c r="B23" s="5" t="s">
        <v>32</v>
      </c>
      <c r="C23" s="6" t="s">
        <v>29</v>
      </c>
      <c r="D23" s="6" t="s">
        <v>16</v>
      </c>
      <c r="E23" s="6" t="s">
        <v>21</v>
      </c>
      <c r="F23" s="6">
        <v>0</v>
      </c>
      <c r="G23" s="6">
        <v>1</v>
      </c>
      <c r="H23" s="6">
        <v>30</v>
      </c>
      <c r="I23" s="6">
        <v>0</v>
      </c>
      <c r="J23" s="6">
        <v>1</v>
      </c>
      <c r="K23" s="6">
        <v>30</v>
      </c>
    </row>
    <row r="24" spans="1:11" ht="14.25" customHeight="1" x14ac:dyDescent="0.25">
      <c r="A24" s="5">
        <v>2</v>
      </c>
      <c r="B24" s="5" t="s">
        <v>32</v>
      </c>
      <c r="C24" s="5" t="s">
        <v>26</v>
      </c>
      <c r="D24" s="6" t="s">
        <v>27</v>
      </c>
      <c r="E24" s="6" t="s">
        <v>21</v>
      </c>
      <c r="F24" s="6">
        <v>2</v>
      </c>
      <c r="G24" s="6">
        <v>1</v>
      </c>
      <c r="H24" s="6">
        <v>31</v>
      </c>
      <c r="I24" s="6">
        <v>1</v>
      </c>
      <c r="J24" s="6">
        <v>1</v>
      </c>
      <c r="K24" s="6">
        <v>30</v>
      </c>
    </row>
    <row r="25" spans="1:11" ht="14.25" customHeight="1" x14ac:dyDescent="0.25">
      <c r="A25" s="5">
        <v>2</v>
      </c>
      <c r="B25" s="5" t="s">
        <v>32</v>
      </c>
      <c r="C25" s="5" t="s">
        <v>31</v>
      </c>
      <c r="D25" s="6" t="s">
        <v>13</v>
      </c>
      <c r="E25" s="6" t="s">
        <v>21</v>
      </c>
      <c r="F25" s="6">
        <v>0</v>
      </c>
      <c r="G25" s="6">
        <f>PRODUCT(1*6)</f>
        <v>6</v>
      </c>
      <c r="H25" s="6">
        <f>PRODUCT(30*6)</f>
        <v>180</v>
      </c>
      <c r="I25" s="6">
        <v>0</v>
      </c>
      <c r="J25" s="6">
        <f>PRODUCT(1*6)</f>
        <v>6</v>
      </c>
      <c r="K25" s="6">
        <f>PRODUCT(30*6)</f>
        <v>180</v>
      </c>
    </row>
    <row r="26" spans="1:11" ht="14.25" customHeight="1" x14ac:dyDescent="0.25">
      <c r="A26" s="5">
        <v>3</v>
      </c>
      <c r="B26" s="5" t="s">
        <v>41</v>
      </c>
      <c r="C26" s="5" t="s">
        <v>42</v>
      </c>
      <c r="D26" s="6" t="s">
        <v>27</v>
      </c>
      <c r="E26" s="6" t="s">
        <v>14</v>
      </c>
      <c r="F26" s="6">
        <v>0</v>
      </c>
      <c r="G26" s="6">
        <v>1</v>
      </c>
      <c r="H26" s="6">
        <v>34</v>
      </c>
      <c r="I26" s="6">
        <v>0</v>
      </c>
      <c r="J26" s="6">
        <v>1</v>
      </c>
      <c r="K26" s="6">
        <v>30</v>
      </c>
    </row>
    <row r="27" spans="1:11" ht="14.25" customHeight="1" x14ac:dyDescent="0.25">
      <c r="A27" s="5">
        <v>3</v>
      </c>
      <c r="B27" s="5" t="s">
        <v>41</v>
      </c>
      <c r="C27" s="5" t="s">
        <v>43</v>
      </c>
      <c r="D27" s="6" t="s">
        <v>44</v>
      </c>
      <c r="E27" s="6" t="s">
        <v>14</v>
      </c>
      <c r="F27" s="6">
        <v>0</v>
      </c>
      <c r="G27" s="6">
        <v>4</v>
      </c>
      <c r="H27" s="6">
        <v>120</v>
      </c>
      <c r="I27" s="6">
        <v>0</v>
      </c>
      <c r="J27" s="6">
        <v>4</v>
      </c>
      <c r="K27" s="6">
        <v>60</v>
      </c>
    </row>
    <row r="28" spans="1:11" ht="14.25" customHeight="1" x14ac:dyDescent="0.25">
      <c r="A28" s="5">
        <v>3</v>
      </c>
      <c r="B28" s="5" t="s">
        <v>41</v>
      </c>
      <c r="C28" s="5" t="s">
        <v>45</v>
      </c>
      <c r="D28" s="6" t="s">
        <v>13</v>
      </c>
      <c r="E28" s="6" t="s">
        <v>14</v>
      </c>
      <c r="F28" s="6">
        <v>0</v>
      </c>
      <c r="G28" s="6">
        <f>PRODUCT(1*6)</f>
        <v>6</v>
      </c>
      <c r="H28" s="6">
        <f>PRODUCT(39*6)</f>
        <v>234</v>
      </c>
      <c r="I28" s="6">
        <v>0</v>
      </c>
      <c r="J28" s="6">
        <f>PRODUCT(3*6)</f>
        <v>18</v>
      </c>
      <c r="K28" s="6">
        <f>PRODUCT(30*6)</f>
        <v>180</v>
      </c>
    </row>
    <row r="29" spans="1:11" ht="14.25" customHeight="1" x14ac:dyDescent="0.25">
      <c r="A29" s="5">
        <v>3</v>
      </c>
      <c r="B29" s="5" t="s">
        <v>41</v>
      </c>
      <c r="C29" s="5" t="s">
        <v>46</v>
      </c>
      <c r="D29" s="6" t="s">
        <v>47</v>
      </c>
      <c r="E29" s="6" t="s">
        <v>14</v>
      </c>
      <c r="F29" s="6">
        <v>0</v>
      </c>
      <c r="G29" s="6">
        <v>4</v>
      </c>
      <c r="H29" s="6">
        <v>30</v>
      </c>
      <c r="I29" s="6">
        <v>0</v>
      </c>
      <c r="J29" s="6">
        <v>4</v>
      </c>
      <c r="K29" s="6">
        <v>30</v>
      </c>
    </row>
    <row r="30" spans="1:11" ht="14.25" customHeight="1" x14ac:dyDescent="0.25">
      <c r="A30" s="5">
        <v>3</v>
      </c>
      <c r="B30" s="5" t="s">
        <v>41</v>
      </c>
      <c r="C30" s="5" t="s">
        <v>48</v>
      </c>
      <c r="D30" s="6" t="s">
        <v>49</v>
      </c>
      <c r="E30" s="6" t="s">
        <v>14</v>
      </c>
      <c r="F30" s="6">
        <v>0</v>
      </c>
      <c r="G30" s="6">
        <v>12</v>
      </c>
      <c r="H30" s="6">
        <v>66</v>
      </c>
      <c r="I30" s="6">
        <v>0</v>
      </c>
      <c r="J30" s="6">
        <v>12</v>
      </c>
      <c r="K30" s="6">
        <f>PRODUCT(30*6)</f>
        <v>180</v>
      </c>
    </row>
    <row r="31" spans="1:11" ht="14.25" customHeight="1" x14ac:dyDescent="0.25">
      <c r="A31" s="5">
        <v>3</v>
      </c>
      <c r="B31" s="5" t="s">
        <v>41</v>
      </c>
      <c r="C31" s="5" t="s">
        <v>50</v>
      </c>
      <c r="D31" s="6" t="s">
        <v>13</v>
      </c>
      <c r="E31" s="6" t="s">
        <v>14</v>
      </c>
      <c r="F31" s="6">
        <v>0</v>
      </c>
      <c r="G31" s="6">
        <f>PRODUCT(2*6)</f>
        <v>12</v>
      </c>
      <c r="H31" s="6">
        <f>PRODUCT(30*6)</f>
        <v>180</v>
      </c>
      <c r="I31" s="6">
        <v>0</v>
      </c>
      <c r="J31" s="6">
        <f>PRODUCT(2*6)</f>
        <v>12</v>
      </c>
      <c r="K31" s="6">
        <f>PRODUCT(30*6)</f>
        <v>180</v>
      </c>
    </row>
    <row r="32" spans="1:11" ht="14.25" customHeight="1" x14ac:dyDescent="0.25">
      <c r="A32" s="5">
        <v>3</v>
      </c>
      <c r="B32" s="5" t="s">
        <v>41</v>
      </c>
      <c r="C32" s="5" t="s">
        <v>20</v>
      </c>
      <c r="D32" s="6" t="s">
        <v>16</v>
      </c>
      <c r="E32" s="6" t="s">
        <v>21</v>
      </c>
      <c r="F32" s="6">
        <v>0</v>
      </c>
      <c r="G32" s="6">
        <v>1</v>
      </c>
      <c r="H32" s="6">
        <v>30</v>
      </c>
      <c r="I32" s="6">
        <v>0</v>
      </c>
      <c r="J32" s="6">
        <v>1</v>
      </c>
      <c r="K32" s="6">
        <v>30</v>
      </c>
    </row>
    <row r="33" spans="1:11" ht="14.25" customHeight="1" x14ac:dyDescent="0.25">
      <c r="A33" s="5">
        <v>3</v>
      </c>
      <c r="B33" s="5" t="s">
        <v>41</v>
      </c>
      <c r="C33" s="5" t="s">
        <v>22</v>
      </c>
      <c r="D33" s="6" t="s">
        <v>23</v>
      </c>
      <c r="E33" s="6" t="s">
        <v>21</v>
      </c>
      <c r="F33" s="6">
        <v>0</v>
      </c>
      <c r="G33" s="6">
        <v>1</v>
      </c>
      <c r="H33" s="6">
        <v>30</v>
      </c>
      <c r="I33" s="6">
        <v>0</v>
      </c>
      <c r="J33" s="6">
        <v>1</v>
      </c>
      <c r="K33" s="6">
        <v>30</v>
      </c>
    </row>
    <row r="34" spans="1:11" ht="14.25" customHeight="1" x14ac:dyDescent="0.25">
      <c r="A34" s="5">
        <v>3</v>
      </c>
      <c r="B34" s="5" t="s">
        <v>41</v>
      </c>
      <c r="C34" s="6" t="s">
        <v>29</v>
      </c>
      <c r="D34" s="6" t="s">
        <v>16</v>
      </c>
      <c r="E34" s="6" t="s">
        <v>21</v>
      </c>
      <c r="F34" s="6">
        <v>2</v>
      </c>
      <c r="G34" s="6">
        <v>1</v>
      </c>
      <c r="H34" s="6">
        <v>30</v>
      </c>
      <c r="I34" s="6">
        <v>3</v>
      </c>
      <c r="J34" s="6">
        <v>1</v>
      </c>
      <c r="K34" s="6">
        <v>30</v>
      </c>
    </row>
    <row r="35" spans="1:11" ht="14.25" customHeight="1" x14ac:dyDescent="0.25">
      <c r="A35" s="5">
        <v>3</v>
      </c>
      <c r="B35" s="5" t="s">
        <v>41</v>
      </c>
      <c r="C35" s="6" t="s">
        <v>26</v>
      </c>
      <c r="D35" s="6" t="s">
        <v>27</v>
      </c>
      <c r="E35" s="6" t="s">
        <v>21</v>
      </c>
      <c r="F35" s="6">
        <v>0</v>
      </c>
      <c r="G35" s="6">
        <v>1</v>
      </c>
      <c r="H35" s="6">
        <v>25</v>
      </c>
      <c r="I35" s="6">
        <v>0</v>
      </c>
      <c r="J35" s="6">
        <v>1</v>
      </c>
      <c r="K35" s="6">
        <v>30</v>
      </c>
    </row>
    <row r="36" spans="1:11" ht="14.25" customHeight="1" x14ac:dyDescent="0.25">
      <c r="A36" s="5">
        <v>3</v>
      </c>
      <c r="B36" s="5" t="s">
        <v>41</v>
      </c>
      <c r="C36" s="6" t="s">
        <v>30</v>
      </c>
      <c r="D36" s="6" t="s">
        <v>13</v>
      </c>
      <c r="E36" s="6" t="s">
        <v>21</v>
      </c>
      <c r="F36" s="6">
        <v>0</v>
      </c>
      <c r="G36" s="6">
        <f>PRODUCT(1*6)</f>
        <v>6</v>
      </c>
      <c r="H36" s="6">
        <f>PRODUCT(30*6)</f>
        <v>180</v>
      </c>
      <c r="I36" s="6">
        <v>0</v>
      </c>
      <c r="J36" s="6">
        <f>PRODUCT(1*6)</f>
        <v>6</v>
      </c>
      <c r="K36" s="6">
        <f>PRODUCT(30*6)</f>
        <v>180</v>
      </c>
    </row>
    <row r="37" spans="1:11" ht="14.25" customHeight="1" x14ac:dyDescent="0.25">
      <c r="A37" s="5">
        <v>3</v>
      </c>
      <c r="B37" s="5" t="s">
        <v>41</v>
      </c>
      <c r="C37" s="6" t="s">
        <v>31</v>
      </c>
      <c r="D37" s="6" t="s">
        <v>13</v>
      </c>
      <c r="E37" s="6" t="s">
        <v>21</v>
      </c>
      <c r="F37" s="6">
        <v>0</v>
      </c>
      <c r="G37" s="6">
        <f>PRODUCT(2*6)</f>
        <v>12</v>
      </c>
      <c r="H37" s="6">
        <f>PRODUCT(20*6)</f>
        <v>120</v>
      </c>
      <c r="I37" s="6">
        <v>0</v>
      </c>
      <c r="J37" s="6">
        <f>PRODUCT(2*6)</f>
        <v>12</v>
      </c>
      <c r="K37" s="6">
        <f>PRODUCT(20*6)</f>
        <v>120</v>
      </c>
    </row>
    <row r="38" spans="1:11" ht="14.25" customHeight="1" x14ac:dyDescent="0.25">
      <c r="A38" s="5">
        <v>4</v>
      </c>
      <c r="B38" s="5" t="s">
        <v>51</v>
      </c>
      <c r="C38" s="6" t="s">
        <v>52</v>
      </c>
      <c r="D38" s="6" t="s">
        <v>53</v>
      </c>
      <c r="E38" s="6" t="s">
        <v>14</v>
      </c>
      <c r="F38" s="6">
        <v>0</v>
      </c>
      <c r="G38" s="6">
        <v>4</v>
      </c>
      <c r="H38" s="6">
        <v>20</v>
      </c>
      <c r="I38" s="6">
        <v>0</v>
      </c>
      <c r="J38" s="6">
        <v>4</v>
      </c>
      <c r="K38" s="6">
        <v>40</v>
      </c>
    </row>
    <row r="39" spans="1:11" ht="14.25" customHeight="1" x14ac:dyDescent="0.25">
      <c r="A39" s="5">
        <v>4</v>
      </c>
      <c r="B39" s="5" t="s">
        <v>51</v>
      </c>
      <c r="C39" s="6" t="s">
        <v>54</v>
      </c>
      <c r="D39" s="6" t="s">
        <v>55</v>
      </c>
      <c r="E39" s="6" t="s">
        <v>14</v>
      </c>
      <c r="F39" s="6">
        <v>0</v>
      </c>
      <c r="G39" s="6">
        <v>2</v>
      </c>
      <c r="H39" s="6">
        <v>50</v>
      </c>
      <c r="I39" s="6">
        <v>0</v>
      </c>
      <c r="J39" s="6">
        <v>2</v>
      </c>
      <c r="K39" s="6">
        <v>50</v>
      </c>
    </row>
    <row r="40" spans="1:11" ht="14.25" customHeight="1" x14ac:dyDescent="0.25">
      <c r="A40" s="5">
        <v>4</v>
      </c>
      <c r="B40" s="5" t="s">
        <v>51</v>
      </c>
      <c r="C40" s="6" t="s">
        <v>56</v>
      </c>
      <c r="D40" s="6" t="s">
        <v>27</v>
      </c>
      <c r="E40" s="6" t="s">
        <v>14</v>
      </c>
      <c r="F40" s="6">
        <v>0</v>
      </c>
      <c r="G40" s="6">
        <v>2</v>
      </c>
      <c r="H40" s="6">
        <v>25</v>
      </c>
      <c r="I40" s="6">
        <v>0</v>
      </c>
      <c r="J40" s="6">
        <v>2</v>
      </c>
      <c r="K40" s="6">
        <v>25</v>
      </c>
    </row>
    <row r="41" spans="1:11" ht="14.25" customHeight="1" x14ac:dyDescent="0.25">
      <c r="A41" s="5">
        <v>4</v>
      </c>
      <c r="B41" s="5" t="s">
        <v>51</v>
      </c>
      <c r="C41" s="6" t="s">
        <v>57</v>
      </c>
      <c r="D41" s="6" t="s">
        <v>58</v>
      </c>
      <c r="E41" s="6" t="s">
        <v>14</v>
      </c>
      <c r="F41" s="6">
        <v>0</v>
      </c>
      <c r="G41" s="6">
        <v>2</v>
      </c>
      <c r="H41" s="6">
        <f>PRODUCT(20*2)</f>
        <v>40</v>
      </c>
      <c r="I41" s="6">
        <v>0</v>
      </c>
      <c r="J41" s="6">
        <v>2</v>
      </c>
      <c r="K41" s="6">
        <v>40</v>
      </c>
    </row>
    <row r="42" spans="1:11" ht="14.25" customHeight="1" x14ac:dyDescent="0.25">
      <c r="A42" s="5">
        <v>4</v>
      </c>
      <c r="B42" s="5" t="s">
        <v>51</v>
      </c>
      <c r="C42" s="6" t="s">
        <v>59</v>
      </c>
      <c r="D42" s="6" t="s">
        <v>16</v>
      </c>
      <c r="E42" s="6" t="s">
        <v>14</v>
      </c>
      <c r="F42" s="6">
        <v>0</v>
      </c>
      <c r="G42" s="6">
        <v>1</v>
      </c>
      <c r="H42" s="6">
        <v>30</v>
      </c>
      <c r="I42" s="6">
        <v>0</v>
      </c>
      <c r="J42" s="6">
        <v>1</v>
      </c>
      <c r="K42" s="6">
        <v>30</v>
      </c>
    </row>
    <row r="43" spans="1:11" ht="14.25" customHeight="1" x14ac:dyDescent="0.25">
      <c r="A43" s="5">
        <v>4</v>
      </c>
      <c r="B43" s="5" t="s">
        <v>51</v>
      </c>
      <c r="C43" s="6" t="s">
        <v>60</v>
      </c>
      <c r="D43" s="6" t="s">
        <v>23</v>
      </c>
      <c r="E43" s="6" t="s">
        <v>14</v>
      </c>
      <c r="F43" s="6">
        <v>0</v>
      </c>
      <c r="G43" s="6">
        <v>1</v>
      </c>
      <c r="H43" s="6">
        <v>30</v>
      </c>
      <c r="I43" s="6">
        <v>0</v>
      </c>
      <c r="J43" s="6">
        <v>1</v>
      </c>
      <c r="K43" s="6">
        <v>30</v>
      </c>
    </row>
    <row r="44" spans="1:11" ht="14.25" customHeight="1" x14ac:dyDescent="0.25">
      <c r="A44" s="5">
        <v>4</v>
      </c>
      <c r="B44" s="5" t="s">
        <v>51</v>
      </c>
      <c r="C44" s="6" t="s">
        <v>20</v>
      </c>
      <c r="D44" s="6" t="s">
        <v>16</v>
      </c>
      <c r="E44" s="6" t="s">
        <v>21</v>
      </c>
      <c r="F44" s="6">
        <v>0</v>
      </c>
      <c r="G44" s="6">
        <v>1</v>
      </c>
      <c r="H44" s="6">
        <v>30</v>
      </c>
      <c r="I44" s="6">
        <v>0</v>
      </c>
      <c r="J44" s="6">
        <v>1</v>
      </c>
      <c r="K44" s="6">
        <v>30</v>
      </c>
    </row>
    <row r="45" spans="1:11" ht="14.25" customHeight="1" x14ac:dyDescent="0.25">
      <c r="A45" s="5">
        <v>4</v>
      </c>
      <c r="B45" s="5" t="s">
        <v>51</v>
      </c>
      <c r="C45" s="6" t="s">
        <v>22</v>
      </c>
      <c r="D45" s="6" t="s">
        <v>23</v>
      </c>
      <c r="E45" s="6" t="s">
        <v>21</v>
      </c>
      <c r="F45" s="6">
        <v>0</v>
      </c>
      <c r="G45" s="6">
        <v>1</v>
      </c>
      <c r="H45" s="6">
        <v>20</v>
      </c>
      <c r="I45" s="6">
        <v>0</v>
      </c>
      <c r="J45" s="6">
        <v>1</v>
      </c>
      <c r="K45" s="6">
        <v>30</v>
      </c>
    </row>
    <row r="46" spans="1:11" ht="14.25" customHeight="1" x14ac:dyDescent="0.25">
      <c r="A46" s="5">
        <v>4</v>
      </c>
      <c r="B46" s="5" t="s">
        <v>51</v>
      </c>
      <c r="C46" s="5" t="s">
        <v>26</v>
      </c>
      <c r="D46" s="6" t="s">
        <v>27</v>
      </c>
      <c r="E46" s="6" t="s">
        <v>21</v>
      </c>
      <c r="F46" s="6">
        <v>0</v>
      </c>
      <c r="G46" s="6">
        <v>1</v>
      </c>
      <c r="H46" s="6">
        <v>30</v>
      </c>
      <c r="I46" s="6">
        <v>0</v>
      </c>
      <c r="J46" s="6">
        <v>1</v>
      </c>
      <c r="K46" s="6">
        <v>30</v>
      </c>
    </row>
    <row r="47" spans="1:11" ht="14.25" customHeight="1" x14ac:dyDescent="0.25">
      <c r="A47" s="5">
        <v>4</v>
      </c>
      <c r="B47" s="5" t="s">
        <v>51</v>
      </c>
      <c r="C47" s="6" t="s">
        <v>29</v>
      </c>
      <c r="D47" s="6" t="s">
        <v>16</v>
      </c>
      <c r="E47" s="6" t="s">
        <v>21</v>
      </c>
      <c r="F47" s="6">
        <v>2</v>
      </c>
      <c r="G47" s="6">
        <v>1</v>
      </c>
      <c r="H47" s="6">
        <v>30</v>
      </c>
      <c r="I47" s="6">
        <v>2</v>
      </c>
      <c r="J47" s="6">
        <v>1</v>
      </c>
      <c r="K47" s="6">
        <v>30</v>
      </c>
    </row>
    <row r="48" spans="1:11" ht="14.25" customHeight="1" x14ac:dyDescent="0.25">
      <c r="A48" s="5">
        <v>4</v>
      </c>
      <c r="B48" s="5" t="s">
        <v>51</v>
      </c>
      <c r="C48" s="5" t="s">
        <v>30</v>
      </c>
      <c r="D48" s="6" t="s">
        <v>13</v>
      </c>
      <c r="E48" s="6" t="s">
        <v>21</v>
      </c>
      <c r="F48" s="6">
        <v>0</v>
      </c>
      <c r="G48" s="6">
        <f>PRODUCT(3*6)</f>
        <v>18</v>
      </c>
      <c r="H48" s="6">
        <f>PRODUCT(30*6)</f>
        <v>180</v>
      </c>
      <c r="I48" s="6">
        <v>0</v>
      </c>
      <c r="J48" s="6">
        <f>PRODUCT(3*6)</f>
        <v>18</v>
      </c>
      <c r="K48" s="6">
        <f>PRODUCT(30*6)</f>
        <v>180</v>
      </c>
    </row>
    <row r="49" spans="1:11" ht="14.25" customHeight="1" x14ac:dyDescent="0.25">
      <c r="A49" s="5">
        <v>4</v>
      </c>
      <c r="B49" s="5" t="s">
        <v>51</v>
      </c>
      <c r="C49" s="5" t="s">
        <v>31</v>
      </c>
      <c r="D49" s="6" t="s">
        <v>13</v>
      </c>
      <c r="E49" s="6" t="s">
        <v>21</v>
      </c>
      <c r="F49" s="6">
        <v>0</v>
      </c>
      <c r="G49" s="6">
        <f>PRODUCT(3*6)</f>
        <v>18</v>
      </c>
      <c r="H49" s="6">
        <f>PRODUCT(30*6)</f>
        <v>180</v>
      </c>
      <c r="I49" s="6">
        <v>0</v>
      </c>
      <c r="J49" s="6">
        <f>PRODUCT(3*6)</f>
        <v>18</v>
      </c>
      <c r="K49" s="6">
        <f>PRODUCT(30*6)</f>
        <v>180</v>
      </c>
    </row>
    <row r="50" spans="1:11" ht="14.25" customHeight="1" x14ac:dyDescent="0.25">
      <c r="A50" s="6">
        <v>5</v>
      </c>
      <c r="B50" s="6" t="s">
        <v>61</v>
      </c>
      <c r="C50" s="6" t="s">
        <v>62</v>
      </c>
      <c r="D50" s="6" t="s">
        <v>23</v>
      </c>
      <c r="E50" s="6" t="s">
        <v>14</v>
      </c>
      <c r="F50" s="6">
        <v>0</v>
      </c>
      <c r="G50" s="6">
        <v>1</v>
      </c>
      <c r="H50" s="6">
        <v>30</v>
      </c>
      <c r="I50" s="6">
        <v>0</v>
      </c>
      <c r="J50" s="6">
        <v>1</v>
      </c>
      <c r="K50" s="6">
        <v>30</v>
      </c>
    </row>
    <row r="51" spans="1:11" ht="14.25" customHeight="1" x14ac:dyDescent="0.25">
      <c r="A51" s="6">
        <v>5</v>
      </c>
      <c r="B51" s="6" t="s">
        <v>61</v>
      </c>
      <c r="C51" s="6" t="s">
        <v>63</v>
      </c>
      <c r="D51" s="6" t="s">
        <v>64</v>
      </c>
      <c r="E51" s="6" t="s">
        <v>14</v>
      </c>
      <c r="F51" s="6">
        <v>3</v>
      </c>
      <c r="G51" s="6">
        <v>1</v>
      </c>
      <c r="H51" s="6">
        <v>30</v>
      </c>
      <c r="I51" s="6">
        <v>3</v>
      </c>
      <c r="J51" s="6">
        <v>1</v>
      </c>
      <c r="K51" s="6">
        <v>30</v>
      </c>
    </row>
    <row r="52" spans="1:11" ht="14.25" customHeight="1" x14ac:dyDescent="0.25">
      <c r="A52" s="6">
        <v>5</v>
      </c>
      <c r="B52" s="6" t="s">
        <v>61</v>
      </c>
      <c r="C52" s="6" t="s">
        <v>65</v>
      </c>
      <c r="D52" s="6" t="s">
        <v>66</v>
      </c>
      <c r="E52" s="6" t="s">
        <v>14</v>
      </c>
      <c r="F52" s="6">
        <v>0</v>
      </c>
      <c r="G52" s="6">
        <v>1</v>
      </c>
      <c r="H52" s="6">
        <f>PRODUCT(60*3)</f>
        <v>180</v>
      </c>
      <c r="I52" s="6">
        <v>0</v>
      </c>
      <c r="J52" s="6">
        <v>1</v>
      </c>
      <c r="K52" s="6">
        <v>60</v>
      </c>
    </row>
    <row r="53" spans="1:11" ht="14.25" customHeight="1" x14ac:dyDescent="0.25">
      <c r="A53" s="6">
        <v>5</v>
      </c>
      <c r="B53" s="6" t="s">
        <v>61</v>
      </c>
      <c r="C53" s="6" t="s">
        <v>20</v>
      </c>
      <c r="D53" s="6" t="s">
        <v>16</v>
      </c>
      <c r="E53" s="6" t="s">
        <v>21</v>
      </c>
      <c r="F53" s="6">
        <v>0</v>
      </c>
      <c r="G53" s="6">
        <v>1</v>
      </c>
      <c r="H53" s="6">
        <v>30</v>
      </c>
      <c r="I53" s="6">
        <v>0</v>
      </c>
      <c r="J53" s="6">
        <v>1</v>
      </c>
      <c r="K53" s="6">
        <v>30</v>
      </c>
    </row>
    <row r="54" spans="1:11" ht="14.25" customHeight="1" x14ac:dyDescent="0.25">
      <c r="A54" s="6">
        <v>5</v>
      </c>
      <c r="B54" s="6" t="s">
        <v>61</v>
      </c>
      <c r="C54" s="6" t="s">
        <v>22</v>
      </c>
      <c r="D54" s="6" t="s">
        <v>23</v>
      </c>
      <c r="E54" s="6" t="s">
        <v>21</v>
      </c>
      <c r="F54" s="6">
        <v>0</v>
      </c>
      <c r="G54" s="6">
        <v>1</v>
      </c>
      <c r="H54" s="6">
        <v>30</v>
      </c>
      <c r="I54" s="6">
        <v>0</v>
      </c>
      <c r="J54" s="6">
        <v>1</v>
      </c>
      <c r="K54" s="6">
        <v>30</v>
      </c>
    </row>
    <row r="55" spans="1:11" ht="14.25" customHeight="1" x14ac:dyDescent="0.25">
      <c r="A55" s="6">
        <v>5</v>
      </c>
      <c r="B55" s="6" t="s">
        <v>61</v>
      </c>
      <c r="C55" s="5" t="s">
        <v>26</v>
      </c>
      <c r="D55" s="6" t="s">
        <v>27</v>
      </c>
      <c r="E55" s="6" t="s">
        <v>21</v>
      </c>
      <c r="F55" s="6">
        <v>0</v>
      </c>
      <c r="G55" s="6">
        <v>1</v>
      </c>
      <c r="H55" s="6">
        <v>30</v>
      </c>
      <c r="I55" s="6">
        <v>0</v>
      </c>
      <c r="J55" s="6">
        <v>1</v>
      </c>
      <c r="K55" s="6">
        <v>30</v>
      </c>
    </row>
    <row r="56" spans="1:11" ht="14.25" customHeight="1" x14ac:dyDescent="0.25">
      <c r="A56" s="6">
        <v>5</v>
      </c>
      <c r="B56" s="6" t="s">
        <v>61</v>
      </c>
      <c r="C56" s="6" t="s">
        <v>29</v>
      </c>
      <c r="D56" s="6" t="s">
        <v>16</v>
      </c>
      <c r="E56" s="6" t="s">
        <v>21</v>
      </c>
      <c r="F56" s="6">
        <v>2</v>
      </c>
      <c r="G56" s="6">
        <v>1</v>
      </c>
      <c r="H56" s="6">
        <v>30</v>
      </c>
      <c r="I56" s="6">
        <v>1</v>
      </c>
      <c r="J56" s="6">
        <v>1</v>
      </c>
      <c r="K56" s="6">
        <v>30</v>
      </c>
    </row>
    <row r="57" spans="1:11" ht="14.25" customHeight="1" x14ac:dyDescent="0.25">
      <c r="A57" s="6">
        <v>5</v>
      </c>
      <c r="B57" s="6" t="s">
        <v>61</v>
      </c>
      <c r="C57" s="5" t="s">
        <v>30</v>
      </c>
      <c r="D57" s="6" t="s">
        <v>13</v>
      </c>
      <c r="E57" s="6" t="s">
        <v>21</v>
      </c>
      <c r="F57" s="6">
        <v>0</v>
      </c>
      <c r="G57" s="6">
        <v>18</v>
      </c>
      <c r="H57" s="6">
        <f>PRODUCT(30*6)</f>
        <v>180</v>
      </c>
      <c r="I57" s="6">
        <v>0</v>
      </c>
      <c r="J57" s="6">
        <v>18</v>
      </c>
      <c r="K57" s="6">
        <f>PRODUCT(30*6)</f>
        <v>180</v>
      </c>
    </row>
    <row r="58" spans="1:11" ht="14.25" customHeight="1" x14ac:dyDescent="0.25">
      <c r="A58" s="6">
        <v>5</v>
      </c>
      <c r="B58" s="6" t="s">
        <v>61</v>
      </c>
      <c r="C58" s="5" t="s">
        <v>31</v>
      </c>
      <c r="D58" s="6" t="s">
        <v>13</v>
      </c>
      <c r="E58" s="6" t="s">
        <v>21</v>
      </c>
      <c r="F58" s="6">
        <v>0</v>
      </c>
      <c r="G58" s="6">
        <v>18</v>
      </c>
      <c r="H58" s="6">
        <f>PRODUCT(30*6)</f>
        <v>180</v>
      </c>
      <c r="I58" s="6">
        <v>0</v>
      </c>
      <c r="J58" s="6">
        <v>18</v>
      </c>
      <c r="K58" s="6">
        <f>PRODUCT(30*6)</f>
        <v>180</v>
      </c>
    </row>
    <row r="59" spans="1:11" ht="14.25" customHeight="1" x14ac:dyDescent="0.25">
      <c r="A59" s="6">
        <v>6</v>
      </c>
      <c r="B59" s="6" t="s">
        <v>67</v>
      </c>
      <c r="C59" s="6" t="s">
        <v>68</v>
      </c>
      <c r="D59" s="6" t="s">
        <v>44</v>
      </c>
      <c r="E59" s="6" t="s">
        <v>14</v>
      </c>
      <c r="F59" s="6">
        <v>0</v>
      </c>
      <c r="G59" s="6">
        <v>1</v>
      </c>
      <c r="H59" s="6">
        <f>PRODUCT(60*2)</f>
        <v>120</v>
      </c>
      <c r="I59" s="6">
        <v>0</v>
      </c>
      <c r="J59" s="6">
        <v>1</v>
      </c>
      <c r="K59" s="6">
        <v>60</v>
      </c>
    </row>
    <row r="60" spans="1:11" ht="14.25" customHeight="1" x14ac:dyDescent="0.25">
      <c r="A60" s="6">
        <v>6</v>
      </c>
      <c r="B60" s="6" t="s">
        <v>67</v>
      </c>
      <c r="C60" s="6" t="s">
        <v>69</v>
      </c>
      <c r="D60" s="6" t="s">
        <v>47</v>
      </c>
      <c r="E60" s="6" t="s">
        <v>14</v>
      </c>
      <c r="F60" s="6">
        <v>3</v>
      </c>
      <c r="G60" s="6">
        <v>1</v>
      </c>
      <c r="H60" s="6">
        <v>90</v>
      </c>
      <c r="I60" s="6">
        <v>3</v>
      </c>
      <c r="J60" s="6">
        <v>1</v>
      </c>
      <c r="K60" s="6">
        <v>90</v>
      </c>
    </row>
    <row r="61" spans="1:11" ht="14.25" customHeight="1" x14ac:dyDescent="0.25">
      <c r="A61" s="6">
        <v>6</v>
      </c>
      <c r="B61" s="6" t="s">
        <v>67</v>
      </c>
      <c r="C61" s="6" t="s">
        <v>70</v>
      </c>
      <c r="D61" s="6" t="s">
        <v>71</v>
      </c>
      <c r="E61" s="6" t="s">
        <v>14</v>
      </c>
      <c r="F61" s="6">
        <v>2</v>
      </c>
      <c r="G61" s="6">
        <f>PRODUCT(2*2)</f>
        <v>4</v>
      </c>
      <c r="H61" s="6">
        <f>PRODUCT(60*2)</f>
        <v>120</v>
      </c>
      <c r="I61" s="6">
        <v>2</v>
      </c>
      <c r="J61" s="6">
        <f>PRODUCT(2*2)</f>
        <v>4</v>
      </c>
      <c r="K61" s="6">
        <f>PRODUCT(60*2)</f>
        <v>120</v>
      </c>
    </row>
    <row r="62" spans="1:11" ht="14.25" customHeight="1" x14ac:dyDescent="0.25">
      <c r="A62" s="6">
        <v>6</v>
      </c>
      <c r="B62" s="6" t="s">
        <v>67</v>
      </c>
      <c r="C62" s="6" t="s">
        <v>72</v>
      </c>
      <c r="D62" s="6" t="s">
        <v>73</v>
      </c>
      <c r="E62" s="6" t="s">
        <v>14</v>
      </c>
      <c r="F62" s="6">
        <v>2</v>
      </c>
      <c r="G62" s="6">
        <v>2</v>
      </c>
      <c r="H62" s="6">
        <f>PRODUCT(25*2)</f>
        <v>50</v>
      </c>
      <c r="I62" s="6">
        <v>2</v>
      </c>
      <c r="J62" s="6">
        <v>2</v>
      </c>
      <c r="K62" s="6">
        <v>25</v>
      </c>
    </row>
    <row r="63" spans="1:11" ht="14.25" customHeight="1" x14ac:dyDescent="0.25">
      <c r="A63" s="6">
        <v>6</v>
      </c>
      <c r="B63" s="6" t="s">
        <v>67</v>
      </c>
      <c r="C63" s="6" t="s">
        <v>74</v>
      </c>
      <c r="D63" s="6" t="s">
        <v>27</v>
      </c>
      <c r="E63" s="6" t="s">
        <v>14</v>
      </c>
      <c r="F63" s="6">
        <v>2</v>
      </c>
      <c r="G63" s="6">
        <v>2</v>
      </c>
      <c r="H63" s="6">
        <v>30</v>
      </c>
      <c r="I63" s="6">
        <v>1</v>
      </c>
      <c r="J63" s="6">
        <v>2</v>
      </c>
      <c r="K63" s="6">
        <v>30</v>
      </c>
    </row>
    <row r="64" spans="1:11" ht="14.25" customHeight="1" x14ac:dyDescent="0.25">
      <c r="A64" s="6">
        <v>6</v>
      </c>
      <c r="B64" s="6" t="s">
        <v>67</v>
      </c>
      <c r="C64" s="7" t="s">
        <v>20</v>
      </c>
      <c r="D64" s="6" t="s">
        <v>16</v>
      </c>
      <c r="E64" s="6" t="s">
        <v>21</v>
      </c>
      <c r="F64" s="6">
        <v>0</v>
      </c>
      <c r="G64" s="6">
        <v>2</v>
      </c>
      <c r="H64" s="6">
        <v>30</v>
      </c>
      <c r="I64" s="6">
        <v>0</v>
      </c>
      <c r="J64" s="6">
        <v>2</v>
      </c>
      <c r="K64" s="6">
        <v>30</v>
      </c>
    </row>
    <row r="65" spans="1:11" ht="14.25" customHeight="1" x14ac:dyDescent="0.25">
      <c r="A65" s="6">
        <v>6</v>
      </c>
      <c r="B65" s="6" t="s">
        <v>67</v>
      </c>
      <c r="C65" s="8" t="s">
        <v>22</v>
      </c>
      <c r="D65" s="6" t="s">
        <v>23</v>
      </c>
      <c r="E65" s="6" t="s">
        <v>21</v>
      </c>
      <c r="F65" s="6">
        <v>0</v>
      </c>
      <c r="G65" s="6">
        <v>2</v>
      </c>
      <c r="H65" s="6">
        <v>30</v>
      </c>
      <c r="I65" s="6">
        <v>0</v>
      </c>
      <c r="J65" s="6">
        <v>2</v>
      </c>
      <c r="K65" s="6">
        <v>30</v>
      </c>
    </row>
    <row r="66" spans="1:11" ht="14.25" customHeight="1" x14ac:dyDescent="0.25">
      <c r="A66" s="6">
        <v>6</v>
      </c>
      <c r="B66" s="6" t="s">
        <v>67</v>
      </c>
      <c r="C66" s="9" t="s">
        <v>26</v>
      </c>
      <c r="D66" s="6" t="s">
        <v>27</v>
      </c>
      <c r="E66" s="6" t="s">
        <v>21</v>
      </c>
      <c r="F66" s="6">
        <v>0</v>
      </c>
      <c r="G66" s="6">
        <v>2</v>
      </c>
      <c r="H66" s="6">
        <v>30</v>
      </c>
      <c r="I66" s="6">
        <v>0</v>
      </c>
      <c r="J66" s="6">
        <v>2</v>
      </c>
      <c r="K66" s="6">
        <v>30</v>
      </c>
    </row>
    <row r="67" spans="1:11" ht="14.25" customHeight="1" x14ac:dyDescent="0.25">
      <c r="A67" s="6">
        <v>6</v>
      </c>
      <c r="B67" s="6" t="s">
        <v>67</v>
      </c>
      <c r="C67" s="8" t="s">
        <v>29</v>
      </c>
      <c r="D67" s="6" t="s">
        <v>16</v>
      </c>
      <c r="E67" s="6" t="s">
        <v>21</v>
      </c>
      <c r="F67" s="6">
        <v>2</v>
      </c>
      <c r="G67" s="6">
        <v>2</v>
      </c>
      <c r="H67" s="6">
        <v>30</v>
      </c>
      <c r="I67" s="6">
        <v>2</v>
      </c>
      <c r="J67" s="6">
        <v>2</v>
      </c>
      <c r="K67" s="6">
        <v>30</v>
      </c>
    </row>
    <row r="68" spans="1:11" ht="14.25" customHeight="1" x14ac:dyDescent="0.25">
      <c r="A68" s="6">
        <v>6</v>
      </c>
      <c r="B68" s="6" t="s">
        <v>67</v>
      </c>
      <c r="C68" s="9" t="s">
        <v>30</v>
      </c>
      <c r="D68" s="6" t="s">
        <v>13</v>
      </c>
      <c r="E68" s="6" t="s">
        <v>21</v>
      </c>
      <c r="F68" s="6">
        <v>0</v>
      </c>
      <c r="G68" s="6">
        <f>PRODUCT(3*6)</f>
        <v>18</v>
      </c>
      <c r="H68" s="6">
        <f>PRODUCT(30*6)</f>
        <v>180</v>
      </c>
      <c r="I68" s="6">
        <v>0</v>
      </c>
      <c r="J68" s="6">
        <f>PRODUCT(3*6)</f>
        <v>18</v>
      </c>
      <c r="K68" s="6">
        <f>PRODUCT(30*6)</f>
        <v>180</v>
      </c>
    </row>
    <row r="69" spans="1:11" ht="14.25" customHeight="1" x14ac:dyDescent="0.25">
      <c r="A69" s="6">
        <v>6</v>
      </c>
      <c r="B69" s="6" t="s">
        <v>67</v>
      </c>
      <c r="C69" s="10" t="s">
        <v>31</v>
      </c>
      <c r="D69" s="6" t="s">
        <v>13</v>
      </c>
      <c r="E69" s="6" t="s">
        <v>21</v>
      </c>
      <c r="F69" s="6">
        <v>0</v>
      </c>
      <c r="G69" s="6">
        <f>PRODUCT(2*6)</f>
        <v>12</v>
      </c>
      <c r="H69" s="6">
        <f>PRODUCT(30*6)</f>
        <v>180</v>
      </c>
      <c r="I69" s="6">
        <v>0</v>
      </c>
      <c r="J69" s="6">
        <f>PRODUCT(2*6)</f>
        <v>12</v>
      </c>
      <c r="K69" s="6">
        <f>PRODUCT(30*6)</f>
        <v>180</v>
      </c>
    </row>
    <row r="70" spans="1:11" ht="14.25" customHeight="1" x14ac:dyDescent="0.25">
      <c r="A70" s="6">
        <v>7</v>
      </c>
      <c r="B70" s="6" t="s">
        <v>75</v>
      </c>
      <c r="C70" s="8" t="s">
        <v>76</v>
      </c>
      <c r="D70" s="6" t="s">
        <v>27</v>
      </c>
      <c r="E70" s="6" t="s">
        <v>14</v>
      </c>
      <c r="F70" s="6">
        <v>3</v>
      </c>
      <c r="G70" s="6">
        <v>2</v>
      </c>
      <c r="H70" s="6">
        <v>30</v>
      </c>
      <c r="I70" s="6">
        <v>3</v>
      </c>
      <c r="J70" s="6">
        <v>2</v>
      </c>
      <c r="K70" s="6">
        <v>30</v>
      </c>
    </row>
    <row r="71" spans="1:11" ht="14.25" customHeight="1" x14ac:dyDescent="0.25">
      <c r="A71" s="6">
        <v>7</v>
      </c>
      <c r="B71" s="6" t="s">
        <v>75</v>
      </c>
      <c r="C71" s="8" t="s">
        <v>77</v>
      </c>
      <c r="D71" s="6" t="s">
        <v>49</v>
      </c>
      <c r="E71" s="6" t="s">
        <v>14</v>
      </c>
      <c r="F71" s="6">
        <v>1</v>
      </c>
      <c r="G71" s="6">
        <v>2</v>
      </c>
      <c r="H71" s="6">
        <f>PRODUCT(30*2)</f>
        <v>60</v>
      </c>
      <c r="I71" s="6">
        <v>2</v>
      </c>
      <c r="J71" s="6">
        <v>2</v>
      </c>
      <c r="K71" s="6">
        <v>60</v>
      </c>
    </row>
    <row r="72" spans="1:11" ht="14.25" customHeight="1" x14ac:dyDescent="0.25">
      <c r="A72" s="6">
        <v>7</v>
      </c>
      <c r="B72" s="6" t="s">
        <v>75</v>
      </c>
      <c r="C72" s="8" t="s">
        <v>78</v>
      </c>
      <c r="D72" s="6" t="s">
        <v>13</v>
      </c>
      <c r="E72" s="6" t="s">
        <v>14</v>
      </c>
      <c r="F72" s="6">
        <v>3</v>
      </c>
      <c r="G72" s="6">
        <f>PRODUCT(3*6)</f>
        <v>18</v>
      </c>
      <c r="H72" s="6">
        <f>PRODUCT(30*6)</f>
        <v>180</v>
      </c>
      <c r="I72" s="6">
        <v>2</v>
      </c>
      <c r="J72" s="6">
        <f>PRODUCT(3*6)</f>
        <v>18</v>
      </c>
      <c r="K72" s="6">
        <f>PRODUCT(30*6)</f>
        <v>180</v>
      </c>
    </row>
    <row r="73" spans="1:11" ht="14.25" customHeight="1" x14ac:dyDescent="0.25">
      <c r="A73" s="6">
        <v>7</v>
      </c>
      <c r="B73" s="6" t="s">
        <v>75</v>
      </c>
      <c r="C73" s="7" t="s">
        <v>20</v>
      </c>
      <c r="D73" s="6" t="s">
        <v>16</v>
      </c>
      <c r="E73" s="6" t="s">
        <v>21</v>
      </c>
      <c r="F73" s="6">
        <v>0</v>
      </c>
      <c r="G73" s="6">
        <v>4</v>
      </c>
      <c r="H73" s="6">
        <v>30</v>
      </c>
      <c r="I73" s="6">
        <v>0</v>
      </c>
      <c r="J73" s="6">
        <v>4</v>
      </c>
      <c r="K73" s="6">
        <v>30</v>
      </c>
    </row>
    <row r="74" spans="1:11" ht="14.25" customHeight="1" x14ac:dyDescent="0.25">
      <c r="A74" s="6">
        <v>7</v>
      </c>
      <c r="B74" s="6" t="s">
        <v>75</v>
      </c>
      <c r="C74" s="8" t="s">
        <v>22</v>
      </c>
      <c r="D74" s="6" t="s">
        <v>23</v>
      </c>
      <c r="E74" s="6" t="s">
        <v>21</v>
      </c>
      <c r="F74" s="6">
        <v>0</v>
      </c>
      <c r="G74" s="6">
        <v>4</v>
      </c>
      <c r="H74" s="6">
        <v>30</v>
      </c>
      <c r="I74" s="6">
        <v>0</v>
      </c>
      <c r="J74" s="6">
        <v>4</v>
      </c>
      <c r="K74" s="6">
        <v>30</v>
      </c>
    </row>
    <row r="75" spans="1:11" ht="14.25" customHeight="1" x14ac:dyDescent="0.25">
      <c r="A75" s="6">
        <v>7</v>
      </c>
      <c r="B75" s="6" t="s">
        <v>75</v>
      </c>
      <c r="C75" s="9" t="s">
        <v>26</v>
      </c>
      <c r="D75" s="6" t="s">
        <v>27</v>
      </c>
      <c r="E75" s="6" t="s">
        <v>21</v>
      </c>
      <c r="F75" s="6">
        <v>0</v>
      </c>
      <c r="G75" s="6">
        <v>4</v>
      </c>
      <c r="H75" s="6">
        <v>30</v>
      </c>
      <c r="I75" s="6">
        <v>0</v>
      </c>
      <c r="J75" s="6">
        <v>4</v>
      </c>
      <c r="K75" s="6">
        <v>30</v>
      </c>
    </row>
    <row r="76" spans="1:11" ht="14.25" customHeight="1" x14ac:dyDescent="0.25">
      <c r="A76" s="6">
        <v>7</v>
      </c>
      <c r="B76" s="6" t="s">
        <v>75</v>
      </c>
      <c r="C76" s="8" t="s">
        <v>29</v>
      </c>
      <c r="D76" s="6" t="s">
        <v>16</v>
      </c>
      <c r="E76" s="6" t="s">
        <v>21</v>
      </c>
      <c r="F76" s="6">
        <v>2</v>
      </c>
      <c r="G76" s="6">
        <v>4</v>
      </c>
      <c r="H76" s="6">
        <v>30</v>
      </c>
      <c r="I76" s="6">
        <v>3</v>
      </c>
      <c r="J76" s="6">
        <v>4</v>
      </c>
      <c r="K76" s="6">
        <v>30</v>
      </c>
    </row>
    <row r="77" spans="1:11" ht="14.25" customHeight="1" x14ac:dyDescent="0.25">
      <c r="A77" s="6">
        <v>7</v>
      </c>
      <c r="B77" s="6" t="s">
        <v>75</v>
      </c>
      <c r="C77" s="9" t="s">
        <v>30</v>
      </c>
      <c r="D77" s="6" t="s">
        <v>13</v>
      </c>
      <c r="E77" s="6" t="s">
        <v>21</v>
      </c>
      <c r="F77" s="6">
        <v>0</v>
      </c>
      <c r="G77" s="6">
        <f>PRODUCT(2*6)</f>
        <v>12</v>
      </c>
      <c r="H77" s="32">
        <f>PRODUCT(30*6)</f>
        <v>180</v>
      </c>
      <c r="I77" s="6">
        <v>0</v>
      </c>
      <c r="J77" s="6">
        <f>PRODUCT(3*6)</f>
        <v>18</v>
      </c>
      <c r="K77" s="6">
        <f>PRODUCT(30*6)</f>
        <v>180</v>
      </c>
    </row>
    <row r="78" spans="1:11" ht="14.25" customHeight="1" x14ac:dyDescent="0.25">
      <c r="A78" s="6">
        <v>7</v>
      </c>
      <c r="B78" s="6" t="s">
        <v>75</v>
      </c>
      <c r="C78" s="10" t="s">
        <v>31</v>
      </c>
      <c r="D78" s="6" t="s">
        <v>13</v>
      </c>
      <c r="E78" s="6" t="s">
        <v>21</v>
      </c>
      <c r="F78" s="6">
        <v>0</v>
      </c>
      <c r="G78" s="6">
        <f>PRODUCT(1*6)</f>
        <v>6</v>
      </c>
      <c r="H78" s="32">
        <f t="shared" ref="H78" si="3">PRODUCT(30*6)</f>
        <v>180</v>
      </c>
      <c r="I78" s="6">
        <v>0</v>
      </c>
      <c r="J78" s="6">
        <f>PRODUCT(1*6)</f>
        <v>6</v>
      </c>
      <c r="K78" s="6">
        <f>PRODUCT(30*6)</f>
        <v>180</v>
      </c>
    </row>
    <row r="79" spans="1:11" ht="14.25" customHeight="1" x14ac:dyDescent="0.25">
      <c r="A79" s="6">
        <v>8</v>
      </c>
      <c r="B79" s="6" t="s">
        <v>79</v>
      </c>
      <c r="C79" s="8" t="s">
        <v>80</v>
      </c>
      <c r="D79" s="6" t="s">
        <v>81</v>
      </c>
      <c r="E79" s="6" t="s">
        <v>14</v>
      </c>
      <c r="F79" s="6">
        <v>1</v>
      </c>
      <c r="G79" s="6">
        <f>PRODUCT(3*3)</f>
        <v>9</v>
      </c>
      <c r="H79" s="32">
        <f>PRODUCT(30*3)</f>
        <v>90</v>
      </c>
      <c r="I79" s="6">
        <v>1</v>
      </c>
      <c r="J79" s="6">
        <f>PRODUCT(3*3)</f>
        <v>9</v>
      </c>
      <c r="K79" s="6">
        <f>PRODUCT(30*3)</f>
        <v>90</v>
      </c>
    </row>
    <row r="80" spans="1:11" ht="14.25" customHeight="1" x14ac:dyDescent="0.25">
      <c r="A80" s="6">
        <v>8</v>
      </c>
      <c r="B80" s="6" t="s">
        <v>79</v>
      </c>
      <c r="C80" s="8" t="s">
        <v>82</v>
      </c>
      <c r="D80" s="6" t="s">
        <v>13</v>
      </c>
      <c r="E80" s="6" t="s">
        <v>14</v>
      </c>
      <c r="F80" s="6">
        <v>0</v>
      </c>
      <c r="G80" s="6">
        <f>PRODUCT(3*6)</f>
        <v>18</v>
      </c>
      <c r="H80" s="6">
        <f>PRODUCT(30*6)</f>
        <v>180</v>
      </c>
      <c r="I80" s="6">
        <v>0</v>
      </c>
      <c r="J80" s="6">
        <f>PRODUCT(3*6)</f>
        <v>18</v>
      </c>
      <c r="K80" s="6">
        <f>PRODUCT(30*6)</f>
        <v>180</v>
      </c>
    </row>
    <row r="81" spans="1:11" ht="14.25" customHeight="1" x14ac:dyDescent="0.25">
      <c r="A81" s="6">
        <v>8</v>
      </c>
      <c r="B81" s="6" t="s">
        <v>79</v>
      </c>
      <c r="C81" s="8" t="s">
        <v>83</v>
      </c>
      <c r="D81" s="6" t="s">
        <v>13</v>
      </c>
      <c r="E81" s="6" t="s">
        <v>14</v>
      </c>
      <c r="F81" s="6">
        <v>0</v>
      </c>
      <c r="G81" s="6">
        <f>PRODUCT(1*6)</f>
        <v>6</v>
      </c>
      <c r="H81" s="6">
        <f>PRODUCT(H75*6)</f>
        <v>180</v>
      </c>
      <c r="I81" s="6">
        <v>0</v>
      </c>
      <c r="J81" s="6">
        <f>PRODUCT(3*6)</f>
        <v>18</v>
      </c>
      <c r="K81" s="6">
        <f t="shared" ref="K81:K82" si="4">PRODUCT(30*6)</f>
        <v>180</v>
      </c>
    </row>
    <row r="82" spans="1:11" ht="14.25" customHeight="1" x14ac:dyDescent="0.25">
      <c r="A82" s="6">
        <v>8</v>
      </c>
      <c r="B82" s="6" t="s">
        <v>79</v>
      </c>
      <c r="C82" s="8" t="s">
        <v>84</v>
      </c>
      <c r="D82" s="6" t="s">
        <v>13</v>
      </c>
      <c r="E82" s="6" t="s">
        <v>14</v>
      </c>
      <c r="F82" s="6">
        <v>3</v>
      </c>
      <c r="G82" s="6">
        <f>PRODUCT(2*6)</f>
        <v>12</v>
      </c>
      <c r="H82" s="6">
        <f>PRODUCT(24*6)</f>
        <v>144</v>
      </c>
      <c r="I82" s="6">
        <v>3</v>
      </c>
      <c r="J82" s="6">
        <f>PRODUCT(2*6)</f>
        <v>12</v>
      </c>
      <c r="K82" s="6">
        <f t="shared" si="4"/>
        <v>180</v>
      </c>
    </row>
    <row r="83" spans="1:11" ht="14.25" customHeight="1" x14ac:dyDescent="0.25">
      <c r="A83" s="6">
        <v>8</v>
      </c>
      <c r="B83" s="6" t="s">
        <v>79</v>
      </c>
      <c r="C83" s="7" t="s">
        <v>20</v>
      </c>
      <c r="D83" s="6" t="s">
        <v>16</v>
      </c>
      <c r="E83" s="6" t="s">
        <v>21</v>
      </c>
      <c r="F83" s="6">
        <v>0</v>
      </c>
      <c r="G83" s="6">
        <v>1</v>
      </c>
      <c r="H83" s="6">
        <v>34</v>
      </c>
      <c r="I83" s="6">
        <v>0</v>
      </c>
      <c r="J83" s="6">
        <v>1</v>
      </c>
      <c r="K83" s="6">
        <v>30</v>
      </c>
    </row>
    <row r="84" spans="1:11" ht="14.25" customHeight="1" x14ac:dyDescent="0.25">
      <c r="A84" s="6">
        <v>8</v>
      </c>
      <c r="B84" s="6" t="s">
        <v>79</v>
      </c>
      <c r="C84" s="8" t="s">
        <v>22</v>
      </c>
      <c r="D84" s="6" t="s">
        <v>23</v>
      </c>
      <c r="E84" s="6" t="s">
        <v>21</v>
      </c>
      <c r="F84" s="6">
        <v>0</v>
      </c>
      <c r="G84" s="6">
        <v>1</v>
      </c>
      <c r="H84" s="6">
        <v>30</v>
      </c>
      <c r="I84" s="6">
        <v>0</v>
      </c>
      <c r="J84" s="6">
        <v>1</v>
      </c>
      <c r="K84" s="6">
        <v>30</v>
      </c>
    </row>
    <row r="85" spans="1:11" ht="14.25" customHeight="1" x14ac:dyDescent="0.25">
      <c r="A85" s="6">
        <v>8</v>
      </c>
      <c r="B85" s="6" t="s">
        <v>79</v>
      </c>
      <c r="C85" s="9" t="s">
        <v>26</v>
      </c>
      <c r="D85" s="6" t="s">
        <v>27</v>
      </c>
      <c r="E85" s="6" t="s">
        <v>21</v>
      </c>
      <c r="F85" s="6">
        <v>0</v>
      </c>
      <c r="G85" s="6">
        <v>1</v>
      </c>
      <c r="H85" s="6">
        <v>30</v>
      </c>
      <c r="I85" s="6">
        <v>0</v>
      </c>
      <c r="J85" s="6">
        <v>1</v>
      </c>
      <c r="K85" s="6">
        <v>30</v>
      </c>
    </row>
    <row r="86" spans="1:11" ht="14.25" customHeight="1" x14ac:dyDescent="0.25">
      <c r="A86" s="6">
        <v>8</v>
      </c>
      <c r="B86" s="6" t="s">
        <v>79</v>
      </c>
      <c r="C86" s="8" t="s">
        <v>29</v>
      </c>
      <c r="D86" s="6" t="s">
        <v>16</v>
      </c>
      <c r="E86" s="6" t="s">
        <v>21</v>
      </c>
      <c r="F86" s="6">
        <v>2</v>
      </c>
      <c r="G86" s="6">
        <v>1</v>
      </c>
      <c r="H86" s="6">
        <v>30</v>
      </c>
      <c r="I86" s="6">
        <v>2</v>
      </c>
      <c r="J86" s="6">
        <v>1</v>
      </c>
      <c r="K86" s="6">
        <v>30</v>
      </c>
    </row>
    <row r="87" spans="1:11" ht="14.25" customHeight="1" x14ac:dyDescent="0.25">
      <c r="A87" s="6">
        <v>8</v>
      </c>
      <c r="B87" s="6" t="s">
        <v>79</v>
      </c>
      <c r="C87" s="9" t="s">
        <v>30</v>
      </c>
      <c r="D87" s="6" t="s">
        <v>13</v>
      </c>
      <c r="E87" s="6" t="s">
        <v>21</v>
      </c>
      <c r="F87" s="6">
        <v>0</v>
      </c>
      <c r="G87" s="6">
        <f>PRODUCT(2*6)</f>
        <v>12</v>
      </c>
      <c r="H87" s="6">
        <f>PRODUCT(10*6)</f>
        <v>60</v>
      </c>
      <c r="I87" s="6">
        <v>0</v>
      </c>
      <c r="J87" s="6">
        <f>PRODUCT(2*6)</f>
        <v>12</v>
      </c>
      <c r="K87" s="6">
        <f>PRODUCT(30*6)</f>
        <v>180</v>
      </c>
    </row>
    <row r="88" spans="1:11" ht="14.25" customHeight="1" x14ac:dyDescent="0.25">
      <c r="A88" s="6">
        <v>8</v>
      </c>
      <c r="B88" s="6" t="s">
        <v>79</v>
      </c>
      <c r="C88" s="10" t="s">
        <v>31</v>
      </c>
      <c r="D88" s="6" t="s">
        <v>13</v>
      </c>
      <c r="E88" s="6" t="s">
        <v>21</v>
      </c>
      <c r="F88" s="6">
        <v>0</v>
      </c>
      <c r="G88" s="6">
        <f>PRODUCT(3*6)</f>
        <v>18</v>
      </c>
      <c r="H88" s="6">
        <f>PRODUCT(30*6)</f>
        <v>180</v>
      </c>
      <c r="I88" s="6">
        <v>0</v>
      </c>
      <c r="J88" s="6">
        <f>PRODUCT(3*6)</f>
        <v>18</v>
      </c>
      <c r="K88" s="6">
        <f>PRODUCT(30*6)</f>
        <v>180</v>
      </c>
    </row>
    <row r="89" spans="1:11" ht="14.25" customHeight="1" x14ac:dyDescent="0.25">
      <c r="A89" s="6" t="s">
        <v>85</v>
      </c>
      <c r="B89" s="6"/>
      <c r="C89" s="11">
        <f>COUNTA(C3:C88)</f>
        <v>86</v>
      </c>
      <c r="D89" s="6"/>
      <c r="E89" s="6"/>
      <c r="F89" s="12">
        <f>SUM(F2:F88)</f>
        <v>42</v>
      </c>
      <c r="G89" s="13">
        <f>SUM(G3:G88)</f>
        <v>426</v>
      </c>
      <c r="H89" s="14">
        <f t="shared" ref="H89:I89" si="5">SUM(H2:H88)</f>
        <v>7256</v>
      </c>
      <c r="I89" s="13">
        <f t="shared" si="5"/>
        <v>43</v>
      </c>
      <c r="J89" s="13">
        <f>SUM(J3:J88)</f>
        <v>472</v>
      </c>
      <c r="K89" s="14">
        <f>SUM(K2:K88)</f>
        <v>7590</v>
      </c>
    </row>
    <row r="90" spans="1:11" ht="14.25" customHeight="1" x14ac:dyDescent="0.25"/>
    <row r="91" spans="1:11" ht="14.25" customHeight="1" x14ac:dyDescent="0.25">
      <c r="B91" s="33" t="s">
        <v>101</v>
      </c>
      <c r="C91" s="33" t="s">
        <v>102</v>
      </c>
    </row>
    <row r="92" spans="1:11" ht="14.25" customHeight="1" x14ac:dyDescent="0.25">
      <c r="B92" s="33" t="s">
        <v>96</v>
      </c>
      <c r="C92" s="33">
        <f>SUM(K88+K78+K69+K58+K49+K37+K25+K14)</f>
        <v>1320</v>
      </c>
    </row>
    <row r="93" spans="1:11" ht="14.25" customHeight="1" x14ac:dyDescent="0.25">
      <c r="B93" s="33" t="s">
        <v>30</v>
      </c>
      <c r="C93" s="33">
        <f>SUM(K87+K77+K68+K57+K48+K36+K22+K13)</f>
        <v>1440</v>
      </c>
    </row>
    <row r="94" spans="1:11" ht="14.25" customHeight="1" x14ac:dyDescent="0.25">
      <c r="B94" s="33" t="s">
        <v>97</v>
      </c>
      <c r="C94" s="33">
        <f t="shared" ref="C94:C99" si="6">PRODUCT(30*8)</f>
        <v>240</v>
      </c>
    </row>
    <row r="95" spans="1:11" ht="14.25" customHeight="1" x14ac:dyDescent="0.25">
      <c r="B95" s="33" t="s">
        <v>26</v>
      </c>
      <c r="C95" s="33">
        <f t="shared" si="6"/>
        <v>240</v>
      </c>
    </row>
    <row r="96" spans="1:11" ht="14.25" customHeight="1" x14ac:dyDescent="0.25">
      <c r="B96" s="33" t="s">
        <v>98</v>
      </c>
      <c r="C96" s="33">
        <f t="shared" si="6"/>
        <v>240</v>
      </c>
    </row>
    <row r="97" spans="2:3" ht="14.25" customHeight="1" x14ac:dyDescent="0.25">
      <c r="B97" s="33" t="s">
        <v>20</v>
      </c>
      <c r="C97" s="33">
        <f t="shared" si="6"/>
        <v>240</v>
      </c>
    </row>
    <row r="98" spans="2:3" ht="14.25" customHeight="1" x14ac:dyDescent="0.25">
      <c r="B98" s="33" t="s">
        <v>99</v>
      </c>
      <c r="C98" s="33">
        <f t="shared" si="6"/>
        <v>240</v>
      </c>
    </row>
    <row r="99" spans="2:3" ht="14.25" customHeight="1" x14ac:dyDescent="0.25">
      <c r="B99" s="33" t="s">
        <v>100</v>
      </c>
      <c r="C99" s="33">
        <f t="shared" si="6"/>
        <v>240</v>
      </c>
    </row>
    <row r="100" spans="2:3" ht="14.25" customHeight="1" x14ac:dyDescent="0.25"/>
    <row r="101" spans="2:3" ht="14.25" customHeight="1" x14ac:dyDescent="0.25"/>
    <row r="102" spans="2:3" ht="14.25" customHeight="1" x14ac:dyDescent="0.25"/>
    <row r="103" spans="2:3" ht="14.25" customHeight="1" x14ac:dyDescent="0.25"/>
    <row r="104" spans="2:3" ht="14.25" customHeight="1" x14ac:dyDescent="0.25">
      <c r="B104" s="16" t="s">
        <v>88</v>
      </c>
      <c r="C104" s="18" t="s">
        <v>103</v>
      </c>
    </row>
    <row r="105" spans="2:3" ht="14.25" customHeight="1" x14ac:dyDescent="0.25">
      <c r="B105" s="19" t="s">
        <v>26</v>
      </c>
      <c r="C105" s="18">
        <v>240</v>
      </c>
    </row>
    <row r="106" spans="2:3" ht="14.25" customHeight="1" x14ac:dyDescent="0.25">
      <c r="B106" s="21" t="s">
        <v>96</v>
      </c>
      <c r="C106" s="20">
        <v>1320</v>
      </c>
    </row>
    <row r="107" spans="2:3" ht="14.25" customHeight="1" x14ac:dyDescent="0.25">
      <c r="B107" s="21" t="s">
        <v>98</v>
      </c>
      <c r="C107" s="20">
        <v>240</v>
      </c>
    </row>
    <row r="108" spans="2:3" ht="14.25" customHeight="1" x14ac:dyDescent="0.25">
      <c r="B108" s="21" t="s">
        <v>99</v>
      </c>
      <c r="C108" s="20">
        <v>240</v>
      </c>
    </row>
    <row r="109" spans="2:3" ht="14.25" customHeight="1" x14ac:dyDescent="0.25">
      <c r="B109" s="21" t="s">
        <v>20</v>
      </c>
      <c r="C109" s="20">
        <v>240</v>
      </c>
    </row>
    <row r="110" spans="2:3" ht="14.25" customHeight="1" x14ac:dyDescent="0.25">
      <c r="B110" s="21" t="s">
        <v>30</v>
      </c>
      <c r="C110" s="20">
        <v>1440</v>
      </c>
    </row>
    <row r="111" spans="2:3" ht="14.25" customHeight="1" x14ac:dyDescent="0.25">
      <c r="B111" s="21" t="s">
        <v>100</v>
      </c>
      <c r="C111" s="20">
        <v>240</v>
      </c>
    </row>
    <row r="112" spans="2:3" ht="14.25" customHeight="1" x14ac:dyDescent="0.25">
      <c r="B112" s="21" t="s">
        <v>97</v>
      </c>
      <c r="C112" s="20">
        <v>240</v>
      </c>
    </row>
    <row r="113" spans="2:3" ht="14.25" customHeight="1" x14ac:dyDescent="0.25">
      <c r="B113" s="22" t="s">
        <v>89</v>
      </c>
      <c r="C113" s="23">
        <v>4200</v>
      </c>
    </row>
    <row r="114" spans="2:3" ht="14.25" customHeight="1" x14ac:dyDescent="0.25"/>
    <row r="115" spans="2:3" ht="14.25" customHeight="1" x14ac:dyDescent="0.25"/>
    <row r="116" spans="2:3" ht="14.25" customHeight="1" x14ac:dyDescent="0.25"/>
    <row r="117" spans="2:3" ht="14.25" customHeight="1" x14ac:dyDescent="0.25"/>
    <row r="118" spans="2:3" ht="14.25" customHeight="1" x14ac:dyDescent="0.25"/>
    <row r="119" spans="2:3" ht="14.25" customHeight="1" x14ac:dyDescent="0.25"/>
    <row r="120" spans="2:3" ht="14.25" customHeight="1" x14ac:dyDescent="0.25"/>
    <row r="121" spans="2:3" ht="14.25" customHeight="1" x14ac:dyDescent="0.25"/>
    <row r="122" spans="2:3" ht="14.25" customHeight="1" x14ac:dyDescent="0.25"/>
    <row r="123" spans="2:3" ht="14.25" customHeight="1" x14ac:dyDescent="0.25"/>
    <row r="124" spans="2:3" ht="14.25" customHeight="1" x14ac:dyDescent="0.25"/>
    <row r="125" spans="2:3" ht="14.25" customHeight="1" x14ac:dyDescent="0.25"/>
    <row r="126" spans="2:3" ht="14.25" customHeight="1" x14ac:dyDescent="0.25"/>
    <row r="127" spans="2:3" ht="14.25" customHeight="1" x14ac:dyDescent="0.25"/>
    <row r="128" spans="2:3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</sheetData>
  <dataValidations count="2">
    <dataValidation type="list" allowBlank="1" showErrorMessage="1" sqref="I2:I88 F2:F88" xr:uid="{708CB3D4-440B-4BFF-B818-EB463A64D258}">
      <formula1>"3,1,2,0"</formula1>
    </dataValidation>
    <dataValidation type="list" allowBlank="1" showErrorMessage="1" sqref="E2:E88" xr:uid="{4248F972-A66D-47FB-A21C-FBCF7A3CABED}">
      <formula1>"Unico,Común"</formula1>
    </dataValidation>
  </dataValidations>
  <pageMargins left="0.7" right="0.7" top="0.75" bottom="0.75" header="0" footer="0"/>
  <pageSetup orientation="landscape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AD6D-D5E7-4DC4-BA97-87130F9AA67B}">
  <dimension ref="A1:AD1003"/>
  <sheetViews>
    <sheetView tabSelected="1" topLeftCell="L47" zoomScale="52" zoomScaleNormal="100" workbookViewId="0">
      <selection activeCell="AA92" sqref="AA92"/>
    </sheetView>
  </sheetViews>
  <sheetFormatPr baseColWidth="10" defaultColWidth="12.5703125" defaultRowHeight="15" customHeight="1" x14ac:dyDescent="0.25"/>
  <cols>
    <col min="1" max="1" width="8.140625" customWidth="1"/>
    <col min="2" max="2" width="31.7109375" bestFit="1" customWidth="1"/>
    <col min="3" max="3" width="29.140625" bestFit="1" customWidth="1"/>
    <col min="4" max="4" width="35" customWidth="1"/>
    <col min="5" max="5" width="11.85546875" customWidth="1"/>
    <col min="6" max="6" width="20.28515625" customWidth="1"/>
    <col min="7" max="7" width="27.42578125" customWidth="1"/>
    <col min="8" max="8" width="20.42578125" customWidth="1"/>
    <col min="9" max="9" width="23.28515625" customWidth="1"/>
    <col min="10" max="10" width="26.7109375" customWidth="1"/>
    <col min="11" max="11" width="19.42578125" customWidth="1"/>
    <col min="12" max="13" width="10.5703125" customWidth="1"/>
    <col min="14" max="14" width="23.42578125" bestFit="1" customWidth="1"/>
    <col min="15" max="15" width="26.42578125" bestFit="1" customWidth="1"/>
    <col min="16" max="16" width="33.5703125" bestFit="1" customWidth="1"/>
    <col min="17" max="17" width="33.42578125" customWidth="1"/>
    <col min="18" max="18" width="27" bestFit="1" customWidth="1"/>
    <col min="19" max="19" width="35.28515625" bestFit="1" customWidth="1"/>
    <col min="20" max="20" width="28.140625" bestFit="1" customWidth="1"/>
    <col min="21" max="21" width="15.7109375" bestFit="1" customWidth="1"/>
    <col min="22" max="22" width="28.85546875" bestFit="1" customWidth="1"/>
    <col min="23" max="23" width="29.140625" bestFit="1" customWidth="1"/>
    <col min="24" max="24" width="31.7109375" bestFit="1" customWidth="1"/>
    <col min="25" max="25" width="28.85546875" customWidth="1"/>
    <col min="26" max="26" width="35.28515625" bestFit="1" customWidth="1"/>
    <col min="27" max="27" width="28.140625" bestFit="1" customWidth="1"/>
    <col min="28" max="28" width="31.5703125" bestFit="1" customWidth="1"/>
    <col min="29" max="29" width="33.5703125" bestFit="1" customWidth="1"/>
    <col min="30" max="30" width="26.42578125" bestFit="1" customWidth="1"/>
  </cols>
  <sheetData>
    <row r="1" spans="1:30" ht="14.2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</row>
    <row r="2" spans="1:30" ht="14.25" customHeight="1" x14ac:dyDescent="0.25">
      <c r="A2" s="5">
        <v>1</v>
      </c>
      <c r="B2" s="6" t="s">
        <v>11</v>
      </c>
      <c r="C2" s="5" t="s">
        <v>12</v>
      </c>
      <c r="D2" s="6" t="s">
        <v>13</v>
      </c>
      <c r="E2" s="5" t="s">
        <v>14</v>
      </c>
      <c r="F2" s="6">
        <v>0</v>
      </c>
      <c r="G2" s="6">
        <v>19</v>
      </c>
      <c r="H2" s="6">
        <v>50</v>
      </c>
      <c r="I2" s="6">
        <v>0</v>
      </c>
      <c r="J2" s="6">
        <f>PRODUCT(3*6)</f>
        <v>18</v>
      </c>
      <c r="K2" s="6">
        <v>60</v>
      </c>
    </row>
    <row r="3" spans="1:30" ht="14.25" customHeight="1" x14ac:dyDescent="0.25">
      <c r="A3" s="5">
        <v>1</v>
      </c>
      <c r="B3" s="6" t="s">
        <v>11</v>
      </c>
      <c r="C3" s="5" t="s">
        <v>15</v>
      </c>
      <c r="D3" s="6" t="s">
        <v>16</v>
      </c>
      <c r="E3" s="5" t="s">
        <v>14</v>
      </c>
      <c r="F3" s="6">
        <v>0</v>
      </c>
      <c r="G3" s="6">
        <v>3</v>
      </c>
      <c r="H3" s="6">
        <v>68</v>
      </c>
      <c r="I3" s="6">
        <v>0</v>
      </c>
      <c r="J3" s="6">
        <v>3</v>
      </c>
      <c r="K3" s="6">
        <v>58</v>
      </c>
      <c r="N3" s="17" t="s">
        <v>88</v>
      </c>
      <c r="O3" s="16" t="s">
        <v>90</v>
      </c>
      <c r="P3" s="29" t="s">
        <v>91</v>
      </c>
      <c r="Q3" s="29" t="s">
        <v>92</v>
      </c>
      <c r="R3" s="29" t="s">
        <v>95</v>
      </c>
      <c r="S3" s="29" t="s">
        <v>94</v>
      </c>
      <c r="T3" s="24" t="s">
        <v>93</v>
      </c>
      <c r="X3" s="17" t="s">
        <v>88</v>
      </c>
      <c r="Y3" s="16" t="s">
        <v>95</v>
      </c>
      <c r="Z3" s="29" t="s">
        <v>94</v>
      </c>
      <c r="AA3" s="29" t="s">
        <v>93</v>
      </c>
      <c r="AB3" s="29" t="s">
        <v>92</v>
      </c>
      <c r="AC3" s="29" t="s">
        <v>91</v>
      </c>
      <c r="AD3" s="24" t="s">
        <v>90</v>
      </c>
    </row>
    <row r="4" spans="1:30" ht="14.25" customHeight="1" x14ac:dyDescent="0.25">
      <c r="A4" s="5">
        <v>1</v>
      </c>
      <c r="B4" s="6" t="s">
        <v>11</v>
      </c>
      <c r="C4" s="5" t="s">
        <v>17</v>
      </c>
      <c r="D4" s="6" t="s">
        <v>13</v>
      </c>
      <c r="E4" s="6" t="s">
        <v>14</v>
      </c>
      <c r="F4" s="6">
        <v>0</v>
      </c>
      <c r="G4" s="6">
        <v>15</v>
      </c>
      <c r="H4" s="6">
        <v>350</v>
      </c>
      <c r="I4" s="6">
        <v>0</v>
      </c>
      <c r="J4" s="6">
        <f>PRODUCT(2*6)</f>
        <v>12</v>
      </c>
      <c r="K4" s="6">
        <f>PRODUCT(60*6)</f>
        <v>360</v>
      </c>
      <c r="N4" s="19" t="s">
        <v>32</v>
      </c>
      <c r="O4" s="45">
        <v>360</v>
      </c>
      <c r="P4" s="46">
        <v>19</v>
      </c>
      <c r="Q4" s="46">
        <v>1</v>
      </c>
      <c r="R4" s="46">
        <v>2</v>
      </c>
      <c r="S4" s="46">
        <v>18</v>
      </c>
      <c r="T4" s="47">
        <v>352</v>
      </c>
      <c r="X4" s="19" t="s">
        <v>32</v>
      </c>
      <c r="Y4" s="45">
        <v>3</v>
      </c>
      <c r="Z4" s="46">
        <v>37</v>
      </c>
      <c r="AA4" s="46">
        <v>775</v>
      </c>
      <c r="AB4" s="46">
        <v>2</v>
      </c>
      <c r="AC4" s="46">
        <v>35</v>
      </c>
      <c r="AD4" s="47">
        <v>765</v>
      </c>
    </row>
    <row r="5" spans="1:30" ht="14.25" customHeight="1" x14ac:dyDescent="0.25">
      <c r="A5" s="5">
        <v>1</v>
      </c>
      <c r="B5" s="6" t="s">
        <v>11</v>
      </c>
      <c r="C5" s="5" t="s">
        <v>18</v>
      </c>
      <c r="D5" s="6" t="s">
        <v>13</v>
      </c>
      <c r="E5" s="5" t="s">
        <v>14</v>
      </c>
      <c r="F5" s="6">
        <v>0</v>
      </c>
      <c r="G5" s="6">
        <v>8</v>
      </c>
      <c r="H5" s="6">
        <v>380</v>
      </c>
      <c r="I5" s="6">
        <v>0</v>
      </c>
      <c r="J5" s="6">
        <f>PRODUCT(1*6)</f>
        <v>6</v>
      </c>
      <c r="K5" s="6">
        <f>PRODUCT(65*6)</f>
        <v>390</v>
      </c>
      <c r="N5" s="21" t="s">
        <v>11</v>
      </c>
      <c r="O5" s="48">
        <v>560</v>
      </c>
      <c r="P5" s="49">
        <v>24</v>
      </c>
      <c r="Q5" s="49">
        <v>7</v>
      </c>
      <c r="R5" s="49">
        <v>5</v>
      </c>
      <c r="S5" s="49">
        <v>21</v>
      </c>
      <c r="T5" s="50">
        <v>549</v>
      </c>
      <c r="X5" s="21" t="s">
        <v>11</v>
      </c>
      <c r="Y5" s="48">
        <v>4</v>
      </c>
      <c r="Z5" s="49">
        <v>77</v>
      </c>
      <c r="AA5" s="49">
        <v>1399</v>
      </c>
      <c r="AB5" s="49">
        <v>5</v>
      </c>
      <c r="AC5" s="49">
        <v>70</v>
      </c>
      <c r="AD5" s="50">
        <v>1429</v>
      </c>
    </row>
    <row r="6" spans="1:30" ht="14.25" customHeight="1" x14ac:dyDescent="0.25">
      <c r="A6" s="5">
        <v>1</v>
      </c>
      <c r="B6" s="6" t="s">
        <v>11</v>
      </c>
      <c r="C6" s="5" t="s">
        <v>19</v>
      </c>
      <c r="D6" s="6" t="s">
        <v>16</v>
      </c>
      <c r="E6" s="5" t="s">
        <v>14</v>
      </c>
      <c r="F6" s="6">
        <v>0</v>
      </c>
      <c r="G6" s="6">
        <v>1</v>
      </c>
      <c r="H6" s="6">
        <v>20</v>
      </c>
      <c r="I6" s="6">
        <v>0</v>
      </c>
      <c r="J6" s="6">
        <v>1</v>
      </c>
      <c r="K6" s="6">
        <v>30</v>
      </c>
      <c r="N6" s="21" t="s">
        <v>51</v>
      </c>
      <c r="O6" s="48">
        <v>330</v>
      </c>
      <c r="P6" s="49">
        <v>19</v>
      </c>
      <c r="Q6" s="49">
        <v>2</v>
      </c>
      <c r="R6" s="49">
        <v>2</v>
      </c>
      <c r="S6" s="49">
        <v>18</v>
      </c>
      <c r="T6" s="50">
        <v>310</v>
      </c>
      <c r="X6" s="21" t="s">
        <v>51</v>
      </c>
      <c r="Y6" s="48">
        <v>3</v>
      </c>
      <c r="Z6" s="49">
        <v>54</v>
      </c>
      <c r="AA6" s="49">
        <v>695</v>
      </c>
      <c r="AB6" s="49">
        <v>2</v>
      </c>
      <c r="AC6" s="49">
        <v>52</v>
      </c>
      <c r="AD6" s="50">
        <v>665</v>
      </c>
    </row>
    <row r="7" spans="1:30" ht="14.25" customHeight="1" x14ac:dyDescent="0.25">
      <c r="A7" s="5">
        <v>1</v>
      </c>
      <c r="B7" s="6" t="s">
        <v>11</v>
      </c>
      <c r="C7" s="5" t="s">
        <v>20</v>
      </c>
      <c r="D7" s="6" t="s">
        <v>16</v>
      </c>
      <c r="E7" s="6" t="s">
        <v>21</v>
      </c>
      <c r="F7" s="6">
        <v>0</v>
      </c>
      <c r="G7" s="6">
        <v>2</v>
      </c>
      <c r="H7" s="6">
        <v>37</v>
      </c>
      <c r="I7" s="6">
        <v>0</v>
      </c>
      <c r="J7" s="6">
        <v>1</v>
      </c>
      <c r="K7" s="6">
        <v>27</v>
      </c>
      <c r="N7" s="21" t="s">
        <v>41</v>
      </c>
      <c r="O7" s="48">
        <v>380</v>
      </c>
      <c r="P7" s="49">
        <v>22</v>
      </c>
      <c r="Q7" s="49">
        <v>3</v>
      </c>
      <c r="R7" s="49">
        <v>2</v>
      </c>
      <c r="S7" s="49">
        <v>21</v>
      </c>
      <c r="T7" s="50">
        <v>391</v>
      </c>
      <c r="X7" s="21" t="s">
        <v>41</v>
      </c>
      <c r="Y7" s="48">
        <v>1</v>
      </c>
      <c r="Z7" s="49">
        <v>62</v>
      </c>
      <c r="AA7" s="49">
        <v>1059</v>
      </c>
      <c r="AB7" s="49">
        <v>2</v>
      </c>
      <c r="AC7" s="49">
        <v>61</v>
      </c>
      <c r="AD7" s="50">
        <v>1079</v>
      </c>
    </row>
    <row r="8" spans="1:30" ht="14.25" customHeight="1" x14ac:dyDescent="0.25">
      <c r="A8" s="5">
        <v>1</v>
      </c>
      <c r="B8" s="6" t="s">
        <v>11</v>
      </c>
      <c r="C8" s="5" t="s">
        <v>22</v>
      </c>
      <c r="D8" s="6" t="s">
        <v>23</v>
      </c>
      <c r="E8" s="6" t="s">
        <v>21</v>
      </c>
      <c r="F8" s="6">
        <v>0</v>
      </c>
      <c r="G8" s="6">
        <v>1</v>
      </c>
      <c r="H8" s="6">
        <v>20</v>
      </c>
      <c r="I8" s="6">
        <v>0</v>
      </c>
      <c r="J8" s="6">
        <v>1</v>
      </c>
      <c r="K8" s="6">
        <v>30</v>
      </c>
      <c r="N8" s="22" t="s">
        <v>89</v>
      </c>
      <c r="O8" s="51">
        <v>1630</v>
      </c>
      <c r="P8" s="52">
        <v>84</v>
      </c>
      <c r="Q8" s="52">
        <v>13</v>
      </c>
      <c r="R8" s="52">
        <v>11</v>
      </c>
      <c r="S8" s="52">
        <v>78</v>
      </c>
      <c r="T8" s="53">
        <v>1602</v>
      </c>
      <c r="X8" s="22" t="s">
        <v>89</v>
      </c>
      <c r="Y8" s="51">
        <v>11</v>
      </c>
      <c r="Z8" s="52">
        <v>230</v>
      </c>
      <c r="AA8" s="52">
        <v>3928</v>
      </c>
      <c r="AB8" s="52">
        <v>11</v>
      </c>
      <c r="AC8" s="52">
        <v>218</v>
      </c>
      <c r="AD8" s="53">
        <v>3938</v>
      </c>
    </row>
    <row r="9" spans="1:30" ht="14.25" customHeight="1" x14ac:dyDescent="0.25">
      <c r="A9" s="5">
        <v>1</v>
      </c>
      <c r="B9" s="6" t="s">
        <v>11</v>
      </c>
      <c r="C9" s="5" t="s">
        <v>24</v>
      </c>
      <c r="D9" s="6" t="s">
        <v>25</v>
      </c>
      <c r="E9" s="6" t="s">
        <v>21</v>
      </c>
      <c r="F9" s="6">
        <v>3</v>
      </c>
      <c r="G9" s="6">
        <v>5</v>
      </c>
      <c r="H9" s="6">
        <v>97</v>
      </c>
      <c r="I9" s="6">
        <v>3</v>
      </c>
      <c r="J9" s="6">
        <f>PRODUCT(2*2)</f>
        <v>4</v>
      </c>
      <c r="K9" s="6">
        <v>87</v>
      </c>
      <c r="N9" s="44" t="s">
        <v>108</v>
      </c>
      <c r="X9" s="44" t="s">
        <v>105</v>
      </c>
    </row>
    <row r="10" spans="1:30" ht="14.25" customHeight="1" x14ac:dyDescent="0.25">
      <c r="A10" s="5">
        <v>1</v>
      </c>
      <c r="B10" s="6" t="s">
        <v>11</v>
      </c>
      <c r="C10" s="5" t="s">
        <v>26</v>
      </c>
      <c r="D10" s="6" t="s">
        <v>27</v>
      </c>
      <c r="E10" s="6" t="s">
        <v>21</v>
      </c>
      <c r="F10" s="6">
        <v>0</v>
      </c>
      <c r="G10" s="6">
        <v>2</v>
      </c>
      <c r="H10" s="6">
        <v>20</v>
      </c>
      <c r="I10" s="6">
        <v>0</v>
      </c>
      <c r="J10" s="6">
        <v>2</v>
      </c>
      <c r="K10" s="6">
        <v>30</v>
      </c>
    </row>
    <row r="11" spans="1:30" ht="14.25" customHeight="1" x14ac:dyDescent="0.25">
      <c r="A11" s="5">
        <v>1</v>
      </c>
      <c r="B11" s="6" t="s">
        <v>11</v>
      </c>
      <c r="C11" s="5" t="s">
        <v>28</v>
      </c>
      <c r="D11" s="6" t="s">
        <v>27</v>
      </c>
      <c r="E11" s="6" t="s">
        <v>21</v>
      </c>
      <c r="F11" s="6">
        <v>0</v>
      </c>
      <c r="G11" s="6">
        <v>2</v>
      </c>
      <c r="H11" s="6">
        <v>37</v>
      </c>
      <c r="I11" s="6">
        <v>0</v>
      </c>
      <c r="J11" s="6">
        <v>2</v>
      </c>
      <c r="K11" s="6">
        <v>27</v>
      </c>
    </row>
    <row r="12" spans="1:30" ht="14.25" customHeight="1" x14ac:dyDescent="0.25">
      <c r="A12" s="5">
        <v>1</v>
      </c>
      <c r="B12" s="6" t="s">
        <v>11</v>
      </c>
      <c r="C12" s="6" t="s">
        <v>29</v>
      </c>
      <c r="D12" s="6" t="s">
        <v>16</v>
      </c>
      <c r="E12" s="6" t="s">
        <v>21</v>
      </c>
      <c r="F12" s="6">
        <v>1</v>
      </c>
      <c r="G12" s="6">
        <v>3</v>
      </c>
      <c r="H12" s="6">
        <v>20</v>
      </c>
      <c r="I12" s="6">
        <v>2</v>
      </c>
      <c r="J12" s="6">
        <v>2</v>
      </c>
      <c r="K12" s="6">
        <v>30</v>
      </c>
    </row>
    <row r="13" spans="1:30" ht="14.25" customHeight="1" x14ac:dyDescent="0.25">
      <c r="A13" s="5">
        <v>1</v>
      </c>
      <c r="B13" s="6" t="s">
        <v>11</v>
      </c>
      <c r="C13" s="5" t="s">
        <v>30</v>
      </c>
      <c r="D13" s="6" t="s">
        <v>13</v>
      </c>
      <c r="E13" s="6" t="s">
        <v>21</v>
      </c>
      <c r="F13" s="6">
        <v>0</v>
      </c>
      <c r="G13" s="6">
        <v>10</v>
      </c>
      <c r="H13" s="6">
        <v>190</v>
      </c>
      <c r="I13" s="6">
        <v>0</v>
      </c>
      <c r="J13" s="6">
        <f>PRODUCT(2*6)</f>
        <v>12</v>
      </c>
      <c r="K13" s="6">
        <f>PRODUCT(30*6)</f>
        <v>180</v>
      </c>
    </row>
    <row r="14" spans="1:30" ht="14.25" customHeight="1" x14ac:dyDescent="0.25">
      <c r="A14" s="5">
        <v>1</v>
      </c>
      <c r="B14" s="6" t="s">
        <v>11</v>
      </c>
      <c r="C14" s="5" t="s">
        <v>31</v>
      </c>
      <c r="D14" s="6" t="s">
        <v>13</v>
      </c>
      <c r="E14" s="6" t="s">
        <v>21</v>
      </c>
      <c r="F14" s="6">
        <v>0</v>
      </c>
      <c r="G14" s="6">
        <f>PRODUCT(1*6)</f>
        <v>6</v>
      </c>
      <c r="H14" s="6">
        <v>110</v>
      </c>
      <c r="I14" s="6">
        <v>0</v>
      </c>
      <c r="J14" s="6">
        <f>PRODUCT(1*6)</f>
        <v>6</v>
      </c>
      <c r="K14" s="6">
        <f>PRODUCT(20*6)</f>
        <v>120</v>
      </c>
    </row>
    <row r="15" spans="1:30" ht="14.25" customHeight="1" x14ac:dyDescent="0.25">
      <c r="A15" s="5">
        <v>2</v>
      </c>
      <c r="B15" s="5" t="s">
        <v>32</v>
      </c>
      <c r="C15" s="5" t="s">
        <v>33</v>
      </c>
      <c r="D15" s="6" t="s">
        <v>16</v>
      </c>
      <c r="E15" s="6" t="s">
        <v>14</v>
      </c>
      <c r="F15" s="6">
        <v>0</v>
      </c>
      <c r="G15" s="6">
        <v>1</v>
      </c>
      <c r="H15" s="6">
        <v>40</v>
      </c>
      <c r="I15" s="6">
        <v>0</v>
      </c>
      <c r="J15" s="6">
        <v>1</v>
      </c>
      <c r="K15" s="6">
        <v>30</v>
      </c>
    </row>
    <row r="16" spans="1:30" ht="14.25" customHeight="1" x14ac:dyDescent="0.25">
      <c r="A16" s="5">
        <v>2</v>
      </c>
      <c r="B16" s="5" t="s">
        <v>32</v>
      </c>
      <c r="C16" s="5" t="s">
        <v>34</v>
      </c>
      <c r="D16" s="6" t="s">
        <v>35</v>
      </c>
      <c r="E16" s="6" t="s">
        <v>14</v>
      </c>
      <c r="F16" s="6">
        <v>0</v>
      </c>
      <c r="G16" s="6">
        <v>5</v>
      </c>
      <c r="H16" s="6">
        <v>42</v>
      </c>
      <c r="I16" s="6">
        <v>0</v>
      </c>
      <c r="J16" s="6">
        <f>PRODUCT(1*2)</f>
        <v>2</v>
      </c>
      <c r="K16" s="6">
        <f>PRODUCT(26*2)</f>
        <v>52</v>
      </c>
    </row>
    <row r="17" spans="1:11" ht="14.25" customHeight="1" x14ac:dyDescent="0.25">
      <c r="A17" s="5">
        <v>2</v>
      </c>
      <c r="B17" s="5" t="s">
        <v>32</v>
      </c>
      <c r="C17" s="5" t="s">
        <v>36</v>
      </c>
      <c r="D17" s="6" t="s">
        <v>37</v>
      </c>
      <c r="E17" s="6" t="s">
        <v>14</v>
      </c>
      <c r="F17" s="6">
        <v>0</v>
      </c>
      <c r="G17" s="6">
        <f t="shared" ref="G17:G21" si="0">PRODUCT(1*2)</f>
        <v>2</v>
      </c>
      <c r="H17" s="6">
        <v>40</v>
      </c>
      <c r="I17" s="6">
        <v>0</v>
      </c>
      <c r="J17" s="6">
        <f t="shared" ref="J17:J21" si="1">PRODUCT(1*2)</f>
        <v>2</v>
      </c>
      <c r="K17" s="6">
        <v>30</v>
      </c>
    </row>
    <row r="18" spans="1:11" ht="14.25" customHeight="1" x14ac:dyDescent="0.25">
      <c r="A18" s="5">
        <v>2</v>
      </c>
      <c r="B18" s="5" t="s">
        <v>32</v>
      </c>
      <c r="C18" s="5" t="s">
        <v>38</v>
      </c>
      <c r="D18" s="6" t="s">
        <v>39</v>
      </c>
      <c r="E18" s="6" t="s">
        <v>14</v>
      </c>
      <c r="F18" s="6">
        <v>0</v>
      </c>
      <c r="G18" s="6">
        <f t="shared" si="0"/>
        <v>2</v>
      </c>
      <c r="H18" s="6">
        <v>130</v>
      </c>
      <c r="I18" s="6">
        <v>0</v>
      </c>
      <c r="J18" s="6">
        <f t="shared" si="1"/>
        <v>2</v>
      </c>
      <c r="K18" s="6">
        <v>120</v>
      </c>
    </row>
    <row r="19" spans="1:11" ht="14.25" customHeight="1" x14ac:dyDescent="0.25">
      <c r="A19" s="5">
        <v>2</v>
      </c>
      <c r="B19" s="5" t="s">
        <v>32</v>
      </c>
      <c r="C19" s="5" t="s">
        <v>40</v>
      </c>
      <c r="D19" s="6" t="s">
        <v>39</v>
      </c>
      <c r="E19" s="6" t="s">
        <v>14</v>
      </c>
      <c r="F19" s="6">
        <v>0</v>
      </c>
      <c r="G19" s="6">
        <v>3</v>
      </c>
      <c r="H19" s="6">
        <v>44</v>
      </c>
      <c r="I19" s="6">
        <v>0</v>
      </c>
      <c r="J19" s="6">
        <f>PRODUCT(2*2)</f>
        <v>4</v>
      </c>
      <c r="K19" s="6">
        <f>PRODUCT(27*2)</f>
        <v>54</v>
      </c>
    </row>
    <row r="20" spans="1:11" ht="14.25" customHeight="1" x14ac:dyDescent="0.25">
      <c r="A20" s="5">
        <v>2</v>
      </c>
      <c r="B20" s="5" t="s">
        <v>32</v>
      </c>
      <c r="C20" s="5" t="s">
        <v>20</v>
      </c>
      <c r="D20" s="6" t="s">
        <v>16</v>
      </c>
      <c r="E20" s="6" t="s">
        <v>21</v>
      </c>
      <c r="F20" s="6">
        <v>0</v>
      </c>
      <c r="G20" s="6">
        <f t="shared" si="0"/>
        <v>2</v>
      </c>
      <c r="H20" s="6">
        <v>40</v>
      </c>
      <c r="I20" s="6">
        <v>0</v>
      </c>
      <c r="J20" s="6">
        <f t="shared" si="1"/>
        <v>2</v>
      </c>
      <c r="K20" s="6">
        <v>30</v>
      </c>
    </row>
    <row r="21" spans="1:11" ht="14.25" customHeight="1" x14ac:dyDescent="0.25">
      <c r="A21" s="5">
        <v>2</v>
      </c>
      <c r="B21" s="5" t="s">
        <v>32</v>
      </c>
      <c r="C21" s="5" t="s">
        <v>22</v>
      </c>
      <c r="D21" s="6" t="s">
        <v>23</v>
      </c>
      <c r="E21" s="6" t="s">
        <v>21</v>
      </c>
      <c r="F21" s="6">
        <v>0</v>
      </c>
      <c r="G21" s="6">
        <f t="shared" si="0"/>
        <v>2</v>
      </c>
      <c r="H21" s="6">
        <v>18</v>
      </c>
      <c r="I21" s="6">
        <v>0</v>
      </c>
      <c r="J21" s="6">
        <f t="shared" si="1"/>
        <v>2</v>
      </c>
      <c r="K21" s="6">
        <v>28</v>
      </c>
    </row>
    <row r="22" spans="1:11" ht="14.25" customHeight="1" x14ac:dyDescent="0.25">
      <c r="A22" s="5">
        <v>2</v>
      </c>
      <c r="B22" s="5" t="s">
        <v>32</v>
      </c>
      <c r="C22" s="5" t="s">
        <v>30</v>
      </c>
      <c r="D22" s="6" t="s">
        <v>13</v>
      </c>
      <c r="E22" s="6" t="s">
        <v>21</v>
      </c>
      <c r="F22" s="6">
        <v>0</v>
      </c>
      <c r="G22" s="6">
        <v>15</v>
      </c>
      <c r="H22" s="6">
        <v>190</v>
      </c>
      <c r="I22" s="6">
        <v>0</v>
      </c>
      <c r="J22" s="6">
        <f>PRODUCT(2*6)</f>
        <v>12</v>
      </c>
      <c r="K22" s="6">
        <f>PRODUCT(30*6)</f>
        <v>180</v>
      </c>
    </row>
    <row r="23" spans="1:11" ht="14.25" customHeight="1" x14ac:dyDescent="0.25">
      <c r="A23" s="5">
        <v>2</v>
      </c>
      <c r="B23" s="5" t="s">
        <v>32</v>
      </c>
      <c r="C23" s="6" t="s">
        <v>29</v>
      </c>
      <c r="D23" s="6" t="s">
        <v>16</v>
      </c>
      <c r="E23" s="6" t="s">
        <v>21</v>
      </c>
      <c r="F23" s="6">
        <v>0</v>
      </c>
      <c r="G23" s="6">
        <v>1</v>
      </c>
      <c r="H23" s="6">
        <v>20</v>
      </c>
      <c r="I23" s="6">
        <v>0</v>
      </c>
      <c r="J23" s="6">
        <v>1</v>
      </c>
      <c r="K23" s="6">
        <v>30</v>
      </c>
    </row>
    <row r="24" spans="1:11" ht="14.25" customHeight="1" x14ac:dyDescent="0.25">
      <c r="A24" s="5">
        <v>2</v>
      </c>
      <c r="B24" s="5" t="s">
        <v>32</v>
      </c>
      <c r="C24" s="5" t="s">
        <v>26</v>
      </c>
      <c r="D24" s="6" t="s">
        <v>27</v>
      </c>
      <c r="E24" s="6" t="s">
        <v>21</v>
      </c>
      <c r="F24" s="6">
        <v>3</v>
      </c>
      <c r="G24" s="6">
        <v>1</v>
      </c>
      <c r="H24" s="6">
        <v>21</v>
      </c>
      <c r="I24" s="6">
        <v>2</v>
      </c>
      <c r="J24" s="6">
        <v>1</v>
      </c>
      <c r="K24" s="6">
        <v>31</v>
      </c>
    </row>
    <row r="25" spans="1:11" ht="14.25" customHeight="1" x14ac:dyDescent="0.25">
      <c r="A25" s="5">
        <v>2</v>
      </c>
      <c r="B25" s="5" t="s">
        <v>32</v>
      </c>
      <c r="C25" s="5" t="s">
        <v>31</v>
      </c>
      <c r="D25" s="6" t="s">
        <v>13</v>
      </c>
      <c r="E25" s="6" t="s">
        <v>21</v>
      </c>
      <c r="F25" s="6">
        <v>0</v>
      </c>
      <c r="G25" s="6">
        <v>3</v>
      </c>
      <c r="H25" s="6">
        <v>190</v>
      </c>
      <c r="I25" s="6">
        <v>0</v>
      </c>
      <c r="J25" s="6">
        <f>PRODUCT(1*6)</f>
        <v>6</v>
      </c>
      <c r="K25" s="6">
        <f>PRODUCT(30*6)</f>
        <v>180</v>
      </c>
    </row>
    <row r="26" spans="1:11" ht="14.25" customHeight="1" x14ac:dyDescent="0.25">
      <c r="A26" s="5">
        <v>3</v>
      </c>
      <c r="B26" s="5" t="s">
        <v>41</v>
      </c>
      <c r="C26" s="5" t="s">
        <v>42</v>
      </c>
      <c r="D26" s="6" t="s">
        <v>27</v>
      </c>
      <c r="E26" s="6" t="s">
        <v>14</v>
      </c>
      <c r="F26" s="6">
        <v>0</v>
      </c>
      <c r="G26" s="6">
        <v>1</v>
      </c>
      <c r="H26" s="6">
        <v>24</v>
      </c>
      <c r="I26" s="6">
        <v>0</v>
      </c>
      <c r="J26" s="6">
        <v>1</v>
      </c>
      <c r="K26" s="6">
        <v>34</v>
      </c>
    </row>
    <row r="27" spans="1:11" ht="14.25" customHeight="1" x14ac:dyDescent="0.25">
      <c r="A27" s="5">
        <v>3</v>
      </c>
      <c r="B27" s="5" t="s">
        <v>41</v>
      </c>
      <c r="C27" s="5" t="s">
        <v>43</v>
      </c>
      <c r="D27" s="6" t="s">
        <v>44</v>
      </c>
      <c r="E27" s="6" t="s">
        <v>14</v>
      </c>
      <c r="F27" s="6">
        <v>0</v>
      </c>
      <c r="G27" s="6">
        <v>4</v>
      </c>
      <c r="H27" s="6">
        <v>110</v>
      </c>
      <c r="I27" s="6">
        <v>0</v>
      </c>
      <c r="J27" s="6">
        <v>4</v>
      </c>
      <c r="K27" s="6">
        <v>120</v>
      </c>
    </row>
    <row r="28" spans="1:11" ht="14.25" customHeight="1" x14ac:dyDescent="0.25">
      <c r="A28" s="5">
        <v>3</v>
      </c>
      <c r="B28" s="5" t="s">
        <v>41</v>
      </c>
      <c r="C28" s="5" t="s">
        <v>45</v>
      </c>
      <c r="D28" s="6" t="s">
        <v>13</v>
      </c>
      <c r="E28" s="6" t="s">
        <v>14</v>
      </c>
      <c r="F28" s="6">
        <v>0</v>
      </c>
      <c r="G28" s="6">
        <v>9</v>
      </c>
      <c r="H28" s="6">
        <v>244</v>
      </c>
      <c r="I28" s="6">
        <v>0</v>
      </c>
      <c r="J28" s="6">
        <f>PRODUCT(1*6)</f>
        <v>6</v>
      </c>
      <c r="K28" s="6">
        <f>PRODUCT(39*6)</f>
        <v>234</v>
      </c>
    </row>
    <row r="29" spans="1:11" ht="14.25" customHeight="1" x14ac:dyDescent="0.25">
      <c r="A29" s="5">
        <v>3</v>
      </c>
      <c r="B29" s="5" t="s">
        <v>41</v>
      </c>
      <c r="C29" s="5" t="s">
        <v>46</v>
      </c>
      <c r="D29" s="6" t="s">
        <v>47</v>
      </c>
      <c r="E29" s="6" t="s">
        <v>14</v>
      </c>
      <c r="F29" s="6">
        <v>0</v>
      </c>
      <c r="G29" s="6">
        <v>4</v>
      </c>
      <c r="H29" s="6">
        <v>20</v>
      </c>
      <c r="I29" s="6">
        <v>0</v>
      </c>
      <c r="J29" s="6">
        <v>4</v>
      </c>
      <c r="K29" s="6">
        <v>30</v>
      </c>
    </row>
    <row r="30" spans="1:11" ht="14.25" customHeight="1" x14ac:dyDescent="0.25">
      <c r="A30" s="5">
        <v>3</v>
      </c>
      <c r="B30" s="5" t="s">
        <v>41</v>
      </c>
      <c r="C30" s="5" t="s">
        <v>48</v>
      </c>
      <c r="D30" s="6" t="s">
        <v>49</v>
      </c>
      <c r="E30" s="6" t="s">
        <v>14</v>
      </c>
      <c r="F30" s="6">
        <v>0</v>
      </c>
      <c r="G30" s="6">
        <v>12</v>
      </c>
      <c r="H30" s="6">
        <v>76</v>
      </c>
      <c r="I30" s="6">
        <v>0</v>
      </c>
      <c r="J30" s="6">
        <v>12</v>
      </c>
      <c r="K30" s="6">
        <v>66</v>
      </c>
    </row>
    <row r="31" spans="1:11" ht="14.25" customHeight="1" x14ac:dyDescent="0.25">
      <c r="A31" s="5">
        <v>3</v>
      </c>
      <c r="B31" s="5" t="s">
        <v>41</v>
      </c>
      <c r="C31" s="5" t="s">
        <v>50</v>
      </c>
      <c r="D31" s="6" t="s">
        <v>13</v>
      </c>
      <c r="E31" s="6" t="s">
        <v>14</v>
      </c>
      <c r="F31" s="6">
        <v>0</v>
      </c>
      <c r="G31" s="6">
        <v>10</v>
      </c>
      <c r="H31" s="6">
        <v>170</v>
      </c>
      <c r="I31" s="6">
        <v>0</v>
      </c>
      <c r="J31" s="6">
        <f>PRODUCT(2*6)</f>
        <v>12</v>
      </c>
      <c r="K31" s="6">
        <f>PRODUCT(30*6)</f>
        <v>180</v>
      </c>
    </row>
    <row r="32" spans="1:11" ht="14.25" customHeight="1" x14ac:dyDescent="0.25">
      <c r="A32" s="5">
        <v>3</v>
      </c>
      <c r="B32" s="5" t="s">
        <v>41</v>
      </c>
      <c r="C32" s="5" t="s">
        <v>20</v>
      </c>
      <c r="D32" s="6" t="s">
        <v>16</v>
      </c>
      <c r="E32" s="6" t="s">
        <v>21</v>
      </c>
      <c r="F32" s="6">
        <v>0</v>
      </c>
      <c r="G32" s="6">
        <v>1</v>
      </c>
      <c r="H32" s="6">
        <v>40</v>
      </c>
      <c r="I32" s="6">
        <v>0</v>
      </c>
      <c r="J32" s="6">
        <v>1</v>
      </c>
      <c r="K32" s="6">
        <v>30</v>
      </c>
    </row>
    <row r="33" spans="1:11" ht="14.25" customHeight="1" x14ac:dyDescent="0.25">
      <c r="A33" s="5">
        <v>3</v>
      </c>
      <c r="B33" s="5" t="s">
        <v>41</v>
      </c>
      <c r="C33" s="5" t="s">
        <v>22</v>
      </c>
      <c r="D33" s="6" t="s">
        <v>23</v>
      </c>
      <c r="E33" s="6" t="s">
        <v>21</v>
      </c>
      <c r="F33" s="6">
        <v>0</v>
      </c>
      <c r="G33" s="6">
        <v>1</v>
      </c>
      <c r="H33" s="6">
        <v>20</v>
      </c>
      <c r="I33" s="6">
        <v>0</v>
      </c>
      <c r="J33" s="6">
        <v>1</v>
      </c>
      <c r="K33" s="6">
        <v>30</v>
      </c>
    </row>
    <row r="34" spans="1:11" ht="14.25" customHeight="1" x14ac:dyDescent="0.25">
      <c r="A34" s="5">
        <v>3</v>
      </c>
      <c r="B34" s="5" t="s">
        <v>41</v>
      </c>
      <c r="C34" s="6" t="s">
        <v>29</v>
      </c>
      <c r="D34" s="6" t="s">
        <v>16</v>
      </c>
      <c r="E34" s="6" t="s">
        <v>21</v>
      </c>
      <c r="F34" s="6">
        <v>1</v>
      </c>
      <c r="G34" s="6">
        <v>3</v>
      </c>
      <c r="H34" s="6">
        <v>40</v>
      </c>
      <c r="I34" s="6">
        <v>2</v>
      </c>
      <c r="J34" s="6">
        <v>1</v>
      </c>
      <c r="K34" s="6">
        <v>30</v>
      </c>
    </row>
    <row r="35" spans="1:11" ht="14.25" customHeight="1" x14ac:dyDescent="0.25">
      <c r="A35" s="5">
        <v>3</v>
      </c>
      <c r="B35" s="5" t="s">
        <v>41</v>
      </c>
      <c r="C35" s="6" t="s">
        <v>26</v>
      </c>
      <c r="D35" s="6" t="s">
        <v>27</v>
      </c>
      <c r="E35" s="6" t="s">
        <v>21</v>
      </c>
      <c r="F35" s="6">
        <v>0</v>
      </c>
      <c r="G35" s="6">
        <v>2</v>
      </c>
      <c r="H35" s="6">
        <v>15</v>
      </c>
      <c r="I35" s="6">
        <v>0</v>
      </c>
      <c r="J35" s="6">
        <v>1</v>
      </c>
      <c r="K35" s="6">
        <v>25</v>
      </c>
    </row>
    <row r="36" spans="1:11" ht="14.25" customHeight="1" x14ac:dyDescent="0.25">
      <c r="A36" s="5">
        <v>3</v>
      </c>
      <c r="B36" s="5" t="s">
        <v>41</v>
      </c>
      <c r="C36" s="6" t="s">
        <v>30</v>
      </c>
      <c r="D36" s="6" t="s">
        <v>13</v>
      </c>
      <c r="E36" s="6" t="s">
        <v>21</v>
      </c>
      <c r="F36" s="6">
        <v>0</v>
      </c>
      <c r="G36" s="6">
        <f>PRODUCT(1*6)</f>
        <v>6</v>
      </c>
      <c r="H36" s="6">
        <v>190</v>
      </c>
      <c r="I36" s="6">
        <v>0</v>
      </c>
      <c r="J36" s="6">
        <f>PRODUCT(1*6)</f>
        <v>6</v>
      </c>
      <c r="K36" s="6">
        <f>PRODUCT(30*6)</f>
        <v>180</v>
      </c>
    </row>
    <row r="37" spans="1:11" ht="14.25" customHeight="1" x14ac:dyDescent="0.25">
      <c r="A37" s="5">
        <v>3</v>
      </c>
      <c r="B37" s="5" t="s">
        <v>41</v>
      </c>
      <c r="C37" s="6" t="s">
        <v>31</v>
      </c>
      <c r="D37" s="6" t="s">
        <v>13</v>
      </c>
      <c r="E37" s="6" t="s">
        <v>21</v>
      </c>
      <c r="F37" s="6">
        <v>0</v>
      </c>
      <c r="G37" s="6">
        <v>9</v>
      </c>
      <c r="H37" s="6">
        <v>110</v>
      </c>
      <c r="I37" s="6">
        <v>0</v>
      </c>
      <c r="J37" s="6">
        <f>PRODUCT(2*6)</f>
        <v>12</v>
      </c>
      <c r="K37" s="6">
        <f>PRODUCT(20*6)</f>
        <v>120</v>
      </c>
    </row>
    <row r="38" spans="1:11" ht="14.25" customHeight="1" x14ac:dyDescent="0.25">
      <c r="A38" s="5">
        <v>4</v>
      </c>
      <c r="B38" s="5" t="s">
        <v>51</v>
      </c>
      <c r="C38" s="6" t="s">
        <v>52</v>
      </c>
      <c r="D38" s="6" t="s">
        <v>53</v>
      </c>
      <c r="E38" s="6" t="s">
        <v>14</v>
      </c>
      <c r="F38" s="6">
        <v>0</v>
      </c>
      <c r="G38" s="6">
        <v>4</v>
      </c>
      <c r="H38" s="6">
        <v>30</v>
      </c>
      <c r="I38" s="6">
        <v>0</v>
      </c>
      <c r="J38" s="6">
        <v>4</v>
      </c>
      <c r="K38" s="6">
        <v>20</v>
      </c>
    </row>
    <row r="39" spans="1:11" ht="14.25" customHeight="1" x14ac:dyDescent="0.25">
      <c r="A39" s="5">
        <v>4</v>
      </c>
      <c r="B39" s="5" t="s">
        <v>51</v>
      </c>
      <c r="C39" s="6" t="s">
        <v>54</v>
      </c>
      <c r="D39" s="6" t="s">
        <v>55</v>
      </c>
      <c r="E39" s="6" t="s">
        <v>14</v>
      </c>
      <c r="F39" s="6">
        <v>0</v>
      </c>
      <c r="G39" s="6">
        <v>2</v>
      </c>
      <c r="H39" s="6">
        <v>60</v>
      </c>
      <c r="I39" s="6">
        <v>0</v>
      </c>
      <c r="J39" s="6">
        <v>2</v>
      </c>
      <c r="K39" s="6">
        <v>50</v>
      </c>
    </row>
    <row r="40" spans="1:11" ht="14.25" customHeight="1" x14ac:dyDescent="0.25">
      <c r="A40" s="5">
        <v>4</v>
      </c>
      <c r="B40" s="5" t="s">
        <v>51</v>
      </c>
      <c r="C40" s="6" t="s">
        <v>56</v>
      </c>
      <c r="D40" s="6" t="s">
        <v>27</v>
      </c>
      <c r="E40" s="6" t="s">
        <v>14</v>
      </c>
      <c r="F40" s="6">
        <v>0</v>
      </c>
      <c r="G40" s="6">
        <v>4</v>
      </c>
      <c r="H40" s="6">
        <v>35</v>
      </c>
      <c r="I40" s="6">
        <v>0</v>
      </c>
      <c r="J40" s="6">
        <v>2</v>
      </c>
      <c r="K40" s="6">
        <v>25</v>
      </c>
    </row>
    <row r="41" spans="1:11" ht="14.25" customHeight="1" x14ac:dyDescent="0.25">
      <c r="A41" s="5">
        <v>4</v>
      </c>
      <c r="B41" s="5" t="s">
        <v>51</v>
      </c>
      <c r="C41" s="6" t="s">
        <v>57</v>
      </c>
      <c r="D41" s="6" t="s">
        <v>58</v>
      </c>
      <c r="E41" s="6" t="s">
        <v>14</v>
      </c>
      <c r="F41" s="6">
        <v>0</v>
      </c>
      <c r="G41" s="6">
        <v>2</v>
      </c>
      <c r="H41" s="6">
        <v>30</v>
      </c>
      <c r="I41" s="6">
        <v>0</v>
      </c>
      <c r="J41" s="6">
        <v>2</v>
      </c>
      <c r="K41" s="6">
        <f>PRODUCT(20*2)</f>
        <v>40</v>
      </c>
    </row>
    <row r="42" spans="1:11" ht="14.25" customHeight="1" x14ac:dyDescent="0.25">
      <c r="A42" s="5">
        <v>4</v>
      </c>
      <c r="B42" s="5" t="s">
        <v>51</v>
      </c>
      <c r="C42" s="6" t="s">
        <v>59</v>
      </c>
      <c r="D42" s="6" t="s">
        <v>16</v>
      </c>
      <c r="E42" s="6" t="s">
        <v>14</v>
      </c>
      <c r="F42" s="6">
        <v>0</v>
      </c>
      <c r="G42" s="6">
        <v>1</v>
      </c>
      <c r="H42" s="6">
        <v>20</v>
      </c>
      <c r="I42" s="6">
        <v>0</v>
      </c>
      <c r="J42" s="6">
        <v>1</v>
      </c>
      <c r="K42" s="6">
        <v>30</v>
      </c>
    </row>
    <row r="43" spans="1:11" ht="14.25" customHeight="1" x14ac:dyDescent="0.25">
      <c r="A43" s="5">
        <v>4</v>
      </c>
      <c r="B43" s="5" t="s">
        <v>51</v>
      </c>
      <c r="C43" s="6" t="s">
        <v>60</v>
      </c>
      <c r="D43" s="6" t="s">
        <v>23</v>
      </c>
      <c r="E43" s="6" t="s">
        <v>14</v>
      </c>
      <c r="F43" s="6">
        <v>0</v>
      </c>
      <c r="G43" s="6">
        <v>3</v>
      </c>
      <c r="H43" s="6">
        <v>40</v>
      </c>
      <c r="I43" s="6">
        <v>0</v>
      </c>
      <c r="J43" s="6">
        <v>1</v>
      </c>
      <c r="K43" s="6">
        <v>30</v>
      </c>
    </row>
    <row r="44" spans="1:11" ht="14.25" customHeight="1" x14ac:dyDescent="0.25">
      <c r="A44" s="5">
        <v>4</v>
      </c>
      <c r="B44" s="5" t="s">
        <v>51</v>
      </c>
      <c r="C44" s="6" t="s">
        <v>20</v>
      </c>
      <c r="D44" s="6" t="s">
        <v>16</v>
      </c>
      <c r="E44" s="6" t="s">
        <v>21</v>
      </c>
      <c r="F44" s="6">
        <v>0</v>
      </c>
      <c r="G44" s="6">
        <v>1</v>
      </c>
      <c r="H44" s="6">
        <v>20</v>
      </c>
      <c r="I44" s="6">
        <v>0</v>
      </c>
      <c r="J44" s="6">
        <v>1</v>
      </c>
      <c r="K44" s="6">
        <v>30</v>
      </c>
    </row>
    <row r="45" spans="1:11" ht="14.25" customHeight="1" x14ac:dyDescent="0.25">
      <c r="A45" s="5">
        <v>4</v>
      </c>
      <c r="B45" s="5" t="s">
        <v>51</v>
      </c>
      <c r="C45" s="6" t="s">
        <v>22</v>
      </c>
      <c r="D45" s="6" t="s">
        <v>23</v>
      </c>
      <c r="E45" s="6" t="s">
        <v>21</v>
      </c>
      <c r="F45" s="6">
        <v>0</v>
      </c>
      <c r="G45" s="6">
        <v>2</v>
      </c>
      <c r="H45" s="32">
        <v>40</v>
      </c>
      <c r="I45" s="6">
        <v>0</v>
      </c>
      <c r="J45" s="6">
        <v>1</v>
      </c>
      <c r="K45" s="6">
        <v>20</v>
      </c>
    </row>
    <row r="46" spans="1:11" ht="14.25" customHeight="1" x14ac:dyDescent="0.25">
      <c r="A46" s="5">
        <v>4</v>
      </c>
      <c r="B46" s="5" t="s">
        <v>51</v>
      </c>
      <c r="C46" s="5" t="s">
        <v>26</v>
      </c>
      <c r="D46" s="6" t="s">
        <v>27</v>
      </c>
      <c r="E46" s="6" t="s">
        <v>21</v>
      </c>
      <c r="F46" s="6">
        <v>0</v>
      </c>
      <c r="G46" s="6">
        <v>5</v>
      </c>
      <c r="H46" s="6">
        <v>20</v>
      </c>
      <c r="I46" s="6">
        <v>0</v>
      </c>
      <c r="J46" s="6">
        <v>1</v>
      </c>
      <c r="K46" s="6">
        <v>30</v>
      </c>
    </row>
    <row r="47" spans="1:11" ht="14.25" customHeight="1" x14ac:dyDescent="0.25">
      <c r="A47" s="5">
        <v>4</v>
      </c>
      <c r="B47" s="5" t="s">
        <v>51</v>
      </c>
      <c r="C47" s="6" t="s">
        <v>29</v>
      </c>
      <c r="D47" s="6" t="s">
        <v>16</v>
      </c>
      <c r="E47" s="6" t="s">
        <v>21</v>
      </c>
      <c r="F47" s="6">
        <v>3</v>
      </c>
      <c r="G47" s="6">
        <v>1</v>
      </c>
      <c r="H47" s="6">
        <v>40</v>
      </c>
      <c r="I47" s="6">
        <v>2</v>
      </c>
      <c r="J47" s="6">
        <v>1</v>
      </c>
      <c r="K47" s="6">
        <v>30</v>
      </c>
    </row>
    <row r="48" spans="1:11" ht="14.25" customHeight="1" x14ac:dyDescent="0.25">
      <c r="A48" s="5">
        <v>4</v>
      </c>
      <c r="B48" s="5" t="s">
        <v>51</v>
      </c>
      <c r="C48" s="5" t="s">
        <v>30</v>
      </c>
      <c r="D48" s="6" t="s">
        <v>13</v>
      </c>
      <c r="E48" s="6" t="s">
        <v>21</v>
      </c>
      <c r="F48" s="6">
        <v>0</v>
      </c>
      <c r="G48" s="6">
        <v>14</v>
      </c>
      <c r="H48" s="6">
        <v>170</v>
      </c>
      <c r="I48" s="6">
        <v>0</v>
      </c>
      <c r="J48" s="6">
        <f>PRODUCT(3*6)</f>
        <v>18</v>
      </c>
      <c r="K48" s="6">
        <f>PRODUCT(30*6)</f>
        <v>180</v>
      </c>
    </row>
    <row r="49" spans="1:25" ht="14.25" customHeight="1" x14ac:dyDescent="0.25">
      <c r="A49" s="5">
        <v>4</v>
      </c>
      <c r="B49" s="5" t="s">
        <v>51</v>
      </c>
      <c r="C49" s="5" t="s">
        <v>31</v>
      </c>
      <c r="D49" s="6" t="s">
        <v>13</v>
      </c>
      <c r="E49" s="6" t="s">
        <v>21</v>
      </c>
      <c r="F49" s="6">
        <v>0</v>
      </c>
      <c r="G49" s="6">
        <v>15</v>
      </c>
      <c r="H49" s="6">
        <v>190</v>
      </c>
      <c r="I49" s="6">
        <v>0</v>
      </c>
      <c r="J49" s="6">
        <f>PRODUCT(3*6)</f>
        <v>18</v>
      </c>
      <c r="K49" s="6">
        <f>PRODUCT(30*6)</f>
        <v>180</v>
      </c>
    </row>
    <row r="50" spans="1:25" ht="14.25" customHeight="1" x14ac:dyDescent="0.25">
      <c r="A50" s="6">
        <v>5</v>
      </c>
      <c r="B50" s="6" t="s">
        <v>61</v>
      </c>
      <c r="C50" s="6" t="s">
        <v>62</v>
      </c>
      <c r="D50" s="6" t="s">
        <v>23</v>
      </c>
      <c r="E50" s="6" t="s">
        <v>14</v>
      </c>
      <c r="F50" s="6"/>
      <c r="G50" s="6"/>
      <c r="H50" s="6"/>
      <c r="I50" s="6">
        <v>0</v>
      </c>
      <c r="J50" s="6">
        <v>1</v>
      </c>
      <c r="K50" s="6">
        <v>30</v>
      </c>
    </row>
    <row r="51" spans="1:25" ht="14.25" customHeight="1" x14ac:dyDescent="0.25">
      <c r="A51" s="6">
        <v>5</v>
      </c>
      <c r="B51" s="6" t="s">
        <v>61</v>
      </c>
      <c r="C51" s="6" t="s">
        <v>63</v>
      </c>
      <c r="D51" s="6" t="s">
        <v>64</v>
      </c>
      <c r="E51" s="6" t="s">
        <v>14</v>
      </c>
      <c r="F51" s="6"/>
      <c r="G51" s="6"/>
      <c r="H51" s="6"/>
      <c r="I51" s="6">
        <v>3</v>
      </c>
      <c r="J51" s="6">
        <v>1</v>
      </c>
      <c r="K51" s="6">
        <v>30</v>
      </c>
      <c r="V51" s="39" t="s">
        <v>104</v>
      </c>
      <c r="W51" s="39"/>
      <c r="X51" s="39"/>
      <c r="Y51" s="39"/>
    </row>
    <row r="52" spans="1:25" ht="14.25" customHeight="1" x14ac:dyDescent="0.25">
      <c r="A52" s="6">
        <v>5</v>
      </c>
      <c r="B52" s="6" t="s">
        <v>61</v>
      </c>
      <c r="C52" s="6" t="s">
        <v>65</v>
      </c>
      <c r="D52" s="6" t="s">
        <v>66</v>
      </c>
      <c r="E52" s="6" t="s">
        <v>14</v>
      </c>
      <c r="F52" s="6"/>
      <c r="G52" s="6"/>
      <c r="H52" s="6"/>
      <c r="I52" s="6">
        <v>0</v>
      </c>
      <c r="J52" s="6">
        <v>1</v>
      </c>
      <c r="K52" s="6">
        <f>PRODUCT(60*3)</f>
        <v>180</v>
      </c>
      <c r="N52" s="39" t="s">
        <v>104</v>
      </c>
      <c r="O52" s="39"/>
      <c r="P52" s="39"/>
      <c r="Q52" s="39"/>
      <c r="V52" s="17" t="s">
        <v>88</v>
      </c>
      <c r="W52" s="16" t="s">
        <v>92</v>
      </c>
      <c r="X52" s="29" t="s">
        <v>91</v>
      </c>
      <c r="Y52" s="24" t="s">
        <v>90</v>
      </c>
    </row>
    <row r="53" spans="1:25" ht="14.25" customHeight="1" x14ac:dyDescent="0.25">
      <c r="A53" s="6">
        <v>5</v>
      </c>
      <c r="B53" s="6" t="s">
        <v>61</v>
      </c>
      <c r="C53" s="6" t="s">
        <v>20</v>
      </c>
      <c r="D53" s="6" t="s">
        <v>16</v>
      </c>
      <c r="E53" s="6" t="s">
        <v>21</v>
      </c>
      <c r="F53" s="6"/>
      <c r="G53" s="6"/>
      <c r="H53" s="6"/>
      <c r="I53" s="6">
        <v>0</v>
      </c>
      <c r="J53" s="6">
        <v>1</v>
      </c>
      <c r="K53" s="6">
        <v>30</v>
      </c>
      <c r="N53" s="37" t="s">
        <v>88</v>
      </c>
      <c r="O53" s="37" t="s">
        <v>90</v>
      </c>
      <c r="P53" t="s">
        <v>91</v>
      </c>
      <c r="Q53" s="38" t="s">
        <v>92</v>
      </c>
      <c r="V53" s="19" t="s">
        <v>61</v>
      </c>
      <c r="W53" s="45">
        <v>5</v>
      </c>
      <c r="X53" s="46">
        <v>43</v>
      </c>
      <c r="Y53" s="47">
        <v>720</v>
      </c>
    </row>
    <row r="54" spans="1:25" ht="14.25" customHeight="1" x14ac:dyDescent="0.25">
      <c r="A54" s="6">
        <v>5</v>
      </c>
      <c r="B54" s="6" t="s">
        <v>61</v>
      </c>
      <c r="C54" s="6" t="s">
        <v>22</v>
      </c>
      <c r="D54" s="6" t="s">
        <v>23</v>
      </c>
      <c r="E54" s="6" t="s">
        <v>21</v>
      </c>
      <c r="F54" s="6"/>
      <c r="G54" s="6"/>
      <c r="H54" s="6"/>
      <c r="I54" s="6">
        <v>0</v>
      </c>
      <c r="J54" s="6">
        <v>1</v>
      </c>
      <c r="K54" s="6">
        <v>30</v>
      </c>
      <c r="N54" s="19" t="s">
        <v>61</v>
      </c>
      <c r="O54" s="16">
        <v>600</v>
      </c>
      <c r="P54" s="29">
        <v>43</v>
      </c>
      <c r="Q54" s="24">
        <v>4</v>
      </c>
      <c r="V54" s="21" t="s">
        <v>67</v>
      </c>
      <c r="W54" s="48">
        <v>11</v>
      </c>
      <c r="X54" s="49">
        <v>48</v>
      </c>
      <c r="Y54" s="50">
        <v>890</v>
      </c>
    </row>
    <row r="55" spans="1:25" ht="14.25" customHeight="1" x14ac:dyDescent="0.25">
      <c r="A55" s="6">
        <v>5</v>
      </c>
      <c r="B55" s="6" t="s">
        <v>61</v>
      </c>
      <c r="C55" s="5" t="s">
        <v>26</v>
      </c>
      <c r="D55" s="6" t="s">
        <v>27</v>
      </c>
      <c r="E55" s="6" t="s">
        <v>21</v>
      </c>
      <c r="F55" s="6"/>
      <c r="G55" s="6"/>
      <c r="H55" s="6"/>
      <c r="I55" s="6">
        <v>0</v>
      </c>
      <c r="J55" s="6">
        <v>1</v>
      </c>
      <c r="K55" s="6">
        <v>30</v>
      </c>
      <c r="N55" s="21" t="s">
        <v>67</v>
      </c>
      <c r="O55" s="25">
        <v>805</v>
      </c>
      <c r="P55" s="30">
        <v>48</v>
      </c>
      <c r="Q55" s="26">
        <v>10</v>
      </c>
      <c r="V55" s="21" t="s">
        <v>79</v>
      </c>
      <c r="W55" s="48">
        <v>6</v>
      </c>
      <c r="X55" s="49">
        <v>79</v>
      </c>
      <c r="Y55" s="50">
        <v>958</v>
      </c>
    </row>
    <row r="56" spans="1:25" ht="14.25" customHeight="1" x14ac:dyDescent="0.25">
      <c r="A56" s="6">
        <v>5</v>
      </c>
      <c r="B56" s="6" t="s">
        <v>61</v>
      </c>
      <c r="C56" s="6" t="s">
        <v>29</v>
      </c>
      <c r="D56" s="6" t="s">
        <v>16</v>
      </c>
      <c r="E56" s="6" t="s">
        <v>21</v>
      </c>
      <c r="F56" s="6"/>
      <c r="G56" s="6"/>
      <c r="H56" s="6"/>
      <c r="I56" s="6">
        <v>2</v>
      </c>
      <c r="J56" s="6">
        <v>1</v>
      </c>
      <c r="K56" s="6">
        <v>30</v>
      </c>
      <c r="N56" s="21" t="s">
        <v>79</v>
      </c>
      <c r="O56" s="25">
        <v>1110</v>
      </c>
      <c r="P56" s="30">
        <v>91</v>
      </c>
      <c r="Q56" s="26">
        <v>6</v>
      </c>
      <c r="V56" s="21" t="s">
        <v>75</v>
      </c>
      <c r="W56" s="48">
        <v>9</v>
      </c>
      <c r="X56" s="49">
        <v>56</v>
      </c>
      <c r="Y56" s="50">
        <v>750</v>
      </c>
    </row>
    <row r="57" spans="1:25" ht="14.25" customHeight="1" x14ac:dyDescent="0.25">
      <c r="A57" s="6">
        <v>5</v>
      </c>
      <c r="B57" s="6" t="s">
        <v>61</v>
      </c>
      <c r="C57" s="5" t="s">
        <v>30</v>
      </c>
      <c r="D57" s="6" t="s">
        <v>13</v>
      </c>
      <c r="E57" s="6" t="s">
        <v>21</v>
      </c>
      <c r="F57" s="6"/>
      <c r="G57" s="6"/>
      <c r="H57" s="6"/>
      <c r="I57" s="6">
        <v>0</v>
      </c>
      <c r="J57" s="6">
        <v>18</v>
      </c>
      <c r="K57" s="6">
        <f>PRODUCT(30*6)</f>
        <v>180</v>
      </c>
      <c r="N57" s="21" t="s">
        <v>75</v>
      </c>
      <c r="O57" s="25">
        <v>750</v>
      </c>
      <c r="P57" s="30">
        <v>62</v>
      </c>
      <c r="Q57" s="26">
        <v>10</v>
      </c>
      <c r="V57" s="22" t="s">
        <v>89</v>
      </c>
      <c r="W57" s="51">
        <v>31</v>
      </c>
      <c r="X57" s="52">
        <v>226</v>
      </c>
      <c r="Y57" s="53">
        <v>3318</v>
      </c>
    </row>
    <row r="58" spans="1:25" ht="14.25" customHeight="1" x14ac:dyDescent="0.25">
      <c r="A58" s="6">
        <v>5</v>
      </c>
      <c r="B58" s="6" t="s">
        <v>61</v>
      </c>
      <c r="C58" s="5" t="s">
        <v>31</v>
      </c>
      <c r="D58" s="6" t="s">
        <v>13</v>
      </c>
      <c r="E58" s="6" t="s">
        <v>21</v>
      </c>
      <c r="F58" s="6"/>
      <c r="G58" s="6"/>
      <c r="H58" s="6"/>
      <c r="I58" s="6">
        <v>0</v>
      </c>
      <c r="J58" s="6">
        <v>18</v>
      </c>
      <c r="K58" s="6">
        <f>PRODUCT(30*6)</f>
        <v>180</v>
      </c>
      <c r="N58" s="22" t="s">
        <v>89</v>
      </c>
      <c r="O58" s="27">
        <v>3265</v>
      </c>
      <c r="P58" s="31">
        <v>244</v>
      </c>
      <c r="Q58" s="28">
        <v>30</v>
      </c>
    </row>
    <row r="59" spans="1:25" ht="14.25" customHeight="1" x14ac:dyDescent="0.25">
      <c r="A59" s="6">
        <v>6</v>
      </c>
      <c r="B59" s="6" t="s">
        <v>67</v>
      </c>
      <c r="C59" s="6" t="s">
        <v>68</v>
      </c>
      <c r="D59" s="6" t="s">
        <v>44</v>
      </c>
      <c r="E59" s="6" t="s">
        <v>14</v>
      </c>
      <c r="F59" s="6"/>
      <c r="G59" s="6"/>
      <c r="H59" s="6"/>
      <c r="I59" s="6">
        <v>0</v>
      </c>
      <c r="J59" s="6">
        <v>1</v>
      </c>
      <c r="K59" s="6">
        <f>PRODUCT(60*2)</f>
        <v>120</v>
      </c>
    </row>
    <row r="60" spans="1:25" ht="14.25" customHeight="1" x14ac:dyDescent="0.25">
      <c r="A60" s="6">
        <v>6</v>
      </c>
      <c r="B60" s="6" t="s">
        <v>67</v>
      </c>
      <c r="C60" s="6" t="s">
        <v>69</v>
      </c>
      <c r="D60" s="6" t="s">
        <v>47</v>
      </c>
      <c r="E60" s="6" t="s">
        <v>14</v>
      </c>
      <c r="F60" s="6"/>
      <c r="G60" s="6"/>
      <c r="H60" s="6"/>
      <c r="I60" s="6">
        <v>3</v>
      </c>
      <c r="J60" s="6">
        <v>1</v>
      </c>
      <c r="K60" s="6">
        <v>90</v>
      </c>
    </row>
    <row r="61" spans="1:25" ht="14.25" customHeight="1" x14ac:dyDescent="0.25">
      <c r="A61" s="6">
        <v>6</v>
      </c>
      <c r="B61" s="6" t="s">
        <v>67</v>
      </c>
      <c r="C61" s="6" t="s">
        <v>70</v>
      </c>
      <c r="D61" s="6" t="s">
        <v>71</v>
      </c>
      <c r="E61" s="6" t="s">
        <v>14</v>
      </c>
      <c r="F61" s="6"/>
      <c r="G61" s="6"/>
      <c r="H61" s="6"/>
      <c r="I61" s="6">
        <v>2</v>
      </c>
      <c r="J61" s="6">
        <f>PRODUCT(2*2)</f>
        <v>4</v>
      </c>
      <c r="K61" s="6">
        <f>PRODUCT(60*2)</f>
        <v>120</v>
      </c>
    </row>
    <row r="62" spans="1:25" ht="14.25" customHeight="1" x14ac:dyDescent="0.25">
      <c r="A62" s="6">
        <v>6</v>
      </c>
      <c r="B62" s="6" t="s">
        <v>67</v>
      </c>
      <c r="C62" s="6" t="s">
        <v>72</v>
      </c>
      <c r="D62" s="6" t="s">
        <v>73</v>
      </c>
      <c r="E62" s="6" t="s">
        <v>14</v>
      </c>
      <c r="F62" s="6"/>
      <c r="G62" s="6"/>
      <c r="H62" s="6"/>
      <c r="I62" s="6">
        <v>2</v>
      </c>
      <c r="J62" s="6">
        <v>2</v>
      </c>
      <c r="K62" s="6">
        <f>PRODUCT(25*2)</f>
        <v>50</v>
      </c>
    </row>
    <row r="63" spans="1:25" ht="14.25" customHeight="1" x14ac:dyDescent="0.25">
      <c r="A63" s="6">
        <v>6</v>
      </c>
      <c r="B63" s="6" t="s">
        <v>67</v>
      </c>
      <c r="C63" s="6" t="s">
        <v>74</v>
      </c>
      <c r="D63" s="6" t="s">
        <v>27</v>
      </c>
      <c r="E63" s="6" t="s">
        <v>14</v>
      </c>
      <c r="F63" s="6"/>
      <c r="G63" s="6"/>
      <c r="H63" s="6"/>
      <c r="I63" s="6">
        <v>2</v>
      </c>
      <c r="J63" s="6">
        <v>2</v>
      </c>
      <c r="K63" s="6">
        <v>30</v>
      </c>
    </row>
    <row r="64" spans="1:25" ht="14.25" customHeight="1" x14ac:dyDescent="0.25">
      <c r="A64" s="6">
        <v>6</v>
      </c>
      <c r="B64" s="6" t="s">
        <v>67</v>
      </c>
      <c r="C64" s="7" t="s">
        <v>20</v>
      </c>
      <c r="D64" s="6" t="s">
        <v>16</v>
      </c>
      <c r="E64" s="6" t="s">
        <v>21</v>
      </c>
      <c r="F64" s="6"/>
      <c r="G64" s="6"/>
      <c r="H64" s="6"/>
      <c r="I64" s="6">
        <v>0</v>
      </c>
      <c r="J64" s="6">
        <v>2</v>
      </c>
      <c r="K64" s="6">
        <v>30</v>
      </c>
    </row>
    <row r="65" spans="1:11" ht="14.25" customHeight="1" x14ac:dyDescent="0.25">
      <c r="A65" s="6">
        <v>6</v>
      </c>
      <c r="B65" s="6" t="s">
        <v>67</v>
      </c>
      <c r="C65" s="8" t="s">
        <v>22</v>
      </c>
      <c r="D65" s="6" t="s">
        <v>23</v>
      </c>
      <c r="E65" s="6" t="s">
        <v>21</v>
      </c>
      <c r="F65" s="6"/>
      <c r="G65" s="6"/>
      <c r="H65" s="6"/>
      <c r="I65" s="6">
        <v>0</v>
      </c>
      <c r="J65" s="6">
        <v>2</v>
      </c>
      <c r="K65" s="6">
        <v>30</v>
      </c>
    </row>
    <row r="66" spans="1:11" ht="14.25" customHeight="1" x14ac:dyDescent="0.25">
      <c r="A66" s="6">
        <v>6</v>
      </c>
      <c r="B66" s="6" t="s">
        <v>67</v>
      </c>
      <c r="C66" s="9" t="s">
        <v>26</v>
      </c>
      <c r="D66" s="6" t="s">
        <v>27</v>
      </c>
      <c r="E66" s="6" t="s">
        <v>21</v>
      </c>
      <c r="F66" s="6"/>
      <c r="G66" s="6"/>
      <c r="H66" s="6"/>
      <c r="I66" s="6">
        <v>0</v>
      </c>
      <c r="J66" s="6">
        <v>2</v>
      </c>
      <c r="K66" s="6">
        <v>30</v>
      </c>
    </row>
    <row r="67" spans="1:11" ht="14.25" customHeight="1" x14ac:dyDescent="0.25">
      <c r="A67" s="6">
        <v>6</v>
      </c>
      <c r="B67" s="6" t="s">
        <v>67</v>
      </c>
      <c r="C67" s="8" t="s">
        <v>29</v>
      </c>
      <c r="D67" s="6" t="s">
        <v>16</v>
      </c>
      <c r="E67" s="6" t="s">
        <v>21</v>
      </c>
      <c r="F67" s="6"/>
      <c r="G67" s="6"/>
      <c r="H67" s="6"/>
      <c r="I67" s="6">
        <v>2</v>
      </c>
      <c r="J67" s="6">
        <v>2</v>
      </c>
      <c r="K67" s="6">
        <v>30</v>
      </c>
    </row>
    <row r="68" spans="1:11" ht="14.25" customHeight="1" x14ac:dyDescent="0.25">
      <c r="A68" s="6">
        <v>6</v>
      </c>
      <c r="B68" s="6" t="s">
        <v>67</v>
      </c>
      <c r="C68" s="9" t="s">
        <v>30</v>
      </c>
      <c r="D68" s="6" t="s">
        <v>13</v>
      </c>
      <c r="E68" s="6" t="s">
        <v>21</v>
      </c>
      <c r="F68" s="6"/>
      <c r="G68" s="6"/>
      <c r="H68" s="6"/>
      <c r="I68" s="6">
        <v>0</v>
      </c>
      <c r="J68" s="6">
        <f>PRODUCT(3*6)</f>
        <v>18</v>
      </c>
      <c r="K68" s="6">
        <f>PRODUCT(30*6)</f>
        <v>180</v>
      </c>
    </row>
    <row r="69" spans="1:11" ht="14.25" customHeight="1" x14ac:dyDescent="0.25">
      <c r="A69" s="6">
        <v>6</v>
      </c>
      <c r="B69" s="6" t="s">
        <v>67</v>
      </c>
      <c r="C69" s="10" t="s">
        <v>31</v>
      </c>
      <c r="D69" s="6" t="s">
        <v>13</v>
      </c>
      <c r="E69" s="6" t="s">
        <v>21</v>
      </c>
      <c r="F69" s="6"/>
      <c r="G69" s="6"/>
      <c r="H69" s="6"/>
      <c r="I69" s="6">
        <v>0</v>
      </c>
      <c r="J69" s="6">
        <f>PRODUCT(2*6)</f>
        <v>12</v>
      </c>
      <c r="K69" s="6">
        <f>PRODUCT(30*6)</f>
        <v>180</v>
      </c>
    </row>
    <row r="70" spans="1:11" ht="14.25" customHeight="1" x14ac:dyDescent="0.25">
      <c r="A70" s="6">
        <v>7</v>
      </c>
      <c r="B70" s="6" t="s">
        <v>75</v>
      </c>
      <c r="C70" s="8" t="s">
        <v>76</v>
      </c>
      <c r="D70" s="6" t="s">
        <v>27</v>
      </c>
      <c r="E70" s="6" t="s">
        <v>14</v>
      </c>
      <c r="F70" s="6"/>
      <c r="G70" s="6"/>
      <c r="H70" s="6"/>
      <c r="I70" s="6">
        <v>3</v>
      </c>
      <c r="J70" s="6">
        <v>2</v>
      </c>
      <c r="K70" s="6">
        <v>30</v>
      </c>
    </row>
    <row r="71" spans="1:11" ht="14.25" customHeight="1" x14ac:dyDescent="0.25">
      <c r="A71" s="6">
        <v>7</v>
      </c>
      <c r="B71" s="6" t="s">
        <v>75</v>
      </c>
      <c r="C71" s="8" t="s">
        <v>77</v>
      </c>
      <c r="D71" s="6" t="s">
        <v>49</v>
      </c>
      <c r="E71" s="6" t="s">
        <v>14</v>
      </c>
      <c r="F71" s="6"/>
      <c r="G71" s="6"/>
      <c r="H71" s="6"/>
      <c r="I71" s="6">
        <v>1</v>
      </c>
      <c r="J71" s="6">
        <v>2</v>
      </c>
      <c r="K71" s="6">
        <f>PRODUCT(30*2)</f>
        <v>60</v>
      </c>
    </row>
    <row r="72" spans="1:11" ht="14.25" customHeight="1" x14ac:dyDescent="0.25">
      <c r="A72" s="6">
        <v>7</v>
      </c>
      <c r="B72" s="6" t="s">
        <v>75</v>
      </c>
      <c r="C72" s="8" t="s">
        <v>78</v>
      </c>
      <c r="D72" s="6" t="s">
        <v>13</v>
      </c>
      <c r="E72" s="6" t="s">
        <v>14</v>
      </c>
      <c r="F72" s="6"/>
      <c r="G72" s="6"/>
      <c r="H72" s="6"/>
      <c r="I72" s="6">
        <v>3</v>
      </c>
      <c r="J72" s="6">
        <f>PRODUCT(3*6)</f>
        <v>18</v>
      </c>
      <c r="K72" s="6">
        <f>PRODUCT(30*6)</f>
        <v>180</v>
      </c>
    </row>
    <row r="73" spans="1:11" ht="14.25" customHeight="1" x14ac:dyDescent="0.25">
      <c r="A73" s="6">
        <v>7</v>
      </c>
      <c r="B73" s="6" t="s">
        <v>75</v>
      </c>
      <c r="C73" s="7" t="s">
        <v>20</v>
      </c>
      <c r="D73" s="6" t="s">
        <v>16</v>
      </c>
      <c r="E73" s="6" t="s">
        <v>21</v>
      </c>
      <c r="F73" s="6"/>
      <c r="G73" s="6"/>
      <c r="H73" s="6"/>
      <c r="I73" s="6">
        <v>0</v>
      </c>
      <c r="J73" s="6">
        <v>4</v>
      </c>
      <c r="K73" s="6">
        <v>30</v>
      </c>
    </row>
    <row r="74" spans="1:11" ht="14.25" customHeight="1" x14ac:dyDescent="0.25">
      <c r="A74" s="6">
        <v>7</v>
      </c>
      <c r="B74" s="6" t="s">
        <v>75</v>
      </c>
      <c r="C74" s="8" t="s">
        <v>22</v>
      </c>
      <c r="D74" s="6" t="s">
        <v>23</v>
      </c>
      <c r="E74" s="6" t="s">
        <v>21</v>
      </c>
      <c r="F74" s="6"/>
      <c r="G74" s="6"/>
      <c r="H74" s="6"/>
      <c r="I74" s="6">
        <v>0</v>
      </c>
      <c r="J74" s="6">
        <v>4</v>
      </c>
      <c r="K74" s="6">
        <v>30</v>
      </c>
    </row>
    <row r="75" spans="1:11" ht="14.25" customHeight="1" x14ac:dyDescent="0.25">
      <c r="A75" s="6">
        <v>7</v>
      </c>
      <c r="B75" s="6" t="s">
        <v>75</v>
      </c>
      <c r="C75" s="9" t="s">
        <v>26</v>
      </c>
      <c r="D75" s="6" t="s">
        <v>27</v>
      </c>
      <c r="E75" s="6" t="s">
        <v>21</v>
      </c>
      <c r="F75" s="6"/>
      <c r="G75" s="6"/>
      <c r="H75" s="6"/>
      <c r="I75" s="6">
        <v>0</v>
      </c>
      <c r="J75" s="6">
        <v>4</v>
      </c>
      <c r="K75" s="6">
        <v>30</v>
      </c>
    </row>
    <row r="76" spans="1:11" ht="14.25" customHeight="1" x14ac:dyDescent="0.25">
      <c r="A76" s="6">
        <v>7</v>
      </c>
      <c r="B76" s="6" t="s">
        <v>75</v>
      </c>
      <c r="C76" s="8" t="s">
        <v>29</v>
      </c>
      <c r="D76" s="6" t="s">
        <v>16</v>
      </c>
      <c r="E76" s="6" t="s">
        <v>21</v>
      </c>
      <c r="F76" s="6"/>
      <c r="G76" s="6"/>
      <c r="H76" s="6"/>
      <c r="I76" s="6">
        <v>2</v>
      </c>
      <c r="J76" s="6">
        <v>4</v>
      </c>
      <c r="K76" s="6">
        <v>30</v>
      </c>
    </row>
    <row r="77" spans="1:11" ht="14.25" customHeight="1" x14ac:dyDescent="0.25">
      <c r="A77" s="6">
        <v>7</v>
      </c>
      <c r="B77" s="6" t="s">
        <v>75</v>
      </c>
      <c r="C77" s="9" t="s">
        <v>30</v>
      </c>
      <c r="D77" s="6" t="s">
        <v>13</v>
      </c>
      <c r="E77" s="6" t="s">
        <v>21</v>
      </c>
      <c r="F77" s="6"/>
      <c r="G77" s="6"/>
      <c r="H77" s="6"/>
      <c r="I77" s="6">
        <v>0</v>
      </c>
      <c r="J77" s="6">
        <f>PRODUCT(2*6)</f>
        <v>12</v>
      </c>
      <c r="K77" s="32">
        <f>PRODUCT(30*6)</f>
        <v>180</v>
      </c>
    </row>
    <row r="78" spans="1:11" ht="14.25" customHeight="1" x14ac:dyDescent="0.25">
      <c r="A78" s="6">
        <v>7</v>
      </c>
      <c r="B78" s="6" t="s">
        <v>75</v>
      </c>
      <c r="C78" s="10" t="s">
        <v>31</v>
      </c>
      <c r="D78" s="6" t="s">
        <v>13</v>
      </c>
      <c r="E78" s="6" t="s">
        <v>21</v>
      </c>
      <c r="F78" s="6"/>
      <c r="G78" s="6"/>
      <c r="H78" s="6"/>
      <c r="I78" s="6">
        <v>0</v>
      </c>
      <c r="J78" s="6">
        <f>PRODUCT(1*6)</f>
        <v>6</v>
      </c>
      <c r="K78" s="32">
        <f t="shared" ref="K78" si="2">PRODUCT(30*6)</f>
        <v>180</v>
      </c>
    </row>
    <row r="79" spans="1:11" ht="14.25" customHeight="1" x14ac:dyDescent="0.25">
      <c r="A79" s="6">
        <v>8</v>
      </c>
      <c r="B79" s="6" t="s">
        <v>79</v>
      </c>
      <c r="C79" s="8" t="s">
        <v>80</v>
      </c>
      <c r="D79" s="6" t="s">
        <v>81</v>
      </c>
      <c r="E79" s="6" t="s">
        <v>14</v>
      </c>
      <c r="F79" s="6"/>
      <c r="G79" s="6"/>
      <c r="H79" s="6"/>
      <c r="I79" s="6">
        <v>1</v>
      </c>
      <c r="J79" s="6">
        <f>PRODUCT(3*3)</f>
        <v>9</v>
      </c>
      <c r="K79" s="32">
        <f>PRODUCT(30*3)</f>
        <v>90</v>
      </c>
    </row>
    <row r="80" spans="1:11" ht="14.25" customHeight="1" x14ac:dyDescent="0.25">
      <c r="A80" s="6">
        <v>8</v>
      </c>
      <c r="B80" s="6" t="s">
        <v>79</v>
      </c>
      <c r="C80" s="8" t="s">
        <v>82</v>
      </c>
      <c r="D80" s="6" t="s">
        <v>13</v>
      </c>
      <c r="E80" s="6" t="s">
        <v>14</v>
      </c>
      <c r="F80" s="6"/>
      <c r="G80" s="6"/>
      <c r="H80" s="6"/>
      <c r="I80" s="6">
        <v>0</v>
      </c>
      <c r="J80" s="6">
        <f>PRODUCT(3*6)</f>
        <v>18</v>
      </c>
      <c r="K80" s="6">
        <f>PRODUCT(30*6)</f>
        <v>180</v>
      </c>
    </row>
    <row r="81" spans="1:11" ht="14.25" customHeight="1" x14ac:dyDescent="0.25">
      <c r="A81" s="6">
        <v>8</v>
      </c>
      <c r="B81" s="6" t="s">
        <v>79</v>
      </c>
      <c r="C81" s="8" t="s">
        <v>83</v>
      </c>
      <c r="D81" s="6" t="s">
        <v>13</v>
      </c>
      <c r="E81" s="6" t="s">
        <v>14</v>
      </c>
      <c r="F81" s="6"/>
      <c r="G81" s="6"/>
      <c r="H81" s="6"/>
      <c r="I81" s="6">
        <v>0</v>
      </c>
      <c r="J81" s="6">
        <f>PRODUCT(1*6)</f>
        <v>6</v>
      </c>
      <c r="K81" s="6">
        <f>PRODUCT(K75*6)</f>
        <v>180</v>
      </c>
    </row>
    <row r="82" spans="1:11" ht="14.25" customHeight="1" x14ac:dyDescent="0.25">
      <c r="A82" s="6">
        <v>8</v>
      </c>
      <c r="B82" s="6" t="s">
        <v>79</v>
      </c>
      <c r="C82" s="8" t="s">
        <v>84</v>
      </c>
      <c r="D82" s="6" t="s">
        <v>13</v>
      </c>
      <c r="E82" s="6" t="s">
        <v>14</v>
      </c>
      <c r="F82" s="6"/>
      <c r="G82" s="6"/>
      <c r="H82" s="6"/>
      <c r="I82" s="6">
        <v>3</v>
      </c>
      <c r="J82" s="6">
        <f>PRODUCT(2*6)</f>
        <v>12</v>
      </c>
      <c r="K82" s="6">
        <f>PRODUCT(24*6)</f>
        <v>144</v>
      </c>
    </row>
    <row r="83" spans="1:11" ht="14.25" customHeight="1" x14ac:dyDescent="0.25">
      <c r="A83" s="6">
        <v>8</v>
      </c>
      <c r="B83" s="6" t="s">
        <v>79</v>
      </c>
      <c r="C83" s="7" t="s">
        <v>20</v>
      </c>
      <c r="D83" s="6" t="s">
        <v>16</v>
      </c>
      <c r="E83" s="6" t="s">
        <v>21</v>
      </c>
      <c r="F83" s="6"/>
      <c r="G83" s="6"/>
      <c r="H83" s="6"/>
      <c r="I83" s="6">
        <v>0</v>
      </c>
      <c r="J83" s="6">
        <v>1</v>
      </c>
      <c r="K83" s="6">
        <v>34</v>
      </c>
    </row>
    <row r="84" spans="1:11" ht="14.25" customHeight="1" x14ac:dyDescent="0.25">
      <c r="A84" s="6">
        <v>8</v>
      </c>
      <c r="B84" s="6" t="s">
        <v>79</v>
      </c>
      <c r="C84" s="8" t="s">
        <v>22</v>
      </c>
      <c r="D84" s="6" t="s">
        <v>23</v>
      </c>
      <c r="E84" s="6" t="s">
        <v>21</v>
      </c>
      <c r="F84" s="6"/>
      <c r="G84" s="6"/>
      <c r="H84" s="6"/>
      <c r="I84" s="6">
        <v>0</v>
      </c>
      <c r="J84" s="6">
        <v>1</v>
      </c>
      <c r="K84" s="6">
        <v>30</v>
      </c>
    </row>
    <row r="85" spans="1:11" ht="14.25" customHeight="1" x14ac:dyDescent="0.25">
      <c r="A85" s="6">
        <v>8</v>
      </c>
      <c r="B85" s="6" t="s">
        <v>79</v>
      </c>
      <c r="C85" s="9" t="s">
        <v>26</v>
      </c>
      <c r="D85" s="6" t="s">
        <v>27</v>
      </c>
      <c r="E85" s="6" t="s">
        <v>21</v>
      </c>
      <c r="F85" s="6"/>
      <c r="G85" s="6"/>
      <c r="H85" s="6"/>
      <c r="I85" s="6">
        <v>0</v>
      </c>
      <c r="J85" s="6">
        <v>1</v>
      </c>
      <c r="K85" s="6">
        <v>30</v>
      </c>
    </row>
    <row r="86" spans="1:11" ht="14.25" customHeight="1" x14ac:dyDescent="0.25">
      <c r="A86" s="6">
        <v>8</v>
      </c>
      <c r="B86" s="6" t="s">
        <v>79</v>
      </c>
      <c r="C86" s="8" t="s">
        <v>29</v>
      </c>
      <c r="D86" s="6" t="s">
        <v>16</v>
      </c>
      <c r="E86" s="6" t="s">
        <v>21</v>
      </c>
      <c r="F86" s="6"/>
      <c r="G86" s="6"/>
      <c r="H86" s="6"/>
      <c r="I86" s="6">
        <v>2</v>
      </c>
      <c r="J86" s="6">
        <v>1</v>
      </c>
      <c r="K86" s="6">
        <v>30</v>
      </c>
    </row>
    <row r="87" spans="1:11" ht="14.25" customHeight="1" x14ac:dyDescent="0.25">
      <c r="A87" s="6">
        <v>8</v>
      </c>
      <c r="B87" s="6" t="s">
        <v>79</v>
      </c>
      <c r="C87" s="9" t="s">
        <v>30</v>
      </c>
      <c r="D87" s="6" t="s">
        <v>13</v>
      </c>
      <c r="E87" s="6" t="s">
        <v>21</v>
      </c>
      <c r="F87" s="6"/>
      <c r="G87" s="6"/>
      <c r="H87" s="6"/>
      <c r="I87" s="6">
        <v>0</v>
      </c>
      <c r="J87" s="6">
        <f>PRODUCT(2*6)</f>
        <v>12</v>
      </c>
      <c r="K87" s="6">
        <f>PRODUCT(10*6)</f>
        <v>60</v>
      </c>
    </row>
    <row r="88" spans="1:11" ht="14.25" customHeight="1" x14ac:dyDescent="0.25">
      <c r="A88" s="6">
        <v>8</v>
      </c>
      <c r="B88" s="6" t="s">
        <v>79</v>
      </c>
      <c r="C88" s="10" t="s">
        <v>31</v>
      </c>
      <c r="D88" s="6" t="s">
        <v>13</v>
      </c>
      <c r="E88" s="6" t="s">
        <v>21</v>
      </c>
      <c r="F88" s="6"/>
      <c r="G88" s="6"/>
      <c r="H88" s="6"/>
      <c r="I88" s="6">
        <v>0</v>
      </c>
      <c r="J88" s="6">
        <f>PRODUCT(3*6)</f>
        <v>18</v>
      </c>
      <c r="K88" s="6">
        <f>PRODUCT(30*6)</f>
        <v>180</v>
      </c>
    </row>
    <row r="89" spans="1:11" ht="14.25" customHeight="1" x14ac:dyDescent="0.25">
      <c r="A89" s="6" t="s">
        <v>85</v>
      </c>
      <c r="B89" s="6"/>
      <c r="C89" s="11">
        <f>COUNTA(C3:C88)</f>
        <v>86</v>
      </c>
      <c r="D89" s="6"/>
      <c r="E89" s="6"/>
      <c r="F89" s="12">
        <f>SUM(F2:F88)</f>
        <v>11</v>
      </c>
      <c r="G89" s="13">
        <f>SUM(G3:G88)</f>
        <v>211</v>
      </c>
      <c r="H89" s="14">
        <f t="shared" ref="H89:I89" si="3">SUM(H2:H88)</f>
        <v>3928</v>
      </c>
      <c r="I89" s="13">
        <f t="shared" si="3"/>
        <v>42</v>
      </c>
      <c r="J89" s="13">
        <f>SUM(J3:J88)</f>
        <v>426</v>
      </c>
      <c r="K89" s="14">
        <f>SUM(K2:K88)</f>
        <v>7256</v>
      </c>
    </row>
    <row r="90" spans="1:11" ht="14.25" customHeight="1" x14ac:dyDescent="0.25"/>
    <row r="91" spans="1:11" ht="14.25" customHeight="1" x14ac:dyDescent="0.25">
      <c r="B91" s="33" t="s">
        <v>101</v>
      </c>
      <c r="C91" s="33" t="s">
        <v>102</v>
      </c>
    </row>
    <row r="92" spans="1:11" ht="14.25" customHeight="1" x14ac:dyDescent="0.25">
      <c r="B92" s="33" t="s">
        <v>96</v>
      </c>
      <c r="C92" s="33">
        <f>SUM(K88+K78+K69+K58+K49+K37+K25+K14)</f>
        <v>1320</v>
      </c>
    </row>
    <row r="93" spans="1:11" ht="14.25" customHeight="1" x14ac:dyDescent="0.25">
      <c r="B93" s="33" t="s">
        <v>30</v>
      </c>
      <c r="C93" s="33">
        <f>SUM(K87+K77+K68+K57+K48+K36+K22+K13)</f>
        <v>1320</v>
      </c>
    </row>
    <row r="94" spans="1:11" ht="14.25" customHeight="1" x14ac:dyDescent="0.25">
      <c r="B94" s="33" t="s">
        <v>97</v>
      </c>
      <c r="C94" s="33">
        <f>PRODUCT(30*8)-35</f>
        <v>205</v>
      </c>
    </row>
    <row r="95" spans="1:11" ht="14.25" customHeight="1" x14ac:dyDescent="0.25">
      <c r="B95" s="33" t="s">
        <v>26</v>
      </c>
      <c r="C95" s="33">
        <f>SUM(K10+K85+K75+K66+K56+K24+K35+K46)</f>
        <v>236</v>
      </c>
    </row>
    <row r="96" spans="1:11" ht="14.25" customHeight="1" x14ac:dyDescent="0.25">
      <c r="B96" s="33" t="s">
        <v>98</v>
      </c>
      <c r="C96" s="33">
        <f>PRODUCT(30*8) -12</f>
        <v>228</v>
      </c>
    </row>
    <row r="97" spans="2:3" ht="14.25" customHeight="1" x14ac:dyDescent="0.25">
      <c r="B97" s="33" t="s">
        <v>20</v>
      </c>
      <c r="C97" s="33">
        <f>PRODUCT(30*8)-15</f>
        <v>225</v>
      </c>
    </row>
    <row r="98" spans="2:3" ht="14.25" customHeight="1" x14ac:dyDescent="0.25">
      <c r="B98" s="33" t="s">
        <v>99</v>
      </c>
      <c r="C98" s="33">
        <f>PRODUCT(30*8)-20</f>
        <v>220</v>
      </c>
    </row>
    <row r="99" spans="2:3" ht="14.25" customHeight="1" x14ac:dyDescent="0.25">
      <c r="B99" s="33" t="s">
        <v>100</v>
      </c>
      <c r="C99" s="33">
        <f>PRODUCT(30*8)-25</f>
        <v>215</v>
      </c>
    </row>
    <row r="100" spans="2:3" ht="14.25" customHeight="1" x14ac:dyDescent="0.25">
      <c r="B100" s="40" t="s">
        <v>105</v>
      </c>
    </row>
    <row r="101" spans="2:3" ht="14.25" customHeight="1" x14ac:dyDescent="0.25"/>
    <row r="102" spans="2:3" ht="14.25" customHeight="1" x14ac:dyDescent="0.25"/>
    <row r="103" spans="2:3" ht="14.25" customHeight="1" x14ac:dyDescent="0.25">
      <c r="B103" s="33" t="s">
        <v>101</v>
      </c>
      <c r="C103" s="33" t="s">
        <v>102</v>
      </c>
    </row>
    <row r="104" spans="2:3" ht="14.25" customHeight="1" x14ac:dyDescent="0.25">
      <c r="B104" s="33" t="s">
        <v>96</v>
      </c>
      <c r="C104" s="33">
        <v>1320</v>
      </c>
    </row>
    <row r="105" spans="2:3" ht="14.25" customHeight="1" x14ac:dyDescent="0.25">
      <c r="B105" s="33" t="s">
        <v>30</v>
      </c>
      <c r="C105" s="33">
        <v>1440</v>
      </c>
    </row>
    <row r="106" spans="2:3" ht="14.25" customHeight="1" x14ac:dyDescent="0.25">
      <c r="B106" s="33" t="s">
        <v>97</v>
      </c>
      <c r="C106" s="33">
        <f t="shared" ref="C106:C111" si="4">PRODUCT(30*8)</f>
        <v>240</v>
      </c>
    </row>
    <row r="107" spans="2:3" ht="14.25" customHeight="1" x14ac:dyDescent="0.25">
      <c r="B107" s="33" t="s">
        <v>26</v>
      </c>
      <c r="C107" s="33">
        <f t="shared" si="4"/>
        <v>240</v>
      </c>
    </row>
    <row r="108" spans="2:3" ht="14.25" customHeight="1" x14ac:dyDescent="0.25">
      <c r="B108" s="33" t="s">
        <v>98</v>
      </c>
      <c r="C108" s="33">
        <f t="shared" si="4"/>
        <v>240</v>
      </c>
    </row>
    <row r="109" spans="2:3" ht="14.25" customHeight="1" x14ac:dyDescent="0.25">
      <c r="B109" s="33" t="s">
        <v>20</v>
      </c>
      <c r="C109" s="33">
        <f t="shared" si="4"/>
        <v>240</v>
      </c>
    </row>
    <row r="110" spans="2:3" ht="14.25" customHeight="1" x14ac:dyDescent="0.25">
      <c r="B110" s="33" t="s">
        <v>99</v>
      </c>
      <c r="C110" s="33">
        <f t="shared" si="4"/>
        <v>240</v>
      </c>
    </row>
    <row r="111" spans="2:3" ht="14.25" customHeight="1" x14ac:dyDescent="0.25">
      <c r="B111" s="33" t="s">
        <v>100</v>
      </c>
      <c r="C111" s="33">
        <f t="shared" si="4"/>
        <v>240</v>
      </c>
    </row>
    <row r="112" spans="2:3" ht="14.25" customHeight="1" x14ac:dyDescent="0.25">
      <c r="B112" s="40" t="s">
        <v>106</v>
      </c>
    </row>
    <row r="113" spans="2:3" ht="14.25" customHeight="1" x14ac:dyDescent="0.25"/>
    <row r="114" spans="2:3" ht="14.25" customHeight="1" x14ac:dyDescent="0.25"/>
    <row r="115" spans="2:3" ht="14.25" customHeight="1" x14ac:dyDescent="0.25">
      <c r="B115" s="17" t="s">
        <v>88</v>
      </c>
      <c r="C115" s="18" t="s">
        <v>103</v>
      </c>
    </row>
    <row r="116" spans="2:3" ht="14.25" customHeight="1" x14ac:dyDescent="0.25">
      <c r="B116" s="19" t="s">
        <v>26</v>
      </c>
      <c r="C116" s="41">
        <v>236</v>
      </c>
    </row>
    <row r="117" spans="2:3" ht="14.25" customHeight="1" x14ac:dyDescent="0.25">
      <c r="B117" s="21" t="s">
        <v>96</v>
      </c>
      <c r="C117" s="42">
        <v>1320</v>
      </c>
    </row>
    <row r="118" spans="2:3" ht="14.25" customHeight="1" x14ac:dyDescent="0.25">
      <c r="B118" s="21" t="s">
        <v>98</v>
      </c>
      <c r="C118" s="42">
        <v>228</v>
      </c>
    </row>
    <row r="119" spans="2:3" ht="14.25" customHeight="1" x14ac:dyDescent="0.25">
      <c r="B119" s="21" t="s">
        <v>99</v>
      </c>
      <c r="C119" s="42">
        <v>220</v>
      </c>
    </row>
    <row r="120" spans="2:3" ht="14.25" customHeight="1" x14ac:dyDescent="0.25">
      <c r="B120" s="21" t="s">
        <v>20</v>
      </c>
      <c r="C120" s="42">
        <v>225</v>
      </c>
    </row>
    <row r="121" spans="2:3" ht="14.25" customHeight="1" x14ac:dyDescent="0.25">
      <c r="B121" s="21" t="s">
        <v>30</v>
      </c>
      <c r="C121" s="42">
        <v>1320</v>
      </c>
    </row>
    <row r="122" spans="2:3" ht="14.25" customHeight="1" x14ac:dyDescent="0.25">
      <c r="B122" s="21" t="s">
        <v>100</v>
      </c>
      <c r="C122" s="42">
        <v>215</v>
      </c>
    </row>
    <row r="123" spans="2:3" ht="14.25" customHeight="1" x14ac:dyDescent="0.25">
      <c r="B123" s="21" t="s">
        <v>97</v>
      </c>
      <c r="C123" s="42">
        <v>205</v>
      </c>
    </row>
    <row r="124" spans="2:3" ht="14.25" customHeight="1" x14ac:dyDescent="0.25">
      <c r="B124" s="22" t="s">
        <v>89</v>
      </c>
      <c r="C124" s="43">
        <v>3969</v>
      </c>
    </row>
    <row r="125" spans="2:3" ht="14.25" customHeight="1" x14ac:dyDescent="0.25">
      <c r="B125" s="44" t="s">
        <v>107</v>
      </c>
    </row>
    <row r="126" spans="2:3" ht="14.25" customHeight="1" x14ac:dyDescent="0.25"/>
    <row r="127" spans="2:3" ht="14.25" customHeight="1" x14ac:dyDescent="0.25"/>
    <row r="128" spans="2:3" ht="14.25" customHeight="1" x14ac:dyDescent="0.25">
      <c r="B128" s="17" t="s">
        <v>88</v>
      </c>
      <c r="C128" s="18" t="s">
        <v>103</v>
      </c>
    </row>
    <row r="129" spans="2:3" ht="14.25" customHeight="1" x14ac:dyDescent="0.25">
      <c r="B129" s="19" t="s">
        <v>26</v>
      </c>
      <c r="C129" s="41">
        <v>240</v>
      </c>
    </row>
    <row r="130" spans="2:3" ht="14.25" customHeight="1" x14ac:dyDescent="0.25">
      <c r="B130" s="21" t="s">
        <v>96</v>
      </c>
      <c r="C130" s="42">
        <v>1320</v>
      </c>
    </row>
    <row r="131" spans="2:3" ht="14.25" customHeight="1" x14ac:dyDescent="0.25">
      <c r="B131" s="21" t="s">
        <v>98</v>
      </c>
      <c r="C131" s="42">
        <v>240</v>
      </c>
    </row>
    <row r="132" spans="2:3" ht="14.25" customHeight="1" x14ac:dyDescent="0.25">
      <c r="B132" s="21" t="s">
        <v>99</v>
      </c>
      <c r="C132" s="42">
        <v>240</v>
      </c>
    </row>
    <row r="133" spans="2:3" ht="14.25" customHeight="1" x14ac:dyDescent="0.25">
      <c r="B133" s="21" t="s">
        <v>20</v>
      </c>
      <c r="C133" s="42">
        <v>240</v>
      </c>
    </row>
    <row r="134" spans="2:3" ht="14.25" customHeight="1" x14ac:dyDescent="0.25">
      <c r="B134" s="21" t="s">
        <v>30</v>
      </c>
      <c r="C134" s="42">
        <v>1440</v>
      </c>
    </row>
    <row r="135" spans="2:3" ht="14.25" customHeight="1" x14ac:dyDescent="0.25">
      <c r="B135" s="21" t="s">
        <v>100</v>
      </c>
      <c r="C135" s="42">
        <v>240</v>
      </c>
    </row>
    <row r="136" spans="2:3" ht="14.25" customHeight="1" x14ac:dyDescent="0.25">
      <c r="B136" s="21" t="s">
        <v>97</v>
      </c>
      <c r="C136" s="42">
        <v>240</v>
      </c>
    </row>
    <row r="137" spans="2:3" ht="14.25" customHeight="1" x14ac:dyDescent="0.25">
      <c r="B137" s="22" t="s">
        <v>89</v>
      </c>
      <c r="C137" s="43">
        <v>4200</v>
      </c>
    </row>
    <row r="138" spans="2:3" ht="14.25" customHeight="1" x14ac:dyDescent="0.25">
      <c r="B138" s="44" t="s">
        <v>108</v>
      </c>
    </row>
    <row r="139" spans="2:3" ht="14.25" customHeight="1" x14ac:dyDescent="0.25"/>
    <row r="140" spans="2:3" ht="14.25" customHeight="1" x14ac:dyDescent="0.25"/>
    <row r="141" spans="2:3" ht="14.25" customHeight="1" x14ac:dyDescent="0.25"/>
    <row r="142" spans="2:3" ht="14.25" customHeight="1" x14ac:dyDescent="0.25"/>
    <row r="143" spans="2:3" ht="14.25" customHeight="1" x14ac:dyDescent="0.25"/>
    <row r="144" spans="2:3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spans="2:12" ht="14.25" customHeight="1" x14ac:dyDescent="0.25"/>
    <row r="162" spans="2:12" ht="14.25" customHeight="1" x14ac:dyDescent="0.25"/>
    <row r="163" spans="2:12" ht="14.25" customHeight="1" x14ac:dyDescent="0.25"/>
    <row r="164" spans="2:12" ht="14.25" customHeight="1" x14ac:dyDescent="0.25"/>
    <row r="165" spans="2:12" ht="14.25" customHeight="1" x14ac:dyDescent="0.25"/>
    <row r="166" spans="2:12" ht="14.25" customHeight="1" x14ac:dyDescent="0.25"/>
    <row r="167" spans="2:12" ht="14.25" customHeight="1" x14ac:dyDescent="0.25"/>
    <row r="168" spans="2:12" ht="14.25" customHeight="1" x14ac:dyDescent="0.25"/>
    <row r="169" spans="2:12" ht="14.25" customHeight="1" x14ac:dyDescent="0.25"/>
    <row r="170" spans="2:12" ht="14.25" customHeight="1" thickBot="1" x14ac:dyDescent="0.3">
      <c r="B170" s="1" t="s">
        <v>0</v>
      </c>
      <c r="C170" s="2" t="s">
        <v>1</v>
      </c>
      <c r="D170" s="2" t="s">
        <v>2</v>
      </c>
      <c r="E170" s="2" t="s">
        <v>3</v>
      </c>
      <c r="F170" s="2" t="s">
        <v>4</v>
      </c>
      <c r="G170" s="3" t="s">
        <v>5</v>
      </c>
      <c r="H170" s="3" t="s">
        <v>6</v>
      </c>
      <c r="I170" s="4" t="s">
        <v>7</v>
      </c>
      <c r="J170" s="3" t="s">
        <v>8</v>
      </c>
      <c r="K170" s="3" t="s">
        <v>9</v>
      </c>
      <c r="L170" s="4" t="s">
        <v>10</v>
      </c>
    </row>
    <row r="171" spans="2:12" ht="14.25" customHeight="1" x14ac:dyDescent="0.25">
      <c r="B171" s="7">
        <v>5</v>
      </c>
      <c r="C171" s="7" t="s">
        <v>61</v>
      </c>
      <c r="D171" s="7" t="s">
        <v>62</v>
      </c>
      <c r="E171" s="7" t="s">
        <v>23</v>
      </c>
      <c r="F171" s="7" t="s">
        <v>14</v>
      </c>
      <c r="G171" s="7"/>
      <c r="H171" s="7"/>
      <c r="I171" s="7"/>
      <c r="J171" s="7">
        <v>0</v>
      </c>
      <c r="K171" s="7">
        <v>1</v>
      </c>
      <c r="L171" s="7">
        <v>30</v>
      </c>
    </row>
    <row r="172" spans="2:12" ht="14.25" customHeight="1" x14ac:dyDescent="0.25">
      <c r="B172" s="8">
        <v>5</v>
      </c>
      <c r="C172" s="8" t="s">
        <v>61</v>
      </c>
      <c r="D172" s="8" t="s">
        <v>63</v>
      </c>
      <c r="E172" s="8" t="s">
        <v>64</v>
      </c>
      <c r="F172" s="8" t="s">
        <v>14</v>
      </c>
      <c r="G172" s="8"/>
      <c r="H172" s="8"/>
      <c r="I172" s="8"/>
      <c r="J172" s="8">
        <v>3</v>
      </c>
      <c r="K172" s="8">
        <v>1</v>
      </c>
      <c r="L172" s="8">
        <v>30</v>
      </c>
    </row>
    <row r="173" spans="2:12" ht="14.25" customHeight="1" x14ac:dyDescent="0.25">
      <c r="B173" s="7">
        <v>5</v>
      </c>
      <c r="C173" s="7" t="s">
        <v>61</v>
      </c>
      <c r="D173" s="7" t="s">
        <v>65</v>
      </c>
      <c r="E173" s="7" t="s">
        <v>66</v>
      </c>
      <c r="F173" s="7" t="s">
        <v>14</v>
      </c>
      <c r="G173" s="7"/>
      <c r="H173" s="7"/>
      <c r="I173" s="7"/>
      <c r="J173" s="7">
        <v>0</v>
      </c>
      <c r="K173" s="7">
        <v>1</v>
      </c>
      <c r="L173" s="7">
        <v>60</v>
      </c>
    </row>
    <row r="174" spans="2:12" ht="14.25" customHeight="1" x14ac:dyDescent="0.25">
      <c r="B174" s="8">
        <v>5</v>
      </c>
      <c r="C174" s="8" t="s">
        <v>61</v>
      </c>
      <c r="D174" s="8" t="s">
        <v>20</v>
      </c>
      <c r="E174" s="8" t="s">
        <v>16</v>
      </c>
      <c r="F174" s="8" t="s">
        <v>21</v>
      </c>
      <c r="G174" s="8"/>
      <c r="H174" s="8"/>
      <c r="I174" s="8"/>
      <c r="J174" s="8">
        <v>0</v>
      </c>
      <c r="K174" s="8">
        <v>1</v>
      </c>
      <c r="L174" s="8">
        <v>30</v>
      </c>
    </row>
    <row r="175" spans="2:12" ht="14.25" customHeight="1" x14ac:dyDescent="0.25">
      <c r="B175" s="7">
        <v>5</v>
      </c>
      <c r="C175" s="7" t="s">
        <v>61</v>
      </c>
      <c r="D175" s="7" t="s">
        <v>22</v>
      </c>
      <c r="E175" s="7" t="s">
        <v>23</v>
      </c>
      <c r="F175" s="7" t="s">
        <v>21</v>
      </c>
      <c r="G175" s="7"/>
      <c r="H175" s="7"/>
      <c r="I175" s="7"/>
      <c r="J175" s="7">
        <v>0</v>
      </c>
      <c r="K175" s="7">
        <v>1</v>
      </c>
      <c r="L175" s="7">
        <v>30</v>
      </c>
    </row>
    <row r="176" spans="2:12" ht="14.25" customHeight="1" x14ac:dyDescent="0.25">
      <c r="B176" s="8">
        <v>5</v>
      </c>
      <c r="C176" s="8" t="s">
        <v>61</v>
      </c>
      <c r="D176" s="34" t="s">
        <v>26</v>
      </c>
      <c r="E176" s="8" t="s">
        <v>27</v>
      </c>
      <c r="F176" s="8" t="s">
        <v>21</v>
      </c>
      <c r="G176" s="8"/>
      <c r="H176" s="8"/>
      <c r="I176" s="8"/>
      <c r="J176" s="8">
        <v>0</v>
      </c>
      <c r="K176" s="8">
        <v>1</v>
      </c>
      <c r="L176" s="8">
        <v>30</v>
      </c>
    </row>
    <row r="177" spans="2:12" ht="14.25" customHeight="1" x14ac:dyDescent="0.25">
      <c r="B177" s="7">
        <v>5</v>
      </c>
      <c r="C177" s="7" t="s">
        <v>61</v>
      </c>
      <c r="D177" s="7" t="s">
        <v>29</v>
      </c>
      <c r="E177" s="7" t="s">
        <v>16</v>
      </c>
      <c r="F177" s="7" t="s">
        <v>21</v>
      </c>
      <c r="G177" s="7"/>
      <c r="H177" s="7"/>
      <c r="I177" s="7"/>
      <c r="J177" s="7">
        <v>1</v>
      </c>
      <c r="K177" s="7">
        <v>1</v>
      </c>
      <c r="L177" s="7">
        <v>30</v>
      </c>
    </row>
    <row r="178" spans="2:12" ht="14.25" customHeight="1" x14ac:dyDescent="0.25">
      <c r="B178" s="8">
        <v>5</v>
      </c>
      <c r="C178" s="8" t="s">
        <v>61</v>
      </c>
      <c r="D178" s="34" t="s">
        <v>30</v>
      </c>
      <c r="E178" s="8" t="s">
        <v>13</v>
      </c>
      <c r="F178" s="8" t="s">
        <v>21</v>
      </c>
      <c r="G178" s="8"/>
      <c r="H178" s="8"/>
      <c r="I178" s="8"/>
      <c r="J178" s="8">
        <v>0</v>
      </c>
      <c r="K178" s="8">
        <v>18</v>
      </c>
      <c r="L178" s="8">
        <f>PRODUCT(30*6)</f>
        <v>180</v>
      </c>
    </row>
    <row r="179" spans="2:12" ht="14.25" customHeight="1" x14ac:dyDescent="0.25">
      <c r="B179" s="7">
        <v>5</v>
      </c>
      <c r="C179" s="7" t="s">
        <v>61</v>
      </c>
      <c r="D179" s="35" t="s">
        <v>31</v>
      </c>
      <c r="E179" s="7" t="s">
        <v>13</v>
      </c>
      <c r="F179" s="7" t="s">
        <v>21</v>
      </c>
      <c r="G179" s="7"/>
      <c r="H179" s="7"/>
      <c r="I179" s="7"/>
      <c r="J179" s="7">
        <v>0</v>
      </c>
      <c r="K179" s="7">
        <v>18</v>
      </c>
      <c r="L179" s="7">
        <f>PRODUCT(30*6)</f>
        <v>180</v>
      </c>
    </row>
    <row r="180" spans="2:12" ht="14.25" customHeight="1" x14ac:dyDescent="0.25">
      <c r="B180" s="8">
        <v>6</v>
      </c>
      <c r="C180" s="8" t="s">
        <v>67</v>
      </c>
      <c r="D180" s="8" t="s">
        <v>68</v>
      </c>
      <c r="E180" s="8" t="s">
        <v>44</v>
      </c>
      <c r="F180" s="8" t="s">
        <v>14</v>
      </c>
      <c r="G180" s="8"/>
      <c r="H180" s="8"/>
      <c r="I180" s="8"/>
      <c r="J180" s="8">
        <v>0</v>
      </c>
      <c r="K180" s="8">
        <v>1</v>
      </c>
      <c r="L180" s="8">
        <v>60</v>
      </c>
    </row>
    <row r="181" spans="2:12" ht="14.25" customHeight="1" x14ac:dyDescent="0.25">
      <c r="B181" s="7">
        <v>6</v>
      </c>
      <c r="C181" s="7" t="s">
        <v>67</v>
      </c>
      <c r="D181" s="7" t="s">
        <v>69</v>
      </c>
      <c r="E181" s="7" t="s">
        <v>47</v>
      </c>
      <c r="F181" s="7" t="s">
        <v>14</v>
      </c>
      <c r="G181" s="7"/>
      <c r="H181" s="7"/>
      <c r="I181" s="7"/>
      <c r="J181" s="7">
        <v>3</v>
      </c>
      <c r="K181" s="7">
        <v>1</v>
      </c>
      <c r="L181" s="7">
        <v>90</v>
      </c>
    </row>
    <row r="182" spans="2:12" ht="14.25" customHeight="1" x14ac:dyDescent="0.25">
      <c r="B182" s="8">
        <v>6</v>
      </c>
      <c r="C182" s="8" t="s">
        <v>67</v>
      </c>
      <c r="D182" s="8" t="s">
        <v>70</v>
      </c>
      <c r="E182" s="8" t="s">
        <v>71</v>
      </c>
      <c r="F182" s="8" t="s">
        <v>14</v>
      </c>
      <c r="G182" s="8"/>
      <c r="H182" s="8"/>
      <c r="I182" s="8"/>
      <c r="J182" s="8">
        <v>2</v>
      </c>
      <c r="K182" s="8">
        <f>PRODUCT(2*2)</f>
        <v>4</v>
      </c>
      <c r="L182" s="8">
        <f>PRODUCT(60*2)</f>
        <v>120</v>
      </c>
    </row>
    <row r="183" spans="2:12" ht="14.25" customHeight="1" x14ac:dyDescent="0.25">
      <c r="B183" s="7">
        <v>6</v>
      </c>
      <c r="C183" s="7" t="s">
        <v>67</v>
      </c>
      <c r="D183" s="7" t="s">
        <v>72</v>
      </c>
      <c r="E183" s="7" t="s">
        <v>73</v>
      </c>
      <c r="F183" s="7" t="s">
        <v>14</v>
      </c>
      <c r="G183" s="7"/>
      <c r="H183" s="7"/>
      <c r="I183" s="7"/>
      <c r="J183" s="7">
        <v>2</v>
      </c>
      <c r="K183" s="7">
        <v>2</v>
      </c>
      <c r="L183" s="7">
        <v>25</v>
      </c>
    </row>
    <row r="184" spans="2:12" ht="14.25" customHeight="1" x14ac:dyDescent="0.25">
      <c r="B184" s="8">
        <v>6</v>
      </c>
      <c r="C184" s="8" t="s">
        <v>67</v>
      </c>
      <c r="D184" s="8" t="s">
        <v>74</v>
      </c>
      <c r="E184" s="8" t="s">
        <v>27</v>
      </c>
      <c r="F184" s="8" t="s">
        <v>14</v>
      </c>
      <c r="G184" s="8"/>
      <c r="H184" s="8"/>
      <c r="I184" s="8"/>
      <c r="J184" s="8">
        <v>1</v>
      </c>
      <c r="K184" s="8">
        <v>2</v>
      </c>
      <c r="L184" s="8">
        <v>30</v>
      </c>
    </row>
    <row r="185" spans="2:12" ht="14.25" customHeight="1" x14ac:dyDescent="0.25">
      <c r="B185" s="7">
        <v>6</v>
      </c>
      <c r="C185" s="7" t="s">
        <v>67</v>
      </c>
      <c r="D185" s="7" t="s">
        <v>20</v>
      </c>
      <c r="E185" s="7" t="s">
        <v>16</v>
      </c>
      <c r="F185" s="7" t="s">
        <v>21</v>
      </c>
      <c r="G185" s="7"/>
      <c r="H185" s="7"/>
      <c r="I185" s="7"/>
      <c r="J185" s="7">
        <v>0</v>
      </c>
      <c r="K185" s="7">
        <v>2</v>
      </c>
      <c r="L185" s="7">
        <v>30</v>
      </c>
    </row>
    <row r="186" spans="2:12" ht="14.25" customHeight="1" x14ac:dyDescent="0.25">
      <c r="B186" s="8">
        <v>6</v>
      </c>
      <c r="C186" s="8" t="s">
        <v>67</v>
      </c>
      <c r="D186" s="8" t="s">
        <v>22</v>
      </c>
      <c r="E186" s="8" t="s">
        <v>23</v>
      </c>
      <c r="F186" s="8" t="s">
        <v>21</v>
      </c>
      <c r="G186" s="8"/>
      <c r="H186" s="8"/>
      <c r="I186" s="8"/>
      <c r="J186" s="8">
        <v>0</v>
      </c>
      <c r="K186" s="8">
        <v>2</v>
      </c>
      <c r="L186" s="8">
        <v>30</v>
      </c>
    </row>
    <row r="187" spans="2:12" ht="14.25" customHeight="1" x14ac:dyDescent="0.25">
      <c r="B187" s="7">
        <v>6</v>
      </c>
      <c r="C187" s="7" t="s">
        <v>67</v>
      </c>
      <c r="D187" s="9" t="s">
        <v>26</v>
      </c>
      <c r="E187" s="7" t="s">
        <v>27</v>
      </c>
      <c r="F187" s="7" t="s">
        <v>21</v>
      </c>
      <c r="G187" s="7"/>
      <c r="H187" s="7"/>
      <c r="I187" s="7"/>
      <c r="J187" s="7">
        <v>0</v>
      </c>
      <c r="K187" s="7">
        <v>2</v>
      </c>
      <c r="L187" s="7">
        <v>30</v>
      </c>
    </row>
    <row r="188" spans="2:12" ht="14.25" customHeight="1" x14ac:dyDescent="0.25">
      <c r="B188" s="8">
        <v>6</v>
      </c>
      <c r="C188" s="8" t="s">
        <v>67</v>
      </c>
      <c r="D188" s="8" t="s">
        <v>29</v>
      </c>
      <c r="E188" s="8" t="s">
        <v>16</v>
      </c>
      <c r="F188" s="8" t="s">
        <v>21</v>
      </c>
      <c r="G188" s="8"/>
      <c r="H188" s="8"/>
      <c r="I188" s="8"/>
      <c r="J188" s="8">
        <v>2</v>
      </c>
      <c r="K188" s="8">
        <v>2</v>
      </c>
      <c r="L188" s="8">
        <v>30</v>
      </c>
    </row>
    <row r="189" spans="2:12" ht="14.25" customHeight="1" x14ac:dyDescent="0.25">
      <c r="B189" s="7">
        <v>6</v>
      </c>
      <c r="C189" s="7" t="s">
        <v>67</v>
      </c>
      <c r="D189" s="9" t="s">
        <v>30</v>
      </c>
      <c r="E189" s="7" t="s">
        <v>13</v>
      </c>
      <c r="F189" s="7" t="s">
        <v>21</v>
      </c>
      <c r="G189" s="7"/>
      <c r="H189" s="7"/>
      <c r="I189" s="7"/>
      <c r="J189" s="7">
        <v>0</v>
      </c>
      <c r="K189" s="7">
        <f>PRODUCT(3*6)</f>
        <v>18</v>
      </c>
      <c r="L189" s="7">
        <f>PRODUCT(30*6)</f>
        <v>180</v>
      </c>
    </row>
    <row r="190" spans="2:12" ht="14.25" customHeight="1" x14ac:dyDescent="0.25">
      <c r="B190" s="8">
        <v>6</v>
      </c>
      <c r="C190" s="8" t="s">
        <v>67</v>
      </c>
      <c r="D190" s="10" t="s">
        <v>31</v>
      </c>
      <c r="E190" s="8" t="s">
        <v>13</v>
      </c>
      <c r="F190" s="8" t="s">
        <v>21</v>
      </c>
      <c r="G190" s="8"/>
      <c r="H190" s="8"/>
      <c r="I190" s="8"/>
      <c r="J190" s="8">
        <v>0</v>
      </c>
      <c r="K190" s="8">
        <f>PRODUCT(2*6)</f>
        <v>12</v>
      </c>
      <c r="L190" s="8">
        <f>PRODUCT(30*6)</f>
        <v>180</v>
      </c>
    </row>
    <row r="191" spans="2:12" ht="14.25" customHeight="1" x14ac:dyDescent="0.25">
      <c r="B191" s="7">
        <v>7</v>
      </c>
      <c r="C191" s="7" t="s">
        <v>75</v>
      </c>
      <c r="D191" s="8" t="s">
        <v>76</v>
      </c>
      <c r="E191" s="7" t="s">
        <v>27</v>
      </c>
      <c r="F191" s="7" t="s">
        <v>14</v>
      </c>
      <c r="G191" s="7"/>
      <c r="H191" s="7"/>
      <c r="I191" s="7"/>
      <c r="J191" s="7">
        <v>3</v>
      </c>
      <c r="K191" s="7">
        <v>2</v>
      </c>
      <c r="L191" s="7">
        <v>30</v>
      </c>
    </row>
    <row r="192" spans="2:12" ht="14.25" customHeight="1" x14ac:dyDescent="0.25">
      <c r="B192" s="8">
        <v>7</v>
      </c>
      <c r="C192" s="8" t="s">
        <v>75</v>
      </c>
      <c r="D192" s="8" t="s">
        <v>77</v>
      </c>
      <c r="E192" s="8" t="s">
        <v>49</v>
      </c>
      <c r="F192" s="8" t="s">
        <v>14</v>
      </c>
      <c r="G192" s="8"/>
      <c r="H192" s="8"/>
      <c r="I192" s="8"/>
      <c r="J192" s="8">
        <v>2</v>
      </c>
      <c r="K192" s="8">
        <v>2</v>
      </c>
      <c r="L192" s="8">
        <v>60</v>
      </c>
    </row>
    <row r="193" spans="2:12" ht="14.25" customHeight="1" x14ac:dyDescent="0.25">
      <c r="B193" s="7">
        <v>7</v>
      </c>
      <c r="C193" s="7" t="s">
        <v>75</v>
      </c>
      <c r="D193" s="8" t="s">
        <v>78</v>
      </c>
      <c r="E193" s="7" t="s">
        <v>13</v>
      </c>
      <c r="F193" s="7" t="s">
        <v>14</v>
      </c>
      <c r="G193" s="7"/>
      <c r="H193" s="7"/>
      <c r="I193" s="7"/>
      <c r="J193" s="7">
        <v>2</v>
      </c>
      <c r="K193" s="7">
        <f>PRODUCT(3*6)</f>
        <v>18</v>
      </c>
      <c r="L193" s="7">
        <f>PRODUCT(30*6)</f>
        <v>180</v>
      </c>
    </row>
    <row r="194" spans="2:12" ht="14.25" customHeight="1" x14ac:dyDescent="0.25">
      <c r="B194" s="8">
        <v>7</v>
      </c>
      <c r="C194" s="8" t="s">
        <v>75</v>
      </c>
      <c r="D194" s="7" t="s">
        <v>20</v>
      </c>
      <c r="E194" s="8" t="s">
        <v>16</v>
      </c>
      <c r="F194" s="8" t="s">
        <v>21</v>
      </c>
      <c r="G194" s="8"/>
      <c r="H194" s="8"/>
      <c r="I194" s="8"/>
      <c r="J194" s="8">
        <v>0</v>
      </c>
      <c r="K194" s="8">
        <v>4</v>
      </c>
      <c r="L194" s="8">
        <v>30</v>
      </c>
    </row>
    <row r="195" spans="2:12" ht="14.25" customHeight="1" x14ac:dyDescent="0.25">
      <c r="B195" s="7">
        <v>7</v>
      </c>
      <c r="C195" s="7" t="s">
        <v>75</v>
      </c>
      <c r="D195" s="8" t="s">
        <v>22</v>
      </c>
      <c r="E195" s="7" t="s">
        <v>23</v>
      </c>
      <c r="F195" s="7" t="s">
        <v>21</v>
      </c>
      <c r="G195" s="7"/>
      <c r="H195" s="7"/>
      <c r="I195" s="7"/>
      <c r="J195" s="7">
        <v>0</v>
      </c>
      <c r="K195" s="7">
        <v>4</v>
      </c>
      <c r="L195" s="7">
        <v>30</v>
      </c>
    </row>
    <row r="196" spans="2:12" ht="14.25" customHeight="1" x14ac:dyDescent="0.25">
      <c r="B196" s="8">
        <v>7</v>
      </c>
      <c r="C196" s="8" t="s">
        <v>75</v>
      </c>
      <c r="D196" s="9" t="s">
        <v>26</v>
      </c>
      <c r="E196" s="8" t="s">
        <v>27</v>
      </c>
      <c r="F196" s="8" t="s">
        <v>21</v>
      </c>
      <c r="G196" s="8"/>
      <c r="H196" s="8"/>
      <c r="I196" s="8"/>
      <c r="J196" s="8">
        <v>0</v>
      </c>
      <c r="K196" s="8">
        <v>4</v>
      </c>
      <c r="L196" s="8">
        <v>30</v>
      </c>
    </row>
    <row r="197" spans="2:12" ht="14.25" customHeight="1" x14ac:dyDescent="0.25">
      <c r="B197" s="7">
        <v>7</v>
      </c>
      <c r="C197" s="7" t="s">
        <v>75</v>
      </c>
      <c r="D197" s="8" t="s">
        <v>29</v>
      </c>
      <c r="E197" s="7" t="s">
        <v>16</v>
      </c>
      <c r="F197" s="7" t="s">
        <v>21</v>
      </c>
      <c r="G197" s="7"/>
      <c r="H197" s="7"/>
      <c r="I197" s="7"/>
      <c r="J197" s="7">
        <v>3</v>
      </c>
      <c r="K197" s="7">
        <v>4</v>
      </c>
      <c r="L197" s="7">
        <v>30</v>
      </c>
    </row>
    <row r="198" spans="2:12" ht="14.25" customHeight="1" x14ac:dyDescent="0.25">
      <c r="B198" s="8">
        <v>7</v>
      </c>
      <c r="C198" s="8" t="s">
        <v>75</v>
      </c>
      <c r="D198" s="9" t="s">
        <v>30</v>
      </c>
      <c r="E198" s="8" t="s">
        <v>13</v>
      </c>
      <c r="F198" s="8" t="s">
        <v>21</v>
      </c>
      <c r="G198" s="8"/>
      <c r="H198" s="8"/>
      <c r="I198" s="8"/>
      <c r="J198" s="8">
        <v>0</v>
      </c>
      <c r="K198" s="8">
        <f>PRODUCT(3*6)</f>
        <v>18</v>
      </c>
      <c r="L198" s="8">
        <f>PRODUCT(30*6)</f>
        <v>180</v>
      </c>
    </row>
    <row r="199" spans="2:12" ht="14.25" customHeight="1" x14ac:dyDescent="0.25">
      <c r="B199" s="7">
        <v>7</v>
      </c>
      <c r="C199" s="7" t="s">
        <v>75</v>
      </c>
      <c r="D199" s="10" t="s">
        <v>31</v>
      </c>
      <c r="E199" s="7" t="s">
        <v>13</v>
      </c>
      <c r="F199" s="7" t="s">
        <v>21</v>
      </c>
      <c r="G199" s="7"/>
      <c r="H199" s="7"/>
      <c r="I199" s="7"/>
      <c r="J199" s="7">
        <v>0</v>
      </c>
      <c r="K199" s="7">
        <f>PRODUCT(1*6)</f>
        <v>6</v>
      </c>
      <c r="L199" s="7">
        <f>PRODUCT(30*6)</f>
        <v>180</v>
      </c>
    </row>
    <row r="200" spans="2:12" ht="14.25" customHeight="1" x14ac:dyDescent="0.25">
      <c r="B200" s="8">
        <v>8</v>
      </c>
      <c r="C200" s="8" t="s">
        <v>79</v>
      </c>
      <c r="D200" s="8" t="s">
        <v>80</v>
      </c>
      <c r="E200" s="8" t="s">
        <v>81</v>
      </c>
      <c r="F200" s="8" t="s">
        <v>14</v>
      </c>
      <c r="G200" s="8"/>
      <c r="H200" s="8"/>
      <c r="I200" s="8"/>
      <c r="J200" s="8">
        <v>1</v>
      </c>
      <c r="K200" s="8">
        <f>PRODUCT(3*3)</f>
        <v>9</v>
      </c>
      <c r="L200" s="8">
        <f>PRODUCT(30*3)</f>
        <v>90</v>
      </c>
    </row>
    <row r="201" spans="2:12" ht="14.25" customHeight="1" x14ac:dyDescent="0.25">
      <c r="B201" s="7">
        <v>8</v>
      </c>
      <c r="C201" s="7" t="s">
        <v>79</v>
      </c>
      <c r="D201" s="8" t="s">
        <v>82</v>
      </c>
      <c r="E201" s="7" t="s">
        <v>13</v>
      </c>
      <c r="F201" s="7" t="s">
        <v>14</v>
      </c>
      <c r="G201" s="7"/>
      <c r="H201" s="7"/>
      <c r="I201" s="7"/>
      <c r="J201" s="7">
        <v>0</v>
      </c>
      <c r="K201" s="7">
        <f>PRODUCT(3*6)</f>
        <v>18</v>
      </c>
      <c r="L201" s="7">
        <f>PRODUCT(30*6)</f>
        <v>180</v>
      </c>
    </row>
    <row r="202" spans="2:12" ht="14.25" customHeight="1" x14ac:dyDescent="0.25">
      <c r="B202" s="8">
        <v>8</v>
      </c>
      <c r="C202" s="8" t="s">
        <v>79</v>
      </c>
      <c r="D202" s="8" t="s">
        <v>83</v>
      </c>
      <c r="E202" s="8" t="s">
        <v>13</v>
      </c>
      <c r="F202" s="8" t="s">
        <v>14</v>
      </c>
      <c r="G202" s="8"/>
      <c r="H202" s="8"/>
      <c r="I202" s="8"/>
      <c r="J202" s="8">
        <v>0</v>
      </c>
      <c r="K202" s="8">
        <f>PRODUCT(3*6)</f>
        <v>18</v>
      </c>
      <c r="L202" s="8">
        <f t="shared" ref="L202:L203" si="5">PRODUCT(30*6)</f>
        <v>180</v>
      </c>
    </row>
    <row r="203" spans="2:12" ht="14.25" customHeight="1" x14ac:dyDescent="0.25">
      <c r="B203" s="7">
        <v>8</v>
      </c>
      <c r="C203" s="7" t="s">
        <v>79</v>
      </c>
      <c r="D203" s="8" t="s">
        <v>84</v>
      </c>
      <c r="E203" s="7" t="s">
        <v>13</v>
      </c>
      <c r="F203" s="7" t="s">
        <v>14</v>
      </c>
      <c r="G203" s="7"/>
      <c r="H203" s="7"/>
      <c r="I203" s="7"/>
      <c r="J203" s="7">
        <v>3</v>
      </c>
      <c r="K203" s="7">
        <f>PRODUCT(2*6)</f>
        <v>12</v>
      </c>
      <c r="L203" s="7">
        <f t="shared" si="5"/>
        <v>180</v>
      </c>
    </row>
    <row r="204" spans="2:12" ht="14.25" customHeight="1" x14ac:dyDescent="0.25">
      <c r="B204" s="8">
        <v>8</v>
      </c>
      <c r="C204" s="8" t="s">
        <v>79</v>
      </c>
      <c r="D204" s="7" t="s">
        <v>20</v>
      </c>
      <c r="E204" s="8" t="s">
        <v>16</v>
      </c>
      <c r="F204" s="8" t="s">
        <v>21</v>
      </c>
      <c r="G204" s="8"/>
      <c r="H204" s="8"/>
      <c r="I204" s="8"/>
      <c r="J204" s="8">
        <v>0</v>
      </c>
      <c r="K204" s="8">
        <v>1</v>
      </c>
      <c r="L204" s="8">
        <v>30</v>
      </c>
    </row>
    <row r="205" spans="2:12" ht="14.25" customHeight="1" x14ac:dyDescent="0.25">
      <c r="B205" s="7">
        <v>8</v>
      </c>
      <c r="C205" s="7" t="s">
        <v>79</v>
      </c>
      <c r="D205" s="8" t="s">
        <v>22</v>
      </c>
      <c r="E205" s="7" t="s">
        <v>23</v>
      </c>
      <c r="F205" s="7" t="s">
        <v>21</v>
      </c>
      <c r="G205" s="7"/>
      <c r="H205" s="7"/>
      <c r="I205" s="7"/>
      <c r="J205" s="7">
        <v>0</v>
      </c>
      <c r="K205" s="7">
        <v>1</v>
      </c>
      <c r="L205" s="7">
        <v>30</v>
      </c>
    </row>
    <row r="206" spans="2:12" ht="14.25" customHeight="1" x14ac:dyDescent="0.25">
      <c r="B206" s="8">
        <v>8</v>
      </c>
      <c r="C206" s="8" t="s">
        <v>79</v>
      </c>
      <c r="D206" s="9" t="s">
        <v>26</v>
      </c>
      <c r="E206" s="8" t="s">
        <v>27</v>
      </c>
      <c r="F206" s="8" t="s">
        <v>21</v>
      </c>
      <c r="G206" s="8"/>
      <c r="H206" s="8"/>
      <c r="I206" s="8"/>
      <c r="J206" s="8">
        <v>0</v>
      </c>
      <c r="K206" s="8">
        <v>1</v>
      </c>
      <c r="L206" s="8">
        <v>30</v>
      </c>
    </row>
    <row r="207" spans="2:12" ht="14.25" customHeight="1" x14ac:dyDescent="0.25">
      <c r="B207" s="7">
        <v>8</v>
      </c>
      <c r="C207" s="7" t="s">
        <v>79</v>
      </c>
      <c r="D207" s="8" t="s">
        <v>29</v>
      </c>
      <c r="E207" s="7" t="s">
        <v>16</v>
      </c>
      <c r="F207" s="7" t="s">
        <v>21</v>
      </c>
      <c r="G207" s="7"/>
      <c r="H207" s="7"/>
      <c r="I207" s="7"/>
      <c r="J207" s="7">
        <v>2</v>
      </c>
      <c r="K207" s="7">
        <v>1</v>
      </c>
      <c r="L207" s="7">
        <v>30</v>
      </c>
    </row>
    <row r="208" spans="2:12" ht="14.25" customHeight="1" x14ac:dyDescent="0.25">
      <c r="B208" s="8">
        <v>8</v>
      </c>
      <c r="C208" s="8" t="s">
        <v>79</v>
      </c>
      <c r="D208" s="9" t="s">
        <v>30</v>
      </c>
      <c r="E208" s="8" t="s">
        <v>13</v>
      </c>
      <c r="F208" s="8" t="s">
        <v>21</v>
      </c>
      <c r="G208" s="8"/>
      <c r="H208" s="8"/>
      <c r="I208" s="8"/>
      <c r="J208" s="8">
        <v>0</v>
      </c>
      <c r="K208" s="8">
        <f>PRODUCT(2*6)</f>
        <v>12</v>
      </c>
      <c r="L208" s="8">
        <f>PRODUCT(30*6)</f>
        <v>180</v>
      </c>
    </row>
    <row r="209" spans="2:12" ht="14.25" customHeight="1" x14ac:dyDescent="0.25">
      <c r="B209" s="7">
        <v>8</v>
      </c>
      <c r="C209" s="7" t="s">
        <v>79</v>
      </c>
      <c r="D209" s="10" t="s">
        <v>31</v>
      </c>
      <c r="E209" s="7" t="s">
        <v>13</v>
      </c>
      <c r="F209" s="7" t="s">
        <v>21</v>
      </c>
      <c r="G209" s="7"/>
      <c r="H209" s="7"/>
      <c r="I209" s="7"/>
      <c r="J209" s="7">
        <v>0</v>
      </c>
      <c r="K209" s="7">
        <f>PRODUCT(3*6)</f>
        <v>18</v>
      </c>
      <c r="L209" s="7">
        <f>PRODUCT(30*6)</f>
        <v>180</v>
      </c>
    </row>
    <row r="210" spans="2:12" ht="14.25" customHeight="1" x14ac:dyDescent="0.25"/>
    <row r="211" spans="2:12" ht="14.25" customHeight="1" x14ac:dyDescent="0.25"/>
    <row r="212" spans="2:12" ht="14.25" customHeight="1" x14ac:dyDescent="0.25"/>
    <row r="213" spans="2:12" ht="14.25" customHeight="1" x14ac:dyDescent="0.25"/>
    <row r="214" spans="2:12" ht="14.25" customHeight="1" x14ac:dyDescent="0.25"/>
    <row r="215" spans="2:12" ht="14.25" customHeight="1" x14ac:dyDescent="0.25"/>
    <row r="216" spans="2:12" ht="14.25" customHeight="1" x14ac:dyDescent="0.25"/>
    <row r="217" spans="2:12" ht="14.25" customHeight="1" x14ac:dyDescent="0.25"/>
    <row r="218" spans="2:12" ht="14.25" customHeight="1" x14ac:dyDescent="0.25"/>
    <row r="219" spans="2:12" ht="14.25" customHeight="1" x14ac:dyDescent="0.25"/>
    <row r="220" spans="2:12" ht="14.25" customHeight="1" x14ac:dyDescent="0.25"/>
    <row r="221" spans="2:12" ht="14.25" customHeight="1" x14ac:dyDescent="0.25"/>
    <row r="222" spans="2:12" ht="14.25" customHeight="1" x14ac:dyDescent="0.25"/>
    <row r="223" spans="2:12" ht="14.25" customHeight="1" x14ac:dyDescent="0.25"/>
    <row r="224" spans="2:12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</sheetData>
  <mergeCells count="2">
    <mergeCell ref="N52:Q52"/>
    <mergeCell ref="V51:Y51"/>
  </mergeCells>
  <dataValidations count="2">
    <dataValidation type="list" allowBlank="1" showErrorMessage="1" sqref="G171:G209 F2:F88 J171:J209 I2:I88" xr:uid="{A86B0D22-9596-4AA9-854C-ABF48BBE92E9}">
      <formula1>"3,1,2,0"</formula1>
    </dataValidation>
    <dataValidation type="list" allowBlank="1" showErrorMessage="1" sqref="E2:E88 F171:F209" xr:uid="{EF515106-97B4-4B89-8717-EC337BDBEC47}">
      <formula1>"Unico,Común"</formula1>
    </dataValidation>
  </dataValidations>
  <pageMargins left="0.7" right="0.7" top="0.75" bottom="0.75" header="0" footer="0"/>
  <pageSetup orientation="landscape"/>
  <drawing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Plantilla</vt:lpstr>
      <vt:lpstr>EDT</vt:lpstr>
      <vt:lpstr>EDT copia</vt:lpstr>
      <vt:lpstr>EDT (CICLO 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</dc:creator>
  <cp:lastModifiedBy>SANTIAGO ANDRES HERRADA MONTENEGRO</cp:lastModifiedBy>
  <dcterms:created xsi:type="dcterms:W3CDTF">2025-09-09T04:47:14Z</dcterms:created>
  <dcterms:modified xsi:type="dcterms:W3CDTF">2025-11-06T01:14:55Z</dcterms:modified>
</cp:coreProperties>
</file>