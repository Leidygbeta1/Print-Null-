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ivotTables/pivotTable13.xml" ContentType="application/vnd.openxmlformats-officedocument.spreadsheetml.pivotTable+xml"/>
  <Override PartName="/xl/drawings/drawing1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4.xml" ContentType="application/vnd.openxmlformats-officedocument.spreadsheetml.pivotTable+xml"/>
  <Override PartName="/xl/drawings/drawing2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pivotTables/pivotTable15.xml" ContentType="application/vnd.openxmlformats-officedocument.spreadsheetml.pivotTable+xml"/>
  <Override PartName="/xl/drawings/drawing2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6.xml" ContentType="application/vnd.openxmlformats-officedocument.spreadsheetml.pivotTable+xml"/>
  <Override PartName="/xl/drawings/drawing2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9AB30157-4543-4348-BC6A-774EDDA99C41}" xr6:coauthVersionLast="47" xr6:coauthVersionMax="47" xr10:uidLastSave="{00000000-0000-0000-0000-000000000000}"/>
  <bookViews>
    <workbookView xWindow="-120" yWindow="-120" windowWidth="20730" windowHeight="11040" firstSheet="18" activeTab="21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SEMANA 9" sheetId="27" r:id="rId9"/>
    <sheet name="DATOS 1" sheetId="9" r:id="rId10"/>
    <sheet name="DATOS 2" sheetId="8" r:id="rId11"/>
    <sheet name="DATOS 3" sheetId="7" r:id="rId12"/>
    <sheet name="DATOS 4" sheetId="14" r:id="rId13"/>
    <sheet name="DATOS 5" sheetId="21" r:id="rId14"/>
    <sheet name="DATOS 6 y 7 " sheetId="23" r:id="rId15"/>
    <sheet name="DATOS 8" sheetId="25" r:id="rId16"/>
    <sheet name="DATOS 9" sheetId="26" r:id="rId17"/>
    <sheet name="EDTs" sheetId="19" r:id="rId18"/>
    <sheet name="DATOS 1 (CICLO 2)" sheetId="28" r:id="rId19"/>
    <sheet name="DATOS 2 (CICLO 2) " sheetId="29" r:id="rId20"/>
    <sheet name="DATOS 3 (CICLO 2) " sheetId="30" r:id="rId21"/>
    <sheet name="DATOS 4 (CICLO 2)" sheetId="31" r:id="rId22"/>
  </sheets>
  <definedNames>
    <definedName name="_xlnm._FilterDatabase" localSheetId="9" hidden="1">'DATOS 1'!$A$7:$L$50</definedName>
    <definedName name="_xlnm._FilterDatabase" localSheetId="18" hidden="1">'DATOS 1 (CICLO 2)'!$A$7:$M$112</definedName>
    <definedName name="_xlnm._FilterDatabase" localSheetId="10" hidden="1">'DATOS 2'!$A$7:$L$66</definedName>
    <definedName name="_xlnm._FilterDatabase" localSheetId="19" hidden="1">'DATOS 2 (CICLO 2) '!$A$7:$M$131</definedName>
    <definedName name="_xlnm._FilterDatabase" localSheetId="11" hidden="1">'DATOS 3'!$A$7:$M$61</definedName>
    <definedName name="_xlnm._FilterDatabase" localSheetId="20" hidden="1">'DATOS 3 (CICLO 2) '!$A$7:$M$64</definedName>
    <definedName name="_xlnm._FilterDatabase" localSheetId="12" hidden="1">'DATOS 4'!$A$7:$M$97</definedName>
    <definedName name="_xlnm._FilterDatabase" localSheetId="21" hidden="1">'DATOS 4 (CICLO 2)'!$A$7:$M$88</definedName>
    <definedName name="_xlnm._FilterDatabase" localSheetId="13" hidden="1">'DATOS 5'!$A$7:$M$56</definedName>
    <definedName name="_xlnm._FilterDatabase" localSheetId="14" hidden="1">'DATOS 6 y 7 '!$A$7:$M$65</definedName>
    <definedName name="_xlnm._FilterDatabase" localSheetId="15" hidden="1">'DATOS 8'!$A$7:$M$87</definedName>
    <definedName name="_xlnm._FilterDatabase" localSheetId="16" hidden="1">'DATOS 9'!$A$7:$M$90</definedName>
    <definedName name="_xlnm._FilterDatabase" localSheetId="17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8" hidden="1">'SEMANA 9'!$A$7:$M$90</definedName>
    <definedName name="_xlnm._FilterDatabase" localSheetId="0" hidden="1">SEMANAS!$A$7:$B$108</definedName>
  </definedNames>
  <calcPr calcId="191028"/>
  <pivotCaches>
    <pivotCache cacheId="11" r:id="rId23"/>
    <pivotCache cacheId="12" r:id="rId24"/>
    <pivotCache cacheId="13" r:id="rId25"/>
    <pivotCache cacheId="14" r:id="rId26"/>
    <pivotCache cacheId="15" r:id="rId27"/>
    <pivotCache cacheId="16" r:id="rId28"/>
    <pivotCache cacheId="17" r:id="rId29"/>
    <pivotCache cacheId="18" r:id="rId30"/>
    <pivotCache cacheId="19" r:id="rId31"/>
    <pivotCache cacheId="20" r:id="rId32"/>
    <pivotCache cacheId="21" r:id="rId33"/>
    <pivotCache cacheId="22" r:id="rId34"/>
    <pivotCache cacheId="26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1" l="1"/>
  <c r="J2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63" i="31"/>
  <c r="T157" i="31"/>
  <c r="S157" i="31"/>
  <c r="R157" i="31"/>
  <c r="Q157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9" i="31"/>
  <c r="J8" i="31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T133" i="30"/>
  <c r="S133" i="30"/>
  <c r="R133" i="30"/>
  <c r="Q133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9" i="30"/>
  <c r="J8" i="30"/>
  <c r="J98" i="29"/>
  <c r="J97" i="29"/>
  <c r="J100" i="29"/>
  <c r="J99" i="29"/>
  <c r="J102" i="29"/>
  <c r="J101" i="29"/>
  <c r="J104" i="29"/>
  <c r="J103" i="29"/>
  <c r="J89" i="29"/>
  <c r="J90" i="29"/>
  <c r="J91" i="29"/>
  <c r="J92" i="29"/>
  <c r="J93" i="29"/>
  <c r="J94" i="29"/>
  <c r="J95" i="29"/>
  <c r="J96" i="29"/>
  <c r="J87" i="29"/>
  <c r="J88" i="29"/>
  <c r="J105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106" i="29"/>
  <c r="T133" i="29"/>
  <c r="S133" i="29"/>
  <c r="R133" i="29"/>
  <c r="Q133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1" i="29"/>
  <c r="J10" i="29"/>
  <c r="J9" i="29"/>
  <c r="J8" i="29"/>
  <c r="J80" i="28"/>
  <c r="J81" i="28"/>
  <c r="J82" i="28"/>
  <c r="J83" i="28"/>
  <c r="J84" i="28"/>
  <c r="J85" i="28"/>
  <c r="J86" i="28"/>
  <c r="J87" i="28"/>
  <c r="J88" i="28"/>
  <c r="J71" i="28"/>
  <c r="J72" i="28"/>
  <c r="J73" i="28"/>
  <c r="J74" i="28"/>
  <c r="J75" i="28"/>
  <c r="J76" i="28"/>
  <c r="J77" i="28"/>
  <c r="J78" i="28"/>
  <c r="J79" i="28"/>
  <c r="J67" i="28"/>
  <c r="J68" i="28"/>
  <c r="J69" i="28"/>
  <c r="J70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89" i="28"/>
  <c r="T133" i="28"/>
  <c r="S133" i="28"/>
  <c r="R133" i="28"/>
  <c r="Q13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T133" i="27"/>
  <c r="S133" i="27"/>
  <c r="R133" i="27"/>
  <c r="Q133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2" i="26"/>
  <c r="J13" i="26"/>
  <c r="J14" i="26"/>
  <c r="J15" i="26"/>
  <c r="J16" i="26"/>
  <c r="J17" i="26"/>
  <c r="J18" i="26"/>
  <c r="J19" i="26"/>
  <c r="J10" i="26"/>
  <c r="J11" i="26"/>
  <c r="T133" i="26"/>
  <c r="S133" i="26"/>
  <c r="R133" i="26"/>
  <c r="Q133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9" i="26"/>
  <c r="J8" i="26"/>
  <c r="J29" i="9"/>
  <c r="J49" i="8"/>
  <c r="J42" i="7"/>
  <c r="J74" i="14"/>
  <c r="J32" i="21"/>
  <c r="J42" i="23"/>
  <c r="J43" i="23"/>
  <c r="J40" i="23"/>
  <c r="J63" i="25"/>
  <c r="T130" i="25"/>
  <c r="S130" i="25"/>
  <c r="R130" i="25"/>
  <c r="Q130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6" i="23"/>
  <c r="S126" i="23"/>
  <c r="R126" i="23"/>
  <c r="Q12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8" i="14"/>
  <c r="T109" i="9"/>
  <c r="S109" i="9"/>
  <c r="R109" i="9"/>
  <c r="Q109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W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28"/>
  <c r="A7" i="28" a="1"/>
  <c r="A7" i="6"/>
  <c r="A7" i="6" a="1"/>
  <c r="A7" i="30"/>
  <c r="A7" i="30" a="1"/>
  <c r="A7" i="8"/>
  <c r="A7" i="8" a="1"/>
  <c r="A7" i="14"/>
  <c r="A7" i="14" a="1"/>
  <c r="A7" i="19"/>
  <c r="A7" i="19" a="1"/>
  <c r="A7" i="31"/>
  <c r="A7" i="31" a="1"/>
  <c r="A7" i="22"/>
  <c r="A7" i="22" a="1"/>
  <c r="A7" i="4"/>
  <c r="A7" i="4" a="1"/>
  <c r="A7" i="9"/>
  <c r="A7" i="9" a="1"/>
  <c r="A7" i="29"/>
  <c r="A7" i="29" a="1"/>
  <c r="A7" i="25"/>
  <c r="A7" i="25" a="1"/>
  <c r="A7" i="23"/>
  <c r="A7" i="23" a="1"/>
  <c r="A7" i="20"/>
  <c r="A7" i="20" a="1"/>
  <c r="A7" i="21"/>
  <c r="A7" i="21" a="1"/>
  <c r="A7" i="24"/>
  <c r="A7" i="24" a="1"/>
  <c r="A7" i="1"/>
  <c r="A7" i="1" a="1"/>
  <c r="A7" i="15"/>
  <c r="A7" i="15" a="1"/>
  <c r="A7" i="5"/>
  <c r="A7" i="5" a="1"/>
  <c r="A7" i="7"/>
  <c r="A7" i="7" a="1"/>
  <c r="A7" i="27"/>
  <c r="A7" i="27" a="1"/>
  <c r="A7" i="26"/>
  <c r="A7" i="26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<sst xmlns="http://schemas.openxmlformats.org/spreadsheetml/2006/main" count="8264" uniqueCount="816">
  <si>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</si>
  <si>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</si>
  <si>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</si>
  <si>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</si>
  <si>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</si>
  <si>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</si>
  <si>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</si>
  <si>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</si>
  <si>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</si>
  <si>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</si>
  <si>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</si>
  <si>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</si>
  <si>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</si>
  <si>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</si>
  <si>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</si>
  <si>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</si>
  <si>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</si>
  <si>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</si>
  <si>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</si>
  <si>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</si>
  <si>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</si>
  <si>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</si>
  <si>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</si>
  <si>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</si>
  <si>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</si>
  <si>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</si>
  <si>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</si>
  <si>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</si>
  <si>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</si>
  <si>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</si>
  <si>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</si>
  <si>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</si>
  <si>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</si>
  <si>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</si>
  <si>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</si>
  <si>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</si>
  <si>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</si>
  <si>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</si>
  <si>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</si>
  <si>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</si>
  <si>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</si>
  <si>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</si>
  <si>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</si>
  <si>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</si>
  <si>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</si>
  <si>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</si>
  <si>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</si>
  <si>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</si>
  <si>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</si>
  <si>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</si>
  <si>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</si>
  <si>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</si>
  <si>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</si>
  <si>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</si>
  <si>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</si>
  <si>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</si>
  <si>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</si>
  <si>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</si>
  <si>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</si>
  <si>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</si>
  <si>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</si>
  <si>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</si>
  <si>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</si>
  <si>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</si>
  <si>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</si>
  <si>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</si>
  <si>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</si>
  <si>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</si>
  <si>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</si>
  <si>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</si>
  <si>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</si>
  <si>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</si>
  <si>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</si>
  <si>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</si>
  <si>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</si>
  <si>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</si>
  <si>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</si>
  <si>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</si>
  <si>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</si>
  <si>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</si>
  <si>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</si>
  <si>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</si>
  <si>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</si>
  <si>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</si>
  <si>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</si>
  <si>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</si>
  <si>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</si>
  <si>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</si>
  <si>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</si>
  <si>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</si>
  <si>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</si>
  <si>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</si>
  <si>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</si>
  <si>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</si>
  <si>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</si>
  <si>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</si>
  <si>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</si>
  <si>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</si>
  <si>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</si>
  <si>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</si>
  <si>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</si>
  <si>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</si>
  <si>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</si>
  <si>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</si>
  <si>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</si>
  <si>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</si>
  <si>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</si>
  <si>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</si>
  <si>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</si>
  <si>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</si>
  <si>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</si>
  <si>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</si>
  <si>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</si>
  <si>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</si>
  <si>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</si>
  <si>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</si>
  <si>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</si>
  <si>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</si>
  <si>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</si>
  <si>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</si>
  <si>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</si>
  <si>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</si>
  <si>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</si>
  <si>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</si>
  <si>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</si>
  <si>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</si>
  <si>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</si>
  <si>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</si>
  <si>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</si>
  <si>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</si>
  <si>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</si>
  <si>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</si>
  <si>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</si>
  <si>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</si>
  <si>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</si>
  <si>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</si>
  <si>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</si>
  <si>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</si>
  <si>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</si>
  <si>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</si>
  <si>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</si>
  <si>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</si>
  <si>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</si>
  <si>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</si>
  <si>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</si>
  <si>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</si>
  <si>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</si>
  <si>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</si>
  <si>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</si>
  <si>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</si>
  <si>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</si>
  <si>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</si>
  <si>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</si>
  <si>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</si>
  <si>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</si>
  <si>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</si>
  <si>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</si>
  <si>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</si>
  <si>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</si>
  <si>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</si>
  <si>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</si>
  <si>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</si>
  <si>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</si>
  <si>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</si>
  <si>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</si>
  <si>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</si>
  <si>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</si>
  <si>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</si>
  <si>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</si>
  <si>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</si>
  <si>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</si>
  <si>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</si>
  <si>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</si>
  <si>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</si>
  <si>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</si>
  <si>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</si>
  <si>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</si>
  <si>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</si>
  <si>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</si>
  <si>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</si>
  <si>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</si>
  <si>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</si>
  <si>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</si>
  <si>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</si>
  <si>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</si>
  <si>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</si>
  <si>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</si>
  <si>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</si>
  <si>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</si>
  <si>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</si>
  <si>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</si>
  <si>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</si>
  <si>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</si>
  <si>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</si>
  <si>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</si>
  <si>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</si>
  <si>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</si>
  <si>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</si>
  <si>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</si>
  <si>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</si>
  <si>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</si>
  <si>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</si>
  <si>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</si>
  <si>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</si>
  <si>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</si>
  <si>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</si>
  <si>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</si>
  <si>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</si>
  <si>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</si>
  <si>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</si>
  <si>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</si>
  <si>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</si>
  <si>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</si>
  <si>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</si>
  <si>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</si>
  <si>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</si>
  <si>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</si>
  <si>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</si>
  <si>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</si>
  <si>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</si>
  <si>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</si>
  <si>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</si>
  <si>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</si>
  <si>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</si>
  <si>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</si>
  <si>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</si>
  <si>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</si>
  <si>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</si>
  <si>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</si>
  <si>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</si>
  <si>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</si>
  <si>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</si>
  <si>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</si>
  <si>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</si>
  <si>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</si>
  <si>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</si>
  <si>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</si>
  <si>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</si>
  <si>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</si>
  <si>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</si>
  <si>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</si>
  <si>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</si>
  <si>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</si>
  <si>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</si>
  <si>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</si>
  <si>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</si>
  <si>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</si>
  <si>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</si>
  <si>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</si>
  <si>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</si>
  <si>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</si>
  <si>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</si>
  <si>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</si>
  <si>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</si>
  <si>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</si>
  <si>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</si>
  <si>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</si>
  <si>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</si>
  <si>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</si>
  <si>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</si>
  <si>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</si>
  <si>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</si>
  <si>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</si>
  <si>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</si>
  <si>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</si>
  <si>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</si>
  <si>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</si>
  <si>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</si>
  <si>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</si>
  <si>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</si>
  <si>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</si>
  <si>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</si>
  <si>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</si>
  <si>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</si>
  <si>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</si>
  <si>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</si>
  <si>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</si>
  <si>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</si>
  <si>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</si>
  <si>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</si>
  <si>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</si>
  <si>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</si>
  <si>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</si>
  <si>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</si>
  <si>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</si>
  <si>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</si>
  <si>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</si>
  <si>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</si>
  <si>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</si>
  <si>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</si>
  <si>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</si>
  <si>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</si>
  <si>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</si>
  <si>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</si>
  <si>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</si>
  <si>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</si>
  <si>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</si>
  <si>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</si>
  <si>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</si>
  <si>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</si>
  <si>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</si>
  <si>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</si>
  <si>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</si>
  <si>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</si>
  <si>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</si>
  <si>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</si>
  <si>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</si>
  <si>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</si>
  <si>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</si>
  <si>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</si>
  <si>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</si>
  <si>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</si>
  <si>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</si>
  <si>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</si>
  <si>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</si>
  <si>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</si>
  <si>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</si>
  <si>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</si>
  <si>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</si>
  <si>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</si>
  <si>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</si>
  <si>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</si>
  <si>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</si>
  <si>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</si>
  <si>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</si>
  <si>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</si>
  <si>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</si>
  <si>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</si>
  <si>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</si>
  <si>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</si>
  <si>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</si>
  <si>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</si>
  <si>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</si>
  <si>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</si>
  <si>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</si>
  <si>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</si>
  <si>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</si>
  <si>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</si>
  <si>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</si>
  <si>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</si>
  <si>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</si>
  <si>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</si>
  <si>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</si>
  <si>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</si>
  <si>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</si>
  <si>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</si>
  <si>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</si>
  <si>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</si>
  <si>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</si>
  <si>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</si>
  <si>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</si>
  <si>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</si>
  <si>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</si>
  <si>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</si>
  <si>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</si>
  <si>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</si>
  <si>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</si>
  <si>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</si>
  <si>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</si>
  <si>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</si>
  <si>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</si>
  <si>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</si>
  <si>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</si>
  <si>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</si>
  <si>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</si>
  <si>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</si>
  <si>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</si>
  <si>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</si>
  <si>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</si>
  <si>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</si>
  <si>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</si>
  <si>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</si>
  <si>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</si>
  <si>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</si>
  <si>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</si>
  <si>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</si>
  <si>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</si>
  <si>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</si>
  <si>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</si>
  <si>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</si>
  <si>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</si>
  <si>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</si>
  <si>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</si>
  <si>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</si>
  <si>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</si>
  <si>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</si>
  <si>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</si>
  <si>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</si>
  <si>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</si>
  <si>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</si>
  <si>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</si>
  <si>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</si>
  <si>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</si>
  <si>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</si>
  <si>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</si>
  <si>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</si>
  <si>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</si>
  <si>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</si>
  <si>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</si>
  <si>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</si>
  <si>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</si>
  <si>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</si>
  <si>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</si>
  <si>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</si>
  <si>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</si>
  <si>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</si>
  <si>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</si>
  <si>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</si>
  <si>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</si>
  <si>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</si>
  <si>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</si>
  <si>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</si>
  <si>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</si>
  <si>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</si>
  <si>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</si>
  <si>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</si>
  <si>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</si>
  <si>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</si>
  <si>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</si>
  <si>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</si>
  <si>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</si>
  <si>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</si>
  <si>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</si>
  <si>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</si>
  <si>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</si>
  <si>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</si>
  <si>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</si>
  <si>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</si>
  <si>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</si>
  <si>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</si>
  <si>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</si>
  <si>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</si>
  <si>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</si>
  <si>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</si>
  <si>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</si>
  <si>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</si>
  <si>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</si>
  <si>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</si>
  <si>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</si>
  <si>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</si>
  <si>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</si>
  <si>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</si>
  <si>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</si>
  <si>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</si>
  <si>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</si>
  <si>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</si>
  <si>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</si>
  <si>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</si>
  <si>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</si>
  <si>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</si>
  <si>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</si>
  <si>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</si>
  <si>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</si>
  <si>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</si>
  <si>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</si>
  <si>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</si>
  <si>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</si>
  <si>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</si>
  <si>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</si>
  <si>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</si>
  <si>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</si>
  <si>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</si>
  <si>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</si>
  <si>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</si>
  <si>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</si>
  <si>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</si>
  <si>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</si>
  <si>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</si>
  <si>
    <t>Corrección de Código</t>
  </si>
  <si>
    <t>Corrección del codigo para mejorar escalibildad y tiempo.</t>
  </si>
  <si>
    <t>corregir Capturas/gifs de flujos, colección
Postman, scripts de BD, instructivo de
arranque local.</t>
  </si>
  <si>
    <t>Corrección de Documentos</t>
  </si>
  <si>
    <t>correción ortografica, orden y normas de los Documentos</t>
  </si>
  <si>
    <t>Recolección de
métricas
del ciclo</t>
  </si>
  <si>
    <t>Script de definición de procesos(POST-MORTEM)</t>
  </si>
  <si>
    <t>Se realizo el llenado del control de asignaciones para asi terminar con éxito la fase 9 de POST-MORTEM y para que los demas lideres llenen sus bitácoras</t>
  </si>
  <si>
    <t>Se recopilan los datos de
desempeño registrados en las
bitácoras, logs de defectos,
control de tareas y plan de
calidad. Se consolidan métricas
por equipo, integrante y rol.</t>
  </si>
  <si>
    <t>Análisis de
métricas
del
proyecto</t>
  </si>
  <si>
    <t>Se comparan los valores
estimados vs reales en tiempo,
esfuerzo y cumplimiento de
tareas. Se calcula el nivel de
desviación y porcentaje de
cumplimiento por fase y rol.</t>
  </si>
  <si>
    <t>Seguimiento de tareas no planeadas</t>
  </si>
  <si>
    <t>Se identifican las tareas que
surgieron durante la ejecución y
no estaban previstas en la planificación inicial, evaluando
su impacto en tiempo y esfuerzo.</t>
  </si>
  <si>
    <t>Evaluación
del plan de
calidad</t>
  </si>
  <si>
    <t>Se revisan los resultados de las
métricas de calidad: porcentaje
libre de defectos, efectividad de
revisiones, comparación de
tiempos de desarrollo y revisión,
y líneas de código (LOC)
analizadas.</t>
  </si>
  <si>
    <t>Gestión de
defectos e
incidencias</t>
  </si>
  <si>
    <t>Se realiza un análisis de
defectos por fase, tipo y
responsable. Se mide la
efectividad en la detección,
remoción y control de errores.</t>
  </si>
  <si>
    <t>Comparación de
tiempos y
esfuerzo</t>
  </si>
  <si>
    <t>Se contrastan los tiempos
dedicados a documentación,
revisión e implementación para
evaluar la eficiencia del equipo y
el equilibrio de carga de trabajo.</t>
  </si>
  <si>
    <t>Evaluación
de
requerimientos
implementados</t>
  </si>
  <si>
    <t>Se revisan los requerimientos
planeados en el acta de
lanzamiento versus los
efectivamente implementados y
probados.</t>
  </si>
  <si>
    <t>Consolidación de
documentos y
plantillas
revisadas</t>
  </si>
  <si>
    <t>Se verifican las plantillas
elaboradas, documentos
actualizados y revisiones
realizadas en cada fase del ciclo.</t>
  </si>
  <si>
    <t>Análisis
DOFA del
ciclo</t>
  </si>
  <si>
    <t>El equipo realiza un análisis de
fortalezas, oportunidades,
debilidades y amenazas
(DOFA), respondiendo: qué
funcionó bien, qué no, causas y
oportunidades de mejora.</t>
  </si>
  <si>
    <t>Elaboración del
Informe
Postmortem</t>
  </si>
  <si>
    <t>Se redacta el documento final
con los resultados de métricas,
análisis DOFA, aspectos
positivos y negativos, y
propuesta de mejora para el ciclo
2.</t>
  </si>
  <si>
    <t>Preparación de
informe
individual
por rol</t>
  </si>
  <si>
    <t>Cada integrante elabora su parte
de la presentación, detallando lo
realizado durante el ciclo,
sustentado en métricas y
entregas.</t>
  </si>
  <si>
    <t>Identificación de
aspectos
positivos y
negativos</t>
  </si>
  <si>
    <t>Cada integrante presenta los
logros obtenidos y las
dificultades enfrentadas durante
el ciclo, justificándolos con datos
reales.</t>
  </si>
  <si>
    <t>Formulación de
propuestas de
mejora
(problema solución)</t>
  </si>
  <si>
    <t>Se plantean las mejoras a
implementar para el siguiente
ciclo, partiendo de los problemas
detectados. Se define una acción
concreta por propuesta.</t>
  </si>
  <si>
    <t>Reporte de
ciclo
(análisis de proceso,
esfuerzo y
producto)</t>
  </si>
  <si>
    <t>Se consolidan los resultados del
equipo respecto al proceso
seguido, el esfuerzo invertido y la
calidad del producto entregado.</t>
  </si>
  <si>
    <t>Diseño y
consolidación de la
presentación final</t>
  </si>
  <si>
    <t>Se unifican todas las diapositivas
en una presentación coherente,
clara y visualmente organizada,
incluyendo las métricas
generales y las conclusiones.</t>
  </si>
  <si>
    <t>Corrección de DOCUMENTOS POSTMORTEM</t>
  </si>
  <si>
    <t>Revisión y
validación
final de
entregables</t>
  </si>
  <si>
    <t>Se revisan el documento y la
presentación verificando
consistencia entre datos,
conclusiones y métricas. Se
obtiene la aprobación del equipo.</t>
  </si>
  <si>
    <t>Entrega y
exposición
del
Postmortem</t>
  </si>
  <si>
    <t>Se entrega el documento final y
se realiza la exposición ante el
docente. Cada integrante
sustenta sus resultados y la
propuesta de mejora.</t>
  </si>
  <si>
    <t>Kerlon Gutierrez</t>
  </si>
  <si>
    <t>Control de asignaciones</t>
  </si>
  <si>
    <t>Se realizo el llenado del control de asignaciones para asi terminar con éxito la fase 1 del ciclo 2 y para que los demas lideres llenen sus bitácoras</t>
  </si>
  <si>
    <t>27/20/2025</t>
  </si>
  <si>
    <t>Verificar asistencia y compromiso de todos
los integrantes para el desarrollo del
proyecto.</t>
  </si>
  <si>
    <t>Verificar asistencia y compromiso de todos los integrantes para el desarrollo del proyecto.</t>
  </si>
  <si>
    <t>Designar oficialmente los roles (Líder de
equipo, planeación, calidad, soporte,
desarrollo, arquitectura)</t>
  </si>
  <si>
    <t>Definición
de reglas
de trabajo</t>
  </si>
  <si>
    <t>Acordar normas de comunicación,
reuniones, ciclo de entregas y solución de
conflictos.</t>
  </si>
  <si>
    <t>Establecimiento de
objetivos</t>
  </si>
  <si>
    <t>Determinar objetivos del equipo,
individuales y por rol alineados con el
problema definido y con la visión general
del proyecto.</t>
  </si>
  <si>
    <t>Registro
de
disponibilidad</t>
  </si>
  <si>
    <t>Documentar horarios y tiempo disponible
de cada miembro para coordinar
actividades</t>
  </si>
  <si>
    <t>Firma del
acta de
iniciación</t>
  </si>
  <si>
    <t>Consolidar toda la información y oficializar
el inicio del proyecto incluyendo la
definición del problema con la firma de
todos</t>
  </si>
  <si>
    <t>Lineamiento
estratégico</t>
  </si>
  <si>
    <t>Plantear la ruta general del proyecto y
principios de trabajo.</t>
  </si>
  <si>
    <t>Criterios
de la
estrategia</t>
  </si>
  <si>
    <t>Identificar los criterios que guiarán
decisiones y prioridades.</t>
  </si>
  <si>
    <t>Estrategia
general</t>
  </si>
  <si>
    <t>Describir la orientación metodológica y
técnica del proyecto.</t>
  </si>
  <si>
    <t>Diseño
conceptual</t>
  </si>
  <si>
    <t>Representar la visión y estructura general
de la plataforma.</t>
  </si>
  <si>
    <t>Identificación de
módulos</t>
  </si>
  <si>
    <t>Determinar las áreas funcionales que
compondrán el sistema.</t>
  </si>
  <si>
    <t>Funcionali
dades
asociadas</t>
  </si>
  <si>
    <t>Asociar funcionalidades principales a cada
módulo.</t>
  </si>
  <si>
    <t>Estimació
n de
tamaño
basada en
LOC y
CoCoMo</t>
  </si>
  <si>
    <t>Usa LOC para el tamaño y CoCoMo para
estimar el esfuerzo</t>
  </si>
  <si>
    <t>Estimació
n de
tamaño
basada en
LOC y
datos
históricos</t>
  </si>
  <si>
    <t>Usa LOC para el tamaño y datos históricos
para esfuerzo</t>
  </si>
  <si>
    <t>Estimació
n de
tamaño
basada en
puntos de
función y
CoCoMo</t>
  </si>
  <si>
    <t>Usa puntos de función para el tamaño y
modelo empírico CoCoMo para esfuerzo</t>
  </si>
  <si>
    <t>Estimació
n de
tamaño
basada en
puntos de
función y
datos
históricos</t>
  </si>
  <si>
    <t>Usa puntos de función para el tamaño y
datos históricos para esfuerzo</t>
  </si>
  <si>
    <t>Estimació
n de
tamaño y
esfuerzo
basada en
puntos de
caso de
uso</t>
  </si>
  <si>
    <t>Usa puntos de caso de uso para el tamaño
y esfuerzo basado en estos puntos</t>
  </si>
  <si>
    <t>dentificaci
ón y
criterios de
valoración</t>
  </si>
  <si>
    <t>Definir criterios de probabilidad, impacto y
costo de retiro, y aplicarlos a la
identificación de riesgos.</t>
  </si>
  <si>
    <t>Clasificaci
ón de
riesgos</t>
  </si>
  <si>
    <t>Registrar y categorizar riesgos en tres tipos:
proyecto, producto y equipo.</t>
  </si>
  <si>
    <t>Valoración
y
priorización</t>
  </si>
  <si>
    <t>Evaluar cada riesgo según criterios
establecidos y priorizar en función de su
nivel de exposición.</t>
  </si>
  <si>
    <t>Plan de
mitigación
y
contingencia</t>
  </si>
  <si>
    <t>Definir acciones preventivas y de
contingencia para los riesgos de mayor
impacto.</t>
  </si>
  <si>
    <t>Programa
de
seguimiento</t>
  </si>
  <si>
    <t>Establecer la periodicidad de revisión y los
responsables del monitoreo de riesgos.</t>
  </si>
  <si>
    <t>Definición
del
objetivo</t>
  </si>
  <si>
    <t>Establecer el propósito de la administración
de configuración en el proyecto.</t>
  </si>
  <si>
    <t>Organización y roles</t>
  </si>
  <si>
    <t>Definir la estructura organizativa y
responsabilidades (líder de soporte, líder de
proyecto, equipo).</t>
  </si>
  <si>
    <t>Políticas y
procedimientos</t>
  </si>
  <si>
    <t>Establecer políticas, directivas y
lineamientos que regulen la administración
de configuración.</t>
  </si>
  <si>
    <t>Identificación de
configuraciones</t>
  </si>
  <si>
    <t>Determinar y nombrar los elementos de
configuración que serán controlados
(código, BD, documentación).</t>
  </si>
  <si>
    <t>Control de
cambios</t>
  </si>
  <si>
    <t>Revisiones del
estado</t>
  </si>
  <si>
    <t>Programas y
recursos</t>
  </si>
  <si>
    <t>Plan de
mantenimiento</t>
  </si>
  <si>
    <t>Gestionar solicitudes de cambios, su
evaluación, aprobación/rechazo e
implantación.</t>
  </si>
  <si>
    <t>Monitorear y verificar periódicamente el
estado de los elementos de configuración.</t>
  </si>
  <si>
    <t>Definir la estrategia de mantenimiento y
actualización de los elementos de
configuración.</t>
  </si>
  <si>
    <t>Establecer programas de soporte
(herramientas, repositorios, entornos) y
recursos necesarios.</t>
  </si>
  <si>
    <t>Modelo de
casos de uso</t>
  </si>
  <si>
    <t>Elaborar el diagrama de casos de
uso que
represente los actores, límites del
sistema y relaciones principales.</t>
  </si>
  <si>
    <t>Editar perfil de
usuario</t>
  </si>
  <si>
    <t>Descripción: Permite al usuario modificar
su información personal registrada en el
sistema.</t>
  </si>
  <si>
    <t>Cambiar
imagen de
perfil</t>
  </si>
  <si>
    <t>El usuario puede actualizar su fotografía
de perfil para personalizar su cuenta.</t>
  </si>
  <si>
    <t>Configurar
tema de color
del sistema</t>
  </si>
  <si>
    <t>Brinda al usuario la opción de cambiar la
paleta de colores o el modo visual
(claro/oscuro).</t>
  </si>
  <si>
    <t>Configurar
disposición de
paneles en la
vista principal</t>
  </si>
  <si>
    <t>Permite reorganizar los paneles del
tablero principal según las preferencias
del usuario.</t>
  </si>
  <si>
    <t>Configurar
formato de
fechas y
moneda</t>
  </si>
  <si>
    <t>El usuario puede definir cómo se
mostrarán las fechas y monedas en el
sistema.</t>
  </si>
  <si>
    <t>Configurar
notificaciones
preferidas</t>
  </si>
  <si>
    <t>Permite seleccionar qué tipos de
notificaciones se desean recibir o
visualizar.</t>
  </si>
  <si>
    <t>Ver
notificaciones</t>
  </si>
  <si>
    <t>Permite consultar las alertas generadas
por el sistema.</t>
  </si>
  <si>
    <t>Marcar
notificación
como leída</t>
  </si>
  <si>
    <t>El usuario puede cambiar el estado de
una notificación a “leída”</t>
  </si>
  <si>
    <t>Eliminar
notificación</t>
  </si>
  <si>
    <t>Permite eliminar notificaciones
innecesarias o antiguas.</t>
  </si>
  <si>
    <t>Filtrar
notificaciones</t>
  </si>
  <si>
    <t>Permite aplicar filtros para buscar
notificaciones específicas.</t>
  </si>
  <si>
    <t>Generar
reporte
general</t>
  </si>
  <si>
    <t>Consolida la información de diferentes
módulos en un reporte general</t>
  </si>
  <si>
    <t>Exportar
reporte en
PDF</t>
  </si>
  <si>
    <t>Permite descargar un reporte generado
en formato PDF.</t>
  </si>
  <si>
    <t>Exportar
reporte en
Excel</t>
  </si>
  <si>
    <t>Brinda la opción de descargar los datos
del reporte en formato Excel.</t>
  </si>
  <si>
    <t>Aplicar filtros
en reportes</t>
  </si>
  <si>
    <t>Permite seleccionar criterios específicos
para visualizar datos relevantes.</t>
  </si>
  <si>
    <t>Configurar
formato de
reportes</t>
  </si>
  <si>
    <t>El usuario puede personalizar el diseño y
estilo de los reportes</t>
  </si>
  <si>
    <t>Añadir pie de
página
institucional a
reportes</t>
  </si>
  <si>
    <t>Permite incluir información institucional
en los reportes generados.</t>
  </si>
  <si>
    <t>Cambiar
tamaño de
letra en
reportes</t>
  </si>
  <si>
    <t>Permite ajustar el tamaño de fuente para
mejorar la legibilidad.</t>
  </si>
  <si>
    <t>Personalizar
fondo de
pantalla del
usuario</t>
  </si>
  <si>
    <t>Permite cambiar la imagen o color de
fondo del entorno de trabajo.</t>
  </si>
  <si>
    <t>Desempeñ o
(atributo de
calidad)</t>
  </si>
  <si>
    <t>Definir requisitos de tiempos de
respuesta y eficiencia en consultas y
reportes</t>
  </si>
  <si>
    <t>Escalabilid ad
(atributo de
calidad</t>
  </si>
  <si>
    <t>Establecer estrategias para soportar
el crecimiento de usuarios y proyectos</t>
  </si>
  <si>
    <t>Disponibili dad
(atributo de
calidad)</t>
  </si>
  <si>
    <t>Garantizar el tiempo de servicio del
sistema y planes de recuperación ante
fallos</t>
  </si>
  <si>
    <t>Usabilidad
(atributo de
calidad)</t>
  </si>
  <si>
    <t>Establecer criterios de interfaz amigable
e intuitiva para los usuarios.</t>
  </si>
  <si>
    <t>Seguridad
(atributo
de calidad)</t>
  </si>
  <si>
    <t>Definir políticas de seguridad, permisos
y protección de datos del sistema.</t>
  </si>
  <si>
    <t>Extensibilidad
(atributo de
calidad)</t>
  </si>
  <si>
    <t>Asegurar que el sistema pueda
incorporar nuevos módulos o
integraciones.</t>
  </si>
  <si>
    <t>Diagrama
de clases
(modelo
de dominio)</t>
  </si>
  <si>
    <t>Elaborar el diagrama UML de clases
que represente entidades y relaciones.</t>
  </si>
  <si>
    <t>Definir objetivo
y alcance</t>
  </si>
  <si>
    <t>Redactar por qué existe el plan, qué
cubre y qué no, y cómo se usará en el
proyecto.</t>
  </si>
  <si>
    <t>dentificar
roles y
recursos</t>
  </si>
  <si>
    <t>Listar responsables
(PO/Analista/Calidad/Dev/LP) y
herramientas (repo, tablero, plantillas)</t>
  </si>
  <si>
    <t>Configurar
repositorio y
URL de
revisiones</t>
  </si>
  <si>
    <t>Crear/validar la carpeta oficial y su
enlace para revisiones y versiones.</t>
  </si>
  <si>
    <t>Diseñar
plantilla de
evaluación</t>
  </si>
  <si>
    <t xml:space="preserve">LC </t>
  </si>
  <si>
    <t>Construir el checklist con criterios:
completitud, no ambigüedad,
consistencia, trazabilidad, corrección y
no redundancia</t>
  </si>
  <si>
    <t>Capturar y
normalizar
requerimientos</t>
  </si>
  <si>
    <t>Recoger requerimientos (UC, reglas,
calidad) y asignar ID, nombre claro y
formato estándar.</t>
  </si>
  <si>
    <t>Especificar y
documentar</t>
  </si>
  <si>
    <t>Redactar cada requerimiento con
descripción, fuente, prioridad y criterios
de aceptación.</t>
  </si>
  <si>
    <t>Revisar e
inspeccionar
requerimientos</t>
  </si>
  <si>
    <t>Aplicar el checklist; registrar
observaciones y correcciones</t>
  </si>
  <si>
    <t>Priorizar y
aprobar</t>
  </si>
  <si>
    <t>Clasificar (p. ej., MoSCoW) y aprobar
para baseline con el equipo/líder de
calidad.</t>
  </si>
  <si>
    <t xml:space="preserve">Trazabilidad </t>
  </si>
  <si>
    <t>Crear/actualizar matriz Req ↔
UC/Tarea/Prueba/KPI</t>
  </si>
  <si>
    <t>Control de
cambios
(RFC/CCB)</t>
  </si>
  <si>
    <t>Definir formato RFC, flujo de aprobación
y registro de impactos.</t>
  </si>
  <si>
    <t>Versionado y
publicación</t>
  </si>
  <si>
    <t>Versionar documentos, guardar en la
carpeta oficial y registrar enlace en
maestro de documentos.</t>
  </si>
  <si>
    <t>Seguimiento y
métricas</t>
  </si>
  <si>
    <t>Definir
objetivos y
alcance</t>
  </si>
  <si>
    <t>Qué calidad vamos a asegurar (defectos,
métricas, revisiones) y hasta dónde
aplica (por sprint).</t>
  </si>
  <si>
    <t>Establecer
políticas de
calidad</t>
  </si>
  <si>
    <t>Criterios y reglas: prevención &gt;
detección, severidades/prioridades,
“cero críticos al cierre”, uso de checklist.</t>
  </si>
  <si>
    <t>Configurar
recursos y
herramientas</t>
  </si>
  <si>
    <t>Definir roles y
responsables
(RACI)</t>
  </si>
  <si>
    <t>Líder de Calidad, QA, Líder de
Desarrollo, Dev, PO: quién revisa, quién
aprueba, quién corrige.</t>
  </si>
  <si>
    <t>Diseñar
métricas de
calidad</t>
  </si>
  <si>
    <t>Definir fórmula, umbral, frecuencia,
fuente y responsable (Densidad, DRE,
MTTR, %Revisiones, %DoD).</t>
  </si>
  <si>
    <t>Planear
revisiones e
inspecciones</t>
  </si>
  <si>
    <t>Calendario y alcance por artefacto;
checklist de revisión; formato de acta.</t>
  </si>
  <si>
    <t>Activar log de
defectos y flujo
de vida</t>
  </si>
  <si>
    <t>Estados (Abierto→Cerrado),
severidades, SLA por severidad y
categorías; reglas de cierre.</t>
  </si>
  <si>
    <t>Ejecutar
revisiones/insp
ecciones</t>
  </si>
  <si>
    <t>Recolección
de datos y
evidencias</t>
  </si>
  <si>
    <t>Seguimiento y
reportes de
calidad</t>
  </si>
  <si>
    <t>Reunión semanal, tablero de KPIs,
alertas y acciones
correctivas/preventivas (CAPA).</t>
  </si>
  <si>
    <t>Mejora y cierre
por sprint</t>
  </si>
  <si>
    <t>nventario de
entregables</t>
  </si>
  <si>
    <t>Listar los entregables del sprint/fase (p.
ej., Plan de calidad v1.0, Plan de admin
de reqs v1.0, etc.).</t>
  </si>
  <si>
    <t>Descomposici
ón en tareas
(WBS)</t>
  </si>
  <si>
    <t>Partir cada entregable en tareas
concretas con nombre y descripción.</t>
  </si>
  <si>
    <t>Secuenciación
y
dependencia</t>
  </si>
  <si>
    <t>Estimar horas por tarea (h-persona)</t>
  </si>
  <si>
    <t>Productividad/
capacidad</t>
  </si>
  <si>
    <t>Registrar productividad del recurso
(h/día) o capacidad del equipo.</t>
  </si>
  <si>
    <t>Duración y
calendario</t>
  </si>
  <si>
    <t>Calcular duración =
esfuerzo/productividad, fijar inicio/fin en
calendario</t>
  </si>
  <si>
    <t>Asignación de
responsables</t>
  </si>
  <si>
    <t>Criterios de
aceptación y
DoD</t>
  </si>
  <si>
    <t>Definir criterios específicos por tarea y
DoD estándar del equipo.</t>
  </si>
  <si>
    <t>Publicación y
control</t>
  </si>
  <si>
    <t>Cargar todo al tablero DashKPI/hoja
maestra y versiona</t>
  </si>
  <si>
    <t>Identificar
audiencia del
documento</t>
  </si>
  <si>
    <t xml:space="preserve">Definir
acrónimos </t>
  </si>
  <si>
    <t>Establecer
objetivos de la
aplicación</t>
  </si>
  <si>
    <t xml:space="preserve">Definir
restricciones </t>
  </si>
  <si>
    <t>Seleccionar
estilo de
arquitectura</t>
  </si>
  <si>
    <t>Vista de
contexto (UML
casos de uso)</t>
  </si>
  <si>
    <t>Vista funcional
(UML de
componentes)</t>
  </si>
  <si>
    <t>Vista de
información
(EntidadRelación, ciclo
de vida</t>
  </si>
  <si>
    <t>Vista de
despliegue
(UML de
despliegue)</t>
  </si>
  <si>
    <t>Vista de
desarrollo
(UML de
paquetes)</t>
  </si>
  <si>
    <t>Vista de
concurrencia
(UML de
procesos)</t>
  </si>
  <si>
    <t>Vista
operacional
(Ad hoc o
descripciones
textuales)</t>
  </si>
  <si>
    <t>Especificación
de interfaz de
usuario</t>
  </si>
  <si>
    <t>Modelo de
datos
(Entidad–
Relación)</t>
  </si>
  <si>
    <t>Modelo de
clases</t>
  </si>
  <si>
    <t>Decisión 1
vista de
contexto</t>
  </si>
  <si>
    <t>Decisión 2
vista de
contexto</t>
  </si>
  <si>
    <t>Decisión 1
vista funcional</t>
  </si>
  <si>
    <t>Decisión 2
vista funcional</t>
  </si>
  <si>
    <t>Decisión 1
vista
despliegue</t>
  </si>
  <si>
    <t>Decisión 2
vista
despliegue</t>
  </si>
  <si>
    <t>Decisión 1
vista de
desarrollo</t>
  </si>
  <si>
    <t>Decisión 2
vista de
desarrollo</t>
  </si>
  <si>
    <t>Decisión 1
vista de
concurrencia</t>
  </si>
  <si>
    <t>Decisión 2
vista de
concurrencia</t>
  </si>
  <si>
    <t>Decisión 1
vista de
información</t>
  </si>
  <si>
    <t>Decisión 2
vista de
información</t>
  </si>
  <si>
    <t>Revisión del
documento
SDS</t>
  </si>
  <si>
    <t>Definir si será cliente-servidor, multicapa,
etc</t>
  </si>
  <si>
    <t xml:space="preserve">Definir el modelo de clases UML. </t>
  </si>
  <si>
    <t xml:space="preserve">Definir decisión 1 de la vista de contexto </t>
  </si>
  <si>
    <t>Definir decisión 2 de la vista de contexto</t>
  </si>
  <si>
    <t>Definir decisión 1 de la vista funcional</t>
  </si>
  <si>
    <t xml:space="preserve">Definir decisión 2 de la vista funcional </t>
  </si>
  <si>
    <t>Definir decisión 1 de la vista de
despliegue</t>
  </si>
  <si>
    <t>Definir decisión 2 de la vista de
despliegue</t>
  </si>
  <si>
    <t>Definir decisión 1 de la vista de desarrollo</t>
  </si>
  <si>
    <t xml:space="preserve">Definir decisión 2 de la vista de desarrollo </t>
  </si>
  <si>
    <t>Definir decisión 1 de la vista de
concurrencia</t>
  </si>
  <si>
    <t>Definir decisión 2 de la vista de
concurrencia</t>
  </si>
  <si>
    <t>Definir decisión 1 de la vista de
información</t>
  </si>
  <si>
    <t>Definir decisión 2 de la vista de
información</t>
  </si>
  <si>
    <t>Módulo:
Editar
perfil
(UC-01</t>
  </si>
  <si>
    <t>Módulo:
Cambiar
imagen
de perfil
(UC-02)</t>
  </si>
  <si>
    <t>Módulo:
Disposici
ón de
paneles
(UC-04)</t>
  </si>
  <si>
    <t>Módulo:
Aparienci
a (UC03)</t>
  </si>
  <si>
    <t>Módulo:
Formato
de
fechas/m
oneda
(UC-05)</t>
  </si>
  <si>
    <t>Módulo:
Personali
zar fondo
de
pantalla
(UC-18)</t>
  </si>
  <si>
    <t>Configur
ar
notificaci
ones
(UC-06)</t>
  </si>
  <si>
    <t>Ver
notificaci
ones
(UC-07)</t>
  </si>
  <si>
    <t>Marcar
como
leída
(UC-08)</t>
  </si>
  <si>
    <t>Eliminar
notificaci
ón (UC09)</t>
  </si>
  <si>
    <t>Filtro de
notificaci
ones
(UC-10)</t>
  </si>
  <si>
    <t>Generar
reporte
general
(UC-11)</t>
  </si>
  <si>
    <t>Exportar
reporte
PDF
(UC-12)</t>
  </si>
  <si>
    <t>Exportar
reporte
Excel
(UC-13)</t>
  </si>
  <si>
    <t>Aplicar
filtros en
reportes
(UC-14)</t>
  </si>
  <si>
    <t>Configur
ar
formato
del
reporte
(UC-15)</t>
  </si>
  <si>
    <t>Añadir
pie de
página
institucio
nal (UC16)</t>
  </si>
  <si>
    <t>Cambiar
tamaño
de letra
(UC-17)</t>
  </si>
  <si>
    <t>Pruebas
unitarias
negocio</t>
  </si>
  <si>
    <t>Documen
tación
API</t>
  </si>
  <si>
    <t>Estandari
zación</t>
  </si>
  <si>
    <t>Introducción</t>
  </si>
  <si>
    <t>Definicion
es y
Abreviatu
ras</t>
  </si>
  <si>
    <t>Plan
de
pruebas</t>
  </si>
  <si>
    <t>Ejecutar
PI-01 —
UC-01
Editar
perfil</t>
  </si>
  <si>
    <t>Ejecutar
PI-02 —
UC-02
Cambiar
imagen</t>
  </si>
  <si>
    <t>Ejecutar
PI-03 —
UC-03
Configur
ar tema</t>
  </si>
  <si>
    <t>Ejecutar
PI-04 —
UC-04
Configurar paneles</t>
  </si>
  <si>
    <t>Ejecutar
PI-05 —
UC-05
Formato
fecha/mo
neda</t>
  </si>
  <si>
    <t>Ejecutar
PI-06 —
UC-18
Personali
zar fondo</t>
  </si>
  <si>
    <t>Ejecutar
PI-07 —
UC-06
Configur
ar
notificaci
ones</t>
  </si>
  <si>
    <t>Ejecutar
PI-08 —
UC-07
Ver
notificaci
ones</t>
  </si>
  <si>
    <t>Ejecutar
PI-09 —
UC-08
Marcar
notificaci
ón leída</t>
  </si>
  <si>
    <t>Ejecutar
PI-10 —
UC-09
Eliminar
notificaci
ón</t>
  </si>
  <si>
    <t>Ejecutar
PI-11 —
UC-10
Filtrar
notificaci
ones</t>
  </si>
  <si>
    <t>Ejecutar
PI-12 —
UC-11
Generar
reporte
general</t>
  </si>
  <si>
    <t>Ejecutar
PI-13 —
UC-12 Exportar
PDF</t>
  </si>
  <si>
    <t>Ejecutar
PI-14 —
UC-13
Exportar
Excel</t>
  </si>
  <si>
    <t>Ejecutar
PI-15 —
UC-14
Aplicar
filtros en
reportes</t>
  </si>
  <si>
    <t>Ejecutar
PI-16 —
UC-15
Configur
ar
formato
del
reporte</t>
  </si>
  <si>
    <t>Ejecutar
PI-17 —
UC-16
Pie de
página
institucio
nal</t>
  </si>
  <si>
    <t>Ejecutar
PI-18 —
UC-17
Cambiar
tamaño
de letra</t>
  </si>
  <si>
    <t>Informe
de
pruebas</t>
  </si>
  <si>
    <t>Informe
Consolid
ado del
Ciclo</t>
  </si>
  <si>
    <t>Revisión
y
Firma
del
Informe consolidado</t>
  </si>
  <si>
    <t>Archivo
y
Distribuci
ón de
Informes</t>
  </si>
  <si>
    <t xml:space="preserve">Correción de Codigo y de casos de usos </t>
  </si>
  <si>
    <t>Correción del log de defectos e informe tecnico</t>
  </si>
  <si>
    <t>Construcción de UI y formulario;
consumo de endpoint para actualizar
nombre, cargo y contacto; persistencia
en BD.</t>
  </si>
  <si>
    <t>Implementación de carga de archivos;
validación de formatos; almacenamiento
en servidor; actualización en UI.</t>
  </si>
  <si>
    <t>UI para seleccionar modo claro/oscuro y
paletas; consumo de preferencia de
usuario; aplicación de tema en tiempo
real.</t>
  </si>
  <si>
    <t>Configuración drag-and-drop o
selección predefinida; guardar orden en
preferencias; recarga dinámica.</t>
  </si>
  <si>
    <t>Implementar selector de formato;
funciones globales para mostrar valores
según configuración.</t>
  </si>
  <si>
    <t>Carga de imágenes, selector de fondo,
guardado de preferencias y
renderizado.</t>
  </si>
  <si>
    <t>UI/Backend para activar/desactivar
alertas; endpoints para guardar
preferencias.</t>
  </si>
  <si>
    <t>Construcción del centro de
notificaciones; listado paginado;
consumo de API.</t>
  </si>
  <si>
    <t>Acción individual/múltiple; actualización
de estado en BD; refresco de UI.</t>
  </si>
  <si>
    <t>Añadir botón/acción; validación;
eliminación en BD; actualización del
listado</t>
  </si>
  <si>
    <t>Implementación de filtros por tipo, fecha
y estado; integración con backend.</t>
  </si>
  <si>
    <t>Creación del motor de reportes;
generación desde BD; renderizado en
UI.</t>
  </si>
  <si>
    <t>Integración con librería de exportación;
plantillas; descarga del archivo.</t>
  </si>
  <si>
    <t>Exportación mediante librería XLSX;
columnas configurables; descarga.</t>
  </si>
  <si>
    <t>UI de filtros; validación; envío al
endpoint; refresco de resultados.</t>
  </si>
  <si>
    <t>Ajuste de márgenes, encabezados y
estilos; guardado de preferencias.</t>
  </si>
  <si>
    <t>Implementar template con logo y datos
institucionales en exportaciones.</t>
  </si>
  <si>
    <t>Selector de tamaño; aplicación en
reportes y vistas previas; persistencia.</t>
  </si>
  <si>
    <t>Registrar y dar seguimiento en Log (ID,
severidad, estado).</t>
  </si>
  <si>
    <t xml:space="preserve">Reprobar PIs afectados
tras correcciones. </t>
  </si>
  <si>
    <t>Validar actualización de nombre, cargo
y contacto; verificar persistencia en BD
y refresco del frontend.</t>
  </si>
  <si>
    <t>Subir imagen válida, verificar vista
previa, guardar en servidor y confirmar
actualización en perfil.</t>
  </si>
  <si>
    <t>Cambiar entre modo claro/oscuro;
validar persistencia de preferencia y
aplicación inmediata.</t>
  </si>
  <si>
    <t>Modificar disposición de paneles;
guardar configuración y validar carga
posterior</t>
  </si>
  <si>
    <t>Ajustar formatos; verificar que la
interfaz muestre valores según
configuración.</t>
  </si>
  <si>
    <t>Subir fondo, seleccionar diseño, validar
persistencia y carga correcta.</t>
  </si>
  <si>
    <t>Activar/desactivar tipos de
notificaciones; validar que las
preferencias afecten nuevas alertas.</t>
  </si>
  <si>
    <t>Confirmar listado completo; paginación
correcta; información coherente con BD.</t>
  </si>
  <si>
    <t>Cambiar estado; validar actualización
inmediata UI + BD.</t>
  </si>
  <si>
    <t>Verificar eliminar 1/múltiples
notificaciones; revisar integridad de
datos.</t>
  </si>
  <si>
    <t>Aplicar filtros por fecha, tipo y estado;
validar consistencia de resultados.</t>
  </si>
  <si>
    <t>Validar generación completa; datos
correctos; tiempos de carga aceptables.</t>
  </si>
  <si>
    <t>Generar archivo PDF; revisar formato,
contenido, pie de página y
encabezados.</t>
  </si>
  <si>
    <t>Exportar archivo XLSX; validar
columnas, datos y formato</t>
  </si>
  <si>
    <t>Usar filtros múltiples; validar resultados
y consultas correctas a BD.</t>
  </si>
  <si>
    <t>Ajustar márgenes, tamaño de letra,
encabezado; verificar formato aplicado
en nuevas exportaciones.</t>
  </si>
  <si>
    <t>Validar pie en PDF/Excel con
información correcta y alineación.</t>
  </si>
  <si>
    <t>Cambiar tamaño; validar que se refleje
en vista previa y exportaciones.</t>
  </si>
  <si>
    <t>Consolidado del informe de pruebas</t>
  </si>
  <si>
    <t>Revisión de hallazgos, aceptación y
firma del cierre de ciclo.</t>
  </si>
  <si>
    <t>Publicar informes (carpeta PI y
consolidado), notificar a interesados.</t>
  </si>
  <si>
    <t>correciones de código</t>
  </si>
  <si>
    <t>correciones del log e informe tecnico</t>
  </si>
  <si>
    <t>LS+C37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</si>
</sst>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4" fontId="2" fillId="0" borderId="1" xfId="0" applyNumberFormat="1" applyFont="1" applyBorder="1"/>
    <xf numFmtId="21" fontId="2" fillId="0" borderId="1" xfId="0" applyNumberFormat="1" applyFont="1" applyBorder="1"/>
    <xf numFmtId="14" fontId="2" fillId="0" borderId="1" xfId="0" applyNumberFormat="1" applyFont="1" applyBorder="1" applyAlignment="1">
      <alignment wrapText="1"/>
    </xf>
    <xf numFmtId="165" fontId="2" fillId="0" borderId="1" xfId="0" applyNumberFormat="1" applyFont="1" applyBorder="1"/>
    <xf numFmtId="20" fontId="2" fillId="0" borderId="0" xfId="0" applyNumberFormat="1" applyFont="1"/>
    <xf numFmtId="1" fontId="4" fillId="0" borderId="2" xfId="0" applyNumberFormat="1" applyFont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20" fontId="2" fillId="0" borderId="1" xfId="0" applyNumberFormat="1" applyFont="1" applyBorder="1"/>
    <xf numFmtId="164" fontId="2" fillId="0" borderId="1" xfId="0" applyNumberFormat="1" applyFont="1" applyBorder="1"/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NumberForma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0D-A789-8CAC510E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.xlsx]SEMANA 9!TablaDinámica1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6F6-A124-8C8A52875669}"/>
            </c:ext>
          </c:extLst>
        </c:ser>
        <c:ser>
          <c:idx val="1"/>
          <c:order val="1"/>
          <c:tx>
            <c:strRef>
              <c:f>'SEMANA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8-46F6-A124-8C8A52875669}"/>
            </c:ext>
          </c:extLst>
        </c:ser>
        <c:ser>
          <c:idx val="2"/>
          <c:order val="2"/>
          <c:tx>
            <c:strRef>
              <c:f>'SEMANA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8-46F6-A124-8C8A52875669}"/>
            </c:ext>
          </c:extLst>
        </c:ser>
        <c:ser>
          <c:idx val="3"/>
          <c:order val="3"/>
          <c:tx>
            <c:strRef>
              <c:f>'SEMANA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8-46F6-A124-8C8A528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1'!$A$123:$A$134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1'!$B$123:$B$134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1'!$C$123:$C$134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1'!$D$123:$D$134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1'!$E$123:$E$134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1'!$B$53:$B$59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1'!$C$53:$C$59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1'!$D$53:$D$59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1'!$E$53:$E$59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3'!$I$64:$I$70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3'!$J$64:$J$70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3'!$K$64:$K$70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3'!$L$64:$L$70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4'!$B$100:$B$106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4'!$C$100:$C$106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4'!$D$100:$D$106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4'!$E$100:$E$106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4'!$B$126:$B$132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4'!$C$126:$C$132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5'!$B$59:$B$65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5'!$C$59:$C$65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5'!$D$59:$D$65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5'!$E$59:$E$65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5'!$B$80:$B$86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5'!$C$80:$C$86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'!$Q$126:$T$126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'!$B$68:$B$74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'!$C$68:$C$74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'!$D$68:$D$74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'!$E$68:$E$74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8'!$Q$130:$T$130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8'!$B$91:$B$97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8'!$C$91:$C$97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8'!$D$91:$D$97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8'!$E$91:$E$97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357-AD42-DCA3D3B6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9!TablaDinámica1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A1D-9FA2-837E083FBB52}"/>
            </c:ext>
          </c:extLst>
        </c:ser>
        <c:ser>
          <c:idx val="1"/>
          <c:order val="1"/>
          <c:tx>
            <c:strRef>
              <c:f>'DATOS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A1D-9FA2-837E083FBB52}"/>
            </c:ext>
          </c:extLst>
        </c:ser>
        <c:ser>
          <c:idx val="2"/>
          <c:order val="2"/>
          <c:tx>
            <c:strRef>
              <c:f>'DATOS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A1D-9FA2-837E083FBB52}"/>
            </c:ext>
          </c:extLst>
        </c:ser>
        <c:ser>
          <c:idx val="3"/>
          <c:order val="3"/>
          <c:tx>
            <c:strRef>
              <c:f>'DATOS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A1D-9FA2-837E083FB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 (CICLO 2)'!$Q$133:$T$133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558-B07E-7DD88658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1 (CICLO 2)!TablaDinámica1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 (CICLO 2)'!$B$116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2)'!$B$117:$B$123</c:f>
              <c:numCache>
                <c:formatCode>General</c:formatCode>
                <c:ptCount val="6"/>
                <c:pt idx="0">
                  <c:v>16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3-4F8A-AC4D-F557D30A1511}"/>
            </c:ext>
          </c:extLst>
        </c:ser>
        <c:ser>
          <c:idx val="1"/>
          <c:order val="1"/>
          <c:tx>
            <c:strRef>
              <c:f>'DATOS 1 (CICLO 2)'!$C$116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2)'!$C$117:$C$123</c:f>
              <c:numCache>
                <c:formatCode>General</c:formatCode>
                <c:ptCount val="6"/>
                <c:pt idx="0">
                  <c:v>475</c:v>
                </c:pt>
                <c:pt idx="1">
                  <c:v>575</c:v>
                </c:pt>
                <c:pt idx="2">
                  <c:v>535</c:v>
                </c:pt>
                <c:pt idx="3">
                  <c:v>700</c:v>
                </c:pt>
                <c:pt idx="4">
                  <c:v>640</c:v>
                </c:pt>
                <c:pt idx="5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3-4F8A-AC4D-F557D30A1511}"/>
            </c:ext>
          </c:extLst>
        </c:ser>
        <c:ser>
          <c:idx val="2"/>
          <c:order val="2"/>
          <c:tx>
            <c:strRef>
              <c:f>'DATOS 1 (CICLO 2)'!$D$116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2)'!$D$117:$D$123</c:f>
              <c:numCache>
                <c:formatCode>General</c:formatCode>
                <c:ptCount val="6"/>
                <c:pt idx="0">
                  <c:v>20</c:v>
                </c:pt>
                <c:pt idx="1">
                  <c:v>23</c:v>
                </c:pt>
                <c:pt idx="2">
                  <c:v>20</c:v>
                </c:pt>
                <c:pt idx="3">
                  <c:v>27</c:v>
                </c:pt>
                <c:pt idx="4">
                  <c:v>25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3-4F8A-AC4D-F557D30A1511}"/>
            </c:ext>
          </c:extLst>
        </c:ser>
        <c:ser>
          <c:idx val="3"/>
          <c:order val="3"/>
          <c:tx>
            <c:strRef>
              <c:f>'DATOS 1 (CICLO 2)'!$E$116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2)'!$E$117:$E$123</c:f>
              <c:numCache>
                <c:formatCode>General</c:formatCode>
                <c:ptCount val="6"/>
                <c:pt idx="0">
                  <c:v>389</c:v>
                </c:pt>
                <c:pt idx="1">
                  <c:v>437</c:v>
                </c:pt>
                <c:pt idx="2">
                  <c:v>448</c:v>
                </c:pt>
                <c:pt idx="3">
                  <c:v>593</c:v>
                </c:pt>
                <c:pt idx="4">
                  <c:v>575</c:v>
                </c:pt>
                <c:pt idx="5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3-4F8A-AC4D-F557D30A1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0756959"/>
        <c:axId val="620758399"/>
      </c:barChart>
      <c:catAx>
        <c:axId val="6207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8399"/>
        <c:crosses val="autoZero"/>
        <c:auto val="1"/>
        <c:lblAlgn val="ctr"/>
        <c:lblOffset val="100"/>
        <c:noMultiLvlLbl val="0"/>
      </c:catAx>
      <c:valAx>
        <c:axId val="6207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2 (CICLO 2) 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8-4447-9045-856B6CD9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2 (CICLO 2) !TablaDinámica6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 (CICLO 2) '!$B$135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'!$B$136:$B$142</c:f>
              <c:numCache>
                <c:formatCode>General</c:formatCode>
                <c:ptCount val="6"/>
                <c:pt idx="0">
                  <c:v>21</c:v>
                </c:pt>
                <c:pt idx="1">
                  <c:v>18</c:v>
                </c:pt>
                <c:pt idx="2">
                  <c:v>19</c:v>
                </c:pt>
                <c:pt idx="3">
                  <c:v>25</c:v>
                </c:pt>
                <c:pt idx="4">
                  <c:v>25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F-46FB-B56D-BC72C58AB34A}"/>
            </c:ext>
          </c:extLst>
        </c:ser>
        <c:ser>
          <c:idx val="1"/>
          <c:order val="1"/>
          <c:tx>
            <c:strRef>
              <c:f>'DATOS 2 (CICLO 2) '!$C$135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'!$C$136:$C$142</c:f>
              <c:numCache>
                <c:formatCode>General</c:formatCode>
                <c:ptCount val="6"/>
                <c:pt idx="0">
                  <c:v>650</c:v>
                </c:pt>
                <c:pt idx="1">
                  <c:v>600</c:v>
                </c:pt>
                <c:pt idx="2">
                  <c:v>590</c:v>
                </c:pt>
                <c:pt idx="3">
                  <c:v>755</c:v>
                </c:pt>
                <c:pt idx="4">
                  <c:v>785</c:v>
                </c:pt>
                <c:pt idx="5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F-46FB-B56D-BC72C58AB34A}"/>
            </c:ext>
          </c:extLst>
        </c:ser>
        <c:ser>
          <c:idx val="2"/>
          <c:order val="2"/>
          <c:tx>
            <c:strRef>
              <c:f>'DATOS 2 (CICLO 2) '!$D$135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'!$D$136:$D$142</c:f>
              <c:numCache>
                <c:formatCode>General</c:formatCode>
                <c:ptCount val="6"/>
                <c:pt idx="0">
                  <c:v>554</c:v>
                </c:pt>
                <c:pt idx="1">
                  <c:v>476</c:v>
                </c:pt>
                <c:pt idx="2">
                  <c:v>502</c:v>
                </c:pt>
                <c:pt idx="3">
                  <c:v>651</c:v>
                </c:pt>
                <c:pt idx="4">
                  <c:v>712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1F-46FB-B56D-BC72C58AB34A}"/>
            </c:ext>
          </c:extLst>
        </c:ser>
        <c:ser>
          <c:idx val="3"/>
          <c:order val="3"/>
          <c:tx>
            <c:strRef>
              <c:f>'DATOS 2 (CICLO 2) '!$E$135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'!$E$136:$E$142</c:f>
              <c:numCache>
                <c:formatCode>General</c:formatCode>
                <c:ptCount val="6"/>
                <c:pt idx="0">
                  <c:v>23</c:v>
                </c:pt>
                <c:pt idx="1">
                  <c:v>21</c:v>
                </c:pt>
                <c:pt idx="2">
                  <c:v>21</c:v>
                </c:pt>
                <c:pt idx="3">
                  <c:v>28</c:v>
                </c:pt>
                <c:pt idx="4">
                  <c:v>27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1F-46FB-B56D-BC72C58AB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671"/>
        <c:axId val="555151"/>
      </c:barChart>
      <c:catAx>
        <c:axId val="55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5151"/>
        <c:crosses val="autoZero"/>
        <c:auto val="1"/>
        <c:lblAlgn val="ctr"/>
        <c:lblOffset val="100"/>
        <c:noMultiLvlLbl val="0"/>
      </c:catAx>
      <c:valAx>
        <c:axId val="5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 (CICLO 2) 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F-467A-92C7-D4C3813E8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3 (CICLO 2) 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 (CICLO 2) '!$B$66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'!$B$67:$B$73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B-4145-87D1-825CE73B1EE1}"/>
            </c:ext>
          </c:extLst>
        </c:ser>
        <c:ser>
          <c:idx val="1"/>
          <c:order val="1"/>
          <c:tx>
            <c:strRef>
              <c:f>'DATOS 3 (CICLO 2) '!$C$66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'!$C$67:$C$73</c:f>
              <c:numCache>
                <c:formatCode>General</c:formatCode>
                <c:ptCount val="6"/>
                <c:pt idx="0">
                  <c:v>230</c:v>
                </c:pt>
                <c:pt idx="1">
                  <c:v>360</c:v>
                </c:pt>
                <c:pt idx="2">
                  <c:v>320</c:v>
                </c:pt>
                <c:pt idx="3">
                  <c:v>425</c:v>
                </c:pt>
                <c:pt idx="4">
                  <c:v>365</c:v>
                </c:pt>
                <c:pt idx="5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B-4145-87D1-825CE73B1EE1}"/>
            </c:ext>
          </c:extLst>
        </c:ser>
        <c:ser>
          <c:idx val="2"/>
          <c:order val="2"/>
          <c:tx>
            <c:strRef>
              <c:f>'DATOS 3 (CICLO 2) '!$D$66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'!$D$67:$D$73</c:f>
              <c:numCache>
                <c:formatCode>General</c:formatCode>
                <c:ptCount val="6"/>
                <c:pt idx="0">
                  <c:v>162</c:v>
                </c:pt>
                <c:pt idx="1">
                  <c:v>227</c:v>
                </c:pt>
                <c:pt idx="2">
                  <c:v>235</c:v>
                </c:pt>
                <c:pt idx="3">
                  <c:v>333</c:v>
                </c:pt>
                <c:pt idx="4">
                  <c:v>321</c:v>
                </c:pt>
                <c:pt idx="5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B-4145-87D1-825CE73B1EE1}"/>
            </c:ext>
          </c:extLst>
        </c:ser>
        <c:ser>
          <c:idx val="3"/>
          <c:order val="3"/>
          <c:tx>
            <c:strRef>
              <c:f>'DATOS 3 (CICLO 2) '!$E$66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'!$E$67:$E$73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12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B-4145-87D1-825CE73B1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282144"/>
        <c:axId val="94283584"/>
      </c:barChart>
      <c:catAx>
        <c:axId val="942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83584"/>
        <c:crosses val="autoZero"/>
        <c:auto val="1"/>
        <c:lblAlgn val="ctr"/>
        <c:lblOffset val="100"/>
        <c:noMultiLvlLbl val="0"/>
      </c:catAx>
      <c:valAx>
        <c:axId val="942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 (CICLO 2)'!$Q$157:$T$157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8-47E6-8541-4121FB431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6) .xlsx]DATOS 4 (CICLO 2)!TablaDinámica1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 (CICLO 2)'!$B$90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 (CICLO 2)'!$A$91:$A$97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 (CICLO 2)'!$B$91:$B$97</c:f>
              <c:numCache>
                <c:formatCode>General</c:formatCode>
                <c:ptCount val="6"/>
                <c:pt idx="0">
                  <c:v>15</c:v>
                </c:pt>
                <c:pt idx="1">
                  <c:v>10</c:v>
                </c:pt>
                <c:pt idx="2">
                  <c:v>12</c:v>
                </c:pt>
                <c:pt idx="3">
                  <c:v>18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0-4E79-844E-40CBE18F8A54}"/>
            </c:ext>
          </c:extLst>
        </c:ser>
        <c:ser>
          <c:idx val="1"/>
          <c:order val="1"/>
          <c:tx>
            <c:strRef>
              <c:f>'DATOS 4 (CICLO 2)'!$C$90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 (CICLO 2)'!$A$91:$A$97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 (CICLO 2)'!$C$91:$C$97</c:f>
              <c:numCache>
                <c:formatCode>General</c:formatCode>
                <c:ptCount val="6"/>
                <c:pt idx="0">
                  <c:v>19</c:v>
                </c:pt>
                <c:pt idx="1">
                  <c:v>12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0-4E79-844E-40CBE18F8A54}"/>
            </c:ext>
          </c:extLst>
        </c:ser>
        <c:ser>
          <c:idx val="2"/>
          <c:order val="2"/>
          <c:tx>
            <c:strRef>
              <c:f>'DATOS 4 (CICLO 2)'!$D$90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 (CICLO 2)'!$A$91:$A$97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 (CICLO 2)'!$D$91:$D$97</c:f>
              <c:numCache>
                <c:formatCode>General</c:formatCode>
                <c:ptCount val="6"/>
                <c:pt idx="0">
                  <c:v>470</c:v>
                </c:pt>
                <c:pt idx="1">
                  <c:v>360</c:v>
                </c:pt>
                <c:pt idx="2">
                  <c:v>380</c:v>
                </c:pt>
                <c:pt idx="3">
                  <c:v>545</c:v>
                </c:pt>
                <c:pt idx="4">
                  <c:v>485</c:v>
                </c:pt>
                <c:pt idx="5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90-4E79-844E-40CBE18F8A54}"/>
            </c:ext>
          </c:extLst>
        </c:ser>
        <c:ser>
          <c:idx val="3"/>
          <c:order val="3"/>
          <c:tx>
            <c:strRef>
              <c:f>'DATOS 4 (CICLO 2)'!$E$90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 (CICLO 2)'!$A$91:$A$97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 (CICLO 2)'!$E$91:$E$97</c:f>
              <c:numCache>
                <c:formatCode>General</c:formatCode>
                <c:ptCount val="6"/>
                <c:pt idx="0">
                  <c:v>394</c:v>
                </c:pt>
                <c:pt idx="1">
                  <c:v>235</c:v>
                </c:pt>
                <c:pt idx="2">
                  <c:v>307</c:v>
                </c:pt>
                <c:pt idx="3">
                  <c:v>454</c:v>
                </c:pt>
                <c:pt idx="4">
                  <c:v>441</c:v>
                </c:pt>
                <c:pt idx="5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90-4E79-844E-40CBE18F8A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6977904"/>
        <c:axId val="1453506127"/>
      </c:barChart>
      <c:catAx>
        <c:axId val="6169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3506127"/>
        <c:crosses val="autoZero"/>
        <c:auto val="1"/>
        <c:lblAlgn val="ctr"/>
        <c:lblOffset val="100"/>
        <c:noMultiLvlLbl val="0"/>
      </c:catAx>
      <c:valAx>
        <c:axId val="14535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697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Relationship Id="rId4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A505E84-9C86-4DE3-8BC5-36E1114EE9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B66D9A-E785-411A-A6D4-A331243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12811B-AFA6-412D-B0A5-1722C374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79</xdr:row>
      <xdr:rowOff>147865</xdr:rowOff>
    </xdr:from>
    <xdr:to>
      <xdr:col>4</xdr:col>
      <xdr:colOff>1134</xdr:colOff>
      <xdr:row>81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88</xdr:row>
      <xdr:rowOff>34018</xdr:rowOff>
    </xdr:from>
    <xdr:to>
      <xdr:col>4</xdr:col>
      <xdr:colOff>-1</xdr:colOff>
      <xdr:row>90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95</xdr:row>
      <xdr:rowOff>147863</xdr:rowOff>
    </xdr:from>
    <xdr:to>
      <xdr:col>3</xdr:col>
      <xdr:colOff>771071</xdr:colOff>
      <xdr:row>96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102</xdr:row>
      <xdr:rowOff>91167</xdr:rowOff>
    </xdr:from>
    <xdr:to>
      <xdr:col>4</xdr:col>
      <xdr:colOff>278947</xdr:colOff>
      <xdr:row>116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135</xdr:row>
      <xdr:rowOff>34471</xdr:rowOff>
    </xdr:from>
    <xdr:to>
      <xdr:col>6</xdr:col>
      <xdr:colOff>34017</xdr:colOff>
      <xdr:row>161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59</xdr:row>
      <xdr:rowOff>113846</xdr:rowOff>
    </xdr:from>
    <xdr:to>
      <xdr:col>5</xdr:col>
      <xdr:colOff>11340</xdr:colOff>
      <xdr:row>72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62</xdr:row>
      <xdr:rowOff>0</xdr:rowOff>
    </xdr:from>
    <xdr:to>
      <xdr:col>6</xdr:col>
      <xdr:colOff>158750</xdr:colOff>
      <xdr:row>71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98</xdr:row>
      <xdr:rowOff>79827</xdr:rowOff>
    </xdr:from>
    <xdr:to>
      <xdr:col>12</xdr:col>
      <xdr:colOff>2313215</xdr:colOff>
      <xdr:row>119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124</xdr:row>
      <xdr:rowOff>57150</xdr:rowOff>
    </xdr:from>
    <xdr:to>
      <xdr:col>7</xdr:col>
      <xdr:colOff>579438</xdr:colOff>
      <xdr:row>131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66</xdr:row>
      <xdr:rowOff>23130</xdr:rowOff>
    </xdr:from>
    <xdr:to>
      <xdr:col>4</xdr:col>
      <xdr:colOff>1428749</xdr:colOff>
      <xdr:row>77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454</xdr:rowOff>
    </xdr:from>
    <xdr:to>
      <xdr:col>2</xdr:col>
      <xdr:colOff>1428749</xdr:colOff>
      <xdr:row>107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120</xdr:row>
      <xdr:rowOff>249918</xdr:rowOff>
    </xdr:from>
    <xdr:to>
      <xdr:col>26</xdr:col>
      <xdr:colOff>534080</xdr:colOff>
      <xdr:row>137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75</xdr:row>
      <xdr:rowOff>23132</xdr:rowOff>
    </xdr:from>
    <xdr:to>
      <xdr:col>3</xdr:col>
      <xdr:colOff>147411</xdr:colOff>
      <xdr:row>84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124</xdr:row>
      <xdr:rowOff>249918</xdr:rowOff>
    </xdr:from>
    <xdr:to>
      <xdr:col>26</xdr:col>
      <xdr:colOff>534080</xdr:colOff>
      <xdr:row>141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98</xdr:row>
      <xdr:rowOff>79828</xdr:rowOff>
    </xdr:from>
    <xdr:to>
      <xdr:col>3</xdr:col>
      <xdr:colOff>476250</xdr:colOff>
      <xdr:row>119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B9CA4A-5F9F-43F4-A855-D0A68B046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652175-7C21-4731-A024-C65802CD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8B43FE-6838-5A59-1F6D-C6EC23FB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34FE929-6FB9-4825-B30D-F80532F175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E686C-B595-40FE-8011-DC1B5D4D9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32883</xdr:colOff>
      <xdr:row>124</xdr:row>
      <xdr:rowOff>102507</xdr:rowOff>
    </xdr:from>
    <xdr:to>
      <xdr:col>4</xdr:col>
      <xdr:colOff>1179284</xdr:colOff>
      <xdr:row>141</xdr:row>
      <xdr:rowOff>79375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183430-E700-9F08-74C4-DA7AF04FA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ABEF5A34-84F5-4B28-A8E4-4C48354ABA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8CF689-82B9-4E3A-939F-111C55E2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382304</xdr:colOff>
      <xdr:row>144</xdr:row>
      <xdr:rowOff>24529</xdr:rowOff>
    </xdr:from>
    <xdr:to>
      <xdr:col>4</xdr:col>
      <xdr:colOff>1226507</xdr:colOff>
      <xdr:row>172</xdr:row>
      <xdr:rowOff>13047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D169D5-10A9-B40D-E5A9-659E7438E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4EE3B0A6-35C6-45CE-BE82-CB7A867136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5D76DD-674E-44CB-B57E-5712A3093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584916</xdr:colOff>
      <xdr:row>74</xdr:row>
      <xdr:rowOff>110810</xdr:rowOff>
    </xdr:from>
    <xdr:to>
      <xdr:col>4</xdr:col>
      <xdr:colOff>1341549</xdr:colOff>
      <xdr:row>83</xdr:row>
      <xdr:rowOff>120739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C86580-79D8-83B3-F4E8-BE694496B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FC14491-5820-498C-8520-A05B2CE2F9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151</xdr:row>
      <xdr:rowOff>249918</xdr:rowOff>
    </xdr:from>
    <xdr:to>
      <xdr:col>26</xdr:col>
      <xdr:colOff>534080</xdr:colOff>
      <xdr:row>168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AA8A51-FA4B-4DB0-8F5F-7AC3BFA18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136071</xdr:colOff>
      <xdr:row>98</xdr:row>
      <xdr:rowOff>36738</xdr:rowOff>
    </xdr:from>
    <xdr:to>
      <xdr:col>4</xdr:col>
      <xdr:colOff>1224641</xdr:colOff>
      <xdr:row>107</xdr:row>
      <xdr:rowOff>312963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E12283-0720-28E4-AA85-977C0F5EB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1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50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7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6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5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7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030615856478" createdVersion="8" refreshedVersion="8" minRefreshableVersion="3" recordCount="83" xr:uid="{4E111653-FA38-4E02-9991-65F815A148D7}">
  <cacheSource type="worksheet">
    <worksheetSource ref="A7:M90" sheet="DATOS 9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Kerlon Sanchez"/>
        <s v="Leidy Giraldo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16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13T00:00:00" maxDate="2025-10-16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58.496871875002" createdVersion="8" refreshedVersion="8" minRefreshableVersion="3" recordCount="105" xr:uid="{5610DAE8-91CD-4552-BE06-FB7E5CC376AC}">
  <cacheSource type="worksheet">
    <worksheetSource ref="A7:M112" sheet="DATOS 1 (CICLO 2)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Santiago Herrada"/>
        <s v="Leidy Girald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29T00:00:00" maxDate="2025-10-3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Date="1" containsMixedTypes="1" minDate="2025-10-27T00:00:00" maxDate="2025-10-30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7.755859027777" createdVersion="8" refreshedVersion="8" minRefreshableVersion="3" recordCount="124" xr:uid="{244CFEC6-722C-4B54-9BE2-B0B3AAD2A35E}">
  <cacheSource type="worksheet">
    <worksheetSource ref="A7:M131" sheet="DATOS 2 (CICLO 2) 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Leidy Giraldo"/>
        <s v="Santiago Herrada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1-07T00:00:00" maxDate="2025-11-0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1-05T00:00:00" maxDate="2025-11-0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 count="74">
        <s v="Diligenciar el formato correspondiente al script de definición de procesos"/>
        <s v="Se realizo el llenado del control de asignaciones para asi terminar con éxito la fase 1 del ciclo 2 y para que los demas lideres llenen sus bitácoras"/>
        <s v="Verificar asistencia y compromiso de todos_x000a_los integrantes para el desarrollo del_x000a_proyecto."/>
        <s v="Verificar asistencia y compromiso de todos los integrantes para el desarrollo del proyecto."/>
        <s v="Elaborar el diagrama de casos de_x000a_uso que_x000a_represente los actores, límites del_x000a_sistema y relaciones principales."/>
        <s v="Descripción: Permite al usuario modificar_x000a_su información personal registrada en el_x000a_sistema."/>
        <s v="El usuario puede actualizar su fotografía_x000a_de perfil para personalizar su cuenta."/>
        <s v="Brinda al usuario la opción de cambiar la_x000a_paleta de colores o el modo visual_x000a_(claro/oscuro)."/>
        <s v="Permite reorganizar los paneles del_x000a_tablero principal según las preferencias_x000a_del usuario."/>
        <s v="El usuario puede definir cómo se_x000a_mostrarán las fechas y monedas en el_x000a_sistema."/>
        <s v="Permite seleccionar qué tipos de_x000a_notificaciones se desean recibir o_x000a_visualizar."/>
        <s v="Permite consultar las alertas generadas_x000a_por el sistema."/>
        <s v="El usuario puede cambiar el estado de_x000a_una notificación a “leída”"/>
        <s v="Permite eliminar notificaciones_x000a_innecesarias o antiguas."/>
        <s v="Permite aplicar filtros para buscar_x000a_notificaciones específicas."/>
        <s v="Consolida la información de diferentes_x000a_módulos en un reporte general"/>
        <s v="Permite descargar un reporte generado_x000a_en formato PDF."/>
        <s v="Brinda la opción de descargar los datos_x000a_del reporte en formato Excel."/>
        <s v="Permite seleccionar criterios específicos_x000a_para visualizar datos relevantes."/>
        <s v="El usuario puede personalizar el diseño y_x000a_estilo de los reportes"/>
        <s v="Permite incluir información institucional_x000a_en los reportes generados."/>
        <s v="Permite ajustar el tamaño de fuente para_x000a_mejorar la legibilidad."/>
        <s v="Permite cambiar la imagen o color de_x000a_fondo del entorno de trabajo."/>
        <s v="Definir requisitos de tiempos de_x000a_respuesta y eficiencia en consultas y_x000a_reportes"/>
        <s v="Establecer estrategias para soportar_x000a_el crecimiento de usuarios y proyectos"/>
        <s v="Garantizar el tiempo de servicio del_x000a_sistema y planes de recuperación ante_x000a_fallos"/>
        <s v="Establecer criterios de interfaz amigable_x000a_e intuitiva para los usuarios."/>
        <s v="Definir políticas de seguridad, permisos_x000a_y protección de datos del sistema."/>
        <s v="Asegurar que el sistema pueda_x000a_incorporar nuevos módulos o_x000a_integraciones."/>
        <s v="Elaborar el diagrama UML de clases_x000a_que represente entidades y relaciones."/>
        <s v="Redactar por qué existe el plan, qué_x000a_cubre y qué no, y cómo se usará en el_x000a_proyecto."/>
        <s v="Listar responsables_x000a_(PO/Analista/Calidad/Dev/LP) y_x000a_herramientas (repo, tablero, plantillas)"/>
        <s v="Crear/validar la carpeta oficial y su_x000a_enlace para revisiones y versiones."/>
        <s v="Construir el checklist con criterios:_x000a_completitud, no ambigüedad,_x000a_consistencia, trazabilidad, corrección y_x000a_no redundancia"/>
        <s v="Recoger requerimientos (UC, reglas,_x000a_calidad) y asignar ID, nombre claro y_x000a_formato estándar."/>
        <s v="Redactar cada requerimiento con_x000a_descripción, fuente, prioridad y criterios_x000a_de aceptación."/>
        <s v="Aplicar el checklist; registrar_x000a_observaciones y correcciones"/>
        <s v="Clasificar (p. ej., MoSCoW) y aprobar_x000a_para baseline con el equipo/líder de_x000a_calidad."/>
        <s v="Crear/actualizar matriz Req ↔_x000a_UC/Tarea/Prueba/KPI"/>
        <s v="Definir formato RFC, flujo de aprobación_x000a_y registro de impactos."/>
        <s v="Versionar documentos, guardar en la_x000a_carpeta oficial y registrar enlace en_x000a_maestro de documentos."/>
        <s v="Definir frecuencia de revisión y métricas_x000a_mínimas (p. ej., % trazabilidad, % req_x000a_aprobados)."/>
        <s v="Qué calidad vamos a asegurar (defectos,_x000a_métricas, revisiones) y hasta dónde_x000a_aplica (por sprint)."/>
        <s v="Criterios y reglas: prevención &gt;_x000a_detección, severidades/prioridades,_x000a_“cero críticos al cierre”, uso de checklist."/>
        <s v="Repo/carpeta oficial, plantillas, tablero_x000a_DashKPI, espacios para evidencias."/>
        <s v="Líder de Calidad, QA, Líder de_x000a_Desarrollo, Dev, PO: quién revisa, quién_x000a_aprueba, quién corrige."/>
        <s v="Definir fórmula, umbral, frecuencia,_x000a_fuente y responsable (Densidad, DRE,_x000a_MTTR, %Revisiones, %DoD)."/>
        <s v="Calendario y alcance por artefacto;_x000a_checklist de revisión; formato de acta."/>
        <s v="Estados (Abierto→Cerrado),_x000a_severidades, SLA por severidad y_x000a_categorías; reglas de cierre."/>
        <s v="Aplicar checklist en_x000a_req/diseño/código/pruebas; registrar_x000a_hallazgos y acciones."/>
        <s v="Guardar capturas, commits, reportes;_x000a_vincular a defectos/métricas."/>
        <s v="Reunión semanal, tablero de KPIs,_x000a_alertas y acciones_x000a_correctivas/preventivas (CAPA)."/>
        <s v="Lecciones aprendidas y ajustes al_x000a_plan/métricas; baseline de cierre."/>
        <s v="Listar los entregables del sprint/fase (p._x000a_ej., Plan de calidad v1.0, Plan de admin_x000a_de reqs v1.0, etc.)."/>
        <s v="Partir cada entregable en tareas_x000a_concretas con nombre y descripción."/>
        <s v="Ordenar tareas y registrar_x000a_predecesoras/sucesoras."/>
        <s v="Estimar horas por tarea (h-persona)"/>
        <s v="Registrar productividad del recurso_x000a_(h/día) o capacidad del equipo."/>
        <s v="Calcular duración =_x000a_esfuerzo/productividad, fijar inicio/fin en_x000a_calendario"/>
        <s v="Asignar responsable/rol y estado inicial."/>
        <s v="Definir criterios específicos por tarea y_x000a_DoD estándar del equipo."/>
        <s v="Cargar todo al tablero DashKPI/hoja_x000a_maestra y versiona"/>
        <s v="Gestionar solicitudes de cambios, su_x000a_evaluación, aprobación/rechazo e_x000a_implantación."/>
        <s v="Gestionar solicitudes de cambios, su evaluación, aprobación/rechazo e implantación. "/>
        <s v="Identificar, clasificar y dar seguimiento a_x000a_riesgos del proyecto."/>
        <s v="Registrar incidencias y defectos, dar_x000a_seguimiento y cerrar tras validación."/>
        <s v="Documentar bitácoras de tiempo y actas de_x000a_reuniones, manteniendo control de_x000a_versiones."/>
        <s v="Con las bitácoras llenamos cada espacio con las actividaes correspondientes según el control de asignaciones"/>
        <s v="No comentarios"/>
        <s v="Ordenar en grupo todos los documentos asignados para la primera entrega"/>
        <s v="Diapositivas con los documentos hechos "/>
        <s v="Realización de un excel con los documentos hechos "/>
        <s v="Se revisan los tres documentos realizados en grupo para consolidar los resultados y corregir errores "/>
        <s v="Todos los documentos subidos _x000a_y actualizados en la pagina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72.994518981483" createdVersion="8" refreshedVersion="8" minRefreshableVersion="3" recordCount="57" xr:uid="{A05EE256-B5C7-41EE-932B-7C160E3C8822}">
  <cacheSource type="worksheet">
    <worksheetSource ref="A7:M64" sheet="DATOS 3 (CICLO 2) 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Leidy Giraldo"/>
        <s v="Matias Marín"/>
        <s v="Esteban Prieto"/>
        <s v="Santiago Herrada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1-12T00:00:00" maxDate="2025-11-13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1-10T00:00:00" maxDate="2025-11-12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79.043078009257" createdVersion="8" refreshedVersion="8" minRefreshableVersion="3" recordCount="81" xr:uid="{F1852681-C044-46AA-BB44-679A43E92CFD}">
  <cacheSource type="worksheet">
    <worksheetSource ref="A7:M88" sheet="DATOS 4 (CICLO 2)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Santiago Herrada"/>
        <s v="Leidy Giraldo"/>
        <s v="Esteban Prieto"/>
        <s v="Matias Marín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1-19T00:00:00" maxDate="2025-11-2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1-17T00:00:00" maxDate="2025-11-20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Script de definición de procesos(POST-MORTEM)"/>
    <x v="0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0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2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0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2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3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4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5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4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5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4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5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0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2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0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2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4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0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4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0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0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2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0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4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0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3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4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0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4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0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4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0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3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3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4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0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0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4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4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4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Script de definición de procesos"/>
    <x v="0"/>
    <s v="LC"/>
    <n v="1"/>
    <n v="30"/>
    <d v="2025-10-29T00:00:00"/>
    <d v="1899-12-30T09:00:00"/>
    <d v="2025-10-27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0-29T00:00:00"/>
    <d v="1899-12-30T09:00:00"/>
    <d v="2025-10-27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Control de asignaciones"/>
    <x v="0"/>
    <s v="LC"/>
    <n v="1"/>
    <n v="30"/>
    <d v="2025-10-29T00:00:00"/>
    <d v="1899-12-30T09:00:00"/>
    <d v="2025-10-27T00:00:00"/>
    <d v="1899-12-30T10:30:00"/>
    <n v="4"/>
    <n v="1"/>
    <n v="26"/>
    <s v="Verificar asistencia y compromiso de todos_x000a_los integrantes para el desarrollo del_x000a_proyecto."/>
  </r>
  <r>
    <s v="Control de asignaciones"/>
    <x v="2"/>
    <s v="LS"/>
    <n v="1"/>
    <n v="30"/>
    <d v="2025-10-29T00:00:00"/>
    <d v="1899-12-30T09:00:00"/>
    <s v="27/20/2025"/>
    <d v="1899-12-30T10:00:00"/>
    <n v="4"/>
    <n v="1"/>
    <n v="26"/>
    <s v="Verificar asistencia y compromiso de todos los integrantes para el desarrollo del proyecto."/>
  </r>
  <r>
    <s v="Asignación de roles"/>
    <x v="2"/>
    <s v="LS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Asignación de roles"/>
    <x v="0"/>
    <s v="LC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Definición_x000a_de reglas_x000a_de trabajo"/>
    <x v="2"/>
    <s v="LS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Definición_x000a_de reglas_x000a_de trabajo"/>
    <x v="0"/>
    <s v="LC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Establecimiento de_x000a_objetivos"/>
    <x v="2"/>
    <s v="LS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Establecimiento de_x000a_objetivos"/>
    <x v="0"/>
    <s v="LC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Registro_x000a_de_x000a_disponibilidad"/>
    <x v="0"/>
    <s v="LC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Registro_x000a_de_x000a_disponibilidad"/>
    <x v="2"/>
    <s v="LS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Firma del_x000a_acta de_x000a_iniciación"/>
    <x v="2"/>
    <s v="LS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Firma del_x000a_acta de_x000a_iniciación"/>
    <x v="0"/>
    <s v="LC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Lineamiento_x000a_estratégico"/>
    <x v="3"/>
    <s v="LE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4"/>
    <s v="LD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0"/>
    <s v="LC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2"/>
    <s v="LS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1"/>
    <s v="LP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5"/>
    <s v="LA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Criterios_x000a_de la_x000a_estrategia"/>
    <x v="3"/>
    <s v="LE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4"/>
    <s v="LD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0"/>
    <s v="LC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2"/>
    <s v="LS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1"/>
    <s v="LP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5"/>
    <s v="LA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Estrategia_x000a_general"/>
    <x v="3"/>
    <s v="LE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4"/>
    <s v="LD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0"/>
    <s v="LC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2"/>
    <s v="LS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1"/>
    <s v="LP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5"/>
    <s v="LA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Diseño_x000a_conceptual"/>
    <x v="3"/>
    <s v="LE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4"/>
    <s v="LD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0"/>
    <s v="LC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2"/>
    <s v="LS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1"/>
    <s v="LP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5"/>
    <s v="LA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Identificación de_x000a_módulos"/>
    <x v="3"/>
    <s v="LE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4"/>
    <s v="LD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0"/>
    <s v="LC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2"/>
    <s v="LS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1"/>
    <s v="LP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5"/>
    <s v="LA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Funcionali_x000a_dades_x000a_asociadas"/>
    <x v="3"/>
    <s v="LE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4"/>
    <s v="LD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0"/>
    <s v="LC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2"/>
    <s v="LS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1"/>
    <s v="LP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5"/>
    <s v="LA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Estimació_x000a_n de_x000a_tamaño_x000a_basada en_x000a_LOC y_x000a_CoCoMo"/>
    <x v="1"/>
    <s v="LP"/>
    <n v="1"/>
    <n v="30"/>
    <d v="2025-10-29T00:00:00"/>
    <d v="1899-12-30T09:00:00"/>
    <d v="2025-10-28T00:00:00"/>
    <d v="1899-12-30T15:00:00"/>
    <n v="-1"/>
    <n v="3"/>
    <n v="31"/>
    <s v="Usa LOC para el tamaño y CoCoMo para_x000a_estimar el esfuerzo"/>
  </r>
  <r>
    <s v="Estimació_x000a_n de_x000a_tamaño_x000a_basada en_x000a_LOC y_x000a_datos_x000a_históricos"/>
    <x v="3"/>
    <s v="LE"/>
    <n v="1"/>
    <n v="30"/>
    <d v="2025-10-29T00:00:00"/>
    <d v="1899-12-30T09:00:00"/>
    <d v="2025-10-28T00:00:00"/>
    <d v="1899-12-30T15:00:00"/>
    <n v="5"/>
    <n v="2"/>
    <n v="25"/>
    <s v="Usa LOC para el tamaño y datos históricos_x000a_para esfuerzo"/>
  </r>
  <r>
    <s v="Estimació_x000a_n de_x000a_tamaño_x000a_basada en_x000a_puntos de_x000a_función y_x000a_CoCoMo"/>
    <x v="1"/>
    <s v="LP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CoCoMo"/>
    <x v="0"/>
    <s v="LC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datos_x000a_históricos"/>
    <x v="4"/>
    <s v="LD"/>
    <n v="1"/>
    <n v="30"/>
    <d v="2025-10-29T00:00:00"/>
    <d v="1899-12-30T09:00:00"/>
    <d v="2025-10-28T00:00:00"/>
    <d v="1899-12-30T15:00:00"/>
    <n v="5"/>
    <n v="1"/>
    <n v="25"/>
    <s v="Usa puntos de función para el tamaño y_x000a_datos históricos para esfuerzo"/>
  </r>
  <r>
    <s v="Estimació_x000a_n de_x000a_tamaño y_x000a_esfuerzo_x000a_basada en_x000a_puntos de_x000a_caso de_x000a_uso"/>
    <x v="5"/>
    <s v="LE"/>
    <n v="1"/>
    <n v="30"/>
    <d v="2025-10-29T00:00:00"/>
    <d v="1899-12-30T09:00:00"/>
    <d v="2025-10-28T00:00:00"/>
    <d v="1899-12-30T15:00:00"/>
    <n v="0"/>
    <n v="1"/>
    <n v="30"/>
    <s v="Usa puntos de caso de uso para el tamaño_x000a_y esfuerzo basado en estos puntos"/>
  </r>
  <r>
    <s v="dentificaci_x000a_ón y_x000a_criterios de_x000a_valoración"/>
    <x v="1"/>
    <s v="LD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dentificaci_x000a_ón y_x000a_criterios de_x000a_valoración"/>
    <x v="4"/>
    <s v="LP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Clasificaci_x000a_ón de_x000a_riesgos"/>
    <x v="4"/>
    <s v="LD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Clasificaci_x000a_ón de_x000a_riesgos"/>
    <x v="1"/>
    <s v="LP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Valoración_x000a_y_x000a_priorización"/>
    <x v="4"/>
    <s v="LD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Valoración_x000a_y_x000a_priorización"/>
    <x v="1"/>
    <s v="LP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Plan de_x000a_mitigación_x000a_y_x000a_contingencia"/>
    <x v="4"/>
    <s v="LD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lan de_x000a_mitigación_x000a_y_x000a_contingencia"/>
    <x v="1"/>
    <s v="LP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rograma_x000a_de_x000a_seguimiento"/>
    <x v="4"/>
    <s v="LD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Programa_x000a_de_x000a_seguimiento"/>
    <x v="1"/>
    <s v="LP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Definición_x000a_del_x000a_objetivo"/>
    <x v="5"/>
    <s v="LA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Definición_x000a_del_x000a_objetivo"/>
    <x v="3"/>
    <s v="LE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Organización y roles"/>
    <x v="5"/>
    <s v="LA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Organización y roles"/>
    <x v="3"/>
    <s v="LE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Políticas y_x000a_procedimientos"/>
    <x v="5"/>
    <s v="LA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Políticas y_x000a_procedimientos"/>
    <x v="3"/>
    <s v="LE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Identificación de_x000a_configuraciones"/>
    <x v="5"/>
    <s v="LA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Identificación de_x000a_configuraciones"/>
    <x v="3"/>
    <s v="LE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Programas y_x000a_recursos"/>
    <x v="5"/>
    <s v="LA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rogramas y_x000a_recursos"/>
    <x v="3"/>
    <s v="LE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lan de_x000a_mantenimiento"/>
    <x v="5"/>
    <s v="LA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Plan de_x000a_mantenimiento"/>
    <x v="3"/>
    <s v="LE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Revisiones del_x000a_estado"/>
    <x v="5"/>
    <s v="LA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Revisiones del_x000a_estado"/>
    <x v="3"/>
    <s v="LE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Control de_x000a_cambios"/>
    <x v="5"/>
    <s v="LA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_x000a_cambios"/>
    <x v="3"/>
    <s v="LD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Control de _x000a_cambios "/>
    <x v="2"/>
    <s v="LS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29T00:00:00"/>
    <d v="1899-12-30T09:00:00"/>
    <d v="2025-10-28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29T00:00:00"/>
    <d v="1899-12-30T09:00:00"/>
    <d v="2025-10-28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29T00:00:00"/>
    <d v="1899-12-30T09:00:00"/>
    <d v="2025-10-28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E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29T00:00:00"/>
    <d v="1899-12-30T09:00:00"/>
    <d v="2025-10-28T00:00:00"/>
    <d v="1899-12-30T22:00:00"/>
    <n v="0"/>
    <n v="1"/>
    <n v="30"/>
    <s v="No comentarios"/>
  </r>
  <r>
    <s v="Llenado de log de defectos"/>
    <x v="0"/>
    <s v="LC"/>
    <n v="1"/>
    <n v="30"/>
    <d v="2025-10-29T00:00:00"/>
    <d v="1899-12-30T09:00:00"/>
    <d v="2025-10-28T00:00:00"/>
    <d v="1899-12-30T22:00:00"/>
    <n v="0"/>
    <n v="1"/>
    <n v="30"/>
    <s v="No comentarios"/>
  </r>
  <r>
    <s v="Acta de reunión"/>
    <x v="0"/>
    <s v="LC"/>
    <n v="1"/>
    <n v="45"/>
    <d v="2025-10-29T00:00:00"/>
    <d v="1899-12-30T09:00:00"/>
    <d v="2025-10-28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29T00:00:00"/>
    <d v="1899-12-30T09:00:00"/>
    <d v="2025-10-28T00:00:00"/>
    <d v="1899-12-30T22:30:00"/>
    <n v="10"/>
    <n v="1"/>
    <n v="50"/>
    <s v="Diapositivas con los documentos hechos "/>
  </r>
  <r>
    <s v="Maestro de documentos"/>
    <x v="3"/>
    <s v="LE"/>
    <n v="1"/>
    <n v="55"/>
    <d v="2025-10-29T00:00:00"/>
    <d v="1899-12-30T09:00:00"/>
    <d v="2025-10-28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29T00:00:00"/>
    <d v="1899-12-30T09:00:00"/>
    <d v="2025-10-29T00:00:00"/>
    <d v="1899-12-30T09:00:00"/>
    <n v="5"/>
    <n v="3"/>
    <n v="15"/>
    <s v="Todos los documentos subidos _x000a_y actualizados en la pagina 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Script de definición de procesos"/>
    <x v="0"/>
    <s v="LC"/>
    <n v="1"/>
    <n v="30"/>
    <d v="2025-11-07T00:00:00"/>
    <d v="1899-12-30T09:00:00"/>
    <d v="2025-11-05T00:00:00"/>
    <d v="1899-12-30T10:00:00"/>
    <n v="5"/>
    <n v="1"/>
    <n v="25"/>
    <x v="0"/>
  </r>
  <r>
    <s v="Control de asignaciones"/>
    <x v="1"/>
    <s v="LP"/>
    <n v="1"/>
    <n v="30"/>
    <d v="2025-11-07T00:00:00"/>
    <d v="1899-12-30T09:00:00"/>
    <d v="2025-11-05T00:00:00"/>
    <d v="1899-12-30T10:00:00"/>
    <n v="5"/>
    <n v="1"/>
    <n v="25"/>
    <x v="1"/>
  </r>
  <r>
    <s v="Control de asignaciones"/>
    <x v="0"/>
    <s v="LC"/>
    <n v="1"/>
    <n v="30"/>
    <d v="2025-11-07T00:00:00"/>
    <d v="1899-12-30T09:00:00"/>
    <d v="2025-11-05T00:00:00"/>
    <d v="1899-12-30T10:30:00"/>
    <n v="4"/>
    <n v="1"/>
    <n v="26"/>
    <x v="2"/>
  </r>
  <r>
    <s v="Control de asignaciones"/>
    <x v="2"/>
    <s v="LS"/>
    <n v="1"/>
    <n v="30"/>
    <d v="2025-11-07T00:00:00"/>
    <d v="1899-12-30T09:00:00"/>
    <d v="2025-11-05T00:00:00"/>
    <d v="1899-12-30T10:00:00"/>
    <n v="4"/>
    <n v="1"/>
    <n v="26"/>
    <x v="3"/>
  </r>
  <r>
    <s v="Modelo de_x000a_casos de uso"/>
    <x v="3"/>
    <s v="LE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4"/>
    <s v="LA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5"/>
    <s v="LD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1"/>
    <s v="LP"/>
    <n v="1"/>
    <n v="30"/>
    <d v="2025-11-07T00:00:00"/>
    <d v="1899-12-30T09:00:00"/>
    <d v="2025-11-05T00:00:00"/>
    <d v="1899-12-30T11:00:00"/>
    <n v="2"/>
    <n v="2"/>
    <n v="28"/>
    <x v="4"/>
  </r>
  <r>
    <s v="Modelo de_x000a_casos de uso"/>
    <x v="0"/>
    <s v="LC"/>
    <n v="1"/>
    <n v="30"/>
    <d v="2025-11-07T00:00:00"/>
    <d v="1899-12-30T09:00:00"/>
    <d v="2025-11-05T00:00:00"/>
    <d v="1899-12-30T11:00:00"/>
    <n v="2"/>
    <n v="2"/>
    <n v="28"/>
    <x v="4"/>
  </r>
  <r>
    <s v="Modelo de_x000a_casos de uso"/>
    <x v="2"/>
    <s v="LS"/>
    <n v="1"/>
    <n v="30"/>
    <d v="2025-11-07T00:00:00"/>
    <d v="1899-12-30T09:00:00"/>
    <d v="2025-11-05T00:00:00"/>
    <d v="1899-12-30T10:30:00"/>
    <n v="2"/>
    <n v="2"/>
    <n v="28"/>
    <x v="4"/>
  </r>
  <r>
    <s v="Editar perfil de_x000a_usuario"/>
    <x v="5"/>
    <s v="LD"/>
    <n v="1"/>
    <n v="30"/>
    <d v="2025-11-07T00:00:00"/>
    <d v="1899-12-30T09:00:00"/>
    <d v="2025-11-05T00:00:00"/>
    <d v="1899-12-30T10:30:00"/>
    <n v="1"/>
    <n v="1"/>
    <n v="29"/>
    <x v="5"/>
  </r>
  <r>
    <s v="Cambiar_x000a_imagen de_x000a_perfil"/>
    <x v="5"/>
    <s v="LD"/>
    <n v="1"/>
    <n v="30"/>
    <d v="2025-11-07T00:00:00"/>
    <d v="1899-12-30T09:00:00"/>
    <d v="2025-11-05T00:00:00"/>
    <d v="1899-12-30T11:00:00"/>
    <n v="2"/>
    <n v="1"/>
    <n v="28"/>
    <x v="6"/>
  </r>
  <r>
    <s v="Configurar_x000a_tema de color_x000a_del sistema"/>
    <x v="4"/>
    <s v="LA"/>
    <n v="1"/>
    <n v="30"/>
    <d v="2025-11-07T00:00:00"/>
    <d v="1899-12-30T09:00:00"/>
    <d v="2025-11-05T00:00:00"/>
    <d v="1899-12-30T10:30:00"/>
    <n v="4"/>
    <n v="2"/>
    <n v="26"/>
    <x v="7"/>
  </r>
  <r>
    <s v="Configurar_x000a_disposición de_x000a_paneles en la_x000a_vista principal"/>
    <x v="2"/>
    <s v="LS"/>
    <n v="1"/>
    <n v="30"/>
    <d v="2025-11-07T00:00:00"/>
    <d v="1899-12-30T09:00:00"/>
    <d v="2025-11-05T00:00:00"/>
    <d v="1899-12-30T11:00:00"/>
    <n v="5"/>
    <n v="1"/>
    <n v="25"/>
    <x v="8"/>
  </r>
  <r>
    <s v="Configurar_x000a_formato de_x000a_fechas y_x000a_moneda"/>
    <x v="2"/>
    <s v="LS"/>
    <n v="1"/>
    <n v="30"/>
    <d v="2025-11-07T00:00:00"/>
    <d v="1899-12-30T09:00:00"/>
    <d v="2025-11-05T00:00:00"/>
    <d v="1899-12-30T11:30:00"/>
    <n v="2"/>
    <n v="1"/>
    <n v="28"/>
    <x v="9"/>
  </r>
  <r>
    <s v="Configurar_x000a_notificaciones_x000a_preferidas"/>
    <x v="2"/>
    <s v="LS"/>
    <n v="1"/>
    <n v="30"/>
    <d v="2025-11-07T00:00:00"/>
    <d v="1899-12-30T09:00:00"/>
    <d v="2025-11-05T00:00:00"/>
    <d v="1899-12-30T12:00:00"/>
    <n v="0"/>
    <n v="1"/>
    <n v="30"/>
    <x v="10"/>
  </r>
  <r>
    <s v="Ver_x000a_notificaciones"/>
    <x v="3"/>
    <s v="LE"/>
    <n v="1"/>
    <n v="30"/>
    <d v="2025-11-07T00:00:00"/>
    <d v="1899-12-30T09:00:00"/>
    <d v="2025-11-05T00:00:00"/>
    <d v="1899-12-30T10:30:00"/>
    <n v="6"/>
    <n v="2"/>
    <n v="24"/>
    <x v="11"/>
  </r>
  <r>
    <s v="Marcar_x000a_notificación_x000a_como leída"/>
    <x v="5"/>
    <s v="LD"/>
    <n v="1"/>
    <n v="30"/>
    <d v="2025-11-07T00:00:00"/>
    <d v="1899-12-30T09:00:00"/>
    <d v="2025-11-05T00:00:00"/>
    <d v="1899-12-30T11:30:00"/>
    <n v="2"/>
    <n v="1"/>
    <n v="28"/>
    <x v="12"/>
  </r>
  <r>
    <s v="Eliminar_x000a_notificación"/>
    <x v="1"/>
    <s v="LP"/>
    <n v="1"/>
    <n v="30"/>
    <d v="2025-11-07T00:00:00"/>
    <d v="1899-12-30T09:00:00"/>
    <d v="2025-11-05T00:00:00"/>
    <d v="1899-12-30T11:30:00"/>
    <n v="4"/>
    <n v="1"/>
    <n v="26"/>
    <x v="13"/>
  </r>
  <r>
    <s v="Filtrar_x000a_notificaciones"/>
    <x v="1"/>
    <s v="LP"/>
    <n v="1"/>
    <n v="30"/>
    <d v="2025-11-07T00:00:00"/>
    <d v="1899-12-30T09:00:00"/>
    <d v="2025-11-05T00:00:00"/>
    <d v="1899-12-30T12:00:00"/>
    <n v="3"/>
    <n v="2"/>
    <n v="27"/>
    <x v="14"/>
  </r>
  <r>
    <s v="Generar_x000a_reporte_x000a_general"/>
    <x v="4"/>
    <s v="LA"/>
    <n v="1"/>
    <n v="30"/>
    <d v="2025-11-07T00:00:00"/>
    <d v="1899-12-30T09:00:00"/>
    <d v="2025-11-05T00:00:00"/>
    <d v="1899-12-30T11:00:00"/>
    <n v="2"/>
    <n v="1"/>
    <n v="28"/>
    <x v="15"/>
  </r>
  <r>
    <s v="Exportar_x000a_reporte en_x000a_PDF"/>
    <x v="3"/>
    <s v="LE"/>
    <n v="1"/>
    <n v="30"/>
    <d v="2025-11-07T00:00:00"/>
    <d v="1899-12-30T09:00:00"/>
    <d v="2025-11-05T00:00:00"/>
    <d v="1899-12-30T11:00:00"/>
    <n v="3"/>
    <n v="1"/>
    <n v="27"/>
    <x v="16"/>
  </r>
  <r>
    <s v="Exportar_x000a_reporte en_x000a_Excel"/>
    <x v="4"/>
    <s v="LA"/>
    <n v="1"/>
    <n v="30"/>
    <d v="2025-11-07T00:00:00"/>
    <d v="1899-12-30T09:00:00"/>
    <d v="2025-11-05T00:00:00"/>
    <d v="1899-12-30T11:30:00"/>
    <n v="4"/>
    <n v="1"/>
    <n v="26"/>
    <x v="17"/>
  </r>
  <r>
    <s v="Aplicar filtros_x000a_en reportes"/>
    <x v="3"/>
    <s v="LE"/>
    <n v="1"/>
    <n v="30"/>
    <d v="2025-11-07T00:00:00"/>
    <d v="1899-12-30T09:00:00"/>
    <d v="2025-11-05T00:00:00"/>
    <d v="1899-12-30T11:30:00"/>
    <n v="4"/>
    <n v="2"/>
    <n v="26"/>
    <x v="18"/>
  </r>
  <r>
    <s v="Configurar_x000a_formato de_x000a_reportes"/>
    <x v="0"/>
    <s v="LC"/>
    <n v="1"/>
    <n v="30"/>
    <d v="2025-11-07T00:00:00"/>
    <d v="1899-12-30T09:00:00"/>
    <d v="2025-11-05T00:00:00"/>
    <d v="1899-12-30T11:30:00"/>
    <n v="1"/>
    <n v="1"/>
    <n v="29"/>
    <x v="19"/>
  </r>
  <r>
    <s v="Añadir pie de_x000a_página_x000a_institucional a_x000a_reportes"/>
    <x v="0"/>
    <s v="LC"/>
    <n v="1"/>
    <n v="30"/>
    <d v="2025-11-07T00:00:00"/>
    <d v="1899-12-30T09:00:00"/>
    <d v="2025-11-05T00:00:00"/>
    <d v="1899-12-30T12:00:00"/>
    <n v="5"/>
    <n v="1"/>
    <n v="25"/>
    <x v="20"/>
  </r>
  <r>
    <s v="Cambiar_x000a_tamaño de_x000a_letra en_x000a_reportes"/>
    <x v="0"/>
    <s v="LC"/>
    <n v="1"/>
    <n v="30"/>
    <d v="2025-11-07T00:00:00"/>
    <d v="1899-12-30T09:00:00"/>
    <d v="2025-11-05T00:00:00"/>
    <d v="1899-12-30T12:30:00"/>
    <n v="2"/>
    <n v="1"/>
    <n v="28"/>
    <x v="21"/>
  </r>
  <r>
    <s v="Personalizar_x000a_fondo de_x000a_pantalla del_x000a_usuario"/>
    <x v="1"/>
    <s v="LP"/>
    <n v="1"/>
    <n v="30"/>
    <d v="2025-11-07T00:00:00"/>
    <d v="1899-12-30T09:00:00"/>
    <d v="2025-11-05T00:00:00"/>
    <d v="1899-12-30T12:30:00"/>
    <n v="1"/>
    <n v="2"/>
    <n v="29"/>
    <x v="22"/>
  </r>
  <r>
    <s v="Desempeñ o_x000a_(atributo de_x000a_calidad)"/>
    <x v="1"/>
    <s v="LP"/>
    <n v="1"/>
    <n v="30"/>
    <d v="2025-11-07T00:00:00"/>
    <d v="1899-12-30T09:00:00"/>
    <d v="2025-11-05T00:00:00"/>
    <d v="1899-12-30T13:00:00"/>
    <n v="2"/>
    <n v="1"/>
    <n v="28"/>
    <x v="23"/>
  </r>
  <r>
    <s v="Escalabilid ad_x000a_(atributo de_x000a_calidad"/>
    <x v="2"/>
    <s v="LS"/>
    <n v="1"/>
    <n v="30"/>
    <d v="2025-11-07T00:00:00"/>
    <d v="1899-12-30T09:00:00"/>
    <d v="2025-11-05T00:00:00"/>
    <d v="1899-12-30T12:30:00"/>
    <n v="2"/>
    <n v="1"/>
    <n v="28"/>
    <x v="24"/>
  </r>
  <r>
    <s v="Disponibili dad_x000a_(atributo de_x000a_calidad)"/>
    <x v="0"/>
    <s v="LC"/>
    <n v="1"/>
    <n v="30"/>
    <d v="2025-11-07T00:00:00"/>
    <d v="1899-12-30T09:00:00"/>
    <d v="2025-11-05T00:00:00"/>
    <d v="1899-12-30T13:00:00"/>
    <n v="2"/>
    <n v="1"/>
    <n v="28"/>
    <x v="25"/>
  </r>
  <r>
    <s v="Usabilidad_x000a_(atributo de_x000a_calidad)"/>
    <x v="3"/>
    <s v="LE"/>
    <n v="1"/>
    <n v="30"/>
    <d v="2025-11-07T00:00:00"/>
    <d v="1899-12-30T09:00:00"/>
    <d v="2025-11-05T00:00:00"/>
    <d v="1899-12-30T12:00:00"/>
    <n v="1"/>
    <n v="1"/>
    <n v="29"/>
    <x v="26"/>
  </r>
  <r>
    <s v="Seguridad_x000a_(atributo_x000a_de calidad)"/>
    <x v="4"/>
    <s v="LA"/>
    <n v="1"/>
    <n v="30"/>
    <d v="2025-11-07T00:00:00"/>
    <d v="1899-12-30T09:00:00"/>
    <d v="2025-11-05T00:00:00"/>
    <d v="1899-12-30T12:00:00"/>
    <n v="3"/>
    <n v="1"/>
    <n v="27"/>
    <x v="27"/>
  </r>
  <r>
    <s v="Extensibilidad_x000a_(atributo de_x000a_calidad)"/>
    <x v="5"/>
    <s v="LD"/>
    <n v="1"/>
    <n v="30"/>
    <d v="2025-11-07T00:00:00"/>
    <d v="1899-12-30T09:00:00"/>
    <d v="2025-11-05T00:00:00"/>
    <d v="1899-12-30T12:00:00"/>
    <n v="0"/>
    <n v="1"/>
    <n v="30"/>
    <x v="28"/>
  </r>
  <r>
    <s v="Diagrama_x000a_de clases_x000a_(modelo_x000a_de dominio)"/>
    <x v="5"/>
    <s v="LD"/>
    <n v="1"/>
    <n v="30"/>
    <d v="2025-11-07T00:00:00"/>
    <d v="1899-12-30T09:00:00"/>
    <d v="2025-11-05T00:00:00"/>
    <d v="1899-12-30T12:30:00"/>
    <n v="2"/>
    <n v="1"/>
    <n v="28"/>
    <x v="29"/>
  </r>
  <r>
    <s v="Definir objetivo_x000a_y alcance"/>
    <x v="0"/>
    <s v="LC"/>
    <n v="1"/>
    <n v="30"/>
    <d v="2025-11-07T00:00:00"/>
    <d v="1899-12-30T09:00:00"/>
    <d v="2025-11-05T00:00:00"/>
    <d v="1899-12-30T13:30:00"/>
    <n v="4"/>
    <n v="1"/>
    <n v="26"/>
    <x v="30"/>
  </r>
  <r>
    <s v="Definir objetivo_x000a_y alcance"/>
    <x v="2"/>
    <s v="LS"/>
    <n v="1"/>
    <n v="30"/>
    <d v="2025-11-07T00:00:00"/>
    <d v="1899-12-30T09:00:00"/>
    <d v="2025-11-05T00:00:00"/>
    <d v="1899-12-30T13:00:00"/>
    <n v="4"/>
    <n v="1"/>
    <n v="26"/>
    <x v="30"/>
  </r>
  <r>
    <s v="dentificar_x000a_roles y_x000a_recursos"/>
    <x v="0"/>
    <s v="LC"/>
    <n v="1"/>
    <n v="30"/>
    <d v="2025-11-07T00:00:00"/>
    <d v="1899-12-30T09:00:00"/>
    <d v="2025-11-05T00:00:00"/>
    <d v="1899-12-30T14:00:00"/>
    <n v="2"/>
    <n v="1"/>
    <n v="28"/>
    <x v="31"/>
  </r>
  <r>
    <s v="dentificar_x000a_roles y_x000a_recursos"/>
    <x v="2"/>
    <s v="LS"/>
    <n v="1"/>
    <n v="30"/>
    <d v="2025-11-07T00:00:00"/>
    <d v="1899-12-30T09:00:00"/>
    <d v="2025-11-05T00:00:00"/>
    <d v="1899-12-30T13:30:00"/>
    <n v="2"/>
    <n v="1"/>
    <n v="28"/>
    <x v="31"/>
  </r>
  <r>
    <s v="Configurar_x000a_repositorio y_x000a_URL de_x000a_revisiones"/>
    <x v="0"/>
    <s v="LC"/>
    <n v="1"/>
    <n v="30"/>
    <d v="2025-11-07T00:00:00"/>
    <d v="1899-12-30T09:00:00"/>
    <d v="2025-11-05T00:00:00"/>
    <d v="1899-12-30T14:30:00"/>
    <n v="6"/>
    <n v="1"/>
    <n v="24"/>
    <x v="32"/>
  </r>
  <r>
    <s v="Configurar_x000a_repositorio y_x000a_URL de_x000a_revisiones"/>
    <x v="2"/>
    <s v="LS"/>
    <n v="1"/>
    <n v="30"/>
    <d v="2025-11-07T00:00:00"/>
    <d v="1899-12-30T09:00:00"/>
    <d v="2025-11-05T00:00:00"/>
    <d v="1899-12-30T14:00:00"/>
    <n v="6"/>
    <n v="1"/>
    <n v="24"/>
    <x v="32"/>
  </r>
  <r>
    <s v="Diseñar_x000a_plantilla de_x000a_evaluación"/>
    <x v="0"/>
    <s v="LC "/>
    <n v="1"/>
    <n v="30"/>
    <d v="2025-11-07T00:00:00"/>
    <d v="1899-12-30T09:00:00"/>
    <d v="2025-11-05T00:00:00"/>
    <d v="1899-12-30T15:00:00"/>
    <n v="4"/>
    <n v="1"/>
    <n v="26"/>
    <x v="33"/>
  </r>
  <r>
    <s v="Diseñar_x000a_plantilla de_x000a_evaluación"/>
    <x v="2"/>
    <s v="LS"/>
    <n v="1"/>
    <n v="30"/>
    <d v="2025-11-07T00:00:00"/>
    <d v="1899-12-30T09:00:00"/>
    <d v="2025-11-05T00:00:00"/>
    <d v="1899-12-30T14:30:00"/>
    <n v="4"/>
    <n v="1"/>
    <n v="26"/>
    <x v="33"/>
  </r>
  <r>
    <s v="Capturar y_x000a_normalizar_x000a_requerimientos"/>
    <x v="0"/>
    <s v="LC"/>
    <n v="1"/>
    <n v="30"/>
    <d v="2025-11-07T00:00:00"/>
    <d v="1899-12-30T09:00:00"/>
    <d v="2025-11-05T00:00:00"/>
    <d v="1899-12-30T15:30:00"/>
    <n v="3"/>
    <n v="1"/>
    <n v="27"/>
    <x v="34"/>
  </r>
  <r>
    <s v="Capturar y_x000a_normalizar_x000a_requerimientos"/>
    <x v="2"/>
    <s v="LS"/>
    <n v="1"/>
    <n v="30"/>
    <d v="2025-11-07T00:00:00"/>
    <d v="1899-12-30T09:00:00"/>
    <d v="2025-11-05T00:00:00"/>
    <d v="1899-12-30T15:00:00"/>
    <n v="3"/>
    <n v="1"/>
    <n v="27"/>
    <x v="34"/>
  </r>
  <r>
    <s v="Especificar y_x000a_documentar"/>
    <x v="0"/>
    <s v="LC"/>
    <n v="1"/>
    <n v="30"/>
    <d v="2025-11-07T00:00:00"/>
    <d v="1899-12-30T09:00:00"/>
    <d v="2025-11-05T00:00:00"/>
    <d v="1899-12-30T16:00:00"/>
    <n v="2"/>
    <n v="1"/>
    <n v="28"/>
    <x v="35"/>
  </r>
  <r>
    <s v="Especificar y_x000a_documentar"/>
    <x v="2"/>
    <s v="LS"/>
    <n v="1"/>
    <n v="30"/>
    <d v="2025-11-07T00:00:00"/>
    <d v="1899-12-30T09:00:00"/>
    <d v="2025-11-05T00:00:00"/>
    <d v="1899-12-30T15:30:00"/>
    <n v="2"/>
    <n v="1"/>
    <n v="28"/>
    <x v="35"/>
  </r>
  <r>
    <s v="Revisar e_x000a_inspeccionar_x000a_requerimientos"/>
    <x v="0"/>
    <s v="LC"/>
    <n v="1"/>
    <n v="30"/>
    <d v="2025-11-07T00:00:00"/>
    <d v="1899-12-30T09:00:00"/>
    <d v="2025-11-05T00:00:00"/>
    <d v="1899-12-30T16:30:00"/>
    <n v="2"/>
    <n v="1"/>
    <n v="28"/>
    <x v="36"/>
  </r>
  <r>
    <s v="Revisar e_x000a_inspeccionar_x000a_requerimientos"/>
    <x v="2"/>
    <s v="LS"/>
    <n v="1"/>
    <n v="30"/>
    <d v="2025-11-07T00:00:00"/>
    <d v="1899-12-30T09:00:00"/>
    <d v="2025-11-05T00:00:00"/>
    <d v="1899-12-30T16:00:00"/>
    <n v="2"/>
    <n v="1"/>
    <n v="28"/>
    <x v="36"/>
  </r>
  <r>
    <s v="Priorizar y_x000a_aprobar"/>
    <x v="0"/>
    <s v="LC"/>
    <n v="1"/>
    <n v="30"/>
    <d v="2025-11-07T00:00:00"/>
    <d v="1899-12-30T09:00:00"/>
    <d v="2025-11-05T00:00:00"/>
    <d v="1899-12-30T17:00:00"/>
    <n v="2"/>
    <n v="1"/>
    <n v="28"/>
    <x v="37"/>
  </r>
  <r>
    <s v="Priorizar y_x000a_aprobar"/>
    <x v="2"/>
    <s v="LS"/>
    <n v="1"/>
    <n v="30"/>
    <d v="2025-11-07T00:00:00"/>
    <d v="1899-12-30T09:00:00"/>
    <d v="2025-11-05T00:00:00"/>
    <d v="1899-12-30T16:30:00"/>
    <n v="2"/>
    <n v="1"/>
    <n v="28"/>
    <x v="37"/>
  </r>
  <r>
    <s v="Trazabilidad "/>
    <x v="0"/>
    <s v="LC"/>
    <n v="1"/>
    <n v="30"/>
    <d v="2025-11-07T00:00:00"/>
    <d v="1899-12-30T09:00:00"/>
    <d v="2025-11-05T00:00:00"/>
    <d v="1899-12-30T17:30:00"/>
    <n v="3"/>
    <n v="1"/>
    <n v="27"/>
    <x v="38"/>
  </r>
  <r>
    <s v="Trazabilidad "/>
    <x v="2"/>
    <s v="LS"/>
    <n v="1"/>
    <n v="30"/>
    <d v="2025-11-07T00:00:00"/>
    <d v="1899-12-30T09:00:00"/>
    <d v="2025-11-05T00:00:00"/>
    <d v="1899-12-30T17:00:00"/>
    <n v="3"/>
    <n v="1"/>
    <n v="27"/>
    <x v="38"/>
  </r>
  <r>
    <s v="Control de_x000a_cambios_x000a_(RFC/CCB)"/>
    <x v="0"/>
    <s v="LC"/>
    <n v="1"/>
    <n v="30"/>
    <d v="2025-11-07T00:00:00"/>
    <d v="1899-12-30T09:00:00"/>
    <d v="2025-11-05T00:00:00"/>
    <d v="1899-12-30T18:00:00"/>
    <n v="2"/>
    <n v="2"/>
    <n v="28"/>
    <x v="39"/>
  </r>
  <r>
    <s v="Control de_x000a_cambios_x000a_(RFC/CCB)"/>
    <x v="2"/>
    <s v="LS"/>
    <n v="1"/>
    <n v="30"/>
    <d v="2025-11-07T00:00:00"/>
    <d v="1899-12-30T09:00:00"/>
    <d v="2025-11-05T00:00:00"/>
    <d v="1899-12-30T17:30:00"/>
    <n v="2"/>
    <n v="2"/>
    <n v="28"/>
    <x v="39"/>
  </r>
  <r>
    <s v="Versionado y_x000a_publicación"/>
    <x v="0"/>
    <s v="LC"/>
    <n v="1"/>
    <n v="30"/>
    <d v="2025-11-07T00:00:00"/>
    <d v="1899-12-30T09:00:00"/>
    <d v="2025-11-05T00:00:00"/>
    <d v="1899-12-30T18:30:00"/>
    <n v="1"/>
    <n v="1"/>
    <n v="29"/>
    <x v="40"/>
  </r>
  <r>
    <s v="Versionado y_x000a_publicación"/>
    <x v="2"/>
    <s v="LS"/>
    <n v="1"/>
    <n v="30"/>
    <d v="2025-11-07T00:00:00"/>
    <d v="1899-12-30T09:00:00"/>
    <d v="2025-11-05T00:00:00"/>
    <d v="1899-12-30T18:00:00"/>
    <n v="1"/>
    <n v="1"/>
    <n v="29"/>
    <x v="40"/>
  </r>
  <r>
    <s v="Seguimiento y_x000a_métricas"/>
    <x v="0"/>
    <s v="LC"/>
    <n v="1"/>
    <n v="30"/>
    <d v="2025-11-07T00:00:00"/>
    <d v="1899-12-30T09:00:00"/>
    <d v="2025-11-05T00:00:00"/>
    <d v="1899-12-30T19:00:00"/>
    <n v="2"/>
    <n v="1"/>
    <n v="28"/>
    <x v="41"/>
  </r>
  <r>
    <s v="Seguimiento y_x000a_métricas"/>
    <x v="2"/>
    <s v="LS"/>
    <n v="1"/>
    <n v="30"/>
    <d v="2025-11-07T00:00:00"/>
    <d v="1899-12-30T09:00:00"/>
    <d v="2025-11-05T00:00:00"/>
    <d v="1899-12-30T18:30:00"/>
    <n v="2"/>
    <n v="1"/>
    <n v="28"/>
    <x v="41"/>
  </r>
  <r>
    <s v="Definir_x000a_objetivos y_x000a_alcance"/>
    <x v="3"/>
    <s v="LE"/>
    <n v="1"/>
    <n v="30"/>
    <d v="2025-11-07T00:00:00"/>
    <d v="1899-12-30T09:00:00"/>
    <d v="2025-11-05T00:00:00"/>
    <d v="1899-12-30T12:30:00"/>
    <n v="5"/>
    <n v="1"/>
    <n v="25"/>
    <x v="42"/>
  </r>
  <r>
    <s v="Definir_x000a_objetivos y_x000a_alcance"/>
    <x v="4"/>
    <s v="LA"/>
    <n v="1"/>
    <n v="30"/>
    <d v="2025-11-07T00:00:00"/>
    <d v="1899-12-30T09:00:00"/>
    <d v="2025-11-05T00:00:00"/>
    <d v="1899-12-30T12:30:00"/>
    <n v="5"/>
    <n v="1"/>
    <n v="25"/>
    <x v="42"/>
  </r>
  <r>
    <s v="Establecer_x000a_políticas de_x000a_calidad"/>
    <x v="3"/>
    <s v="LE"/>
    <n v="1"/>
    <n v="30"/>
    <d v="2025-11-07T00:00:00"/>
    <d v="1899-12-30T09:00:00"/>
    <d v="2025-11-05T00:00:00"/>
    <d v="1899-12-30T13:00:00"/>
    <n v="2"/>
    <n v="1"/>
    <n v="28"/>
    <x v="43"/>
  </r>
  <r>
    <s v="Establecer_x000a_políticas de_x000a_calidad"/>
    <x v="4"/>
    <s v="LA"/>
    <n v="1"/>
    <n v="30"/>
    <d v="2025-11-07T00:00:00"/>
    <d v="1899-12-30T09:00:00"/>
    <d v="2025-11-05T00:00:00"/>
    <d v="1899-12-30T13:00:00"/>
    <n v="2"/>
    <n v="1"/>
    <n v="28"/>
    <x v="43"/>
  </r>
  <r>
    <s v="Configurar_x000a_recursos y_x000a_herramientas"/>
    <x v="3"/>
    <s v="LE"/>
    <n v="1"/>
    <n v="30"/>
    <d v="2025-11-07T00:00:00"/>
    <d v="1899-12-30T09:00:00"/>
    <d v="2025-11-05T00:00:00"/>
    <d v="1899-12-30T13:30:00"/>
    <n v="2"/>
    <n v="1"/>
    <n v="28"/>
    <x v="44"/>
  </r>
  <r>
    <s v="Configurar_x000a_recursos y_x000a_herramientas"/>
    <x v="4"/>
    <s v="LA"/>
    <n v="1"/>
    <n v="30"/>
    <d v="2025-11-07T00:00:00"/>
    <d v="1899-12-30T09:00:00"/>
    <d v="2025-11-05T00:00:00"/>
    <d v="1899-12-30T13:30:00"/>
    <n v="2"/>
    <n v="1"/>
    <n v="28"/>
    <x v="44"/>
  </r>
  <r>
    <s v="Definir roles y_x000a_responsables_x000a_(RACI)"/>
    <x v="3"/>
    <s v="LE"/>
    <n v="1"/>
    <n v="30"/>
    <d v="2025-11-07T00:00:00"/>
    <d v="1899-12-30T09:00:00"/>
    <d v="2025-11-05T00:00:00"/>
    <d v="1899-12-30T14:00:00"/>
    <n v="2"/>
    <n v="1"/>
    <n v="28"/>
    <x v="45"/>
  </r>
  <r>
    <s v="Definir roles y_x000a_responsables_x000a_(RACI)"/>
    <x v="4"/>
    <s v="LA"/>
    <n v="1"/>
    <n v="30"/>
    <d v="2025-11-07T00:00:00"/>
    <d v="1899-12-30T09:00:00"/>
    <d v="2025-11-05T00:00:00"/>
    <d v="1899-12-30T14:00:00"/>
    <n v="2"/>
    <n v="1"/>
    <n v="28"/>
    <x v="45"/>
  </r>
  <r>
    <s v="Diseñar_x000a_métricas de_x000a_calidad"/>
    <x v="3"/>
    <s v="LE"/>
    <n v="1"/>
    <n v="30"/>
    <d v="2025-11-07T00:00:00"/>
    <d v="1899-12-30T09:00:00"/>
    <d v="2025-11-05T00:00:00"/>
    <d v="1899-12-30T14:30:00"/>
    <n v="2"/>
    <n v="1"/>
    <n v="28"/>
    <x v="46"/>
  </r>
  <r>
    <s v="Diseñar_x000a_métricas de_x000a_calidad"/>
    <x v="4"/>
    <s v="LA"/>
    <n v="1"/>
    <n v="30"/>
    <d v="2025-11-07T00:00:00"/>
    <d v="1899-12-30T09:00:00"/>
    <d v="2025-11-05T00:00:00"/>
    <d v="1899-12-30T14:30:00"/>
    <n v="2"/>
    <n v="1"/>
    <n v="28"/>
    <x v="46"/>
  </r>
  <r>
    <s v="Planear_x000a_revisiones e_x000a_inspecciones"/>
    <x v="3"/>
    <s v="LE"/>
    <n v="1"/>
    <n v="30"/>
    <d v="2025-11-07T00:00:00"/>
    <d v="1899-12-30T09:00:00"/>
    <d v="2025-11-05T00:00:00"/>
    <d v="1899-12-30T15:00:00"/>
    <n v="2"/>
    <n v="1"/>
    <n v="28"/>
    <x v="47"/>
  </r>
  <r>
    <s v="Planear_x000a_revisiones e_x000a_inspecciones"/>
    <x v="4"/>
    <s v="LA"/>
    <n v="1"/>
    <n v="30"/>
    <d v="2025-11-07T00:00:00"/>
    <d v="1899-12-30T09:00:00"/>
    <d v="2025-11-05T00:00:00"/>
    <d v="1899-12-30T15:00:00"/>
    <n v="2"/>
    <n v="1"/>
    <n v="28"/>
    <x v="47"/>
  </r>
  <r>
    <s v="Activar log de_x000a_defectos y flujo_x000a_de vida"/>
    <x v="3"/>
    <s v="LE"/>
    <n v="1"/>
    <n v="30"/>
    <d v="2025-11-07T00:00:00"/>
    <d v="1899-12-30T09:00:00"/>
    <d v="2025-11-05T00:00:00"/>
    <d v="1899-12-30T15:30:00"/>
    <n v="2"/>
    <n v="1"/>
    <n v="28"/>
    <x v="48"/>
  </r>
  <r>
    <s v="Activar log de_x000a_defectos y flujo_x000a_de vida"/>
    <x v="4"/>
    <s v="LA"/>
    <n v="1"/>
    <n v="30"/>
    <d v="2025-11-07T00:00:00"/>
    <d v="1899-12-30T09:00:00"/>
    <d v="2025-11-05T00:00:00"/>
    <d v="1899-12-30T15:30:00"/>
    <n v="2"/>
    <n v="1"/>
    <n v="28"/>
    <x v="48"/>
  </r>
  <r>
    <s v="Ejecutar_x000a_revisiones/insp_x000a_ecciones"/>
    <x v="3"/>
    <s v="LE"/>
    <n v="1"/>
    <n v="30"/>
    <d v="2025-11-07T00:00:00"/>
    <d v="1899-12-30T09:00:00"/>
    <d v="2025-11-05T00:00:00"/>
    <d v="1899-12-30T16:00:00"/>
    <n v="3"/>
    <n v="1"/>
    <n v="27"/>
    <x v="49"/>
  </r>
  <r>
    <s v="Ejecutar_x000a_revisiones/insp_x000a_ecciones"/>
    <x v="4"/>
    <s v="LA"/>
    <n v="1"/>
    <n v="30"/>
    <d v="2025-11-07T00:00:00"/>
    <d v="1899-12-30T09:00:00"/>
    <d v="2025-11-05T00:00:00"/>
    <d v="1899-12-30T16:00:00"/>
    <n v="3"/>
    <n v="1"/>
    <n v="27"/>
    <x v="49"/>
  </r>
  <r>
    <s v="Recolección_x000a_de datos y_x000a_evidencias"/>
    <x v="3"/>
    <s v="LE"/>
    <n v="1"/>
    <n v="30"/>
    <d v="2025-11-07T00:00:00"/>
    <d v="1899-12-30T09:00:00"/>
    <d v="2025-11-05T00:00:00"/>
    <d v="1899-12-30T16:30:00"/>
    <n v="2"/>
    <n v="1"/>
    <n v="28"/>
    <x v="50"/>
  </r>
  <r>
    <s v="Recolección_x000a_de datos y_x000a_evidencias"/>
    <x v="4"/>
    <s v="LA"/>
    <n v="1"/>
    <n v="30"/>
    <d v="2025-11-07T00:00:00"/>
    <d v="1899-12-30T09:00:00"/>
    <d v="2025-11-05T00:00:00"/>
    <d v="1899-12-30T16:30:00"/>
    <n v="2"/>
    <n v="1"/>
    <n v="28"/>
    <x v="50"/>
  </r>
  <r>
    <s v="Seguimiento y_x000a_reportes de_x000a_calidad"/>
    <x v="3"/>
    <s v="LE"/>
    <n v="1"/>
    <n v="30"/>
    <d v="2025-11-07T00:00:00"/>
    <d v="1899-12-30T09:00:00"/>
    <d v="2025-11-05T00:00:00"/>
    <d v="1899-12-30T17:00:00"/>
    <n v="0"/>
    <n v="1"/>
    <n v="30"/>
    <x v="51"/>
  </r>
  <r>
    <s v="Seguimiento y_x000a_reportes de_x000a_calidad"/>
    <x v="4"/>
    <s v="LA"/>
    <n v="1"/>
    <n v="30"/>
    <d v="2025-11-07T00:00:00"/>
    <d v="1899-12-30T09:00:00"/>
    <d v="2025-11-05T00:00:00"/>
    <d v="1899-12-30T17:00:00"/>
    <n v="0"/>
    <n v="1"/>
    <n v="30"/>
    <x v="51"/>
  </r>
  <r>
    <s v="Mejora y cierre_x000a_por sprint"/>
    <x v="3"/>
    <s v="LE"/>
    <n v="1"/>
    <n v="30"/>
    <d v="2025-11-07T00:00:00"/>
    <d v="1899-12-30T09:00:00"/>
    <d v="2025-11-05T00:00:00"/>
    <d v="1899-12-30T17:30:00"/>
    <n v="1"/>
    <n v="1"/>
    <n v="29"/>
    <x v="52"/>
  </r>
  <r>
    <s v="Mejora y cierre_x000a_por sprint"/>
    <x v="4"/>
    <s v="LA"/>
    <n v="1"/>
    <n v="30"/>
    <d v="2025-11-07T00:00:00"/>
    <d v="1899-12-30T09:00:00"/>
    <d v="2025-11-05T00:00:00"/>
    <d v="1899-12-30T17:30:00"/>
    <n v="1"/>
    <n v="1"/>
    <n v="29"/>
    <x v="52"/>
  </r>
  <r>
    <s v="nventario de_x000a_entregables"/>
    <x v="5"/>
    <s v="LD"/>
    <n v="1"/>
    <n v="30"/>
    <d v="2025-11-07T00:00:00"/>
    <d v="1899-12-30T09:00:00"/>
    <d v="2025-11-05T00:00:00"/>
    <d v="1899-12-30T14:00:00"/>
    <n v="1"/>
    <n v="1"/>
    <n v="29"/>
    <x v="53"/>
  </r>
  <r>
    <s v="nventario de_x000a_entregables"/>
    <x v="1"/>
    <s v="LS"/>
    <n v="1"/>
    <n v="30"/>
    <d v="2025-11-07T00:00:00"/>
    <d v="1899-12-30T09:00:00"/>
    <d v="2025-11-05T00:00:00"/>
    <d v="1899-12-30T14:00:00"/>
    <n v="1"/>
    <n v="1"/>
    <n v="29"/>
    <x v="53"/>
  </r>
  <r>
    <s v="Descomposici_x000a_ón en tareas_x000a_(WBS)"/>
    <x v="5"/>
    <s v="LD"/>
    <n v="1"/>
    <n v="30"/>
    <d v="2025-11-07T00:00:00"/>
    <d v="1899-12-30T09:00:00"/>
    <d v="2025-11-05T00:00:00"/>
    <d v="1899-12-30T14:30:00"/>
    <n v="1"/>
    <n v="1"/>
    <n v="29"/>
    <x v="54"/>
  </r>
  <r>
    <s v="Descomposici_x000a_ón en tareas_x000a_(WBS)"/>
    <x v="1"/>
    <s v="LS"/>
    <n v="1"/>
    <n v="30"/>
    <d v="2025-11-07T00:00:00"/>
    <d v="1899-12-30T09:00:00"/>
    <d v="2025-11-05T00:00:00"/>
    <d v="1899-12-30T14:30:00"/>
    <n v="1"/>
    <n v="1"/>
    <n v="29"/>
    <x v="54"/>
  </r>
  <r>
    <s v="Secuenciación_x000a_y_x000a_dependencia"/>
    <x v="5"/>
    <s v="LD"/>
    <n v="1"/>
    <n v="30"/>
    <d v="2025-11-07T00:00:00"/>
    <d v="1899-12-30T09:00:00"/>
    <d v="2025-11-05T00:00:00"/>
    <d v="1899-12-30T15:00:00"/>
    <n v="1"/>
    <n v="1"/>
    <n v="29"/>
    <x v="55"/>
  </r>
  <r>
    <s v="Secuenciación_x000a_y_x000a_dependencia"/>
    <x v="1"/>
    <s v="LS"/>
    <n v="1"/>
    <n v="30"/>
    <d v="2025-11-07T00:00:00"/>
    <d v="1899-12-30T09:00:00"/>
    <d v="2025-11-05T00:00:00"/>
    <d v="1899-12-30T15:00:00"/>
    <n v="1"/>
    <n v="1"/>
    <n v="29"/>
    <x v="55"/>
  </r>
  <r>
    <s v="Estimación de_x000a_esfuerzo"/>
    <x v="5"/>
    <s v="LD"/>
    <n v="1"/>
    <n v="30"/>
    <d v="2025-11-07T00:00:00"/>
    <d v="1899-12-30T09:00:00"/>
    <d v="2025-11-05T00:00:00"/>
    <d v="1899-12-30T15:30:00"/>
    <n v="1"/>
    <n v="1"/>
    <n v="29"/>
    <x v="56"/>
  </r>
  <r>
    <s v="Estimación de_x000a_esfuerzo"/>
    <x v="1"/>
    <s v="LS"/>
    <n v="1"/>
    <n v="30"/>
    <d v="2025-11-07T00:00:00"/>
    <d v="1899-12-30T09:00:00"/>
    <d v="2025-11-05T00:00:00"/>
    <d v="1899-12-30T15:30:00"/>
    <n v="1"/>
    <n v="1"/>
    <n v="29"/>
    <x v="56"/>
  </r>
  <r>
    <s v="Productividad/_x000a_capacidad"/>
    <x v="5"/>
    <s v="LD"/>
    <n v="1"/>
    <n v="30"/>
    <d v="2025-11-07T00:00:00"/>
    <d v="1899-12-30T09:00:00"/>
    <d v="2025-11-05T00:00:00"/>
    <d v="1899-12-30T16:00:00"/>
    <n v="1"/>
    <n v="1"/>
    <n v="29"/>
    <x v="57"/>
  </r>
  <r>
    <s v="Productividad/_x000a_capacidad"/>
    <x v="1"/>
    <s v="LS"/>
    <n v="1"/>
    <n v="30"/>
    <d v="2025-11-07T00:00:00"/>
    <d v="1899-12-30T09:00:00"/>
    <d v="2025-11-05T00:00:00"/>
    <d v="1899-12-30T16:00:00"/>
    <n v="1"/>
    <n v="1"/>
    <n v="29"/>
    <x v="57"/>
  </r>
  <r>
    <s v="Duración y_x000a_calendario"/>
    <x v="5"/>
    <s v="LD"/>
    <n v="1"/>
    <n v="30"/>
    <d v="2025-11-07T00:00:00"/>
    <d v="1899-12-30T09:00:00"/>
    <d v="2025-11-05T00:00:00"/>
    <d v="1899-12-30T16:30:00"/>
    <n v="1"/>
    <n v="1"/>
    <n v="29"/>
    <x v="58"/>
  </r>
  <r>
    <s v="Duración y_x000a_calendario"/>
    <x v="1"/>
    <s v="LS"/>
    <n v="1"/>
    <n v="30"/>
    <d v="2025-11-07T00:00:00"/>
    <d v="1899-12-30T09:00:00"/>
    <d v="2025-11-05T00:00:00"/>
    <d v="1899-12-30T16:30:00"/>
    <n v="1"/>
    <n v="1"/>
    <n v="29"/>
    <x v="58"/>
  </r>
  <r>
    <s v="Asignación de_x000a_responsables"/>
    <x v="5"/>
    <s v="LD"/>
    <n v="1"/>
    <n v="30"/>
    <d v="2025-11-07T00:00:00"/>
    <d v="1899-12-30T09:00:00"/>
    <d v="2025-11-05T00:00:00"/>
    <d v="1899-12-30T17:00:00"/>
    <n v="1"/>
    <n v="1"/>
    <n v="29"/>
    <x v="59"/>
  </r>
  <r>
    <s v="Asignación de_x000a_responsables"/>
    <x v="1"/>
    <s v="LS"/>
    <n v="1"/>
    <n v="30"/>
    <d v="2025-11-07T00:00:00"/>
    <d v="1899-12-30T09:00:00"/>
    <d v="2025-11-05T00:00:00"/>
    <d v="1899-12-30T17:00:00"/>
    <n v="1"/>
    <n v="1"/>
    <n v="29"/>
    <x v="59"/>
  </r>
  <r>
    <s v="Criterios de_x000a_aceptación y_x000a_DoD"/>
    <x v="5"/>
    <s v="LD"/>
    <n v="1"/>
    <n v="30"/>
    <d v="2025-11-07T00:00:00"/>
    <d v="1899-12-30T09:00:00"/>
    <d v="2025-11-05T00:00:00"/>
    <d v="1899-12-30T17:30:00"/>
    <n v="1"/>
    <n v="1"/>
    <n v="29"/>
    <x v="60"/>
  </r>
  <r>
    <s v="Criterios de_x000a_aceptación y_x000a_DoD"/>
    <x v="1"/>
    <s v="LS"/>
    <n v="1"/>
    <n v="30"/>
    <d v="2025-11-07T00:00:00"/>
    <d v="1899-12-30T09:00:00"/>
    <d v="2025-11-05T00:00:00"/>
    <d v="1899-12-30T17:30:00"/>
    <n v="1"/>
    <n v="1"/>
    <n v="29"/>
    <x v="60"/>
  </r>
  <r>
    <s v="Publicación y_x000a_control"/>
    <x v="5"/>
    <s v="LD"/>
    <n v="1"/>
    <n v="30"/>
    <d v="2025-11-07T00:00:00"/>
    <d v="1899-12-30T09:00:00"/>
    <d v="2025-11-05T00:00:00"/>
    <d v="1899-12-30T18:00:00"/>
    <n v="1"/>
    <n v="1"/>
    <n v="29"/>
    <x v="61"/>
  </r>
  <r>
    <s v="Publicación y_x000a_control"/>
    <x v="1"/>
    <s v="LS"/>
    <n v="1"/>
    <n v="30"/>
    <d v="2025-11-07T00:00:00"/>
    <d v="1899-12-30T09:00:00"/>
    <d v="2025-11-06T00:00:00"/>
    <d v="1899-12-30T18:00:00"/>
    <n v="1"/>
    <n v="1"/>
    <n v="29"/>
    <x v="61"/>
  </r>
  <r>
    <s v="Control de_x000a_cambios"/>
    <x v="4"/>
    <s v="LA"/>
    <n v="1"/>
    <n v="20"/>
    <d v="2025-11-07T00:00:00"/>
    <d v="1899-12-30T09:00:00"/>
    <d v="2025-11-06T00:00:00"/>
    <d v="1899-12-30T19:00:00"/>
    <n v="2"/>
    <n v="1"/>
    <n v="18"/>
    <x v="62"/>
  </r>
  <r>
    <s v="Control de_x000a_cambios"/>
    <x v="3"/>
    <s v="LD"/>
    <n v="1"/>
    <n v="20"/>
    <d v="2025-11-07T00:00:00"/>
    <d v="1899-12-30T09:00:00"/>
    <d v="2025-11-06T00:00:00"/>
    <d v="1899-12-30T19:00:00"/>
    <n v="2"/>
    <n v="1"/>
    <n v="18"/>
    <x v="62"/>
  </r>
  <r>
    <s v="Control de _x000a_cambios "/>
    <x v="0"/>
    <s v="LC"/>
    <n v="1"/>
    <n v="20"/>
    <d v="2025-11-07T00:00:00"/>
    <d v="1899-12-30T09:00:00"/>
    <d v="2025-11-06T00:00:00"/>
    <d v="1899-12-30T19:20:00"/>
    <n v="0"/>
    <n v="1"/>
    <n v="20"/>
    <x v="63"/>
  </r>
  <r>
    <s v="Control de _x000a_cambios "/>
    <x v="2"/>
    <s v="LS"/>
    <n v="1"/>
    <n v="20"/>
    <d v="2025-11-07T00:00:00"/>
    <d v="1899-12-30T09:00:00"/>
    <d v="2025-11-06T00:00:00"/>
    <d v="1899-12-30T19:20:00"/>
    <n v="0"/>
    <n v="1"/>
    <n v="20"/>
    <x v="63"/>
  </r>
  <r>
    <s v="Registrar y gestionar riesgos"/>
    <x v="0"/>
    <s v="LC"/>
    <n v="1"/>
    <n v="30"/>
    <d v="2025-11-07T00:00:00"/>
    <d v="1899-12-30T09:00:00"/>
    <d v="2025-11-06T00:00:00"/>
    <d v="1899-12-30T20:00:00"/>
    <n v="6"/>
    <n v="1"/>
    <n v="24"/>
    <x v="64"/>
  </r>
  <r>
    <s v="Log de defectos(apertura,seguimiento y cierre)"/>
    <x v="5"/>
    <s v="LD"/>
    <n v="1"/>
    <n v="30"/>
    <d v="2025-11-07T00:00:00"/>
    <d v="1899-12-30T09:00:00"/>
    <d v="2025-11-06T00:00:00"/>
    <d v="1899-12-30T20:00:00"/>
    <n v="0"/>
    <n v="1"/>
    <n v="30"/>
    <x v="65"/>
  </r>
  <r>
    <s v="Bitácoras y actas"/>
    <x v="5"/>
    <s v="LD"/>
    <n v="5"/>
    <n v="50"/>
    <d v="2025-11-07T00:00:00"/>
    <d v="1899-12-30T09:00:00"/>
    <d v="2025-11-06T00:00:00"/>
    <d v="1899-12-30T20:50:00"/>
    <n v="5"/>
    <n v="5"/>
    <n v="45"/>
    <x v="66"/>
  </r>
  <r>
    <s v="Elaboración de las bitácoras"/>
    <x v="1"/>
    <s v="LP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2"/>
    <s v="LS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3"/>
    <s v="LE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4"/>
    <s v="LA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0"/>
    <s v="LC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1"/>
    <s v="LD"/>
    <n v="1"/>
    <n v="60"/>
    <d v="2025-11-07T00:00:00"/>
    <d v="1899-12-30T09:00:00"/>
    <d v="2025-11-06T00:00:00"/>
    <d v="1899-12-30T22:00:00"/>
    <n v="50"/>
    <n v="1"/>
    <n v="10"/>
    <x v="67"/>
  </r>
  <r>
    <s v="Evaluación de log de defectos"/>
    <x v="3"/>
    <s v="LE"/>
    <n v="1"/>
    <n v="30"/>
    <d v="2025-11-07T00:00:00"/>
    <d v="1899-12-30T09:00:00"/>
    <d v="2025-11-06T00:00:00"/>
    <d v="1899-12-30T22:00:00"/>
    <n v="0"/>
    <n v="1"/>
    <n v="30"/>
    <x v="68"/>
  </r>
  <r>
    <s v="Llenado de log de defectos"/>
    <x v="0"/>
    <s v="LC"/>
    <n v="1"/>
    <n v="30"/>
    <d v="2025-11-07T00:00:00"/>
    <d v="1899-12-30T09:00:00"/>
    <d v="2025-11-06T00:00:00"/>
    <d v="1899-12-30T22:00:00"/>
    <n v="0"/>
    <n v="1"/>
    <n v="30"/>
    <x v="68"/>
  </r>
  <r>
    <s v="Acta de reunión"/>
    <x v="0"/>
    <s v="LC"/>
    <n v="1"/>
    <n v="45"/>
    <d v="2025-11-07T00:00:00"/>
    <d v="1899-12-30T09:00:00"/>
    <d v="2025-11-06T00:00:00"/>
    <d v="1899-12-30T22:30:00"/>
    <n v="-35"/>
    <n v="1"/>
    <n v="80"/>
    <x v="69"/>
  </r>
  <r>
    <s v="Elaboración de diapositivas(Informe final)"/>
    <x v="3"/>
    <s v="LE"/>
    <n v="1"/>
    <n v="60"/>
    <d v="2025-11-07T00:00:00"/>
    <d v="1899-12-30T09:00:00"/>
    <d v="2025-11-06T00:00:00"/>
    <d v="1899-12-30T22:30:00"/>
    <n v="10"/>
    <n v="1"/>
    <n v="50"/>
    <x v="70"/>
  </r>
  <r>
    <s v="Maestro de documentos"/>
    <x v="3"/>
    <s v="LE"/>
    <n v="1"/>
    <n v="55"/>
    <d v="2025-11-07T00:00:00"/>
    <d v="1899-12-30T09:00:00"/>
    <d v="2025-11-06T00:00:00"/>
    <d v="1899-12-30T22:30:00"/>
    <n v="0"/>
    <n v="1"/>
    <n v="55"/>
    <x v="71"/>
  </r>
  <r>
    <s v="Revisión de _x000a_documentos "/>
    <x v="0"/>
    <s v="LC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2"/>
    <s v="LS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1"/>
    <s v="LP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3"/>
    <s v="LE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4"/>
    <s v="LA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5"/>
    <s v="LD"/>
    <n v="1"/>
    <n v="30"/>
    <d v="2025-11-07T00:00:00"/>
    <d v="1899-12-30T09:00:00"/>
    <d v="2025-11-06T00:00:00"/>
    <d v="1899-12-30T22:30:00"/>
    <n v="-2"/>
    <n v="1"/>
    <n v="32"/>
    <x v="72"/>
  </r>
  <r>
    <s v="Subir los documentos a la página web"/>
    <x v="3"/>
    <s v="LE"/>
    <n v="3"/>
    <n v="20"/>
    <d v="2025-11-07T00:00:00"/>
    <d v="1899-12-30T09:00:00"/>
    <d v="2025-11-07T00:00:00"/>
    <d v="1899-12-30T09:00:00"/>
    <n v="5"/>
    <n v="3"/>
    <n v="15"/>
    <x v="7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Script de definición de procesos"/>
    <x v="0"/>
    <s v="LC"/>
    <n v="1"/>
    <n v="30"/>
    <d v="2025-11-12T00:00:00"/>
    <d v="1899-12-30T09:00:00"/>
    <d v="2025-11-10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1-12T00:00:00"/>
    <d v="1899-12-30T09:00:00"/>
    <d v="2025-11-10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Definir objetivo_x000a_del documento"/>
    <x v="1"/>
    <s v="LP"/>
    <n v="1"/>
    <n v="30"/>
    <d v="2025-11-12T00:00:00"/>
    <d v="1899-12-30T09:00:00"/>
    <d v="2025-11-10T00:00:00"/>
    <d v="1899-12-30T10:30:00"/>
    <n v="5"/>
    <n v="1"/>
    <n v="25"/>
    <s v="Establecer el propósito del SDS y su_x000a_importancia para el proyecto DashKPI."/>
  </r>
  <r>
    <s v="Identificar_x000a_audiencia del_x000a_documento"/>
    <x v="1"/>
    <s v="LP"/>
    <n v="1"/>
    <n v="30"/>
    <d v="2025-11-12T00:00:00"/>
    <d v="1899-12-30T09:00:00"/>
    <d v="2025-11-10T00:00:00"/>
    <d v="1899-12-30T10:00:00"/>
    <n v="5"/>
    <n v="1"/>
    <n v="25"/>
    <s v="Determinar a quién va dirigido el SDS_x000a_(usuarios, desarrolladores, directivos)."/>
  </r>
  <r>
    <s v="Definir_x000a_acrónimos "/>
    <x v="1"/>
    <s v="LP"/>
    <n v="1"/>
    <n v="30"/>
    <d v="2025-11-12T00:00:00"/>
    <d v="1899-12-30T09:00:00"/>
    <d v="2025-11-10T00:00:00"/>
    <d v="1899-12-30T10:00:00"/>
    <n v="5"/>
    <n v="1"/>
    <n v="25"/>
    <s v="Listar acrónimos y abreviaciones_x000a_utilizadas en el proyecto."/>
  </r>
  <r>
    <s v="Descripción_x000a_del problema"/>
    <x v="2"/>
    <s v="LA"/>
    <n v="1"/>
    <n v="30"/>
    <d v="2025-11-12T00:00:00"/>
    <d v="1899-12-30T09:00:00"/>
    <d v="2025-11-10T00:00:00"/>
    <d v="1899-12-30T10:00:00"/>
    <n v="5"/>
    <n v="1"/>
    <n v="25"/>
    <s v="Redactar el problema que resuelve_x000a_DashKPI"/>
  </r>
  <r>
    <s v="Establecer_x000a_objetivos de la_x000a_aplicación"/>
    <x v="2"/>
    <s v="LA"/>
    <n v="1"/>
    <n v="30"/>
    <d v="2025-11-12T00:00:00"/>
    <d v="1899-12-30T09:00:00"/>
    <d v="2025-11-10T00:00:00"/>
    <d v="1899-12-30T10:00:00"/>
    <n v="5"/>
    <n v="1"/>
    <n v="25"/>
    <s v="Documentar los objetivos que cumplirá la_x000a_plataforma DashKPI."/>
  </r>
  <r>
    <s v="Definir_x000a_restricciones "/>
    <x v="2"/>
    <s v="LA"/>
    <n v="1"/>
    <n v="30"/>
    <d v="2025-11-12T00:00:00"/>
    <d v="1899-12-30T09:00:00"/>
    <d v="2025-11-10T00:00:00"/>
    <d v="1899-12-30T11:00:00"/>
    <n v="5"/>
    <n v="1"/>
    <n v="25"/>
    <s v="Identificar limitaciones técnicas, de_x000a_tiempo o recursos."/>
  </r>
  <r>
    <s v="Seleccionar_x000a_estilo de_x000a_arquitectura"/>
    <x v="3"/>
    <s v="LE"/>
    <n v="1"/>
    <n v="30"/>
    <d v="2025-11-12T00:00:00"/>
    <d v="1899-12-30T09:00:00"/>
    <d v="2025-11-10T00:00:00"/>
    <d v="1899-12-30T11:00:00"/>
    <n v="5"/>
    <n v="1"/>
    <n v="25"/>
    <s v="Definir si será cliente-servidor, multicapa,_x000a_etc"/>
  </r>
  <r>
    <s v="Vista de_x000a_contexto (UML_x000a_casos de uso)"/>
    <x v="1"/>
    <s v="LP"/>
    <n v="1"/>
    <n v="30"/>
    <d v="2025-11-12T00:00:00"/>
    <d v="1899-12-30T09:00:00"/>
    <d v="2025-11-10T00:00:00"/>
    <d v="1899-12-30T10:30:00"/>
    <n v="5"/>
    <n v="1"/>
    <n v="25"/>
    <s v="Diseñar el diagrama de casos de uso."/>
  </r>
  <r>
    <s v="Vista funcional_x000a_(UML de_x000a_componentes)"/>
    <x v="2"/>
    <s v="LA"/>
    <n v="1"/>
    <n v="30"/>
    <d v="2025-11-12T00:00:00"/>
    <d v="1899-12-30T09:00:00"/>
    <d v="2025-11-10T00:00:00"/>
    <d v="1899-12-30T10:30:00"/>
    <n v="5"/>
    <n v="1"/>
    <n v="25"/>
    <s v="Modelar los principales componentes del_x000a_sistema."/>
  </r>
  <r>
    <s v="Vista de_x000a_información_x000a_(EntidadRelación, ciclo_x000a_de vida"/>
    <x v="3"/>
    <s v="LP"/>
    <n v="1"/>
    <n v="30"/>
    <d v="2025-11-12T00:00:00"/>
    <d v="1899-12-30T09:00:00"/>
    <d v="2025-11-10T00:00:00"/>
    <d v="1899-12-30T11:00:00"/>
    <n v="5"/>
    <n v="1"/>
    <n v="25"/>
    <s v="Definir el modelo entidad–relación y su_x000a_ciclo de vida."/>
  </r>
  <r>
    <s v="Vista de_x000a_despliegue_x000a_(UML de_x000a_despliegue)"/>
    <x v="0"/>
    <s v="LC"/>
    <n v="1"/>
    <n v="30"/>
    <d v="2025-11-12T00:00:00"/>
    <d v="1899-12-30T09:00:00"/>
    <d v="2025-11-10T00:00:00"/>
    <d v="1899-12-30T10:30:00"/>
    <n v="5"/>
    <n v="1"/>
    <n v="25"/>
    <s v="Representar la distribución física del_x000a_sistema."/>
  </r>
  <r>
    <s v="Vista de_x000a_desarrollo_x000a_(UML de_x000a_paquetes)"/>
    <x v="4"/>
    <s v="LS"/>
    <n v="1"/>
    <n v="30"/>
    <d v="2025-11-12T00:00:00"/>
    <d v="1899-12-30T09:00:00"/>
    <d v="2025-11-10T00:00:00"/>
    <d v="1899-12-30T11:00:00"/>
    <n v="5"/>
    <n v="1"/>
    <n v="25"/>
    <s v="Organizar el sistema en paquetes o_x000a_módulos."/>
  </r>
  <r>
    <s v="Vista de_x000a_concurrencia_x000a_(UML de_x000a_procesos)"/>
    <x v="5"/>
    <s v="LD"/>
    <n v="1"/>
    <n v="30"/>
    <d v="2025-11-12T00:00:00"/>
    <d v="1899-12-30T09:00:00"/>
    <d v="2025-11-10T00:00:00"/>
    <d v="1899-12-30T11:30:00"/>
    <n v="5"/>
    <n v="1"/>
    <n v="25"/>
    <s v="Modelar procesos concurrentes y flujos_x000a_de ejecución."/>
  </r>
  <r>
    <s v="Vista_x000a_operacional_x000a_(Ad hoc o_x000a_descripciones_x000a_textuales)"/>
    <x v="3"/>
    <s v="LE"/>
    <n v="1"/>
    <n v="30"/>
    <d v="2025-11-12T00:00:00"/>
    <d v="1899-12-30T09:00:00"/>
    <d v="2025-11-10T00:00:00"/>
    <d v="1899-12-30T12:00:00"/>
    <n v="5"/>
    <n v="1"/>
    <n v="25"/>
    <s v="Documentar procesos operativos del_x000a_sistema de forma textual."/>
  </r>
  <r>
    <s v="Especificación_x000a_de interfaz de_x000a_usuario"/>
    <x v="0"/>
    <s v="LC"/>
    <n v="1"/>
    <n v="30"/>
    <d v="2025-11-12T00:00:00"/>
    <d v="1899-12-30T09:00:00"/>
    <d v="2025-11-10T00:00:00"/>
    <d v="1899-12-30T10:30:00"/>
    <n v="5"/>
    <n v="1"/>
    <n v="25"/>
    <s v="Definir pantallas, prototipos y flujo de_x000a_navegación."/>
  </r>
  <r>
    <s v="Modelo de_x000a_datos_x000a_(Entidad–_x000a_Relación)"/>
    <x v="4"/>
    <s v="LS"/>
    <n v="1"/>
    <n v="30"/>
    <d v="2025-11-12T00:00:00"/>
    <d v="1899-12-30T09:00:00"/>
    <d v="2025-11-10T00:00:00"/>
    <d v="1899-12-30T11:30:00"/>
    <n v="5"/>
    <n v="1"/>
    <n v="25"/>
    <s v="Crear el modelo de datos definitivo."/>
  </r>
  <r>
    <s v="Modelo de_x000a_clases"/>
    <x v="5"/>
    <s v="LD"/>
    <n v="1"/>
    <n v="30"/>
    <d v="2025-11-12T00:00:00"/>
    <d v="1899-12-30T09:00:00"/>
    <d v="2025-11-10T00:00:00"/>
    <d v="1899-12-30T11:30:00"/>
    <n v="5"/>
    <n v="1"/>
    <n v="25"/>
    <s v="Definir el modelo de clases UML. "/>
  </r>
  <r>
    <s v="Decisión 1_x000a_vista de_x000a_contexto"/>
    <x v="5"/>
    <s v="LD"/>
    <n v="1"/>
    <n v="30"/>
    <d v="2025-11-12T00:00:00"/>
    <d v="1899-12-30T09:00:00"/>
    <d v="2025-11-10T00:00:00"/>
    <d v="1899-12-30T12:00:00"/>
    <n v="5"/>
    <n v="1"/>
    <n v="25"/>
    <s v="Definir decisión 1 de la vista de contexto "/>
  </r>
  <r>
    <s v="Decisión 2_x000a_vista de_x000a_contexto"/>
    <x v="5"/>
    <s v="LD"/>
    <n v="1"/>
    <n v="30"/>
    <d v="2025-11-12T00:00:00"/>
    <d v="1899-12-30T09:00:00"/>
    <d v="2025-11-10T00:00:00"/>
    <d v="1899-12-30T11:00:00"/>
    <n v="5"/>
    <n v="1"/>
    <n v="25"/>
    <s v="Definir decisión 2 de la vista de contexto"/>
  </r>
  <r>
    <s v="Decisión 1_x000a_vista funcional"/>
    <x v="3"/>
    <s v="LE"/>
    <n v="1"/>
    <n v="30"/>
    <d v="2025-11-12T00:00:00"/>
    <d v="1899-12-30T09:00:00"/>
    <d v="2025-11-10T00:00:00"/>
    <d v="1899-12-30T11:00:00"/>
    <n v="7"/>
    <n v="2"/>
    <n v="23"/>
    <s v="Definir decisión 1 de la vista funcional"/>
  </r>
  <r>
    <s v="Decisión 2_x000a_vista funcional"/>
    <x v="3"/>
    <s v="LE"/>
    <n v="1"/>
    <n v="30"/>
    <d v="2025-11-12T00:00:00"/>
    <d v="1899-12-30T09:00:00"/>
    <d v="2025-11-10T00:00:00"/>
    <d v="1899-12-30T11:30:00"/>
    <n v="5"/>
    <n v="1"/>
    <n v="25"/>
    <s v="Definir decisión 2 de la vista funcional "/>
  </r>
  <r>
    <s v="Decisión 1_x000a_vista_x000a_despliegue"/>
    <x v="4"/>
    <s v="LS"/>
    <n v="1"/>
    <n v="30"/>
    <d v="2025-11-12T00:00:00"/>
    <d v="1899-12-30T09:00:00"/>
    <d v="2025-11-10T00:00:00"/>
    <d v="1899-12-30T11:30:00"/>
    <n v="5"/>
    <n v="2"/>
    <n v="25"/>
    <s v="Definir decisión 1 de la vista de_x000a_despliegue"/>
  </r>
  <r>
    <s v="Decisión 2_x000a_vista_x000a_despliegue"/>
    <x v="4"/>
    <s v="LS"/>
    <n v="1"/>
    <n v="30"/>
    <d v="2025-11-12T00:00:00"/>
    <d v="1899-12-30T09:00:00"/>
    <d v="2025-11-10T00:00:00"/>
    <d v="1899-12-30T11:30:00"/>
    <n v="5"/>
    <n v="1"/>
    <n v="25"/>
    <s v="Definir decisión 2 de la vista de_x000a_despliegue"/>
  </r>
  <r>
    <s v="Decisión 1_x000a_vista de_x000a_desarrollo"/>
    <x v="0"/>
    <s v="LC"/>
    <n v="1"/>
    <n v="30"/>
    <d v="2025-11-12T00:00:00"/>
    <d v="1899-12-30T09:00:00"/>
    <d v="2025-11-10T00:00:00"/>
    <d v="1899-12-30T12:00:00"/>
    <n v="5"/>
    <n v="2"/>
    <n v="25"/>
    <s v="Definir decisión 1 de la vista de desarrollo"/>
  </r>
  <r>
    <s v="Decisión 2_x000a_vista de_x000a_desarrollo"/>
    <x v="0"/>
    <s v="LC"/>
    <n v="1"/>
    <n v="30"/>
    <d v="2025-11-12T00:00:00"/>
    <d v="1899-12-30T09:00:00"/>
    <d v="2025-11-10T00:00:00"/>
    <d v="1899-12-30T12:30:00"/>
    <n v="5"/>
    <n v="1"/>
    <n v="25"/>
    <s v="Definir decisión 2 de la vista de desarrollo "/>
  </r>
  <r>
    <s v="Decisión 1_x000a_vista de_x000a_concurrencia"/>
    <x v="1"/>
    <s v="LP"/>
    <n v="1"/>
    <n v="30"/>
    <d v="2025-11-12T00:00:00"/>
    <d v="1899-12-30T09:00:00"/>
    <d v="2025-11-10T00:00:00"/>
    <d v="1899-12-30T12:30:00"/>
    <n v="5"/>
    <n v="1"/>
    <n v="25"/>
    <s v="Definir decisión 1 de la vista de_x000a_concurrencia"/>
  </r>
  <r>
    <s v="Decisión 2_x000a_vista de_x000a_concurrencia"/>
    <x v="1"/>
    <s v="LP"/>
    <n v="1"/>
    <n v="30"/>
    <d v="2025-11-12T00:00:00"/>
    <d v="1899-12-30T09:00:00"/>
    <d v="2025-11-10T00:00:00"/>
    <d v="1899-12-30T13:00:00"/>
    <n v="5"/>
    <n v="1"/>
    <n v="25"/>
    <s v="Definir decisión 2 de la vista de_x000a_concurrencia"/>
  </r>
  <r>
    <s v="Decisión 1_x000a_vista de_x000a_información"/>
    <x v="2"/>
    <s v="LA"/>
    <n v="1"/>
    <n v="30"/>
    <d v="2025-11-12T00:00:00"/>
    <d v="1899-12-30T09:00:00"/>
    <d v="2025-11-10T00:00:00"/>
    <d v="1899-12-30T12:30:00"/>
    <n v="5"/>
    <n v="1"/>
    <n v="25"/>
    <s v="Definir decisión 1 de la vista de_x000a_información"/>
  </r>
  <r>
    <s v="Decisión 2_x000a_vista de_x000a_información"/>
    <x v="2"/>
    <s v="LA"/>
    <n v="1"/>
    <n v="30"/>
    <d v="2025-11-12T00:00:00"/>
    <d v="1899-12-30T09:00:00"/>
    <d v="2025-11-10T00:00:00"/>
    <d v="1899-12-30T13:00:00"/>
    <n v="5"/>
    <n v="1"/>
    <n v="25"/>
    <s v="Definir decisión 2 de la vista de_x000a_información"/>
  </r>
  <r>
    <s v="Revisión del_x000a_documento_x000a_SDS"/>
    <x v="2"/>
    <s v="LA"/>
    <n v="1"/>
    <n v="30"/>
    <d v="2025-11-12T00:00:00"/>
    <d v="1899-12-30T09:00:00"/>
    <d v="2025-11-10T00:00:00"/>
    <d v="1899-12-30T12:00:00"/>
    <n v="5"/>
    <n v="1"/>
    <n v="25"/>
    <s v="Validar consistencia, completitud y_x000a_calidad del documento."/>
  </r>
  <r>
    <s v="Control de_x000a_cambios"/>
    <x v="2"/>
    <s v="LA"/>
    <n v="1"/>
    <n v="20"/>
    <d v="2025-11-12T00:00:00"/>
    <d v="1899-12-30T09:00:00"/>
    <d v="2025-11-11T00:00:00"/>
    <d v="1899-12-30T19:00:00"/>
    <n v="2"/>
    <n v="1"/>
    <n v="18"/>
    <s v="Gestionar solicitudes de cambios, su_x000a_evaluación, aprobación/rechazo e_x000a_implantación."/>
  </r>
  <r>
    <s v="Control de_x000a_cambios"/>
    <x v="3"/>
    <s v="LD"/>
    <n v="1"/>
    <n v="20"/>
    <d v="2025-11-12T00:00:00"/>
    <d v="1899-12-30T09:00:00"/>
    <d v="2025-11-11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1-12T00:00:00"/>
    <d v="1899-12-30T09:00:00"/>
    <d v="2025-11-11T00:00:00"/>
    <d v="1899-12-30T19:20:00"/>
    <n v="0"/>
    <n v="1"/>
    <n v="20"/>
    <s v="Gestionar solicitudes de cambios, su evaluación, aprobación/rechazo e implantación. "/>
  </r>
  <r>
    <s v="Control de _x000a_cambios "/>
    <x v="4"/>
    <s v="LS"/>
    <n v="1"/>
    <n v="20"/>
    <d v="2025-11-12T00:00:00"/>
    <d v="1899-12-30T09:00:00"/>
    <d v="2025-11-11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1-12T00:00:00"/>
    <d v="1899-12-30T09:00:00"/>
    <d v="2025-11-11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1-12T00:00:00"/>
    <d v="1899-12-30T09:00:00"/>
    <d v="2025-11-11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1-12T00:00:00"/>
    <d v="1899-12-30T09:00:00"/>
    <d v="2025-11-11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E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1-12T00:00:00"/>
    <d v="1899-12-30T09:00:00"/>
    <d v="2025-11-11T00:00:00"/>
    <d v="1899-12-30T22:00:00"/>
    <n v="0"/>
    <n v="1"/>
    <n v="30"/>
    <s v="No comentarios"/>
  </r>
  <r>
    <s v="Llenado de log de defectos"/>
    <x v="0"/>
    <s v="LC"/>
    <n v="1"/>
    <n v="30"/>
    <d v="2025-11-12T00:00:00"/>
    <d v="1899-12-30T09:00:00"/>
    <d v="2025-11-11T00:00:00"/>
    <d v="1899-12-30T22:00:00"/>
    <n v="0"/>
    <n v="1"/>
    <n v="30"/>
    <s v="No comentarios"/>
  </r>
  <r>
    <s v="Acta de reunión"/>
    <x v="0"/>
    <s v="LC"/>
    <n v="1"/>
    <n v="45"/>
    <d v="2025-11-12T00:00:00"/>
    <d v="1899-12-30T09:00:00"/>
    <d v="2025-11-11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1-12T00:00:00"/>
    <d v="1899-12-30T09:00:00"/>
    <d v="2025-11-11T00:00:00"/>
    <d v="1899-12-30T22:30:00"/>
    <n v="10"/>
    <n v="1"/>
    <n v="50"/>
    <s v="Diapositivas con los documentos hechos "/>
  </r>
  <r>
    <s v="Maestro de documentos"/>
    <x v="3"/>
    <s v="LE"/>
    <n v="1"/>
    <n v="55"/>
    <d v="2025-11-12T00:00:00"/>
    <d v="1899-12-30T09:00:00"/>
    <d v="2025-11-11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1-12T00:00:00"/>
    <d v="1899-12-30T09:00:00"/>
    <d v="2025-11-11T00:00:00"/>
    <d v="1899-12-30T09:00:00"/>
    <n v="5"/>
    <n v="3"/>
    <n v="15"/>
    <s v="Todos los documentos subidos _x000a_y actualizados en la pagina 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Script de definición de procesos"/>
    <x v="0"/>
    <s v="LC"/>
    <n v="1"/>
    <n v="30"/>
    <d v="2025-11-19T00:00:00"/>
    <d v="1899-12-30T09:00:00"/>
    <d v="2025-11-17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1-19T00:00:00"/>
    <d v="1899-12-30T09:00:00"/>
    <d v="2025-11-17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Módulo:_x000a_Editar_x000a_perfil_x000a_(UC-01"/>
    <x v="2"/>
    <s v="LD"/>
    <n v="1"/>
    <n v="30"/>
    <d v="2025-11-19T00:00:00"/>
    <d v="1899-12-30T09:00:00"/>
    <d v="2025-11-17T00:00:00"/>
    <d v="1899-12-30T10:30:00"/>
    <n v="4"/>
    <n v="1"/>
    <n v="26"/>
    <s v="Construcción de UI y formulario;_x000a_consumo de endpoint para actualizar_x000a_nombre, cargo y contacto; persistencia_x000a_en BD."/>
  </r>
  <r>
    <s v="Módulo:_x000a_Cambiar_x000a_imagen_x000a_de perfil_x000a_(UC-02)"/>
    <x v="2"/>
    <s v="LD"/>
    <n v="1"/>
    <n v="30"/>
    <d v="2025-11-19T00:00:00"/>
    <d v="1899-12-30T09:00:00"/>
    <d v="2025-11-17T00:00:00"/>
    <d v="1899-12-30T10:00:00"/>
    <n v="4"/>
    <n v="1"/>
    <n v="26"/>
    <s v="Implementación de carga de archivos;_x000a_validación de formatos; almacenamiento_x000a_en servidor; actualización en UI."/>
  </r>
  <r>
    <s v="Módulo:_x000a_Aparienci_x000a_a (UC03)"/>
    <x v="3"/>
    <s v="LA"/>
    <n v="1"/>
    <n v="30"/>
    <d v="2025-11-19T00:00:00"/>
    <d v="1899-12-30T09:00:00"/>
    <d v="2025-11-17T00:00:00"/>
    <d v="1899-12-30T10:00:00"/>
    <n v="2"/>
    <n v="2"/>
    <n v="28"/>
    <s v="UI para seleccionar modo claro/oscuro y_x000a_paletas; consumo de preferencia de_x000a_usuario; aplicación de tema en tiempo_x000a_real."/>
  </r>
  <r>
    <s v="Módulo:_x000a_Disposici_x000a_ón de_x000a_paneles_x000a_(UC-04)"/>
    <x v="4"/>
    <s v="LS"/>
    <n v="1"/>
    <n v="30"/>
    <d v="2025-11-19T00:00:00"/>
    <d v="1899-12-30T09:00:00"/>
    <d v="2025-11-17T00:00:00"/>
    <d v="1899-12-30T10:00:00"/>
    <n v="2"/>
    <n v="2"/>
    <n v="28"/>
    <s v="Configuración drag-and-drop o_x000a_selección predefinida; guardar orden en_x000a_preferencias; recarga dinámica."/>
  </r>
  <r>
    <s v="Módulo:_x000a_Formato_x000a_de_x000a_fechas/m_x000a_oneda_x000a_(UC-05)"/>
    <x v="4"/>
    <s v="LS"/>
    <n v="1"/>
    <n v="30"/>
    <d v="2025-11-19T00:00:00"/>
    <d v="1899-12-30T09:00:00"/>
    <d v="2025-11-17T00:00:00"/>
    <d v="1899-12-30T10:00:00"/>
    <n v="2"/>
    <n v="2"/>
    <n v="28"/>
    <s v="Implementar selector de formato;_x000a_funciones globales para mostrar valores_x000a_según configuración."/>
  </r>
  <r>
    <s v="Módulo:_x000a_Personali_x000a_zar fondo_x000a_de_x000a_pantalla_x000a_(UC-18)"/>
    <x v="1"/>
    <s v="LP"/>
    <n v="1"/>
    <n v="30"/>
    <d v="2025-11-19T00:00:00"/>
    <d v="1899-12-30T09:00:00"/>
    <d v="2025-11-17T00:00:00"/>
    <d v="1899-12-30T11:00:00"/>
    <n v="2"/>
    <n v="2"/>
    <n v="28"/>
    <s v="Carga de imágenes, selector de fondo,_x000a_guardado de preferencias y_x000a_renderizado."/>
  </r>
  <r>
    <s v="Configur_x000a_ar_x000a_notificaci_x000a_ones_x000a_(UC-06)"/>
    <x v="4"/>
    <s v="LS"/>
    <n v="1"/>
    <n v="30"/>
    <d v="2025-11-19T00:00:00"/>
    <d v="1899-12-30T09:00:00"/>
    <d v="2025-11-17T00:00:00"/>
    <d v="1899-12-30T11:00:00"/>
    <n v="2"/>
    <n v="2"/>
    <n v="28"/>
    <s v="UI/Backend para activar/desactivar_x000a_alertas; endpoints para guardar_x000a_preferencias."/>
  </r>
  <r>
    <s v="Ver_x000a_notificaci_x000a_ones_x000a_(UC-07)"/>
    <x v="5"/>
    <s v="LE"/>
    <n v="1"/>
    <n v="30"/>
    <d v="2025-11-19T00:00:00"/>
    <d v="1899-12-30T09:00:00"/>
    <d v="2025-11-17T00:00:00"/>
    <d v="1899-12-30T10:30:00"/>
    <n v="2"/>
    <n v="2"/>
    <n v="28"/>
    <s v="Construcción del centro de_x000a_notificaciones; listado paginado;_x000a_consumo de API."/>
  </r>
  <r>
    <s v="Marcar_x000a_como_x000a_leída_x000a_(UC-08)"/>
    <x v="2"/>
    <s v="LD"/>
    <n v="1"/>
    <n v="30"/>
    <d v="2025-11-19T00:00:00"/>
    <d v="1899-12-30T09:00:00"/>
    <d v="2025-11-17T00:00:00"/>
    <d v="1899-12-30T10:30:00"/>
    <n v="1"/>
    <n v="1"/>
    <n v="29"/>
    <s v="Acción individual/múltiple; actualización_x000a_de estado en BD; refresco de UI."/>
  </r>
  <r>
    <s v="Eliminar_x000a_notificaci_x000a_ón (UC09)"/>
    <x v="1"/>
    <s v="LP"/>
    <n v="1"/>
    <n v="30"/>
    <d v="2025-11-19T00:00:00"/>
    <d v="1899-12-30T09:00:00"/>
    <d v="2025-11-17T00:00:00"/>
    <d v="1899-12-30T11:00:00"/>
    <n v="2"/>
    <n v="1"/>
    <n v="28"/>
    <s v="Añadir botón/acción; validación;_x000a_eliminación en BD; actualización del_x000a_listado"/>
  </r>
  <r>
    <s v="Filtro de_x000a_notificaci_x000a_ones_x000a_(UC-10)"/>
    <x v="1"/>
    <s v="LP"/>
    <n v="1"/>
    <n v="30"/>
    <d v="2025-11-19T00:00:00"/>
    <d v="1899-12-30T09:00:00"/>
    <d v="2025-11-17T00:00:00"/>
    <d v="1899-12-30T10:30:00"/>
    <n v="4"/>
    <n v="2"/>
    <n v="26"/>
    <s v="Implementación de filtros por tipo, fecha_x000a_y estado; integración con backend."/>
  </r>
  <r>
    <s v="Generar_x000a_reporte_x000a_general_x000a_(UC-11)"/>
    <x v="3"/>
    <s v="LA"/>
    <n v="1"/>
    <n v="30"/>
    <d v="2025-11-19T00:00:00"/>
    <d v="1899-12-30T09:00:00"/>
    <d v="2025-11-17T00:00:00"/>
    <d v="1899-12-30T11:00:00"/>
    <n v="5"/>
    <n v="1"/>
    <n v="25"/>
    <s v="Creación del motor de reportes;_x000a_generación desde BD; renderizado en_x000a_UI."/>
  </r>
  <r>
    <s v="Exportar_x000a_reporte_x000a_PDF_x000a_(UC-12)"/>
    <x v="5"/>
    <s v="LE"/>
    <n v="1"/>
    <n v="30"/>
    <d v="2025-11-19T00:00:00"/>
    <d v="1899-12-30T09:00:00"/>
    <d v="2025-11-17T00:00:00"/>
    <d v="1899-12-30T11:30:00"/>
    <n v="2"/>
    <n v="1"/>
    <n v="28"/>
    <s v="Integración con librería de exportación;_x000a_plantillas; descarga del archivo."/>
  </r>
  <r>
    <s v="Exportar_x000a_reporte_x000a_Excel_x000a_(UC-13)"/>
    <x v="3"/>
    <s v="LA"/>
    <n v="1"/>
    <n v="30"/>
    <d v="2025-11-19T00:00:00"/>
    <d v="1899-12-30T09:00:00"/>
    <d v="2025-11-17T00:00:00"/>
    <d v="1899-12-30T12:00:00"/>
    <n v="0"/>
    <n v="1"/>
    <n v="30"/>
    <s v="Exportación mediante librería XLSX;_x000a_columnas configurables; descarga."/>
  </r>
  <r>
    <s v="Aplicar_x000a_filtros en_x000a_reportes_x000a_(UC-14)"/>
    <x v="5"/>
    <s v="LE"/>
    <n v="1"/>
    <n v="30"/>
    <d v="2025-11-19T00:00:00"/>
    <d v="1899-12-30T09:00:00"/>
    <d v="2025-11-17T00:00:00"/>
    <d v="1899-12-30T10:30:00"/>
    <n v="6"/>
    <n v="2"/>
    <n v="24"/>
    <s v="UI de filtros; validación; envío al_x000a_endpoint; refresco de resultados."/>
  </r>
  <r>
    <s v="Configur_x000a_ar_x000a_formato_x000a_del_x000a_reporte_x000a_(UC-15)"/>
    <x v="0"/>
    <s v="LC"/>
    <n v="1"/>
    <n v="30"/>
    <d v="2025-11-19T00:00:00"/>
    <d v="1899-12-30T09:00:00"/>
    <d v="2025-11-17T00:00:00"/>
    <d v="1899-12-30T11:30:00"/>
    <n v="2"/>
    <n v="1"/>
    <n v="28"/>
    <s v="Ajuste de márgenes, encabezados y_x000a_estilos; guardado de preferencias."/>
  </r>
  <r>
    <s v="Añadir_x000a_pie de_x000a_página_x000a_institucio_x000a_nal (UC16)"/>
    <x v="0"/>
    <s v="LC"/>
    <n v="1"/>
    <n v="30"/>
    <d v="2025-11-19T00:00:00"/>
    <d v="1899-12-30T09:00:00"/>
    <d v="2025-11-17T00:00:00"/>
    <d v="1899-12-30T11:30:00"/>
    <n v="4"/>
    <n v="1"/>
    <n v="26"/>
    <s v="Implementar template con logo y datos_x000a_institucionales en exportaciones."/>
  </r>
  <r>
    <s v="Cambiar_x000a_tamaño_x000a_de letra_x000a_(UC-17)"/>
    <x v="0"/>
    <s v="LC"/>
    <n v="1"/>
    <n v="30"/>
    <d v="2025-11-19T00:00:00"/>
    <d v="1899-12-30T09:00:00"/>
    <d v="2025-11-17T00:00:00"/>
    <d v="1899-12-30T12:00:00"/>
    <n v="3"/>
    <n v="2"/>
    <n v="27"/>
    <s v="Selector de tamaño; aplicación en_x000a_reportes y vistas previas; persistencia."/>
  </r>
  <r>
    <s v="Pruebas_x000a_unitarias_x000a_negocio"/>
    <x v="0"/>
    <s v="LC"/>
    <n v="1"/>
    <n v="30"/>
    <d v="2025-11-19T00:00:00"/>
    <d v="1899-12-30T09:00:00"/>
    <d v="2025-11-17T00:00:00"/>
    <d v="1899-12-30T11:00:00"/>
    <n v="2"/>
    <n v="1"/>
    <n v="28"/>
    <s v="Tests para servicios/validaciones de_x000a_auth, proyectos y tareas."/>
  </r>
  <r>
    <s v="Pruebas_x000a_unitarias_x000a_negocio"/>
    <x v="4"/>
    <s v="LS"/>
    <n v="1"/>
    <n v="30"/>
    <d v="2025-11-19T00:00:00"/>
    <d v="1899-12-30T09:00:00"/>
    <d v="2025-11-17T00:00:00"/>
    <d v="1899-12-30T11:00:00"/>
    <n v="2"/>
    <n v="1"/>
    <n v="28"/>
    <s v="Tests para servicios/validaciones de_x000a_auth, proyectos y tareas."/>
  </r>
  <r>
    <s v="Pruebas_x000a_unitarias_x000a_negocio"/>
    <x v="3"/>
    <s v="LA"/>
    <n v="1"/>
    <n v="30"/>
    <d v="2025-11-19T00:00:00"/>
    <d v="1899-12-30T09:00:00"/>
    <d v="2025-11-17T00:00:00"/>
    <d v="1899-12-30T11:00:00"/>
    <n v="2"/>
    <n v="1"/>
    <n v="28"/>
    <s v="Tests para servicios/validaciones de_x000a_auth, proyectos y tareas."/>
  </r>
  <r>
    <s v="Documen_x000a_tación_x000a_API"/>
    <x v="2"/>
    <s v="LD"/>
    <n v="1"/>
    <n v="30"/>
    <d v="2025-11-19T00:00:00"/>
    <d v="1899-12-30T09:00:00"/>
    <d v="2025-11-17T00:00:00"/>
    <d v="1899-12-30T11:00:00"/>
    <n v="3"/>
    <n v="1"/>
    <n v="27"/>
    <s v="Auto-doc (Swagger/Redoc) o colección_x000a_Postman exportada."/>
  </r>
  <r>
    <s v="Estandari_x000a_zación"/>
    <x v="5"/>
    <s v="LE"/>
    <n v="1"/>
    <n v="30"/>
    <d v="2025-11-19T00:00:00"/>
    <d v="1899-12-30T09:00:00"/>
    <d v="2025-11-17T00:00:00"/>
    <d v="1899-12-30T11:30:00"/>
    <n v="4"/>
    <n v="1"/>
    <n v="26"/>
    <s v="Aplicar PEP8, ESLint/Prettier,_x000a_convenciones de ramas (feat/fix/chore),_x000a_mensajes tipo"/>
  </r>
  <r>
    <s v="Revisiones e_x000a_inspecciones"/>
    <x v="2"/>
    <s v="LD"/>
    <n v="1"/>
    <n v="30"/>
    <d v="2025-11-19T00:00:00"/>
    <d v="1899-12-30T09:00:00"/>
    <d v="2025-11-17T00:00:00"/>
    <d v="1899-12-30T11:30:00"/>
    <n v="4"/>
    <n v="2"/>
    <n v="26"/>
    <s v="Pull requests con checklist (seguridad,_x000a_validación, pruebas)"/>
  </r>
  <r>
    <s v="Evidencias"/>
    <x v="5"/>
    <s v="LE"/>
    <n v="1"/>
    <n v="30"/>
    <d v="2025-11-19T00:00:00"/>
    <d v="1899-12-30T09:00:00"/>
    <d v="2025-11-17T00:00:00"/>
    <d v="1899-12-30T11:30:00"/>
    <n v="1"/>
    <n v="1"/>
    <n v="29"/>
    <s v="Capturas/gifs de flujos, colección_x000a_Postman, scripts de BD, instructivo de_x000a_arranque local."/>
  </r>
  <r>
    <s v="Introducción"/>
    <x v="4"/>
    <s v="LS"/>
    <n v="1"/>
    <n v="30"/>
    <d v="2025-11-19T00:00:00"/>
    <d v="1899-12-30T09:00:00"/>
    <d v="2025-11-17T00:00:00"/>
    <d v="1899-12-30T12:00:00"/>
    <n v="5"/>
    <n v="1"/>
    <n v="25"/>
    <s v="Configurar FE/BE/BD, migraciones,_x000a_datos semilla y conectividad."/>
  </r>
  <r>
    <s v="Objetivo"/>
    <x v="4"/>
    <s v="LS"/>
    <n v="1"/>
    <n v="30"/>
    <d v="2025-11-19T00:00:00"/>
    <d v="1899-12-30T09:00:00"/>
    <d v="2025-11-17T00:00:00"/>
    <d v="1899-12-30T12:30:00"/>
    <n v="2"/>
    <n v="1"/>
    <n v="28"/>
    <s v="Redactar fichas PI-01…PI-18 (ID,_x000a_pasos, datos, esperado)."/>
  </r>
  <r>
    <s v="Alcance "/>
    <x v="4"/>
    <s v="LS+C37"/>
    <n v="1"/>
    <n v="30"/>
    <d v="2025-11-19T00:00:00"/>
    <d v="1899-12-30T09:00:00"/>
    <d v="2025-11-17T00:00:00"/>
    <d v="1899-12-30T12:30:00"/>
    <n v="1"/>
    <n v="2"/>
    <n v="29"/>
    <s v="Definir orden, ventanas, RACI y_x000a_criterios de severidad/prioridad."/>
  </r>
  <r>
    <s v="Definicion_x000a_es y_x000a_Abreviatu_x000a_ras"/>
    <x v="4"/>
    <s v="LS"/>
    <n v="1"/>
    <n v="30"/>
    <d v="2025-11-19T00:00:00"/>
    <d v="1899-12-30T09:00:00"/>
    <d v="2025-11-17T00:00:00"/>
    <d v="1899-12-30T13:00:00"/>
    <n v="2"/>
    <n v="1"/>
    <n v="28"/>
    <s v="Registrar y dar seguimiento en Log (ID,_x000a_severidad, estado)."/>
  </r>
  <r>
    <s v="Plan_x000a_de_x000a_pruebas"/>
    <x v="3"/>
    <s v="LA"/>
    <n v="1"/>
    <n v="30"/>
    <d v="2025-11-19T00:00:00"/>
    <d v="1899-12-30T09:00:00"/>
    <d v="2025-11-17T00:00:00"/>
    <d v="1899-12-30T12:30:00"/>
    <n v="2"/>
    <n v="1"/>
    <n v="28"/>
    <s v="Reprobar PIs afectados_x000a_tras correcciones. "/>
  </r>
  <r>
    <s v="Ejecutar_x000a_PI-01 —_x000a_UC-01_x000a_Editar_x000a_perfil"/>
    <x v="2"/>
    <s v="LD"/>
    <n v="1"/>
    <n v="30"/>
    <d v="2025-11-19T00:00:00"/>
    <d v="1899-12-30T09:00:00"/>
    <d v="2025-11-17T00:00:00"/>
    <d v="1899-12-30T13:00:00"/>
    <n v="2"/>
    <n v="1"/>
    <n v="28"/>
    <s v="Validar actualización de nombre, cargo_x000a_y contacto; verificar persistencia en BD_x000a_y refresco del frontend."/>
  </r>
  <r>
    <s v="Ejecutar_x000a_PI-02 —_x000a_UC-02_x000a_Cambiar_x000a_imagen"/>
    <x v="2"/>
    <s v="LD"/>
    <n v="1"/>
    <n v="30"/>
    <d v="2025-11-19T00:00:00"/>
    <d v="1899-12-30T09:00:00"/>
    <d v="2025-11-17T00:00:00"/>
    <d v="1899-12-30T12:00:00"/>
    <n v="1"/>
    <n v="1"/>
    <n v="29"/>
    <s v="Subir imagen válida, verificar vista_x000a_previa, guardar en servidor y confirmar_x000a_actualización en perfil."/>
  </r>
  <r>
    <s v="Ejecutar_x000a_PI-03 —_x000a_UC-03_x000a_Configur_x000a_ar tema"/>
    <x v="3"/>
    <s v="LA"/>
    <n v="1"/>
    <n v="30"/>
    <d v="2025-11-19T00:00:00"/>
    <d v="1899-12-30T09:00:00"/>
    <d v="2025-11-17T00:00:00"/>
    <d v="1899-12-30T12:00:00"/>
    <n v="3"/>
    <n v="1"/>
    <n v="27"/>
    <s v="Cambiar entre modo claro/oscuro;_x000a_validar persistencia de preferencia y_x000a_aplicación inmediata."/>
  </r>
  <r>
    <s v="Ejecutar_x000a_PI-04 —_x000a_UC-04_x000a_Configurar paneles"/>
    <x v="4"/>
    <s v="LS"/>
    <n v="1"/>
    <n v="30"/>
    <d v="2025-11-19T00:00:00"/>
    <d v="1899-12-30T09:00:00"/>
    <d v="2025-11-17T00:00:00"/>
    <d v="1899-12-30T12:00:00"/>
    <n v="0"/>
    <n v="1"/>
    <n v="30"/>
    <s v="Modificar disposición de paneles;_x000a_guardar configuración y validar carga_x000a_posterior"/>
  </r>
  <r>
    <s v="Ejecutar_x000a_PI-05 —_x000a_UC-05_x000a_Formato_x000a_fecha/mo_x000a_neda"/>
    <x v="4"/>
    <s v="LS"/>
    <n v="1"/>
    <n v="30"/>
    <d v="2025-11-19T00:00:00"/>
    <d v="1899-12-30T09:00:00"/>
    <d v="2025-11-17T00:00:00"/>
    <d v="1899-12-30T12:30:00"/>
    <n v="2"/>
    <n v="1"/>
    <n v="28"/>
    <s v="Ajustar formatos; verificar que la_x000a_interfaz muestre valores según_x000a_configuración."/>
  </r>
  <r>
    <s v="Ejecutar_x000a_PI-06 —_x000a_UC-18_x000a_Personali_x000a_zar fondo"/>
    <x v="4"/>
    <s v="LS"/>
    <n v="1"/>
    <n v="30"/>
    <d v="2025-11-19T00:00:00"/>
    <d v="1899-12-30T09:00:00"/>
    <d v="2025-11-17T00:00:00"/>
    <d v="1899-12-30T13:30:00"/>
    <n v="4"/>
    <n v="1"/>
    <n v="26"/>
    <s v="Subir fondo, seleccionar diseño, validar_x000a_persistencia y carga correcta."/>
  </r>
  <r>
    <s v="Ejecutar_x000a_PI-07 —_x000a_UC-06_x000a_Configur_x000a_ar_x000a_notificaci_x000a_ones"/>
    <x v="4"/>
    <s v="LS"/>
    <n v="1"/>
    <n v="30"/>
    <d v="2025-11-19T00:00:00"/>
    <d v="1899-12-30T09:00:00"/>
    <d v="2025-11-17T00:00:00"/>
    <d v="1899-12-30T13:00:00"/>
    <n v="4"/>
    <n v="1"/>
    <n v="26"/>
    <s v="Activar/desactivar tipos de_x000a_notificaciones; validar que las_x000a_preferencias afecten nuevas alertas."/>
  </r>
  <r>
    <s v="Ejecutar_x000a_PI-08 —_x000a_UC-07_x000a_Ver_x000a_notificaci_x000a_ones"/>
    <x v="5"/>
    <s v="LE"/>
    <n v="1"/>
    <n v="30"/>
    <d v="2025-11-19T00:00:00"/>
    <d v="1899-12-30T09:00:00"/>
    <d v="2025-11-17T00:00:00"/>
    <d v="1899-12-30T14:00:00"/>
    <n v="2"/>
    <n v="1"/>
    <n v="28"/>
    <s v="Confirmar listado completo; paginación_x000a_correcta; información coherente con BD."/>
  </r>
  <r>
    <s v="Ejecutar_x000a_PI-09 —_x000a_UC-08_x000a_Marcar_x000a_notificaci_x000a_ón leída"/>
    <x v="2"/>
    <s v="LD"/>
    <n v="1"/>
    <n v="30"/>
    <d v="2025-11-19T00:00:00"/>
    <d v="1899-12-30T09:00:00"/>
    <d v="2025-11-17T00:00:00"/>
    <d v="1899-12-30T13:30:00"/>
    <n v="2"/>
    <n v="1"/>
    <n v="28"/>
    <s v="Cambiar estado; validar actualización_x000a_inmediata UI + BD."/>
  </r>
  <r>
    <s v="Ejecutar_x000a_PI-10 —_x000a_UC-09_x000a_Eliminar_x000a_notificaci_x000a_ón"/>
    <x v="1"/>
    <s v="LP"/>
    <n v="1"/>
    <n v="30"/>
    <d v="2025-11-19T00:00:00"/>
    <d v="1899-12-30T09:00:00"/>
    <d v="2025-11-17T00:00:00"/>
    <d v="1899-12-30T14:30:00"/>
    <n v="6"/>
    <n v="1"/>
    <n v="24"/>
    <s v="Verificar eliminar 1/múltiples_x000a_notificaciones; revisar integridad de_x000a_datos."/>
  </r>
  <r>
    <s v="Ejecutar_x000a_PI-11 —_x000a_UC-10_x000a_Filtrar_x000a_notificaci_x000a_ones"/>
    <x v="1"/>
    <s v="LP"/>
    <n v="1"/>
    <n v="30"/>
    <d v="2025-11-19T00:00:00"/>
    <d v="1899-12-30T09:00:00"/>
    <d v="2025-11-17T00:00:00"/>
    <d v="1899-12-30T14:00:00"/>
    <n v="6"/>
    <n v="1"/>
    <n v="24"/>
    <s v="Aplicar filtros por fecha, tipo y estado;_x000a_validar consistencia de resultados."/>
  </r>
  <r>
    <s v="Ejecutar_x000a_PI-12 —_x000a_UC-11_x000a_Generar_x000a_reporte_x000a_general"/>
    <x v="3"/>
    <s v="LA"/>
    <n v="1"/>
    <n v="30"/>
    <d v="2025-11-19T00:00:00"/>
    <d v="1899-12-30T09:00:00"/>
    <d v="2025-11-17T00:00:00"/>
    <d v="1899-12-30T15:00:00"/>
    <n v="4"/>
    <n v="1"/>
    <n v="26"/>
    <s v="Validar generación completa; datos_x000a_correctos; tiempos de carga aceptables."/>
  </r>
  <r>
    <s v="Ejecutar_x000a_PI-13 —_x000a_UC-12 Exportar_x000a_PDF"/>
    <x v="5"/>
    <s v="LE"/>
    <n v="1"/>
    <n v="30"/>
    <d v="2025-11-19T00:00:00"/>
    <d v="1899-12-30T09:00:00"/>
    <d v="2025-11-17T00:00:00"/>
    <d v="1899-12-30T14:30:00"/>
    <n v="4"/>
    <n v="1"/>
    <n v="26"/>
    <s v="Generar archivo PDF; revisar formato,_x000a_contenido, pie de página y_x000a_encabezados."/>
  </r>
  <r>
    <s v="Ejecutar_x000a_PI-14 —_x000a_UC-13_x000a_Exportar_x000a_Excel"/>
    <x v="5"/>
    <s v="LE"/>
    <n v="1"/>
    <n v="30"/>
    <d v="2025-11-19T00:00:00"/>
    <d v="1899-12-30T09:00:00"/>
    <d v="2025-11-17T00:00:00"/>
    <d v="1899-12-30T15:30:00"/>
    <n v="3"/>
    <n v="1"/>
    <n v="27"/>
    <s v="Exportar archivo XLSX; validar_x000a_columnas, datos y formato"/>
  </r>
  <r>
    <s v="Ejecutar_x000a_PI-15 —_x000a_UC-14_x000a_Aplicar_x000a_filtros en_x000a_reportes"/>
    <x v="0"/>
    <s v="LC"/>
    <n v="1"/>
    <n v="30"/>
    <d v="2025-11-19T00:00:00"/>
    <d v="1899-12-30T09:00:00"/>
    <d v="2025-11-17T00:00:00"/>
    <d v="1899-12-30T15:00:00"/>
    <n v="3"/>
    <n v="1"/>
    <n v="27"/>
    <s v="Usar filtros múltiples; validar resultados_x000a_y consultas correctas a BD."/>
  </r>
  <r>
    <s v="Ejecutar_x000a_PI-16 —_x000a_UC-15_x000a_Configur_x000a_ar_x000a_formato_x000a_del_x000a_reporte"/>
    <x v="0"/>
    <s v="LC"/>
    <n v="1"/>
    <n v="30"/>
    <d v="2025-11-19T00:00:00"/>
    <d v="1899-12-30T09:00:00"/>
    <d v="2025-11-17T00:00:00"/>
    <d v="1899-12-30T16:00:00"/>
    <n v="2"/>
    <n v="1"/>
    <n v="28"/>
    <s v="Ajustar márgenes, tamaño de letra,_x000a_encabezado; verificar formato aplicado_x000a_en nuevas exportaciones."/>
  </r>
  <r>
    <s v="Ejecutar_x000a_PI-17 —_x000a_UC-16_x000a_Pie de_x000a_página_x000a_institucio_x000a_nal"/>
    <x v="0"/>
    <s v="LC"/>
    <n v="1"/>
    <n v="30"/>
    <d v="2025-11-19T00:00:00"/>
    <d v="1899-12-30T09:00:00"/>
    <d v="2025-11-17T00:00:00"/>
    <d v="1899-12-30T15:30:00"/>
    <n v="2"/>
    <n v="1"/>
    <n v="28"/>
    <s v="Validar pie en PDF/Excel con_x000a_información correcta y alineación."/>
  </r>
  <r>
    <s v="Ejecutar_x000a_PI-18 —_x000a_UC-17_x000a_Cambiar_x000a_tamaño_x000a_de letra"/>
    <x v="1"/>
    <s v="LP"/>
    <n v="1"/>
    <n v="30"/>
    <d v="2025-11-19T00:00:00"/>
    <d v="1899-12-30T09:00:00"/>
    <d v="2025-11-17T00:00:00"/>
    <d v="1899-12-30T16:30:00"/>
    <n v="2"/>
    <n v="1"/>
    <n v="28"/>
    <s v="Cambiar tamaño; validar que se refleje_x000a_en vista previa y exportaciones."/>
  </r>
  <r>
    <s v="Informe_x000a_de_x000a_pruebas"/>
    <x v="0"/>
    <s v="LC"/>
    <n v="1"/>
    <n v="30"/>
    <d v="2025-11-19T00:00:00"/>
    <d v="1899-12-30T09:00:00"/>
    <d v="2025-11-17T00:00:00"/>
    <d v="1899-12-30T16:00:00"/>
    <n v="2"/>
    <n v="1"/>
    <n v="28"/>
    <s v="Consolidado del informe de pruebas"/>
  </r>
  <r>
    <s v="Informe_x000a_Consolid_x000a_ado del_x000a_Ciclo"/>
    <x v="3"/>
    <s v="LA"/>
    <n v="1"/>
    <n v="30"/>
    <d v="2025-11-19T00:00:00"/>
    <d v="1899-12-30T09:00:00"/>
    <d v="2025-11-17T00:00:00"/>
    <d v="1899-12-30T17:00:00"/>
    <n v="2"/>
    <n v="1"/>
    <n v="28"/>
    <s v="Resumen global de PIs_x000a_(aprobados/fallidos), métricas,_x000a_defectos por severidad/prioridad y_x000a_conclusión de aptitud para UAT."/>
  </r>
  <r>
    <s v="Revisión_x000a_y_x000a_Firma_x000a_del_x000a_Informe consolidado"/>
    <x v="5"/>
    <s v="LE"/>
    <n v="1"/>
    <n v="30"/>
    <d v="2025-11-19T00:00:00"/>
    <d v="1899-12-30T09:00:00"/>
    <d v="2025-11-17T00:00:00"/>
    <d v="1899-12-30T16:30:00"/>
    <n v="2"/>
    <n v="1"/>
    <n v="28"/>
    <s v="Revisión de hallazgos, aceptación y_x000a_firma del cierre de ciclo."/>
  </r>
  <r>
    <s v="Archivo_x000a_y_x000a_Distribuci_x000a_ón de_x000a_Informes"/>
    <x v="3"/>
    <s v="LA"/>
    <n v="1"/>
    <n v="30"/>
    <d v="2025-11-19T00:00:00"/>
    <d v="1899-12-30T09:00:00"/>
    <d v="2025-11-17T00:00:00"/>
    <d v="1899-12-30T17:30:00"/>
    <n v="3"/>
    <n v="1"/>
    <n v="27"/>
    <s v="Publicar informes (carpeta PI y_x000a_consolidado), notificar a interesados."/>
  </r>
  <r>
    <s v="Correción de Codigo y de casos de usos "/>
    <x v="2"/>
    <s v="LD"/>
    <n v="1"/>
    <n v="30"/>
    <d v="2025-11-19T00:00:00"/>
    <d v="1899-12-30T09:00:00"/>
    <d v="2025-11-17T00:00:00"/>
    <d v="1899-12-30T17:00:00"/>
    <n v="0"/>
    <n v="2"/>
    <n v="30"/>
    <s v="correciones de código"/>
  </r>
  <r>
    <s v="Correción del log de defectos e informe tecnico"/>
    <x v="2"/>
    <s v="LD"/>
    <n v="1"/>
    <n v="30"/>
    <d v="2025-11-19T00:00:00"/>
    <d v="1899-12-30T09:00:00"/>
    <d v="2025-11-17T00:00:00"/>
    <d v="1899-12-30T18:00:00"/>
    <n v="0"/>
    <n v="2"/>
    <n v="30"/>
    <s v="correciones del log e informe tecnico"/>
  </r>
  <r>
    <s v="Control de_x000a_cambios"/>
    <x v="3"/>
    <s v="LA"/>
    <n v="1"/>
    <n v="20"/>
    <d v="2025-11-19T00:00:00"/>
    <d v="1899-12-30T09:00:00"/>
    <d v="2025-11-18T00:00:00"/>
    <d v="1899-12-30T19:00:00"/>
    <n v="2"/>
    <n v="1"/>
    <n v="18"/>
    <s v="Gestionar solicitudes de cambios, su_x000a_evaluación, aprobación/rechazo e_x000a_implantación."/>
  </r>
  <r>
    <s v="Control de_x000a_cambios"/>
    <x v="5"/>
    <s v="LD"/>
    <n v="1"/>
    <n v="20"/>
    <d v="2025-11-19T00:00:00"/>
    <d v="1899-12-30T09:00:00"/>
    <d v="2025-11-18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1-19T00:00:00"/>
    <d v="1899-12-30T09:00:00"/>
    <d v="2025-11-18T00:00:00"/>
    <d v="1899-12-30T19:20:00"/>
    <n v="0"/>
    <n v="1"/>
    <n v="20"/>
    <s v="Gestionar solicitudes de cambios, su evaluación, aprobación/rechazo e implantación. "/>
  </r>
  <r>
    <s v="Control de _x000a_cambios "/>
    <x v="4"/>
    <s v="LS"/>
    <n v="1"/>
    <n v="20"/>
    <d v="2025-11-19T00:00:00"/>
    <d v="1899-12-30T09:00:00"/>
    <d v="2025-11-18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1-19T00:00:00"/>
    <d v="1899-12-30T09:00:00"/>
    <d v="2025-11-18T00:00:00"/>
    <d v="1899-12-30T20:00:00"/>
    <n v="6"/>
    <n v="1"/>
    <n v="24"/>
    <s v="Identificar, clasificar y dar seguimiento a_x000a_riesgos del proyecto."/>
  </r>
  <r>
    <s v="Log de defectos(apertura,seguimiento y cierre)"/>
    <x v="2"/>
    <s v="LD"/>
    <n v="1"/>
    <n v="30"/>
    <d v="2025-11-19T00:00:00"/>
    <d v="1899-12-30T09:00:00"/>
    <d v="2025-11-18T00:00:00"/>
    <d v="1899-12-30T20:00:00"/>
    <n v="0"/>
    <n v="1"/>
    <n v="30"/>
    <s v="Registrar incidencias y defectos, dar_x000a_seguimiento y cerrar tras validación."/>
  </r>
  <r>
    <s v="Bitácoras y actas"/>
    <x v="2"/>
    <s v="LD"/>
    <n v="5"/>
    <n v="50"/>
    <d v="2025-11-19T00:00:00"/>
    <d v="1899-12-30T09:00:00"/>
    <d v="2025-11-18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1-19T00:00:00"/>
    <d v="1899-12-30T09:00:00"/>
    <d v="2025-11-1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11-19T00:00:00"/>
    <d v="1899-12-30T09:00:00"/>
    <d v="2025-11-1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E"/>
    <n v="1"/>
    <n v="60"/>
    <d v="2025-11-19T00:00:00"/>
    <d v="1899-12-30T09:00:00"/>
    <d v="2025-11-1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A"/>
    <n v="1"/>
    <n v="60"/>
    <d v="2025-11-19T00:00:00"/>
    <d v="1899-12-30T09:00:00"/>
    <d v="2025-11-1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1-19T00:00:00"/>
    <d v="1899-12-30T09:00:00"/>
    <d v="2025-11-1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1-19T00:00:00"/>
    <d v="1899-12-30T09:00:00"/>
    <d v="2025-11-18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5"/>
    <s v="LE"/>
    <n v="1"/>
    <n v="30"/>
    <d v="2025-11-19T00:00:00"/>
    <d v="1899-12-30T09:00:00"/>
    <d v="2025-11-18T00:00:00"/>
    <d v="1899-12-30T22:00:00"/>
    <n v="0"/>
    <n v="1"/>
    <n v="30"/>
    <s v="No comentarios"/>
  </r>
  <r>
    <s v="Llenado de log de defectos"/>
    <x v="0"/>
    <s v="LC"/>
    <n v="1"/>
    <n v="30"/>
    <d v="2025-11-19T00:00:00"/>
    <d v="1899-12-30T09:00:00"/>
    <d v="2025-11-18T00:00:00"/>
    <d v="1899-12-30T22:00:00"/>
    <n v="0"/>
    <n v="1"/>
    <n v="30"/>
    <s v="No comentarios"/>
  </r>
  <r>
    <s v="Acta de reunión"/>
    <x v="0"/>
    <s v="LC"/>
    <n v="1"/>
    <n v="45"/>
    <d v="2025-11-19T00:00:00"/>
    <d v="1899-12-30T09:00:00"/>
    <d v="2025-11-18T00:00:00"/>
    <d v="1899-12-30T22:30:00"/>
    <n v="-35"/>
    <n v="1"/>
    <n v="80"/>
    <s v="Ordenar en grupo todos los documentos asignados para la primera entrega"/>
  </r>
  <r>
    <s v="Elaboración de diapositivas(Informe final)"/>
    <x v="5"/>
    <s v="LE"/>
    <n v="1"/>
    <n v="60"/>
    <d v="2025-11-19T00:00:00"/>
    <d v="1899-12-30T09:00:00"/>
    <d v="2025-11-18T00:00:00"/>
    <d v="1899-12-30T22:30:00"/>
    <n v="10"/>
    <n v="1"/>
    <n v="50"/>
    <s v="Diapositivas con los documentos hechos "/>
  </r>
  <r>
    <s v="Maestro de documentos"/>
    <x v="5"/>
    <s v="LE"/>
    <n v="1"/>
    <n v="55"/>
    <d v="2025-11-19T00:00:00"/>
    <d v="1899-12-30T09:00:00"/>
    <d v="2025-11-18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1-19T00:00:00"/>
    <d v="1899-12-30T09:00:00"/>
    <d v="2025-11-18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11-19T00:00:00"/>
    <d v="1899-12-30T09:00:00"/>
    <d v="2025-11-18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1-19T00:00:00"/>
    <d v="1899-12-30T09:00:00"/>
    <d v="2025-11-18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E"/>
    <n v="1"/>
    <n v="30"/>
    <d v="2025-11-19T00:00:00"/>
    <d v="1899-12-30T09:00:00"/>
    <d v="2025-11-18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11-19T00:00:00"/>
    <d v="1899-12-30T09:00:00"/>
    <d v="2025-11-18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D"/>
    <n v="1"/>
    <n v="30"/>
    <d v="2025-11-19T00:00:00"/>
    <d v="1899-12-30T09:00:00"/>
    <d v="2025-11-18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5"/>
    <s v="LE"/>
    <n v="3"/>
    <n v="20"/>
    <d v="2025-11-19T00:00:00"/>
    <d v="1899-12-30T09:00:00"/>
    <d v="2025-11-19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BAD6C-59AE-4FA9-9CEE-286D89C45CFA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2:E59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3:L70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5:C132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9:E106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9:C86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8:E6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7:E7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0E9-EBC2-48DC-8976-A092406D7D46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D1A09-C9C7-4730-9F7F-4F32357A236F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16:E123" firstHeaderRow="0" firstDataRow="1" firstDataCol="1"/>
  <pivotFields count="13">
    <pivotField showAll="0"/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2F240-5027-483F-BC06-E94FEF8E09A0}" name="TablaDiná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35:E142" firstHeaderRow="0" firstDataRow="1" firstDataCol="1"/>
  <pivotFields count="13"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5">
        <item x="49"/>
        <item x="36"/>
        <item x="28"/>
        <item x="59"/>
        <item x="7"/>
        <item x="17"/>
        <item x="58"/>
        <item x="47"/>
        <item x="61"/>
        <item x="37"/>
        <item x="67"/>
        <item x="15"/>
        <item x="33"/>
        <item x="38"/>
        <item x="32"/>
        <item x="43"/>
        <item x="60"/>
        <item x="39"/>
        <item x="46"/>
        <item x="41"/>
        <item x="27"/>
        <item x="23"/>
        <item x="5"/>
        <item x="70"/>
        <item x="0"/>
        <item x="66"/>
        <item x="6"/>
        <item x="12"/>
        <item x="9"/>
        <item x="19"/>
        <item x="4"/>
        <item x="29"/>
        <item x="26"/>
        <item x="24"/>
        <item x="48"/>
        <item x="56"/>
        <item x="25"/>
        <item x="63"/>
        <item x="62"/>
        <item x="50"/>
        <item x="64"/>
        <item x="52"/>
        <item x="45"/>
        <item x="53"/>
        <item x="31"/>
        <item x="68"/>
        <item x="69"/>
        <item x="55"/>
        <item x="54"/>
        <item x="21"/>
        <item x="14"/>
        <item x="22"/>
        <item x="11"/>
        <item x="16"/>
        <item x="13"/>
        <item x="20"/>
        <item x="8"/>
        <item x="18"/>
        <item x="10"/>
        <item x="42"/>
        <item x="71"/>
        <item x="34"/>
        <item x="35"/>
        <item x="30"/>
        <item x="65"/>
        <item x="57"/>
        <item x="44"/>
        <item x="51"/>
        <item x="1"/>
        <item x="72"/>
        <item x="73"/>
        <item x="3"/>
        <item x="2"/>
        <item x="4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AD164-395A-4326-B699-C1D7F793DC42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6:E73" firstHeaderRow="0" firstDataRow="1" firstDataCol="1"/>
  <pivotFields count="13">
    <pivotField showAll="0"/>
    <pivotField axis="axisRow" showAll="0">
      <items count="7">
        <item x="4"/>
        <item x="1"/>
        <item x="2"/>
        <item x="3"/>
        <item x="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88CDD-55CA-49A2-BD14-76989C2E7D02}" name="TablaDiná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7">
        <item x="4"/>
        <item x="1"/>
        <item x="3"/>
        <item x="5"/>
        <item x="0"/>
        <item x="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amaño real" fld="10" baseField="0" baseItem="0"/>
    <dataField name="Suma de Tiempo estimado (minutos)" fld="4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topLeftCell="AS1" zoomScale="84" zoomScaleNormal="76" workbookViewId="0">
      <selection activeCell="M8" sqref="M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"/>
    <row r="104" customFormat="1" x14ac:dyDescent="0.2"/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29F-47E1-421E-AB8D-C5C8E22856D2}">
  <dimension ref="A1:T139"/>
  <sheetViews>
    <sheetView topLeftCell="B97" zoomScale="84" zoomScaleNormal="76" workbookViewId="0">
      <selection activeCell="E117" sqref="E11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7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si="0"/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1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1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1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1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1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1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1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1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1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1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1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1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1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1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1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1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4"/>
  <sheetViews>
    <sheetView topLeftCell="A45" zoomScale="84" zoomScaleNormal="76" workbookViewId="0">
      <selection activeCell="J30" sqref="J3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+#REF!+A1:L7+A7:L50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50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107" t="s">
        <v>471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45882</v>
      </c>
      <c r="G29" s="81">
        <v>0.375</v>
      </c>
      <c r="H29" s="80">
        <v>45877</v>
      </c>
      <c r="I29" s="81">
        <v>0.79166666666666663</v>
      </c>
      <c r="J29" s="87">
        <f t="shared" ref="J29" si="1">E29-L29</f>
        <v>0</v>
      </c>
      <c r="K29" s="53">
        <v>3</v>
      </c>
      <c r="L29" s="53">
        <v>30</v>
      </c>
      <c r="M29" s="79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144</v>
      </c>
      <c r="B30" s="63" t="s">
        <v>30</v>
      </c>
      <c r="C30" s="21" t="s">
        <v>31</v>
      </c>
      <c r="D30" s="66">
        <v>1</v>
      </c>
      <c r="E30" s="65">
        <v>30</v>
      </c>
      <c r="F30" s="11">
        <v>45882</v>
      </c>
      <c r="G30" s="10">
        <v>0.375</v>
      </c>
      <c r="H30" s="11">
        <v>45877</v>
      </c>
      <c r="I30" s="10">
        <v>4.1666666666666664E-2</v>
      </c>
      <c r="J30" s="9">
        <f t="shared" si="0"/>
        <v>0</v>
      </c>
      <c r="K30" s="65">
        <v>1</v>
      </c>
      <c r="L30" s="7">
        <v>30</v>
      </c>
      <c r="M30" s="6" t="s">
        <v>145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55</v>
      </c>
      <c r="C31" s="11" t="s">
        <v>28</v>
      </c>
      <c r="D31" s="66">
        <v>1</v>
      </c>
      <c r="E31" s="9">
        <v>120</v>
      </c>
      <c r="F31" s="11">
        <v>45882</v>
      </c>
      <c r="G31" s="10">
        <v>0.375</v>
      </c>
      <c r="H31" s="27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56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3" t="s">
        <v>54</v>
      </c>
      <c r="B32" s="62" t="s">
        <v>57</v>
      </c>
      <c r="C32" s="11" t="s">
        <v>58</v>
      </c>
      <c r="D32" s="20">
        <v>1</v>
      </c>
      <c r="E32" s="29">
        <v>120</v>
      </c>
      <c r="F32" s="11">
        <v>45882</v>
      </c>
      <c r="G32" s="10">
        <v>0.375</v>
      </c>
      <c r="H32" s="11">
        <v>45879</v>
      </c>
      <c r="I32" s="10">
        <v>0.91666666666666663</v>
      </c>
      <c r="J32" s="9">
        <f t="shared" si="0"/>
        <v>60</v>
      </c>
      <c r="K32" s="65">
        <v>1</v>
      </c>
      <c r="L32" s="7">
        <v>60</v>
      </c>
      <c r="M32" s="6" t="s">
        <v>59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6" t="s">
        <v>60</v>
      </c>
      <c r="B33" s="62" t="s">
        <v>61</v>
      </c>
      <c r="C33" s="11" t="s">
        <v>62</v>
      </c>
      <c r="D33" s="66">
        <v>1</v>
      </c>
      <c r="E33" s="9">
        <v>30</v>
      </c>
      <c r="F33" s="11">
        <v>45882</v>
      </c>
      <c r="G33" s="10">
        <v>0.375</v>
      </c>
      <c r="H33" s="13">
        <v>45879</v>
      </c>
      <c r="I33" s="12">
        <v>0.91666666666666663</v>
      </c>
      <c r="J33" s="9">
        <f>E33-L33</f>
        <v>-30</v>
      </c>
      <c r="K33" s="65">
        <v>1</v>
      </c>
      <c r="L33" s="30">
        <v>60</v>
      </c>
      <c r="M33" s="31" t="s">
        <v>63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64</v>
      </c>
      <c r="C34" s="11" t="s">
        <v>65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0.875</v>
      </c>
      <c r="J34" s="9">
        <f t="shared" si="0"/>
        <v>-30</v>
      </c>
      <c r="K34" s="65">
        <v>1</v>
      </c>
      <c r="L34" s="7">
        <v>60</v>
      </c>
      <c r="M34" s="6" t="s">
        <v>66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67</v>
      </c>
      <c r="C35" s="11" t="s">
        <v>68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0.91666666666666663</v>
      </c>
      <c r="J35" s="9">
        <f t="shared" si="0"/>
        <v>-90</v>
      </c>
      <c r="K35" s="65">
        <v>1</v>
      </c>
      <c r="L35" s="7">
        <v>120</v>
      </c>
      <c r="M35" s="6" t="s">
        <v>69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60</v>
      </c>
      <c r="B36" s="62" t="s">
        <v>70</v>
      </c>
      <c r="C36" s="11" t="s">
        <v>71</v>
      </c>
      <c r="D36" s="20">
        <v>1</v>
      </c>
      <c r="E36" s="29">
        <v>30</v>
      </c>
      <c r="F36" s="11">
        <v>45882</v>
      </c>
      <c r="G36" s="10">
        <v>0.375</v>
      </c>
      <c r="H36" s="11">
        <v>45879</v>
      </c>
      <c r="I36" s="10">
        <v>0.46527777777777779</v>
      </c>
      <c r="J36" s="9">
        <f t="shared" si="0"/>
        <v>5</v>
      </c>
      <c r="K36" s="65">
        <v>1</v>
      </c>
      <c r="L36" s="7">
        <v>25</v>
      </c>
      <c r="M36" s="6" t="s">
        <v>72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73</v>
      </c>
      <c r="B37" s="62" t="s">
        <v>74</v>
      </c>
      <c r="C37" s="11" t="s">
        <v>71</v>
      </c>
      <c r="D37" s="20">
        <v>1</v>
      </c>
      <c r="E37" s="29">
        <v>70</v>
      </c>
      <c r="F37" s="11">
        <v>45882</v>
      </c>
      <c r="G37" s="10">
        <v>0.375</v>
      </c>
      <c r="H37" s="11">
        <v>45880</v>
      </c>
      <c r="I37" s="10">
        <v>0.83333333333333337</v>
      </c>
      <c r="J37" s="9">
        <f t="shared" si="0"/>
        <v>-50</v>
      </c>
      <c r="K37" s="65">
        <v>1</v>
      </c>
      <c r="L37" s="7">
        <v>120</v>
      </c>
      <c r="M37" s="6" t="s">
        <v>75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76</v>
      </c>
      <c r="B38" s="62" t="s">
        <v>42</v>
      </c>
      <c r="C38" s="11" t="s">
        <v>77</v>
      </c>
      <c r="D38" s="20">
        <v>1</v>
      </c>
      <c r="E38" s="29">
        <v>50</v>
      </c>
      <c r="F38" s="11">
        <v>45882</v>
      </c>
      <c r="G38" s="10">
        <v>0.375</v>
      </c>
      <c r="H38" s="11">
        <v>45880</v>
      </c>
      <c r="I38" s="10">
        <v>0.91666666666666663</v>
      </c>
      <c r="J38" s="9">
        <f t="shared" si="0"/>
        <v>-70</v>
      </c>
      <c r="K38" s="65">
        <v>1</v>
      </c>
      <c r="L38" s="7">
        <v>120</v>
      </c>
      <c r="M38" s="6" t="s">
        <v>78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79</v>
      </c>
      <c r="B39" s="62" t="s">
        <v>36</v>
      </c>
      <c r="C39" s="11" t="s">
        <v>80</v>
      </c>
      <c r="D39" s="20">
        <v>1</v>
      </c>
      <c r="E39" s="29">
        <v>45</v>
      </c>
      <c r="F39" s="11">
        <v>45882</v>
      </c>
      <c r="G39" s="10">
        <v>0.375</v>
      </c>
      <c r="H39" s="11">
        <v>45880</v>
      </c>
      <c r="I39" s="10">
        <v>0.9375</v>
      </c>
      <c r="J39" s="9">
        <f t="shared" si="0"/>
        <v>-35</v>
      </c>
      <c r="K39" s="65">
        <v>1</v>
      </c>
      <c r="L39" s="7">
        <v>80</v>
      </c>
      <c r="M39" s="6" t="s">
        <v>81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82</v>
      </c>
      <c r="B40" s="62" t="s">
        <v>30</v>
      </c>
      <c r="C40" s="11" t="s">
        <v>83</v>
      </c>
      <c r="D40" s="66">
        <v>1</v>
      </c>
      <c r="E40" s="9">
        <v>50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-4</v>
      </c>
      <c r="K40" s="65">
        <v>1</v>
      </c>
      <c r="L40" s="7">
        <v>54</v>
      </c>
      <c r="M40" s="6" t="s">
        <v>84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85</v>
      </c>
      <c r="B41" s="62" t="s">
        <v>21</v>
      </c>
      <c r="C41" s="11" t="s">
        <v>86</v>
      </c>
      <c r="D41" s="66">
        <v>1</v>
      </c>
      <c r="E41" s="9">
        <v>60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10</v>
      </c>
      <c r="K41" s="65">
        <v>1</v>
      </c>
      <c r="L41" s="7">
        <v>50</v>
      </c>
      <c r="M41" s="6" t="s">
        <v>87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88</v>
      </c>
      <c r="B42" s="62" t="s">
        <v>21</v>
      </c>
      <c r="C42" s="11" t="s">
        <v>86</v>
      </c>
      <c r="D42" s="66">
        <v>1</v>
      </c>
      <c r="E42" s="9">
        <v>55</v>
      </c>
      <c r="F42" s="11">
        <v>45882</v>
      </c>
      <c r="G42" s="10">
        <v>0.375</v>
      </c>
      <c r="H42" s="11">
        <v>45880</v>
      </c>
      <c r="I42" s="10">
        <v>0.95833333333333337</v>
      </c>
      <c r="J42" s="9">
        <f t="shared" si="0"/>
        <v>0</v>
      </c>
      <c r="K42" s="65">
        <v>1</v>
      </c>
      <c r="L42" s="7">
        <v>55</v>
      </c>
      <c r="M42" s="6" t="s">
        <v>89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30</v>
      </c>
      <c r="C43" s="11" t="s">
        <v>83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21</v>
      </c>
      <c r="C44" s="11" t="s">
        <v>86</v>
      </c>
      <c r="D44" s="66">
        <v>1</v>
      </c>
      <c r="E44" s="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39</v>
      </c>
      <c r="C45" s="11" t="s">
        <v>150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136</v>
      </c>
      <c r="C46" s="11" t="s">
        <v>151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42</v>
      </c>
      <c r="C47" s="11" t="s">
        <v>77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>E47-L47</f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146</v>
      </c>
      <c r="B48" s="62" t="s">
        <v>36</v>
      </c>
      <c r="C48" s="11" t="s">
        <v>80</v>
      </c>
      <c r="D48" s="20">
        <v>1</v>
      </c>
      <c r="E48" s="29">
        <v>60</v>
      </c>
      <c r="F48" s="11">
        <v>45882</v>
      </c>
      <c r="G48" s="10">
        <v>0.375</v>
      </c>
      <c r="H48" s="11">
        <v>45880</v>
      </c>
      <c r="I48" s="10">
        <v>0.875</v>
      </c>
      <c r="J48" s="9">
        <f t="shared" si="0"/>
        <v>-6</v>
      </c>
      <c r="K48" s="65">
        <v>1</v>
      </c>
      <c r="L48" s="7">
        <v>66</v>
      </c>
      <c r="M48" s="6" t="s">
        <v>149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147</v>
      </c>
      <c r="B49" s="62" t="s">
        <v>30</v>
      </c>
      <c r="C49" s="11" t="s">
        <v>83</v>
      </c>
      <c r="D49" s="66">
        <v>1</v>
      </c>
      <c r="E49" s="9">
        <v>30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5</v>
      </c>
      <c r="K49" s="65">
        <v>1</v>
      </c>
      <c r="L49" s="7">
        <v>25</v>
      </c>
      <c r="M49" s="6" t="s">
        <v>148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90</v>
      </c>
      <c r="B50" s="62" t="s">
        <v>42</v>
      </c>
      <c r="C50" s="11" t="s">
        <v>77</v>
      </c>
      <c r="D50" s="20">
        <v>1</v>
      </c>
      <c r="E50" s="29">
        <v>20</v>
      </c>
      <c r="F50" s="11">
        <v>45882</v>
      </c>
      <c r="G50" s="10">
        <v>0.375</v>
      </c>
      <c r="H50" s="11">
        <v>45880</v>
      </c>
      <c r="I50" s="10">
        <v>0.95833333333333337</v>
      </c>
      <c r="J50" s="9">
        <f t="shared" si="0"/>
        <v>0</v>
      </c>
      <c r="K50" s="65">
        <v>1</v>
      </c>
      <c r="L50" s="7">
        <v>20</v>
      </c>
      <c r="M50" s="6" t="s">
        <v>91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0" t="s">
        <v>210</v>
      </c>
      <c r="B52" t="s">
        <v>215</v>
      </c>
      <c r="C52" t="s">
        <v>214</v>
      </c>
      <c r="D52" t="s">
        <v>213</v>
      </c>
      <c r="E52" t="s">
        <v>212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55</v>
      </c>
      <c r="B53">
        <v>1</v>
      </c>
      <c r="C53">
        <v>120</v>
      </c>
      <c r="D53" s="2">
        <v>1</v>
      </c>
      <c r="E53" s="2">
        <v>60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70</v>
      </c>
      <c r="B54">
        <v>1</v>
      </c>
      <c r="C54">
        <v>30</v>
      </c>
      <c r="D54" s="2">
        <v>1</v>
      </c>
      <c r="E54" s="2">
        <v>25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57</v>
      </c>
      <c r="B55">
        <v>1</v>
      </c>
      <c r="C55">
        <v>120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64</v>
      </c>
      <c r="B56">
        <v>1</v>
      </c>
      <c r="C56">
        <v>30</v>
      </c>
      <c r="D56" s="2">
        <v>1</v>
      </c>
      <c r="E56" s="2">
        <v>60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67</v>
      </c>
      <c r="B57">
        <v>1</v>
      </c>
      <c r="C57">
        <v>30</v>
      </c>
      <c r="D57" s="2">
        <v>1</v>
      </c>
      <c r="E57" s="2">
        <v>120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61</v>
      </c>
      <c r="B58">
        <v>1</v>
      </c>
      <c r="C58">
        <v>30</v>
      </c>
      <c r="D58" s="2">
        <v>1</v>
      </c>
      <c r="E58" s="2">
        <v>60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71" t="s">
        <v>211</v>
      </c>
      <c r="B59">
        <v>6</v>
      </c>
      <c r="C59">
        <v>360</v>
      </c>
      <c r="D59" s="2">
        <v>6</v>
      </c>
      <c r="E59" s="2">
        <v>385</v>
      </c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4"/>
      <c r="G66" s="45"/>
      <c r="H66" s="44"/>
      <c r="I66" s="45"/>
      <c r="J66" s="46"/>
      <c r="L66" s="47"/>
      <c r="M66" s="48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  <c r="K110"/>
      <c r="L110"/>
      <c r="M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  <row r="134" spans="1:5" x14ac:dyDescent="0.2">
      <c r="A134"/>
      <c r="B134"/>
      <c r="C134"/>
      <c r="D134"/>
      <c r="E134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AG125"/>
  <sheetViews>
    <sheetView topLeftCell="H1" zoomScale="84" zoomScaleNormal="84" workbookViewId="0">
      <selection activeCell="A49" sqref="A49:M4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33" s="5" customFormat="1" ht="26.1" customHeight="1" x14ac:dyDescent="0.2">
      <c r="A49" s="107" t="s">
        <v>471</v>
      </c>
      <c r="B49" s="53" t="s">
        <v>36</v>
      </c>
      <c r="C49" s="53" t="s">
        <v>37</v>
      </c>
      <c r="D49" s="53">
        <v>1</v>
      </c>
      <c r="E49" s="53">
        <v>30</v>
      </c>
      <c r="F49" s="80">
        <v>45896</v>
      </c>
      <c r="G49" s="81">
        <v>0.375</v>
      </c>
      <c r="H49" s="80">
        <v>45890</v>
      </c>
      <c r="I49" s="81">
        <v>0.79166666666666663</v>
      </c>
      <c r="J49" s="87">
        <f t="shared" si="2"/>
        <v>0</v>
      </c>
      <c r="K49" s="53">
        <v>3</v>
      </c>
      <c r="L49" s="53">
        <v>30</v>
      </c>
      <c r="M49" s="79" t="s">
        <v>472</v>
      </c>
      <c r="N49" s="23" t="s">
        <v>146</v>
      </c>
      <c r="O49" s="11" t="s">
        <v>30</v>
      </c>
      <c r="P49" s="11" t="s">
        <v>83</v>
      </c>
      <c r="Q49" s="20">
        <v>1</v>
      </c>
      <c r="R49" s="29">
        <v>60</v>
      </c>
      <c r="S49" s="11">
        <v>45896</v>
      </c>
      <c r="T49" s="10">
        <v>0.375</v>
      </c>
      <c r="U49" s="11">
        <v>45890</v>
      </c>
      <c r="V49" s="10">
        <v>0.91666666666666663</v>
      </c>
      <c r="W49" s="9">
        <f>R49-Y49</f>
        <v>50</v>
      </c>
      <c r="X49" s="8">
        <v>1</v>
      </c>
      <c r="Y49" s="7">
        <v>10</v>
      </c>
      <c r="Z49" s="6" t="s">
        <v>149</v>
      </c>
      <c r="AD49" s="20">
        <v>1</v>
      </c>
      <c r="AE49" s="29">
        <v>20</v>
      </c>
      <c r="AF49" s="8">
        <v>1</v>
      </c>
      <c r="AG49" s="7">
        <v>20</v>
      </c>
    </row>
    <row r="50" spans="1:33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33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33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33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33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33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33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33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33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33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33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33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33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33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33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B38" zoomScale="84" zoomScaleNormal="84" workbookViewId="0">
      <selection activeCell="A42" sqref="A42:M4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1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45927</v>
      </c>
      <c r="G42" s="81">
        <v>0.375</v>
      </c>
      <c r="H42" s="80">
        <v>45902</v>
      </c>
      <c r="I42" s="81">
        <v>0.79166666666666663</v>
      </c>
      <c r="J42" s="87">
        <f t="shared" si="1"/>
        <v>0</v>
      </c>
      <c r="K42" s="53">
        <v>3</v>
      </c>
      <c r="L42" s="53">
        <v>30</v>
      </c>
      <c r="M42" s="79" t="s">
        <v>472</v>
      </c>
    </row>
    <row r="43" spans="1:13" s="5" customFormat="1" ht="38.25" customHeight="1" x14ac:dyDescent="0.2">
      <c r="A43" s="13" t="s">
        <v>204</v>
      </c>
      <c r="B43" s="13" t="s">
        <v>39</v>
      </c>
      <c r="C43" s="13" t="s">
        <v>40</v>
      </c>
      <c r="D43" s="58">
        <v>1</v>
      </c>
      <c r="E43" s="50">
        <v>60</v>
      </c>
      <c r="F43" s="11">
        <v>45927</v>
      </c>
      <c r="G43" s="10">
        <v>0.375</v>
      </c>
      <c r="H43" s="13">
        <v>45902</v>
      </c>
      <c r="I43" s="12">
        <v>0.93055555555555558</v>
      </c>
      <c r="J43" s="53">
        <f t="shared" si="1"/>
        <v>-2</v>
      </c>
      <c r="K43" s="50">
        <v>1</v>
      </c>
      <c r="L43" s="51">
        <v>62</v>
      </c>
      <c r="M43" s="52" t="s">
        <v>205</v>
      </c>
    </row>
    <row r="44" spans="1:13" s="5" customFormat="1" ht="38.25" customHeight="1" x14ac:dyDescent="0.2">
      <c r="A44" s="23" t="s">
        <v>146</v>
      </c>
      <c r="B44" s="11" t="s">
        <v>30</v>
      </c>
      <c r="C44" s="62" t="s">
        <v>207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69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42</v>
      </c>
      <c r="C45" s="11" t="s">
        <v>77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21</v>
      </c>
      <c r="C46" s="11" t="s">
        <v>22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136</v>
      </c>
      <c r="C47" s="11" t="s">
        <v>151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36</v>
      </c>
      <c r="C48" s="11" t="s">
        <v>80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146</v>
      </c>
      <c r="B49" s="11" t="s">
        <v>39</v>
      </c>
      <c r="C49" s="11" t="s">
        <v>150</v>
      </c>
      <c r="D49" s="66">
        <v>1</v>
      </c>
      <c r="E49" s="9">
        <v>60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50</v>
      </c>
      <c r="K49" s="65">
        <v>1</v>
      </c>
      <c r="L49" s="7">
        <v>10</v>
      </c>
      <c r="M49" s="6" t="s">
        <v>149</v>
      </c>
    </row>
    <row r="50" spans="1:13" s="5" customFormat="1" ht="24.95" customHeight="1" x14ac:dyDescent="0.2">
      <c r="A50" s="23" t="s">
        <v>52</v>
      </c>
      <c r="B50" s="21" t="s">
        <v>21</v>
      </c>
      <c r="C50" s="63" t="s">
        <v>22</v>
      </c>
      <c r="D50" s="66">
        <v>1</v>
      </c>
      <c r="E50" s="9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153</v>
      </c>
      <c r="B51" s="21" t="s">
        <v>36</v>
      </c>
      <c r="C51" s="63" t="s">
        <v>37</v>
      </c>
      <c r="D51" s="66">
        <v>1</v>
      </c>
      <c r="E51" s="64">
        <v>30</v>
      </c>
      <c r="F51" s="11">
        <v>45903</v>
      </c>
      <c r="G51" s="10">
        <v>0.375</v>
      </c>
      <c r="H51" s="11">
        <v>45902</v>
      </c>
      <c r="I51" s="10">
        <v>0.91666666666666663</v>
      </c>
      <c r="J51" s="9">
        <f t="shared" si="1"/>
        <v>0</v>
      </c>
      <c r="K51" s="65">
        <v>1</v>
      </c>
      <c r="L51" s="7">
        <v>30</v>
      </c>
      <c r="M51" s="6" t="s">
        <v>53</v>
      </c>
    </row>
    <row r="52" spans="1:13" s="5" customFormat="1" ht="35.450000000000003" customHeight="1" x14ac:dyDescent="0.2">
      <c r="A52" s="23" t="s">
        <v>79</v>
      </c>
      <c r="B52" s="11" t="s">
        <v>36</v>
      </c>
      <c r="C52" s="62" t="s">
        <v>37</v>
      </c>
      <c r="D52" s="66">
        <v>1</v>
      </c>
      <c r="E52" s="9">
        <v>45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-35</v>
      </c>
      <c r="K52" s="65">
        <v>1</v>
      </c>
      <c r="L52" s="7">
        <v>80</v>
      </c>
      <c r="M52" s="6" t="s">
        <v>81</v>
      </c>
    </row>
    <row r="53" spans="1:13" s="5" customFormat="1" ht="36.6" customHeight="1" x14ac:dyDescent="0.2">
      <c r="A53" s="23" t="s">
        <v>85</v>
      </c>
      <c r="B53" s="11" t="s">
        <v>21</v>
      </c>
      <c r="C53" s="62" t="s">
        <v>22</v>
      </c>
      <c r="D53" s="66">
        <v>1</v>
      </c>
      <c r="E53" s="9">
        <v>60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10</v>
      </c>
      <c r="K53" s="65">
        <v>1</v>
      </c>
      <c r="L53" s="7">
        <v>50</v>
      </c>
      <c r="M53" s="6" t="s">
        <v>87</v>
      </c>
    </row>
    <row r="54" spans="1:13" s="5" customFormat="1" ht="36.6" customHeight="1" x14ac:dyDescent="0.2">
      <c r="A54" s="23" t="s">
        <v>88</v>
      </c>
      <c r="B54" s="11" t="s">
        <v>21</v>
      </c>
      <c r="C54" s="11" t="s">
        <v>22</v>
      </c>
      <c r="D54" s="66">
        <v>1</v>
      </c>
      <c r="E54" s="9">
        <v>55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0</v>
      </c>
      <c r="K54" s="65">
        <v>1</v>
      </c>
      <c r="L54" s="7">
        <v>55</v>
      </c>
      <c r="M54" s="6" t="s">
        <v>89</v>
      </c>
    </row>
    <row r="55" spans="1:13" s="5" customFormat="1" ht="35.450000000000003" customHeight="1" x14ac:dyDescent="0.2">
      <c r="A55" s="33" t="s">
        <v>131</v>
      </c>
      <c r="B55" s="11" t="s">
        <v>36</v>
      </c>
      <c r="C55" s="11" t="s">
        <v>37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42</v>
      </c>
      <c r="C56" s="11" t="s">
        <v>43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30</v>
      </c>
      <c r="C57" s="11" t="s">
        <v>31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69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21</v>
      </c>
      <c r="C58" s="11" t="s">
        <v>22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136</v>
      </c>
      <c r="C59" s="11" t="s">
        <v>34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131</v>
      </c>
      <c r="B60" s="11" t="s">
        <v>39</v>
      </c>
      <c r="C60" s="11" t="s">
        <v>40</v>
      </c>
      <c r="D60" s="9">
        <v>1</v>
      </c>
      <c r="E60" s="9">
        <v>30</v>
      </c>
      <c r="F60" s="11">
        <v>45903</v>
      </c>
      <c r="G60" s="10">
        <v>0.375</v>
      </c>
      <c r="H60" s="11">
        <v>45902</v>
      </c>
      <c r="I60" s="10">
        <v>0.9375</v>
      </c>
      <c r="J60" s="9">
        <f t="shared" si="1"/>
        <v>-2</v>
      </c>
      <c r="K60" s="65">
        <v>1</v>
      </c>
      <c r="L60" s="7">
        <v>32</v>
      </c>
      <c r="M60" s="6" t="s">
        <v>132</v>
      </c>
    </row>
    <row r="61" spans="1:13" s="5" customFormat="1" ht="35.450000000000003" customHeight="1" x14ac:dyDescent="0.2">
      <c r="A61" s="33" t="s">
        <v>133</v>
      </c>
      <c r="B61" s="11" t="s">
        <v>21</v>
      </c>
      <c r="C61" s="11" t="s">
        <v>22</v>
      </c>
      <c r="D61" s="9">
        <v>3</v>
      </c>
      <c r="E61" s="9">
        <v>20</v>
      </c>
      <c r="F61" s="11">
        <v>45903</v>
      </c>
      <c r="G61" s="10">
        <v>0.375</v>
      </c>
      <c r="H61" s="11">
        <v>45903</v>
      </c>
      <c r="I61" s="10">
        <v>0.375</v>
      </c>
      <c r="J61" s="9">
        <f t="shared" si="1"/>
        <v>5</v>
      </c>
      <c r="K61" s="65">
        <v>3</v>
      </c>
      <c r="L61" s="7">
        <v>15</v>
      </c>
      <c r="M61" s="6" t="s">
        <v>134</v>
      </c>
    </row>
    <row r="62" spans="1:13" s="5" customFormat="1" ht="35.450000000000003" customHeight="1" x14ac:dyDescent="0.2">
      <c r="A62"/>
      <c r="B62"/>
      <c r="C62"/>
      <c r="D62"/>
      <c r="E62"/>
      <c r="F62"/>
      <c r="G62"/>
      <c r="H62"/>
      <c r="I62"/>
      <c r="J62"/>
      <c r="K62"/>
      <c r="L62" s="2"/>
      <c r="M62"/>
    </row>
    <row r="63" spans="1:13" s="5" customFormat="1" ht="35.450000000000003" customHeight="1" x14ac:dyDescent="0.2">
      <c r="A63" s="72"/>
      <c r="B63" s="73"/>
      <c r="C63" s="73"/>
      <c r="D63" s="73"/>
      <c r="E63" s="74"/>
      <c r="F63" s="4"/>
      <c r="G63" s="4"/>
      <c r="H63" s="70" t="s">
        <v>210</v>
      </c>
      <c r="I63" t="s">
        <v>212</v>
      </c>
      <c r="J63" t="s">
        <v>213</v>
      </c>
      <c r="K63" t="s">
        <v>214</v>
      </c>
      <c r="L63" t="s">
        <v>215</v>
      </c>
      <c r="M63" s="1"/>
    </row>
    <row r="64" spans="1:13" s="5" customFormat="1" ht="35.450000000000003" customHeight="1" x14ac:dyDescent="0.2">
      <c r="A64" s="72"/>
      <c r="B64" s="75"/>
      <c r="C64" s="76"/>
      <c r="D64" s="75"/>
      <c r="E64" s="75"/>
      <c r="F64" s="4"/>
      <c r="G64" s="4"/>
      <c r="H64" s="71" t="s">
        <v>36</v>
      </c>
      <c r="I64" s="2">
        <v>329</v>
      </c>
      <c r="J64" s="2">
        <v>10</v>
      </c>
      <c r="K64" s="2">
        <v>355</v>
      </c>
      <c r="L64" s="2">
        <v>11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39</v>
      </c>
      <c r="I65" s="2">
        <v>283</v>
      </c>
      <c r="J65" s="2">
        <v>13</v>
      </c>
      <c r="K65" s="2">
        <v>340</v>
      </c>
      <c r="L65" s="2">
        <v>13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21</v>
      </c>
      <c r="I66" s="2">
        <v>350</v>
      </c>
      <c r="J66" s="2">
        <v>15</v>
      </c>
      <c r="K66" s="2">
        <v>435</v>
      </c>
      <c r="L66" s="2">
        <v>14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136</v>
      </c>
      <c r="I67" s="2">
        <v>183</v>
      </c>
      <c r="J67" s="2">
        <v>8</v>
      </c>
      <c r="K67" s="2">
        <v>255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42</v>
      </c>
      <c r="I68" s="2">
        <v>187</v>
      </c>
      <c r="J68" s="2">
        <v>8</v>
      </c>
      <c r="K68" s="2">
        <v>240</v>
      </c>
      <c r="L68" s="2">
        <v>8</v>
      </c>
      <c r="M68" s="1"/>
    </row>
    <row r="69" spans="1:13" ht="28.5" customHeight="1" x14ac:dyDescent="0.2">
      <c r="H69" s="71" t="s">
        <v>30</v>
      </c>
      <c r="I69" s="2">
        <v>222</v>
      </c>
      <c r="J69" s="2">
        <v>9</v>
      </c>
      <c r="K69" s="2">
        <v>290</v>
      </c>
      <c r="L69" s="2">
        <v>9</v>
      </c>
    </row>
    <row r="70" spans="1:13" ht="30.75" customHeight="1" x14ac:dyDescent="0.2">
      <c r="H70" s="71" t="s">
        <v>211</v>
      </c>
      <c r="I70" s="2">
        <v>1554</v>
      </c>
      <c r="J70" s="2">
        <v>63</v>
      </c>
      <c r="K70" s="2">
        <v>1915</v>
      </c>
      <c r="L70" s="2">
        <v>63</v>
      </c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  <c r="K72"/>
      <c r="L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>
      <c r="H78"/>
      <c r="I78"/>
      <c r="J78"/>
    </row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1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6"/>
  <sheetViews>
    <sheetView topLeftCell="A68" zoomScale="84" zoomScaleNormal="76" workbookViewId="0">
      <selection activeCell="E74" sqref="E74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107" t="s">
        <v>471</v>
      </c>
      <c r="B74" s="53" t="s">
        <v>36</v>
      </c>
      <c r="C74" s="53" t="s">
        <v>37</v>
      </c>
      <c r="D74" s="53">
        <v>1</v>
      </c>
      <c r="E74" s="53">
        <v>30</v>
      </c>
      <c r="F74" s="80">
        <v>45909</v>
      </c>
      <c r="G74" s="81">
        <v>0.375</v>
      </c>
      <c r="H74" s="80">
        <v>45930</v>
      </c>
      <c r="I74" s="81">
        <v>0.79166666666666663</v>
      </c>
      <c r="J74" s="87">
        <f t="shared" si="0"/>
        <v>0</v>
      </c>
      <c r="K74" s="53">
        <v>3</v>
      </c>
      <c r="L74" s="53">
        <v>30</v>
      </c>
      <c r="M74" s="79" t="s">
        <v>472</v>
      </c>
    </row>
    <row r="75" spans="1:13" s="5" customFormat="1" ht="35.450000000000003" customHeight="1" x14ac:dyDescent="0.2">
      <c r="A75" s="92" t="s">
        <v>123</v>
      </c>
      <c r="B75" s="90" t="s">
        <v>36</v>
      </c>
      <c r="C75" s="85" t="s">
        <v>37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7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38" t="s">
        <v>123</v>
      </c>
      <c r="B76" s="90" t="s">
        <v>143</v>
      </c>
      <c r="C76" s="85" t="s">
        <v>43</v>
      </c>
      <c r="D76" s="49">
        <v>1</v>
      </c>
      <c r="E76" s="49">
        <v>20</v>
      </c>
      <c r="F76" s="85">
        <v>45909</v>
      </c>
      <c r="G76" s="86">
        <v>0.375</v>
      </c>
      <c r="H76" s="85">
        <v>45907</v>
      </c>
      <c r="I76" s="86">
        <v>0.80555555555555558</v>
      </c>
      <c r="J76" s="87">
        <f t="shared" si="1"/>
        <v>0</v>
      </c>
      <c r="K76" s="8">
        <v>1</v>
      </c>
      <c r="L76" s="88">
        <v>20</v>
      </c>
      <c r="M76" s="93" t="s">
        <v>124</v>
      </c>
    </row>
    <row r="77" spans="1:13" s="5" customFormat="1" ht="35.450000000000003" customHeight="1" x14ac:dyDescent="0.2">
      <c r="A77" s="13" t="s">
        <v>175</v>
      </c>
      <c r="B77" s="96" t="s">
        <v>36</v>
      </c>
      <c r="C77" s="13" t="s">
        <v>37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6</v>
      </c>
      <c r="K77" s="50">
        <v>1</v>
      </c>
      <c r="L77" s="68">
        <v>24</v>
      </c>
      <c r="M77" s="52" t="s">
        <v>176</v>
      </c>
    </row>
    <row r="78" spans="1:13" s="5" customFormat="1" ht="35.450000000000003" customHeight="1" x14ac:dyDescent="0.2">
      <c r="A78" s="13" t="s">
        <v>177</v>
      </c>
      <c r="B78" s="96" t="s">
        <v>39</v>
      </c>
      <c r="C78" s="13" t="s">
        <v>40</v>
      </c>
      <c r="D78" s="53">
        <v>1</v>
      </c>
      <c r="E78" s="53">
        <v>30</v>
      </c>
      <c r="F78" s="13">
        <v>45909</v>
      </c>
      <c r="G78" s="86">
        <v>0.375</v>
      </c>
      <c r="H78" s="13">
        <v>45907</v>
      </c>
      <c r="I78" s="12">
        <v>0.83333333333333337</v>
      </c>
      <c r="J78" s="53">
        <f t="shared" si="1"/>
        <v>0</v>
      </c>
      <c r="K78" s="50">
        <v>1</v>
      </c>
      <c r="L78" s="68">
        <v>30</v>
      </c>
      <c r="M78" s="52" t="s">
        <v>178</v>
      </c>
    </row>
    <row r="79" spans="1:13" s="5" customFormat="1" ht="35.450000000000003" customHeight="1" x14ac:dyDescent="0.2">
      <c r="A79" s="61" t="s">
        <v>179</v>
      </c>
      <c r="B79" s="96" t="s">
        <v>39</v>
      </c>
      <c r="C79" s="13" t="s">
        <v>40</v>
      </c>
      <c r="D79" s="53">
        <v>5</v>
      </c>
      <c r="E79" s="53">
        <v>50</v>
      </c>
      <c r="F79" s="13">
        <v>45909</v>
      </c>
      <c r="G79" s="86">
        <v>0.375</v>
      </c>
      <c r="H79" s="13">
        <v>45907</v>
      </c>
      <c r="I79" s="12">
        <v>0.86805555555555558</v>
      </c>
      <c r="J79" s="53">
        <f t="shared" si="1"/>
        <v>5</v>
      </c>
      <c r="K79" s="50">
        <v>5</v>
      </c>
      <c r="L79" s="68">
        <v>45</v>
      </c>
      <c r="M79" s="52" t="s">
        <v>180</v>
      </c>
    </row>
    <row r="80" spans="1:13" s="5" customFormat="1" ht="35.450000000000003" customHeight="1" x14ac:dyDescent="0.2">
      <c r="A80" s="23" t="s">
        <v>146</v>
      </c>
      <c r="B80" s="90" t="s">
        <v>30</v>
      </c>
      <c r="C80" s="90" t="s">
        <v>207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42</v>
      </c>
      <c r="C81" s="85" t="s">
        <v>77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21</v>
      </c>
      <c r="C82" s="85" t="s">
        <v>86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136</v>
      </c>
      <c r="C83" s="85" t="s">
        <v>151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36</v>
      </c>
      <c r="C84" s="85" t="s">
        <v>80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36" x14ac:dyDescent="0.2">
      <c r="A85" s="23" t="s">
        <v>146</v>
      </c>
      <c r="B85" s="90" t="s">
        <v>39</v>
      </c>
      <c r="C85" s="85" t="s">
        <v>150</v>
      </c>
      <c r="D85" s="84">
        <v>1</v>
      </c>
      <c r="E85" s="49">
        <v>60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50</v>
      </c>
      <c r="K85" s="8">
        <v>1</v>
      </c>
      <c r="L85" s="88">
        <v>10</v>
      </c>
      <c r="M85" s="91" t="s">
        <v>149</v>
      </c>
    </row>
    <row r="86" spans="1:13" ht="24" x14ac:dyDescent="0.2">
      <c r="A86" s="23" t="s">
        <v>52</v>
      </c>
      <c r="B86" s="90" t="s">
        <v>21</v>
      </c>
      <c r="C86" s="90" t="s">
        <v>22</v>
      </c>
      <c r="D86" s="84">
        <v>1</v>
      </c>
      <c r="E86" s="49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153</v>
      </c>
      <c r="B87" s="90" t="s">
        <v>36</v>
      </c>
      <c r="C87" s="90" t="s">
        <v>37</v>
      </c>
      <c r="D87" s="84">
        <v>1</v>
      </c>
      <c r="E87" s="5">
        <v>30</v>
      </c>
      <c r="F87" s="85">
        <v>45909</v>
      </c>
      <c r="G87" s="86">
        <v>0.375</v>
      </c>
      <c r="H87" s="85">
        <v>45907</v>
      </c>
      <c r="I87" s="86">
        <v>0.91666666666666663</v>
      </c>
      <c r="J87" s="87">
        <f t="shared" si="1"/>
        <v>0</v>
      </c>
      <c r="K87" s="8">
        <v>1</v>
      </c>
      <c r="L87" s="88">
        <v>30</v>
      </c>
      <c r="M87" s="91" t="s">
        <v>53</v>
      </c>
    </row>
    <row r="88" spans="1:13" ht="24" x14ac:dyDescent="0.2">
      <c r="A88" s="23" t="s">
        <v>79</v>
      </c>
      <c r="B88" s="90" t="s">
        <v>36</v>
      </c>
      <c r="C88" s="90" t="s">
        <v>37</v>
      </c>
      <c r="D88" s="84">
        <v>1</v>
      </c>
      <c r="E88" s="49">
        <v>45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-35</v>
      </c>
      <c r="K88" s="8">
        <v>1</v>
      </c>
      <c r="L88" s="88">
        <v>80</v>
      </c>
      <c r="M88" s="91" t="s">
        <v>81</v>
      </c>
    </row>
    <row r="89" spans="1:13" ht="36" x14ac:dyDescent="0.2">
      <c r="A89" s="23" t="s">
        <v>85</v>
      </c>
      <c r="B89" s="90" t="s">
        <v>21</v>
      </c>
      <c r="C89" s="90" t="s">
        <v>22</v>
      </c>
      <c r="D89" s="84">
        <v>1</v>
      </c>
      <c r="E89" s="49">
        <v>60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10</v>
      </c>
      <c r="K89" s="8">
        <v>1</v>
      </c>
      <c r="L89" s="88">
        <v>50</v>
      </c>
      <c r="M89" s="91" t="s">
        <v>87</v>
      </c>
    </row>
    <row r="90" spans="1:13" ht="24" x14ac:dyDescent="0.2">
      <c r="A90" s="23" t="s">
        <v>88</v>
      </c>
      <c r="B90" s="90" t="s">
        <v>21</v>
      </c>
      <c r="C90" s="85" t="s">
        <v>22</v>
      </c>
      <c r="D90" s="84">
        <v>1</v>
      </c>
      <c r="E90" s="49">
        <v>55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0</v>
      </c>
      <c r="K90" s="8">
        <v>1</v>
      </c>
      <c r="L90" s="88">
        <v>55</v>
      </c>
      <c r="M90" s="91" t="s">
        <v>89</v>
      </c>
    </row>
    <row r="91" spans="1:13" ht="24" x14ac:dyDescent="0.2">
      <c r="A91" s="33" t="s">
        <v>131</v>
      </c>
      <c r="B91" s="90" t="s">
        <v>36</v>
      </c>
      <c r="C91" s="85" t="s">
        <v>37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42</v>
      </c>
      <c r="C92" s="85" t="s">
        <v>43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30</v>
      </c>
      <c r="C93" s="85" t="s">
        <v>31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21</v>
      </c>
      <c r="C94" s="85" t="s">
        <v>22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136</v>
      </c>
      <c r="C95" s="85" t="s">
        <v>34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131</v>
      </c>
      <c r="B96" s="90" t="s">
        <v>39</v>
      </c>
      <c r="C96" s="85" t="s">
        <v>40</v>
      </c>
      <c r="D96" s="49">
        <v>1</v>
      </c>
      <c r="E96" s="49">
        <v>30</v>
      </c>
      <c r="F96" s="85">
        <v>45909</v>
      </c>
      <c r="G96" s="86">
        <v>0.375</v>
      </c>
      <c r="H96" s="85">
        <v>45907</v>
      </c>
      <c r="I96" s="86">
        <v>0.9375</v>
      </c>
      <c r="J96" s="87">
        <f t="shared" si="1"/>
        <v>-2</v>
      </c>
      <c r="K96" s="8">
        <v>1</v>
      </c>
      <c r="L96" s="88">
        <v>32</v>
      </c>
      <c r="M96" s="91" t="s">
        <v>132</v>
      </c>
    </row>
    <row r="97" spans="1:13" ht="24" x14ac:dyDescent="0.2">
      <c r="A97" s="33" t="s">
        <v>133</v>
      </c>
      <c r="B97" s="90" t="s">
        <v>21</v>
      </c>
      <c r="C97" s="85" t="s">
        <v>22</v>
      </c>
      <c r="D97" s="49">
        <v>3</v>
      </c>
      <c r="E97" s="49">
        <v>20</v>
      </c>
      <c r="F97" s="85">
        <v>45909</v>
      </c>
      <c r="G97" s="86">
        <v>0.375</v>
      </c>
      <c r="H97" s="85">
        <v>45908</v>
      </c>
      <c r="I97" s="86">
        <v>0.375</v>
      </c>
      <c r="J97" s="87">
        <f t="shared" si="1"/>
        <v>5</v>
      </c>
      <c r="K97" s="8">
        <v>3</v>
      </c>
      <c r="L97" s="88">
        <v>15</v>
      </c>
      <c r="M97" s="91" t="s">
        <v>134</v>
      </c>
    </row>
    <row r="98" spans="1:13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">
      <c r="A99" s="70" t="s">
        <v>210</v>
      </c>
      <c r="B99" t="s">
        <v>215</v>
      </c>
      <c r="C99" t="s">
        <v>214</v>
      </c>
      <c r="D99" t="s">
        <v>212</v>
      </c>
      <c r="E99" t="s">
        <v>213</v>
      </c>
    </row>
    <row r="100" spans="1:13" x14ac:dyDescent="0.2">
      <c r="A100" s="71" t="s">
        <v>36</v>
      </c>
      <c r="B100">
        <v>22</v>
      </c>
      <c r="C100">
        <v>550</v>
      </c>
      <c r="D100">
        <v>535</v>
      </c>
      <c r="E100">
        <v>25</v>
      </c>
    </row>
    <row r="101" spans="1:13" x14ac:dyDescent="0.2">
      <c r="A101" s="71" t="s">
        <v>39</v>
      </c>
      <c r="B101">
        <v>18</v>
      </c>
      <c r="C101">
        <v>370</v>
      </c>
      <c r="D101">
        <v>296</v>
      </c>
      <c r="E101">
        <v>18</v>
      </c>
    </row>
    <row r="102" spans="1:13" x14ac:dyDescent="0.2">
      <c r="A102" s="71" t="s">
        <v>21</v>
      </c>
      <c r="B102">
        <v>22</v>
      </c>
      <c r="C102">
        <v>730</v>
      </c>
      <c r="D102">
        <v>555</v>
      </c>
      <c r="E102">
        <v>23</v>
      </c>
    </row>
    <row r="103" spans="1:13" x14ac:dyDescent="0.2">
      <c r="A103" s="71" t="s">
        <v>136</v>
      </c>
      <c r="B103">
        <v>16</v>
      </c>
      <c r="C103">
        <v>565</v>
      </c>
      <c r="D103">
        <v>402</v>
      </c>
      <c r="E103">
        <v>15</v>
      </c>
    </row>
    <row r="104" spans="1:13" x14ac:dyDescent="0.2">
      <c r="A104" s="71" t="s">
        <v>42</v>
      </c>
      <c r="B104">
        <v>17</v>
      </c>
      <c r="C104">
        <v>395</v>
      </c>
      <c r="D104">
        <v>342</v>
      </c>
      <c r="E104">
        <v>19</v>
      </c>
    </row>
    <row r="105" spans="1:13" x14ac:dyDescent="0.2">
      <c r="A105" s="71" t="s">
        <v>30</v>
      </c>
      <c r="B105">
        <v>13</v>
      </c>
      <c r="C105">
        <v>320</v>
      </c>
      <c r="D105">
        <v>262</v>
      </c>
      <c r="E105">
        <v>14</v>
      </c>
    </row>
    <row r="106" spans="1:13" x14ac:dyDescent="0.2">
      <c r="A106" s="71" t="s">
        <v>211</v>
      </c>
      <c r="B106">
        <v>108</v>
      </c>
      <c r="C106">
        <v>2930</v>
      </c>
      <c r="D106">
        <v>2392</v>
      </c>
      <c r="E106">
        <v>114</v>
      </c>
    </row>
    <row r="107" spans="1:13" x14ac:dyDescent="0.2">
      <c r="A107"/>
      <c r="B107"/>
      <c r="C107"/>
      <c r="D107"/>
      <c r="E107"/>
    </row>
    <row r="108" spans="1:13" x14ac:dyDescent="0.2">
      <c r="A108"/>
      <c r="B108"/>
      <c r="C108"/>
    </row>
    <row r="109" spans="1:13" x14ac:dyDescent="0.2">
      <c r="A109"/>
      <c r="B109"/>
      <c r="C109"/>
    </row>
    <row r="110" spans="1:13" x14ac:dyDescent="0.2">
      <c r="A110" s="95" t="s">
        <v>317</v>
      </c>
      <c r="B110" s="53">
        <v>33</v>
      </c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20" x14ac:dyDescent="0.2">
      <c r="A116"/>
      <c r="B116"/>
      <c r="C116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>
      <c r="A125" s="70" t="s">
        <v>210</v>
      </c>
      <c r="B125" t="s">
        <v>213</v>
      </c>
      <c r="C125" t="s">
        <v>215</v>
      </c>
    </row>
    <row r="126" spans="1:20" ht="33.75" customHeight="1" x14ac:dyDescent="0.2">
      <c r="A126" s="71" t="s">
        <v>36</v>
      </c>
      <c r="B126">
        <v>25</v>
      </c>
      <c r="C126">
        <v>22</v>
      </c>
    </row>
    <row r="127" spans="1:20" ht="26.25" customHeight="1" x14ac:dyDescent="0.2">
      <c r="A127" s="71" t="s">
        <v>39</v>
      </c>
      <c r="B127">
        <v>18</v>
      </c>
      <c r="C127">
        <v>18</v>
      </c>
    </row>
    <row r="128" spans="1:20" ht="27.75" customHeight="1" x14ac:dyDescent="0.2">
      <c r="A128" s="71" t="s">
        <v>21</v>
      </c>
      <c r="B128">
        <v>23</v>
      </c>
      <c r="C128">
        <v>22</v>
      </c>
    </row>
    <row r="129" spans="1:3" ht="40.5" customHeight="1" x14ac:dyDescent="0.2">
      <c r="A129" s="71" t="s">
        <v>136</v>
      </c>
      <c r="B129">
        <v>15</v>
      </c>
      <c r="C129">
        <v>16</v>
      </c>
    </row>
    <row r="130" spans="1:3" x14ac:dyDescent="0.2">
      <c r="A130" s="71" t="s">
        <v>42</v>
      </c>
      <c r="B130">
        <v>19</v>
      </c>
      <c r="C130">
        <v>17</v>
      </c>
    </row>
    <row r="131" spans="1:3" x14ac:dyDescent="0.2">
      <c r="A131" s="71" t="s">
        <v>30</v>
      </c>
      <c r="B131">
        <v>14</v>
      </c>
      <c r="C131">
        <v>13</v>
      </c>
    </row>
    <row r="132" spans="1:3" x14ac:dyDescent="0.2">
      <c r="A132" s="71" t="s">
        <v>211</v>
      </c>
      <c r="B132">
        <v>114</v>
      </c>
      <c r="C132">
        <v>108</v>
      </c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</row>
    <row r="144" spans="1:3" x14ac:dyDescent="0.2">
      <c r="A144"/>
    </row>
    <row r="145" spans="1:1" x14ac:dyDescent="0.2">
      <c r="A145"/>
    </row>
    <row r="146" spans="1:1" x14ac:dyDescent="0.2">
      <c r="A14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6" zoomScale="84" zoomScaleNormal="76" workbookViewId="0">
      <selection activeCell="F33" sqref="F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+A37+A1:L7+A7:L7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6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107" t="s">
        <v>471</v>
      </c>
      <c r="B32" s="53" t="s">
        <v>36</v>
      </c>
      <c r="C32" s="53" t="s">
        <v>37</v>
      </c>
      <c r="D32" s="53">
        <v>1</v>
      </c>
      <c r="E32" s="53">
        <v>30</v>
      </c>
      <c r="F32" s="80">
        <v>45917</v>
      </c>
      <c r="G32" s="81">
        <v>0.375</v>
      </c>
      <c r="H32" s="80">
        <v>45930</v>
      </c>
      <c r="I32" s="81">
        <v>0.79166666666666663</v>
      </c>
      <c r="J32" s="87">
        <f t="shared" si="0"/>
        <v>0</v>
      </c>
      <c r="K32" s="53">
        <v>3</v>
      </c>
      <c r="L32" s="53">
        <v>30</v>
      </c>
      <c r="M32" s="79" t="s">
        <v>472</v>
      </c>
    </row>
    <row r="33" spans="1:13" s="5" customFormat="1" ht="42" customHeight="1" x14ac:dyDescent="0.2">
      <c r="A33" s="79" t="s">
        <v>353</v>
      </c>
      <c r="B33" s="95" t="s">
        <v>42</v>
      </c>
      <c r="C33" s="53" t="s">
        <v>43</v>
      </c>
      <c r="D33" s="53">
        <v>1</v>
      </c>
      <c r="E33" s="53">
        <v>30</v>
      </c>
      <c r="F33" s="80">
        <v>45917</v>
      </c>
      <c r="G33" s="81">
        <v>0.375</v>
      </c>
      <c r="H33" s="80">
        <v>45916</v>
      </c>
      <c r="I33" s="81">
        <v>0.79166666666666663</v>
      </c>
      <c r="J33" s="87">
        <f t="shared" si="0"/>
        <v>5</v>
      </c>
      <c r="K33" s="53">
        <v>1</v>
      </c>
      <c r="L33" s="53">
        <v>25</v>
      </c>
      <c r="M33" s="79" t="s">
        <v>354</v>
      </c>
    </row>
    <row r="34" spans="1:13" s="5" customFormat="1" ht="39" customHeight="1" x14ac:dyDescent="0.2">
      <c r="A34" s="106" t="s">
        <v>123</v>
      </c>
      <c r="B34" s="90" t="s">
        <v>36</v>
      </c>
      <c r="C34" s="85" t="s">
        <v>37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38" t="s">
        <v>123</v>
      </c>
      <c r="B35" s="90" t="s">
        <v>143</v>
      </c>
      <c r="C35" s="85" t="s">
        <v>43</v>
      </c>
      <c r="D35" s="49">
        <v>1</v>
      </c>
      <c r="E35" s="49">
        <v>20</v>
      </c>
      <c r="F35" s="85">
        <v>45917</v>
      </c>
      <c r="G35" s="86">
        <v>0.375</v>
      </c>
      <c r="H35" s="85">
        <v>45916</v>
      </c>
      <c r="I35" s="86">
        <v>0.80555555555555558</v>
      </c>
      <c r="J35" s="87">
        <f t="shared" si="0"/>
        <v>0</v>
      </c>
      <c r="K35" s="8">
        <v>1</v>
      </c>
      <c r="L35" s="88">
        <v>20</v>
      </c>
      <c r="M35" s="93" t="s">
        <v>124</v>
      </c>
    </row>
    <row r="36" spans="1:13" s="5" customFormat="1" ht="47.25" customHeight="1" x14ac:dyDescent="0.2">
      <c r="A36" s="13" t="s">
        <v>175</v>
      </c>
      <c r="B36" s="96" t="s">
        <v>36</v>
      </c>
      <c r="C36" s="13" t="s">
        <v>37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6</v>
      </c>
      <c r="K36" s="50">
        <v>1</v>
      </c>
      <c r="L36" s="68">
        <v>24</v>
      </c>
      <c r="M36" s="52" t="s">
        <v>176</v>
      </c>
    </row>
    <row r="37" spans="1:13" s="5" customFormat="1" ht="33.950000000000003" customHeight="1" x14ac:dyDescent="0.2">
      <c r="A37" s="13" t="s">
        <v>177</v>
      </c>
      <c r="B37" s="96" t="s">
        <v>39</v>
      </c>
      <c r="C37" s="13" t="s">
        <v>40</v>
      </c>
      <c r="D37" s="53">
        <v>1</v>
      </c>
      <c r="E37" s="53">
        <v>30</v>
      </c>
      <c r="F37" s="13">
        <v>45917</v>
      </c>
      <c r="G37" s="86">
        <v>0.375</v>
      </c>
      <c r="H37" s="13">
        <v>45916</v>
      </c>
      <c r="I37" s="12">
        <v>0.83333333333333337</v>
      </c>
      <c r="J37" s="53">
        <f t="shared" si="0"/>
        <v>0</v>
      </c>
      <c r="K37" s="50">
        <v>1</v>
      </c>
      <c r="L37" s="68">
        <v>30</v>
      </c>
      <c r="M37" s="52" t="s">
        <v>178</v>
      </c>
    </row>
    <row r="38" spans="1:13" s="5" customFormat="1" ht="28.5" customHeight="1" x14ac:dyDescent="0.2">
      <c r="A38" s="61" t="s">
        <v>179</v>
      </c>
      <c r="B38" s="96" t="s">
        <v>39</v>
      </c>
      <c r="C38" s="13" t="s">
        <v>40</v>
      </c>
      <c r="D38" s="53">
        <v>5</v>
      </c>
      <c r="E38" s="53">
        <v>50</v>
      </c>
      <c r="F38" s="13">
        <v>45917</v>
      </c>
      <c r="G38" s="86">
        <v>0.375</v>
      </c>
      <c r="H38" s="13">
        <v>45916</v>
      </c>
      <c r="I38" s="12">
        <v>0.86805555555555558</v>
      </c>
      <c r="J38" s="53">
        <f t="shared" si="0"/>
        <v>5</v>
      </c>
      <c r="K38" s="50">
        <v>5</v>
      </c>
      <c r="L38" s="68">
        <v>45</v>
      </c>
      <c r="M38" s="52" t="s">
        <v>180</v>
      </c>
    </row>
    <row r="39" spans="1:13" s="5" customFormat="1" ht="39" customHeight="1" x14ac:dyDescent="0.2">
      <c r="A39" s="23" t="s">
        <v>146</v>
      </c>
      <c r="B39" s="90" t="s">
        <v>30</v>
      </c>
      <c r="C39" s="90" t="s">
        <v>207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42</v>
      </c>
      <c r="C40" s="85" t="s">
        <v>77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21</v>
      </c>
      <c r="C41" s="85" t="s">
        <v>86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136</v>
      </c>
      <c r="C42" s="85" t="s">
        <v>151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36</v>
      </c>
      <c r="C43" s="85" t="s">
        <v>80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146</v>
      </c>
      <c r="B44" s="90" t="s">
        <v>39</v>
      </c>
      <c r="C44" s="85" t="s">
        <v>150</v>
      </c>
      <c r="D44" s="84">
        <v>1</v>
      </c>
      <c r="E44" s="49">
        <v>60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50</v>
      </c>
      <c r="K44" s="8">
        <v>1</v>
      </c>
      <c r="L44" s="88">
        <v>10</v>
      </c>
      <c r="M44" s="91" t="s">
        <v>149</v>
      </c>
    </row>
    <row r="45" spans="1:13" s="5" customFormat="1" ht="47.1" customHeight="1" x14ac:dyDescent="0.2">
      <c r="A45" s="23" t="s">
        <v>52</v>
      </c>
      <c r="B45" s="90" t="s">
        <v>21</v>
      </c>
      <c r="C45" s="90" t="s">
        <v>22</v>
      </c>
      <c r="D45" s="84">
        <v>1</v>
      </c>
      <c r="E45" s="49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153</v>
      </c>
      <c r="B46" s="90" t="s">
        <v>36</v>
      </c>
      <c r="C46" s="90" t="s">
        <v>37</v>
      </c>
      <c r="D46" s="84">
        <v>1</v>
      </c>
      <c r="E46" s="5">
        <v>30</v>
      </c>
      <c r="F46" s="85">
        <v>45917</v>
      </c>
      <c r="G46" s="86">
        <v>0.375</v>
      </c>
      <c r="H46" s="85">
        <v>45916</v>
      </c>
      <c r="I46" s="86">
        <v>0.91666666666666663</v>
      </c>
      <c r="J46" s="87">
        <f t="shared" si="0"/>
        <v>0</v>
      </c>
      <c r="K46" s="8">
        <v>1</v>
      </c>
      <c r="L46" s="88">
        <v>30</v>
      </c>
      <c r="M46" s="91" t="s">
        <v>53</v>
      </c>
    </row>
    <row r="47" spans="1:13" s="5" customFormat="1" ht="42.75" customHeight="1" x14ac:dyDescent="0.2">
      <c r="A47" s="23" t="s">
        <v>79</v>
      </c>
      <c r="B47" s="90" t="s">
        <v>36</v>
      </c>
      <c r="C47" s="90" t="s">
        <v>37</v>
      </c>
      <c r="D47" s="84">
        <v>1</v>
      </c>
      <c r="E47" s="49">
        <v>45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-35</v>
      </c>
      <c r="K47" s="8">
        <v>1</v>
      </c>
      <c r="L47" s="88">
        <v>80</v>
      </c>
      <c r="M47" s="91" t="s">
        <v>81</v>
      </c>
    </row>
    <row r="48" spans="1:13" s="5" customFormat="1" ht="39" customHeight="1" x14ac:dyDescent="0.2">
      <c r="A48" s="23" t="s">
        <v>85</v>
      </c>
      <c r="B48" s="90" t="s">
        <v>21</v>
      </c>
      <c r="C48" s="90" t="s">
        <v>22</v>
      </c>
      <c r="D48" s="84">
        <v>1</v>
      </c>
      <c r="E48" s="49">
        <v>60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10</v>
      </c>
      <c r="K48" s="8">
        <v>1</v>
      </c>
      <c r="L48" s="88">
        <v>50</v>
      </c>
      <c r="M48" s="91" t="s">
        <v>87</v>
      </c>
    </row>
    <row r="49" spans="1:13" s="5" customFormat="1" ht="29.25" customHeight="1" x14ac:dyDescent="0.2">
      <c r="A49" s="23" t="s">
        <v>88</v>
      </c>
      <c r="B49" s="90" t="s">
        <v>21</v>
      </c>
      <c r="C49" s="85" t="s">
        <v>22</v>
      </c>
      <c r="D49" s="84">
        <v>1</v>
      </c>
      <c r="E49" s="49">
        <v>55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0</v>
      </c>
      <c r="K49" s="8">
        <v>1</v>
      </c>
      <c r="L49" s="88">
        <v>55</v>
      </c>
      <c r="M49" s="91" t="s">
        <v>89</v>
      </c>
    </row>
    <row r="50" spans="1:13" s="5" customFormat="1" ht="31.5" customHeight="1" x14ac:dyDescent="0.2">
      <c r="A50" s="33" t="s">
        <v>131</v>
      </c>
      <c r="B50" s="90" t="s">
        <v>36</v>
      </c>
      <c r="C50" s="85" t="s">
        <v>37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42</v>
      </c>
      <c r="C51" s="85" t="s">
        <v>43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30</v>
      </c>
      <c r="C52" s="85" t="s">
        <v>31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21</v>
      </c>
      <c r="C53" s="85" t="s">
        <v>22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136</v>
      </c>
      <c r="C54" s="85" t="s">
        <v>34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131</v>
      </c>
      <c r="B55" s="90" t="s">
        <v>39</v>
      </c>
      <c r="C55" s="85" t="s">
        <v>40</v>
      </c>
      <c r="D55" s="49">
        <v>1</v>
      </c>
      <c r="E55" s="49">
        <v>30</v>
      </c>
      <c r="F55" s="85">
        <v>45917</v>
      </c>
      <c r="G55" s="86">
        <v>0.375</v>
      </c>
      <c r="H55" s="85">
        <v>45916</v>
      </c>
      <c r="I55" s="86">
        <v>0.9375</v>
      </c>
      <c r="J55" s="87">
        <f t="shared" si="0"/>
        <v>-2</v>
      </c>
      <c r="K55" s="8">
        <v>1</v>
      </c>
      <c r="L55" s="88">
        <v>32</v>
      </c>
      <c r="M55" s="91" t="s">
        <v>132</v>
      </c>
    </row>
    <row r="56" spans="1:13" s="5" customFormat="1" ht="40.5" customHeight="1" x14ac:dyDescent="0.2">
      <c r="A56" s="33" t="s">
        <v>133</v>
      </c>
      <c r="B56" s="90" t="s">
        <v>21</v>
      </c>
      <c r="C56" s="85" t="s">
        <v>22</v>
      </c>
      <c r="D56" s="49">
        <v>3</v>
      </c>
      <c r="E56" s="49">
        <v>20</v>
      </c>
      <c r="F56" s="85">
        <v>45917</v>
      </c>
      <c r="G56" s="86">
        <v>0.375</v>
      </c>
      <c r="H56" s="85">
        <v>45917</v>
      </c>
      <c r="I56" s="86">
        <v>0.375</v>
      </c>
      <c r="J56" s="87">
        <f t="shared" si="0"/>
        <v>5</v>
      </c>
      <c r="K56" s="8">
        <v>3</v>
      </c>
      <c r="L56" s="88">
        <v>15</v>
      </c>
      <c r="M56" s="91" t="s">
        <v>134</v>
      </c>
    </row>
    <row r="57" spans="1:13" s="5" customFormat="1" ht="40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5" customFormat="1" ht="38.25" customHeight="1" x14ac:dyDescent="0.2">
      <c r="A58" s="70" t="s">
        <v>210</v>
      </c>
      <c r="B58" t="s">
        <v>215</v>
      </c>
      <c r="C58" t="s">
        <v>214</v>
      </c>
      <c r="D58" t="s">
        <v>212</v>
      </c>
      <c r="E58" t="s">
        <v>213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36</v>
      </c>
      <c r="B59">
        <v>11</v>
      </c>
      <c r="C59">
        <v>395</v>
      </c>
      <c r="D59">
        <v>372</v>
      </c>
      <c r="E59">
        <v>10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39</v>
      </c>
      <c r="B60">
        <v>12</v>
      </c>
      <c r="C60">
        <v>320</v>
      </c>
      <c r="D60">
        <v>259</v>
      </c>
      <c r="E60">
        <v>11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21</v>
      </c>
      <c r="B61">
        <v>13</v>
      </c>
      <c r="C61">
        <v>465</v>
      </c>
      <c r="D61">
        <v>387</v>
      </c>
      <c r="E61">
        <v>14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136</v>
      </c>
      <c r="B62">
        <v>9</v>
      </c>
      <c r="C62">
        <v>270</v>
      </c>
      <c r="D62">
        <v>210</v>
      </c>
      <c r="E62">
        <v>8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42</v>
      </c>
      <c r="B63">
        <v>6</v>
      </c>
      <c r="C63">
        <v>240</v>
      </c>
      <c r="D63">
        <v>181</v>
      </c>
      <c r="E63">
        <v>5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30</v>
      </c>
      <c r="B64">
        <v>8</v>
      </c>
      <c r="C64">
        <v>270</v>
      </c>
      <c r="D64">
        <v>220</v>
      </c>
      <c r="E64">
        <v>9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71" t="s">
        <v>211</v>
      </c>
      <c r="B65">
        <v>59</v>
      </c>
      <c r="C65">
        <v>1960</v>
      </c>
      <c r="D65">
        <v>1629</v>
      </c>
      <c r="E65">
        <v>57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0" t="s">
        <v>210</v>
      </c>
      <c r="B79" t="s">
        <v>215</v>
      </c>
      <c r="C79" t="s">
        <v>213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36</v>
      </c>
      <c r="B80">
        <v>11</v>
      </c>
      <c r="C80">
        <v>10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39</v>
      </c>
      <c r="B81">
        <v>12</v>
      </c>
      <c r="C81">
        <v>11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21</v>
      </c>
      <c r="B82">
        <v>13</v>
      </c>
      <c r="C82">
        <v>14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136</v>
      </c>
      <c r="B83">
        <v>9</v>
      </c>
      <c r="C83">
        <v>8</v>
      </c>
    </row>
    <row r="84" spans="1:13" x14ac:dyDescent="0.2">
      <c r="A84" s="71" t="s">
        <v>42</v>
      </c>
      <c r="B84">
        <v>6</v>
      </c>
      <c r="C84">
        <v>5</v>
      </c>
    </row>
    <row r="85" spans="1:13" x14ac:dyDescent="0.2">
      <c r="A85" s="71" t="s">
        <v>30</v>
      </c>
      <c r="B85">
        <v>8</v>
      </c>
      <c r="C85">
        <v>9</v>
      </c>
    </row>
    <row r="86" spans="1:13" x14ac:dyDescent="0.2">
      <c r="A86" s="71" t="s">
        <v>211</v>
      </c>
      <c r="B86">
        <v>59</v>
      </c>
      <c r="C86">
        <v>57</v>
      </c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96" spans="1:13" x14ac:dyDescent="0.2">
      <c r="A96"/>
      <c r="B96"/>
      <c r="C96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Z132"/>
  <sheetViews>
    <sheetView topLeftCell="A39" zoomScale="84" zoomScaleNormal="76" workbookViewId="0">
      <selection activeCell="A42" sqref="A42:M42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+A46+A1:L7+A7:L7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2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26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26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26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26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26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26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26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26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ref="J40" si="1">E40-L40</f>
        <v>5</v>
      </c>
      <c r="K40" s="53">
        <v>2</v>
      </c>
      <c r="L40" s="53">
        <v>25</v>
      </c>
      <c r="M40" s="79" t="s">
        <v>396</v>
      </c>
    </row>
    <row r="41" spans="1:26" s="5" customFormat="1" ht="39" customHeight="1" x14ac:dyDescent="0.2">
      <c r="A41" s="79" t="s">
        <v>468</v>
      </c>
      <c r="B41" s="53" t="s">
        <v>39</v>
      </c>
      <c r="C41" s="53" t="s">
        <v>40</v>
      </c>
      <c r="D41" s="53">
        <v>1</v>
      </c>
      <c r="E41" s="53">
        <v>30</v>
      </c>
      <c r="F41" s="80">
        <v>45931</v>
      </c>
      <c r="G41" s="81">
        <v>0.375</v>
      </c>
      <c r="H41" s="80">
        <v>45930</v>
      </c>
      <c r="I41" s="81">
        <v>0.6875</v>
      </c>
      <c r="J41" s="87">
        <f t="shared" si="0"/>
        <v>5</v>
      </c>
      <c r="K41" s="53">
        <v>2</v>
      </c>
      <c r="L41" s="53">
        <v>25</v>
      </c>
      <c r="M41" s="79" t="s">
        <v>470</v>
      </c>
    </row>
    <row r="42" spans="1:26" s="5" customFormat="1" ht="39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45931</v>
      </c>
      <c r="G42" s="81">
        <v>0.375</v>
      </c>
      <c r="H42" s="80">
        <v>45930</v>
      </c>
      <c r="I42" s="81">
        <v>0.79166666666666663</v>
      </c>
      <c r="J42" s="87">
        <f t="shared" si="0"/>
        <v>0</v>
      </c>
      <c r="K42" s="53">
        <v>3</v>
      </c>
      <c r="L42" s="53">
        <v>30</v>
      </c>
      <c r="M42" s="79" t="s">
        <v>472</v>
      </c>
    </row>
    <row r="43" spans="1:26" s="5" customFormat="1" ht="38.25" customHeight="1" x14ac:dyDescent="0.2">
      <c r="A43" s="106" t="s">
        <v>123</v>
      </c>
      <c r="B43" s="85" t="s">
        <v>36</v>
      </c>
      <c r="C43" s="85" t="s">
        <v>37</v>
      </c>
      <c r="D43" s="49">
        <v>1</v>
      </c>
      <c r="E43" s="49">
        <v>20</v>
      </c>
      <c r="F43" s="85">
        <v>45931</v>
      </c>
      <c r="G43" s="86">
        <v>0.375</v>
      </c>
      <c r="H43" s="85">
        <v>45930</v>
      </c>
      <c r="I43" s="86">
        <v>0.80555555555555558</v>
      </c>
      <c r="J43" s="87">
        <f>E43-L43</f>
        <v>0</v>
      </c>
      <c r="K43" s="8">
        <v>1</v>
      </c>
      <c r="L43" s="88">
        <v>20</v>
      </c>
      <c r="M43" s="93" t="s">
        <v>124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5" customFormat="1" ht="38.25" customHeight="1" x14ac:dyDescent="0.2">
      <c r="A44" s="38" t="s">
        <v>123</v>
      </c>
      <c r="B44" s="85" t="s">
        <v>143</v>
      </c>
      <c r="C44" s="85" t="s">
        <v>43</v>
      </c>
      <c r="D44" s="49">
        <v>1</v>
      </c>
      <c r="E44" s="49">
        <v>20</v>
      </c>
      <c r="F44" s="85">
        <v>45931</v>
      </c>
      <c r="G44" s="86">
        <v>0.375</v>
      </c>
      <c r="H44" s="85">
        <v>45930</v>
      </c>
      <c r="I44" s="86">
        <v>0.80555555555555558</v>
      </c>
      <c r="J44" s="87">
        <f t="shared" ref="J44:J65" si="2">E44-L44</f>
        <v>0</v>
      </c>
      <c r="K44" s="8">
        <v>1</v>
      </c>
      <c r="L44" s="88">
        <v>20</v>
      </c>
      <c r="M44" s="93" t="s">
        <v>124</v>
      </c>
    </row>
    <row r="45" spans="1:26" s="5" customFormat="1" ht="42" customHeight="1" x14ac:dyDescent="0.2">
      <c r="A45" s="13" t="s">
        <v>175</v>
      </c>
      <c r="B45" s="13" t="s">
        <v>36</v>
      </c>
      <c r="C45" s="13" t="s">
        <v>37</v>
      </c>
      <c r="D45" s="53">
        <v>1</v>
      </c>
      <c r="E45" s="53">
        <v>30</v>
      </c>
      <c r="F45" s="13">
        <v>45931</v>
      </c>
      <c r="G45" s="86">
        <v>0.375</v>
      </c>
      <c r="H45" s="13">
        <v>45930</v>
      </c>
      <c r="I45" s="12">
        <v>0.83333333333333337</v>
      </c>
      <c r="J45" s="53">
        <f t="shared" si="2"/>
        <v>6</v>
      </c>
      <c r="K45" s="50">
        <v>1</v>
      </c>
      <c r="L45" s="68">
        <v>24</v>
      </c>
      <c r="M45" s="52" t="s">
        <v>176</v>
      </c>
    </row>
    <row r="46" spans="1:26" s="5" customFormat="1" ht="32.450000000000003" customHeight="1" x14ac:dyDescent="0.2">
      <c r="A46" s="13" t="s">
        <v>177</v>
      </c>
      <c r="B46" s="13" t="s">
        <v>39</v>
      </c>
      <c r="C46" s="13" t="s">
        <v>40</v>
      </c>
      <c r="D46" s="53">
        <v>1</v>
      </c>
      <c r="E46" s="53">
        <v>30</v>
      </c>
      <c r="F46" s="13">
        <v>45931</v>
      </c>
      <c r="G46" s="86">
        <v>0.375</v>
      </c>
      <c r="H46" s="13">
        <v>45930</v>
      </c>
      <c r="I46" s="12">
        <v>0.83333333333333337</v>
      </c>
      <c r="J46" s="53">
        <f t="shared" si="2"/>
        <v>0</v>
      </c>
      <c r="K46" s="50">
        <v>1</v>
      </c>
      <c r="L46" s="68">
        <v>30</v>
      </c>
      <c r="M46" s="52" t="s">
        <v>178</v>
      </c>
    </row>
    <row r="47" spans="1:26" ht="35.25" customHeight="1" x14ac:dyDescent="0.2">
      <c r="A47" s="61" t="s">
        <v>179</v>
      </c>
      <c r="B47" s="13" t="s">
        <v>39</v>
      </c>
      <c r="C47" s="13" t="s">
        <v>40</v>
      </c>
      <c r="D47" s="53">
        <v>5</v>
      </c>
      <c r="E47" s="53">
        <v>50</v>
      </c>
      <c r="F47" s="13">
        <v>45931</v>
      </c>
      <c r="G47" s="86">
        <v>0.375</v>
      </c>
      <c r="H47" s="13">
        <v>45930</v>
      </c>
      <c r="I47" s="12">
        <v>0.86805555555555558</v>
      </c>
      <c r="J47" s="53">
        <f t="shared" si="2"/>
        <v>5</v>
      </c>
      <c r="K47" s="50">
        <v>5</v>
      </c>
      <c r="L47" s="68">
        <v>45</v>
      </c>
      <c r="M47" s="52" t="s">
        <v>180</v>
      </c>
    </row>
    <row r="48" spans="1:26" s="5" customFormat="1" ht="47.1" customHeight="1" x14ac:dyDescent="0.2">
      <c r="A48" s="23" t="s">
        <v>146</v>
      </c>
      <c r="B48" s="85" t="s">
        <v>30</v>
      </c>
      <c r="C48" s="90" t="s">
        <v>207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2"/>
        <v>50</v>
      </c>
      <c r="K48" s="8">
        <v>1</v>
      </c>
      <c r="L48" s="88">
        <v>10</v>
      </c>
      <c r="M48" s="91" t="s">
        <v>149</v>
      </c>
    </row>
    <row r="49" spans="1:13" s="5" customFormat="1" ht="43.5" customHeight="1" x14ac:dyDescent="0.2">
      <c r="A49" s="23" t="s">
        <v>146</v>
      </c>
      <c r="B49" s="85" t="s">
        <v>42</v>
      </c>
      <c r="C49" s="85" t="s">
        <v>77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2"/>
        <v>50</v>
      </c>
      <c r="K49" s="8">
        <v>1</v>
      </c>
      <c r="L49" s="88">
        <v>10</v>
      </c>
      <c r="M49" s="91" t="s">
        <v>149</v>
      </c>
    </row>
    <row r="50" spans="1:13" s="5" customFormat="1" ht="42.75" customHeight="1" x14ac:dyDescent="0.2">
      <c r="A50" s="23" t="s">
        <v>146</v>
      </c>
      <c r="B50" s="85" t="s">
        <v>21</v>
      </c>
      <c r="C50" s="85" t="s">
        <v>86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2"/>
        <v>50</v>
      </c>
      <c r="K50" s="8">
        <v>1</v>
      </c>
      <c r="L50" s="88">
        <v>10</v>
      </c>
      <c r="M50" s="91" t="s">
        <v>149</v>
      </c>
    </row>
    <row r="51" spans="1:13" s="5" customFormat="1" ht="39" customHeight="1" x14ac:dyDescent="0.2">
      <c r="A51" s="23" t="s">
        <v>146</v>
      </c>
      <c r="B51" s="85" t="s">
        <v>136</v>
      </c>
      <c r="C51" s="85" t="s">
        <v>151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2"/>
        <v>50</v>
      </c>
      <c r="K51" s="8">
        <v>1</v>
      </c>
      <c r="L51" s="88">
        <v>10</v>
      </c>
      <c r="M51" s="91" t="s">
        <v>149</v>
      </c>
    </row>
    <row r="52" spans="1:13" s="5" customFormat="1" ht="29.25" customHeight="1" x14ac:dyDescent="0.2">
      <c r="A52" s="23" t="s">
        <v>146</v>
      </c>
      <c r="B52" s="85" t="s">
        <v>36</v>
      </c>
      <c r="C52" s="85" t="s">
        <v>80</v>
      </c>
      <c r="D52" s="84">
        <v>1</v>
      </c>
      <c r="E52" s="49">
        <v>60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2"/>
        <v>50</v>
      </c>
      <c r="K52" s="8">
        <v>1</v>
      </c>
      <c r="L52" s="88">
        <v>10</v>
      </c>
      <c r="M52" s="91" t="s">
        <v>149</v>
      </c>
    </row>
    <row r="53" spans="1:13" s="5" customFormat="1" ht="31.5" customHeight="1" x14ac:dyDescent="0.2">
      <c r="A53" s="23" t="s">
        <v>146</v>
      </c>
      <c r="B53" s="85" t="s">
        <v>39</v>
      </c>
      <c r="C53" s="85" t="s">
        <v>150</v>
      </c>
      <c r="D53" s="84">
        <v>1</v>
      </c>
      <c r="E53" s="49">
        <v>60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2"/>
        <v>50</v>
      </c>
      <c r="K53" s="8">
        <v>1</v>
      </c>
      <c r="L53" s="88">
        <v>10</v>
      </c>
      <c r="M53" s="91" t="s">
        <v>149</v>
      </c>
    </row>
    <row r="54" spans="1:13" s="5" customFormat="1" ht="26.45" customHeight="1" x14ac:dyDescent="0.2">
      <c r="A54" s="23" t="s">
        <v>52</v>
      </c>
      <c r="B54" s="90" t="s">
        <v>21</v>
      </c>
      <c r="C54" s="90" t="s">
        <v>22</v>
      </c>
      <c r="D54" s="84">
        <v>1</v>
      </c>
      <c r="E54" s="49">
        <v>30</v>
      </c>
      <c r="F54" s="85">
        <v>45931</v>
      </c>
      <c r="G54" s="86">
        <v>0.375</v>
      </c>
      <c r="H54" s="85">
        <v>45930</v>
      </c>
      <c r="I54" s="86">
        <v>0.91666666666666663</v>
      </c>
      <c r="J54" s="87">
        <f t="shared" si="2"/>
        <v>0</v>
      </c>
      <c r="K54" s="8">
        <v>1</v>
      </c>
      <c r="L54" s="88">
        <v>30</v>
      </c>
      <c r="M54" s="91" t="s">
        <v>53</v>
      </c>
    </row>
    <row r="55" spans="1:13" s="5" customFormat="1" ht="29.1" customHeight="1" x14ac:dyDescent="0.2">
      <c r="A55" s="23" t="s">
        <v>153</v>
      </c>
      <c r="B55" s="90" t="s">
        <v>36</v>
      </c>
      <c r="C55" s="90" t="s">
        <v>37</v>
      </c>
      <c r="D55" s="84">
        <v>1</v>
      </c>
      <c r="E55" s="5">
        <v>30</v>
      </c>
      <c r="F55" s="85">
        <v>45931</v>
      </c>
      <c r="G55" s="86">
        <v>0.375</v>
      </c>
      <c r="H55" s="85">
        <v>45930</v>
      </c>
      <c r="I55" s="86">
        <v>0.91666666666666663</v>
      </c>
      <c r="J55" s="87">
        <f t="shared" si="2"/>
        <v>0</v>
      </c>
      <c r="K55" s="8">
        <v>1</v>
      </c>
      <c r="L55" s="88">
        <v>30</v>
      </c>
      <c r="M55" s="91" t="s">
        <v>53</v>
      </c>
    </row>
    <row r="56" spans="1:13" s="5" customFormat="1" ht="31.5" customHeight="1" x14ac:dyDescent="0.2">
      <c r="A56" s="23" t="s">
        <v>79</v>
      </c>
      <c r="B56" s="85" t="s">
        <v>36</v>
      </c>
      <c r="C56" s="90" t="s">
        <v>37</v>
      </c>
      <c r="D56" s="84">
        <v>1</v>
      </c>
      <c r="E56" s="49">
        <v>45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2"/>
        <v>-35</v>
      </c>
      <c r="K56" s="8">
        <v>1</v>
      </c>
      <c r="L56" s="88">
        <v>80</v>
      </c>
      <c r="M56" s="91" t="s">
        <v>81</v>
      </c>
    </row>
    <row r="57" spans="1:13" s="5" customFormat="1" ht="26.1" customHeight="1" x14ac:dyDescent="0.2">
      <c r="A57" s="23" t="s">
        <v>85</v>
      </c>
      <c r="B57" s="85" t="s">
        <v>21</v>
      </c>
      <c r="C57" s="90" t="s">
        <v>22</v>
      </c>
      <c r="D57" s="84">
        <v>1</v>
      </c>
      <c r="E57" s="49">
        <v>60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2"/>
        <v>10</v>
      </c>
      <c r="K57" s="8">
        <v>1</v>
      </c>
      <c r="L57" s="88">
        <v>50</v>
      </c>
      <c r="M57" s="91" t="s">
        <v>87</v>
      </c>
    </row>
    <row r="58" spans="1:13" s="5" customFormat="1" ht="39" customHeight="1" x14ac:dyDescent="0.2">
      <c r="A58" s="23" t="s">
        <v>88</v>
      </c>
      <c r="B58" s="85" t="s">
        <v>21</v>
      </c>
      <c r="C58" s="85" t="s">
        <v>22</v>
      </c>
      <c r="D58" s="84">
        <v>1</v>
      </c>
      <c r="E58" s="49">
        <v>55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2"/>
        <v>0</v>
      </c>
      <c r="K58" s="8">
        <v>1</v>
      </c>
      <c r="L58" s="88">
        <v>55</v>
      </c>
      <c r="M58" s="91" t="s">
        <v>89</v>
      </c>
    </row>
    <row r="59" spans="1:13" s="5" customFormat="1" ht="40.5" customHeight="1" x14ac:dyDescent="0.2">
      <c r="A59" s="33" t="s">
        <v>131</v>
      </c>
      <c r="B59" s="85" t="s">
        <v>36</v>
      </c>
      <c r="C59" s="85" t="s">
        <v>37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2"/>
        <v>-2</v>
      </c>
      <c r="K59" s="8">
        <v>1</v>
      </c>
      <c r="L59" s="88">
        <v>32</v>
      </c>
      <c r="M59" s="91" t="s">
        <v>132</v>
      </c>
    </row>
    <row r="60" spans="1:13" s="5" customFormat="1" ht="40.5" customHeight="1" x14ac:dyDescent="0.2">
      <c r="A60" s="33" t="s">
        <v>131</v>
      </c>
      <c r="B60" s="85" t="s">
        <v>42</v>
      </c>
      <c r="C60" s="85" t="s">
        <v>43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2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30</v>
      </c>
      <c r="C61" s="85" t="s">
        <v>31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2"/>
        <v>-2</v>
      </c>
      <c r="K61" s="8">
        <v>1</v>
      </c>
      <c r="L61" s="88">
        <v>32</v>
      </c>
      <c r="M61" s="91" t="s">
        <v>132</v>
      </c>
    </row>
    <row r="62" spans="1:13" s="5" customFormat="1" ht="38.25" customHeight="1" x14ac:dyDescent="0.2">
      <c r="A62" s="33" t="s">
        <v>131</v>
      </c>
      <c r="B62" s="85" t="s">
        <v>21</v>
      </c>
      <c r="C62" s="85" t="s">
        <v>22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2"/>
        <v>-2</v>
      </c>
      <c r="K62" s="8">
        <v>1</v>
      </c>
      <c r="L62" s="88">
        <v>32</v>
      </c>
      <c r="M62" s="91" t="s">
        <v>132</v>
      </c>
    </row>
    <row r="63" spans="1:13" s="5" customFormat="1" ht="27" customHeight="1" x14ac:dyDescent="0.2">
      <c r="A63" s="33" t="s">
        <v>131</v>
      </c>
      <c r="B63" s="85" t="s">
        <v>136</v>
      </c>
      <c r="C63" s="85" t="s">
        <v>34</v>
      </c>
      <c r="D63" s="49">
        <v>1</v>
      </c>
      <c r="E63" s="49">
        <v>30</v>
      </c>
      <c r="F63" s="85">
        <v>45931</v>
      </c>
      <c r="G63" s="86">
        <v>0.375</v>
      </c>
      <c r="H63" s="85">
        <v>45930</v>
      </c>
      <c r="I63" s="86">
        <v>0.9375</v>
      </c>
      <c r="J63" s="87">
        <f t="shared" si="2"/>
        <v>-2</v>
      </c>
      <c r="K63" s="8">
        <v>1</v>
      </c>
      <c r="L63" s="88">
        <v>32</v>
      </c>
      <c r="M63" s="91" t="s">
        <v>132</v>
      </c>
    </row>
    <row r="64" spans="1:13" s="5" customFormat="1" ht="33" customHeight="1" x14ac:dyDescent="0.2">
      <c r="A64" s="33" t="s">
        <v>131</v>
      </c>
      <c r="B64" s="85" t="s">
        <v>39</v>
      </c>
      <c r="C64" s="85" t="s">
        <v>40</v>
      </c>
      <c r="D64" s="49">
        <v>1</v>
      </c>
      <c r="E64" s="49">
        <v>30</v>
      </c>
      <c r="F64" s="85">
        <v>45931</v>
      </c>
      <c r="G64" s="86">
        <v>0.375</v>
      </c>
      <c r="H64" s="85">
        <v>45930</v>
      </c>
      <c r="I64" s="86">
        <v>0.9375</v>
      </c>
      <c r="J64" s="87">
        <f t="shared" si="2"/>
        <v>-2</v>
      </c>
      <c r="K64" s="8">
        <v>1</v>
      </c>
      <c r="L64" s="88">
        <v>32</v>
      </c>
      <c r="M64" s="91" t="s">
        <v>132</v>
      </c>
    </row>
    <row r="65" spans="1:13" s="5" customFormat="1" ht="33.75" customHeight="1" x14ac:dyDescent="0.2">
      <c r="A65" s="33" t="s">
        <v>133</v>
      </c>
      <c r="B65" s="85" t="s">
        <v>21</v>
      </c>
      <c r="C65" s="85" t="s">
        <v>22</v>
      </c>
      <c r="D65" s="49">
        <v>3</v>
      </c>
      <c r="E65" s="49">
        <v>20</v>
      </c>
      <c r="F65" s="85">
        <v>45931</v>
      </c>
      <c r="G65" s="86">
        <v>0.375</v>
      </c>
      <c r="H65" s="85">
        <v>45931</v>
      </c>
      <c r="I65" s="86">
        <v>0.375</v>
      </c>
      <c r="J65" s="87">
        <f t="shared" si="2"/>
        <v>5</v>
      </c>
      <c r="K65" s="8">
        <v>3</v>
      </c>
      <c r="L65" s="88">
        <v>15</v>
      </c>
      <c r="M65" s="91" t="s">
        <v>134</v>
      </c>
    </row>
    <row r="66" spans="1:13" s="5" customFormat="1" ht="32.2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s="5" customFormat="1" ht="27" customHeight="1" x14ac:dyDescent="0.2">
      <c r="A67" s="70" t="s">
        <v>210</v>
      </c>
      <c r="B67" t="s">
        <v>215</v>
      </c>
      <c r="C67" t="s">
        <v>214</v>
      </c>
      <c r="D67" t="s">
        <v>213</v>
      </c>
      <c r="E67" t="s">
        <v>212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4.95" customHeight="1" x14ac:dyDescent="0.2">
      <c r="A68" s="71" t="s">
        <v>36</v>
      </c>
      <c r="B68">
        <v>9</v>
      </c>
      <c r="C68">
        <v>365</v>
      </c>
      <c r="D68">
        <v>9</v>
      </c>
      <c r="E68">
        <v>341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28.5" customHeight="1" x14ac:dyDescent="0.2">
      <c r="A69" s="71" t="s">
        <v>39</v>
      </c>
      <c r="B69">
        <v>23</v>
      </c>
      <c r="C69">
        <v>620</v>
      </c>
      <c r="D69">
        <v>27</v>
      </c>
      <c r="E69">
        <v>561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71" t="s">
        <v>21</v>
      </c>
      <c r="B70">
        <v>25</v>
      </c>
      <c r="C70">
        <v>795</v>
      </c>
      <c r="D70">
        <v>30</v>
      </c>
      <c r="E70">
        <v>721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136</v>
      </c>
      <c r="B71">
        <v>5</v>
      </c>
      <c r="C71">
        <v>210</v>
      </c>
      <c r="D71">
        <v>4</v>
      </c>
      <c r="E71">
        <v>157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6.6" customHeight="1" x14ac:dyDescent="0.2">
      <c r="A72" s="71" t="s">
        <v>42</v>
      </c>
      <c r="B72">
        <v>9</v>
      </c>
      <c r="C72">
        <v>330</v>
      </c>
      <c r="D72">
        <v>9</v>
      </c>
      <c r="E72">
        <v>267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71" t="s">
        <v>30</v>
      </c>
      <c r="B73">
        <v>4</v>
      </c>
      <c r="C73">
        <v>180</v>
      </c>
      <c r="D73">
        <v>5</v>
      </c>
      <c r="E73">
        <v>132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71" t="s">
        <v>211</v>
      </c>
      <c r="B74">
        <v>75</v>
      </c>
      <c r="C74">
        <v>2500</v>
      </c>
      <c r="D74">
        <v>84</v>
      </c>
      <c r="E74">
        <v>2179</v>
      </c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/>
      <c r="B80"/>
      <c r="C80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35.450000000000003" customHeight="1" x14ac:dyDescent="0.2">
      <c r="A83"/>
      <c r="B83"/>
      <c r="C83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 s="4"/>
      <c r="E84" s="4"/>
      <c r="F84" s="4"/>
      <c r="G84" s="4"/>
      <c r="H84" s="4"/>
      <c r="I84" s="3"/>
      <c r="J84" s="3"/>
      <c r="K84" s="2"/>
      <c r="L84" s="1"/>
      <c r="M84" s="1"/>
    </row>
    <row r="85" spans="1:13" s="5" customFormat="1" ht="37.5" customHeight="1" x14ac:dyDescent="0.2">
      <c r="A85" s="4"/>
      <c r="B85" s="4"/>
      <c r="C85" s="4"/>
      <c r="D85" s="4"/>
      <c r="E85" s="4"/>
      <c r="F85" s="4"/>
      <c r="G85" s="4"/>
      <c r="H85" s="4"/>
      <c r="I85" s="3"/>
      <c r="J85" s="3"/>
      <c r="K85" s="2"/>
      <c r="L85" s="1"/>
      <c r="M85" s="1"/>
    </row>
    <row r="114" spans="1:20" s="4" customFormat="1" ht="30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15" spans="1:20" s="4" customFormat="1" ht="23.25" customHeight="1" x14ac:dyDescent="0.2">
      <c r="I115" s="3"/>
      <c r="J115" s="3"/>
      <c r="K115" s="2"/>
      <c r="L115" s="1"/>
      <c r="M115" s="1"/>
      <c r="N115"/>
      <c r="O115"/>
      <c r="P115"/>
      <c r="Q115"/>
      <c r="R115"/>
      <c r="S115"/>
      <c r="T115"/>
    </row>
    <row r="122" spans="1:20" s="5" customFormat="1" ht="12" customHeight="1" x14ac:dyDescent="0.2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2"/>
      <c r="L122" s="1"/>
      <c r="M122" s="1"/>
    </row>
    <row r="126" spans="1:20" x14ac:dyDescent="0.2">
      <c r="Q126" s="42" t="e">
        <f>SUM(#REF!)</f>
        <v>#REF!</v>
      </c>
      <c r="R126" s="42" t="e">
        <f>SUM(#REF!)</f>
        <v>#REF!</v>
      </c>
      <c r="S126" s="42" t="e">
        <f>SUM(#REF!)</f>
        <v>#REF!</v>
      </c>
      <c r="T126" s="42" t="e">
        <f>SUM(#REF!)</f>
        <v>#REF!</v>
      </c>
    </row>
    <row r="127" spans="1:20" ht="35.25" customHeight="1" x14ac:dyDescent="0.2"/>
    <row r="128" spans="1:20" ht="36.75" customHeight="1" x14ac:dyDescent="0.2"/>
    <row r="129" spans="9:20" ht="33.75" customHeight="1" x14ac:dyDescent="0.2"/>
    <row r="130" spans="9:20" ht="26.25" customHeight="1" x14ac:dyDescent="0.2"/>
    <row r="131" spans="9:20" ht="27.75" customHeight="1" x14ac:dyDescent="0.2"/>
    <row r="132" spans="9:20" s="4" customFormat="1" ht="40.5" customHeight="1" x14ac:dyDescent="0.2"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6"/>
  <sheetViews>
    <sheetView zoomScale="84" zoomScaleNormal="76" workbookViewId="0">
      <selection activeCell="G9" sqref="G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+A68+A1:L7+A7:L7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45936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45936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4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468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0.60416666666666663</v>
      </c>
      <c r="J63" s="87">
        <f t="shared" si="0"/>
        <v>0</v>
      </c>
      <c r="K63" s="53">
        <v>3</v>
      </c>
      <c r="L63" s="53">
        <v>30</v>
      </c>
      <c r="M63" s="79" t="s">
        <v>469</v>
      </c>
    </row>
    <row r="64" spans="1:13" s="5" customFormat="1" ht="40.5" customHeight="1" x14ac:dyDescent="0.2">
      <c r="A64" s="79" t="s">
        <v>437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45938</v>
      </c>
      <c r="G64" s="81">
        <v>0.375</v>
      </c>
      <c r="H64" s="80">
        <v>45937</v>
      </c>
      <c r="I64" s="81">
        <v>0.6875</v>
      </c>
      <c r="J64" s="87">
        <f t="shared" si="0"/>
        <v>0</v>
      </c>
      <c r="K64" s="53">
        <v>1</v>
      </c>
      <c r="L64" s="53">
        <v>30</v>
      </c>
      <c r="M64" s="79" t="s">
        <v>438</v>
      </c>
    </row>
    <row r="65" spans="1:13" s="5" customFormat="1" ht="38.25" customHeight="1" x14ac:dyDescent="0.2">
      <c r="A65" s="106" t="s">
        <v>123</v>
      </c>
      <c r="B65" s="85" t="s">
        <v>36</v>
      </c>
      <c r="C65" s="85" t="s">
        <v>37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>E65-L65</f>
        <v>0</v>
      </c>
      <c r="K65" s="53">
        <v>1</v>
      </c>
      <c r="L65" s="88">
        <v>20</v>
      </c>
      <c r="M65" s="93" t="s">
        <v>124</v>
      </c>
    </row>
    <row r="66" spans="1:13" s="5" customFormat="1" ht="38.25" customHeight="1" x14ac:dyDescent="0.2">
      <c r="A66" s="38" t="s">
        <v>123</v>
      </c>
      <c r="B66" s="85" t="s">
        <v>143</v>
      </c>
      <c r="C66" s="85" t="s">
        <v>43</v>
      </c>
      <c r="D66" s="49">
        <v>1</v>
      </c>
      <c r="E66" s="49">
        <v>20</v>
      </c>
      <c r="F66" s="85">
        <v>45938</v>
      </c>
      <c r="G66" s="86">
        <v>0.375</v>
      </c>
      <c r="H66" s="85">
        <v>45937</v>
      </c>
      <c r="I66" s="86">
        <v>0.80555555555555558</v>
      </c>
      <c r="J66" s="87">
        <f t="shared" ref="J66:J87" si="1">E66-L66</f>
        <v>0</v>
      </c>
      <c r="K66" s="8">
        <v>1</v>
      </c>
      <c r="L66" s="88">
        <v>20</v>
      </c>
      <c r="M66" s="93" t="s">
        <v>124</v>
      </c>
    </row>
    <row r="67" spans="1:13" s="5" customFormat="1" ht="27" customHeight="1" x14ac:dyDescent="0.2">
      <c r="A67" s="13" t="s">
        <v>175</v>
      </c>
      <c r="B67" s="13" t="s">
        <v>36</v>
      </c>
      <c r="C67" s="13" t="s">
        <v>37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6</v>
      </c>
      <c r="K67" s="50">
        <v>1</v>
      </c>
      <c r="L67" s="68">
        <v>24</v>
      </c>
      <c r="M67" s="52" t="s">
        <v>176</v>
      </c>
    </row>
    <row r="68" spans="1:13" s="5" customFormat="1" ht="33" customHeight="1" x14ac:dyDescent="0.2">
      <c r="A68" s="13" t="s">
        <v>177</v>
      </c>
      <c r="B68" s="13" t="s">
        <v>39</v>
      </c>
      <c r="C68" s="13" t="s">
        <v>40</v>
      </c>
      <c r="D68" s="53">
        <v>1</v>
      </c>
      <c r="E68" s="53">
        <v>30</v>
      </c>
      <c r="F68" s="13">
        <v>45938</v>
      </c>
      <c r="G68" s="86">
        <v>0.375</v>
      </c>
      <c r="H68" s="13">
        <v>45937</v>
      </c>
      <c r="I68" s="12">
        <v>0.83333333333333337</v>
      </c>
      <c r="J68" s="53">
        <f t="shared" si="1"/>
        <v>0</v>
      </c>
      <c r="K68" s="50">
        <v>1</v>
      </c>
      <c r="L68" s="68">
        <v>30</v>
      </c>
      <c r="M68" s="52" t="s">
        <v>178</v>
      </c>
    </row>
    <row r="69" spans="1:13" s="5" customFormat="1" ht="33.75" customHeight="1" x14ac:dyDescent="0.2">
      <c r="A69" s="61" t="s">
        <v>179</v>
      </c>
      <c r="B69" s="13" t="s">
        <v>39</v>
      </c>
      <c r="C69" s="13" t="s">
        <v>40</v>
      </c>
      <c r="D69" s="53">
        <v>5</v>
      </c>
      <c r="E69" s="53">
        <v>50</v>
      </c>
      <c r="F69" s="13">
        <v>45938</v>
      </c>
      <c r="G69" s="86">
        <v>0.375</v>
      </c>
      <c r="H69" s="13">
        <v>45937</v>
      </c>
      <c r="I69" s="12">
        <v>0.86805555555555558</v>
      </c>
      <c r="J69" s="53">
        <f t="shared" si="1"/>
        <v>5</v>
      </c>
      <c r="K69" s="50">
        <v>5</v>
      </c>
      <c r="L69" s="68">
        <v>45</v>
      </c>
      <c r="M69" s="52" t="s">
        <v>180</v>
      </c>
    </row>
    <row r="70" spans="1:13" s="5" customFormat="1" ht="32.25" customHeight="1" x14ac:dyDescent="0.2">
      <c r="A70" s="23" t="s">
        <v>146</v>
      </c>
      <c r="B70" s="85" t="s">
        <v>30</v>
      </c>
      <c r="C70" s="90" t="s">
        <v>207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7" customHeight="1" x14ac:dyDescent="0.2">
      <c r="A71" s="23" t="s">
        <v>146</v>
      </c>
      <c r="B71" s="85" t="s">
        <v>42</v>
      </c>
      <c r="C71" s="85" t="s">
        <v>77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4.95" customHeight="1" x14ac:dyDescent="0.2">
      <c r="A72" s="23" t="s">
        <v>146</v>
      </c>
      <c r="B72" s="85" t="s">
        <v>21</v>
      </c>
      <c r="C72" s="85" t="s">
        <v>86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28.5" customHeight="1" x14ac:dyDescent="0.2">
      <c r="A73" s="23" t="s">
        <v>146</v>
      </c>
      <c r="B73" s="85" t="s">
        <v>136</v>
      </c>
      <c r="C73" s="85" t="s">
        <v>151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5.450000000000003" customHeight="1" x14ac:dyDescent="0.2">
      <c r="A74" s="23" t="s">
        <v>146</v>
      </c>
      <c r="B74" s="85" t="s">
        <v>36</v>
      </c>
      <c r="C74" s="85" t="s">
        <v>80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146</v>
      </c>
      <c r="B75" s="85" t="s">
        <v>39</v>
      </c>
      <c r="C75" s="85" t="s">
        <v>150</v>
      </c>
      <c r="D75" s="84">
        <v>1</v>
      </c>
      <c r="E75" s="49">
        <v>60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36.6" customHeight="1" x14ac:dyDescent="0.2">
      <c r="A76" s="23" t="s">
        <v>52</v>
      </c>
      <c r="B76" s="89" t="s">
        <v>21</v>
      </c>
      <c r="C76" s="90" t="s">
        <v>22</v>
      </c>
      <c r="D76" s="84">
        <v>1</v>
      </c>
      <c r="E76" s="49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153</v>
      </c>
      <c r="B77" s="89" t="s">
        <v>36</v>
      </c>
      <c r="C77" s="90" t="s">
        <v>37</v>
      </c>
      <c r="D77" s="84">
        <v>1</v>
      </c>
      <c r="E77" s="5">
        <v>30</v>
      </c>
      <c r="F77" s="85">
        <v>45938</v>
      </c>
      <c r="G77" s="86">
        <v>0.375</v>
      </c>
      <c r="H77" s="85">
        <v>45937</v>
      </c>
      <c r="I77" s="86">
        <v>0.91666666666666663</v>
      </c>
      <c r="J77" s="87">
        <f t="shared" si="1"/>
        <v>0</v>
      </c>
      <c r="K77" s="8">
        <v>1</v>
      </c>
      <c r="L77" s="88">
        <v>30</v>
      </c>
      <c r="M77" s="91" t="s">
        <v>53</v>
      </c>
    </row>
    <row r="78" spans="1:13" s="5" customFormat="1" ht="35.450000000000003" customHeight="1" x14ac:dyDescent="0.2">
      <c r="A78" s="23" t="s">
        <v>79</v>
      </c>
      <c r="B78" s="85" t="s">
        <v>36</v>
      </c>
      <c r="C78" s="90" t="s">
        <v>37</v>
      </c>
      <c r="D78" s="84">
        <v>1</v>
      </c>
      <c r="E78" s="49">
        <v>45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-35</v>
      </c>
      <c r="K78" s="8">
        <v>1</v>
      </c>
      <c r="L78" s="88">
        <v>80</v>
      </c>
      <c r="M78" s="91" t="s">
        <v>81</v>
      </c>
    </row>
    <row r="79" spans="1:13" s="5" customFormat="1" ht="35.450000000000003" customHeight="1" x14ac:dyDescent="0.2">
      <c r="A79" s="23" t="s">
        <v>85</v>
      </c>
      <c r="B79" s="85" t="s">
        <v>21</v>
      </c>
      <c r="C79" s="90" t="s">
        <v>22</v>
      </c>
      <c r="D79" s="84">
        <v>1</v>
      </c>
      <c r="E79" s="49">
        <v>60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10</v>
      </c>
      <c r="K79" s="8">
        <v>1</v>
      </c>
      <c r="L79" s="88">
        <v>50</v>
      </c>
      <c r="M79" s="91" t="s">
        <v>87</v>
      </c>
    </row>
    <row r="80" spans="1:13" s="5" customFormat="1" ht="35.450000000000003" customHeight="1" x14ac:dyDescent="0.2">
      <c r="A80" s="23" t="s">
        <v>88</v>
      </c>
      <c r="B80" s="85" t="s">
        <v>21</v>
      </c>
      <c r="C80" s="85" t="s">
        <v>22</v>
      </c>
      <c r="D80" s="84">
        <v>1</v>
      </c>
      <c r="E80" s="49">
        <v>55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0</v>
      </c>
      <c r="K80" s="8">
        <v>1</v>
      </c>
      <c r="L80" s="88">
        <v>55</v>
      </c>
      <c r="M80" s="91" t="s">
        <v>89</v>
      </c>
    </row>
    <row r="81" spans="1:13" s="5" customFormat="1" ht="35.450000000000003" customHeight="1" x14ac:dyDescent="0.2">
      <c r="A81" s="33" t="s">
        <v>131</v>
      </c>
      <c r="B81" s="85" t="s">
        <v>36</v>
      </c>
      <c r="C81" s="85" t="s">
        <v>37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42</v>
      </c>
      <c r="C82" s="85" t="s">
        <v>43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30</v>
      </c>
      <c r="C83" s="85" t="s">
        <v>31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21</v>
      </c>
      <c r="C84" s="85" t="s">
        <v>22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136</v>
      </c>
      <c r="C85" s="85" t="s">
        <v>34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39</v>
      </c>
      <c r="C86" s="85" t="s">
        <v>40</v>
      </c>
      <c r="D86" s="49">
        <v>1</v>
      </c>
      <c r="E86" s="49">
        <v>30</v>
      </c>
      <c r="F86" s="85">
        <v>45938</v>
      </c>
      <c r="G86" s="86">
        <v>0.375</v>
      </c>
      <c r="H86" s="85">
        <v>45937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133</v>
      </c>
      <c r="B87" s="85" t="s">
        <v>21</v>
      </c>
      <c r="C87" s="85" t="s">
        <v>22</v>
      </c>
      <c r="D87" s="49">
        <v>3</v>
      </c>
      <c r="E87" s="49">
        <v>20</v>
      </c>
      <c r="F87" s="85">
        <v>45938</v>
      </c>
      <c r="G87" s="86">
        <v>0.375</v>
      </c>
      <c r="H87" s="85">
        <v>45938</v>
      </c>
      <c r="I87" s="86">
        <v>0.375</v>
      </c>
      <c r="J87" s="87">
        <f t="shared" si="1"/>
        <v>5</v>
      </c>
      <c r="K87" s="8">
        <v>3</v>
      </c>
      <c r="L87" s="88">
        <v>15</v>
      </c>
      <c r="M87" s="91" t="s">
        <v>134</v>
      </c>
    </row>
    <row r="88" spans="1:13" s="5" customFormat="1" ht="35.450000000000003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s="5" customFormat="1" ht="37.5" customHeight="1" x14ac:dyDescent="0.2">
      <c r="A89" s="4"/>
      <c r="B89" s="4"/>
      <c r="C89" s="4"/>
      <c r="D89" s="4"/>
      <c r="E89" s="4"/>
      <c r="F89" s="4"/>
      <c r="G89" s="4"/>
      <c r="H89" s="4"/>
      <c r="I89" s="3"/>
      <c r="J89" s="3"/>
      <c r="K89" s="2"/>
      <c r="L89" s="1"/>
      <c r="M89" s="1"/>
    </row>
    <row r="90" spans="1:13" x14ac:dyDescent="0.2">
      <c r="A90" s="70" t="s">
        <v>210</v>
      </c>
      <c r="B90" t="s">
        <v>215</v>
      </c>
      <c r="C90" t="s">
        <v>214</v>
      </c>
      <c r="D90" t="s">
        <v>213</v>
      </c>
      <c r="E90" t="s">
        <v>212</v>
      </c>
    </row>
    <row r="91" spans="1:13" x14ac:dyDescent="0.2">
      <c r="A91" s="71" t="s">
        <v>36</v>
      </c>
      <c r="B91">
        <v>18</v>
      </c>
      <c r="C91">
        <v>515</v>
      </c>
      <c r="D91">
        <v>17</v>
      </c>
      <c r="E91">
        <v>477</v>
      </c>
    </row>
    <row r="92" spans="1:13" x14ac:dyDescent="0.2">
      <c r="A92" s="71" t="s">
        <v>39</v>
      </c>
      <c r="B92">
        <v>16</v>
      </c>
      <c r="C92">
        <v>410</v>
      </c>
      <c r="D92">
        <v>17</v>
      </c>
      <c r="E92">
        <v>352</v>
      </c>
    </row>
    <row r="93" spans="1:13" x14ac:dyDescent="0.2">
      <c r="A93" s="71" t="s">
        <v>21</v>
      </c>
      <c r="B93">
        <v>17</v>
      </c>
      <c r="C93">
        <v>525</v>
      </c>
      <c r="D93">
        <v>18</v>
      </c>
      <c r="E93">
        <v>456</v>
      </c>
    </row>
    <row r="94" spans="1:13" x14ac:dyDescent="0.2">
      <c r="A94" s="71" t="s">
        <v>136</v>
      </c>
      <c r="B94">
        <v>10</v>
      </c>
      <c r="C94">
        <v>330</v>
      </c>
      <c r="D94">
        <v>11</v>
      </c>
      <c r="E94">
        <v>260</v>
      </c>
    </row>
    <row r="95" spans="1:13" x14ac:dyDescent="0.2">
      <c r="A95" s="71" t="s">
        <v>42</v>
      </c>
      <c r="B95">
        <v>14</v>
      </c>
      <c r="C95">
        <v>450</v>
      </c>
      <c r="D95">
        <v>16</v>
      </c>
      <c r="E95">
        <v>395</v>
      </c>
    </row>
    <row r="96" spans="1:13" x14ac:dyDescent="0.2">
      <c r="A96" s="71" t="s">
        <v>30</v>
      </c>
      <c r="B96">
        <v>12</v>
      </c>
      <c r="C96">
        <v>360</v>
      </c>
      <c r="D96">
        <v>14</v>
      </c>
      <c r="E96">
        <v>304</v>
      </c>
    </row>
    <row r="97" spans="1:13" x14ac:dyDescent="0.2">
      <c r="A97" s="71" t="s">
        <v>211</v>
      </c>
      <c r="B97">
        <v>87</v>
      </c>
      <c r="C97">
        <v>2590</v>
      </c>
      <c r="D97">
        <v>93</v>
      </c>
      <c r="E97">
        <v>2244</v>
      </c>
    </row>
    <row r="98" spans="1:13" x14ac:dyDescent="0.2">
      <c r="A98"/>
      <c r="B98"/>
      <c r="C98"/>
      <c r="D98"/>
      <c r="E98"/>
    </row>
    <row r="99" spans="1:13" x14ac:dyDescent="0.2">
      <c r="A99"/>
      <c r="B99"/>
      <c r="C99"/>
    </row>
    <row r="100" spans="1:13" x14ac:dyDescent="0.2">
      <c r="A100"/>
      <c r="B100"/>
      <c r="C100"/>
    </row>
    <row r="101" spans="1:13" x14ac:dyDescent="0.2">
      <c r="A101"/>
      <c r="B101"/>
      <c r="C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">
      <c r="A106"/>
      <c r="B106"/>
      <c r="C106"/>
    </row>
    <row r="107" spans="1:13" x14ac:dyDescent="0.2">
      <c r="A107"/>
      <c r="B107"/>
      <c r="C107"/>
    </row>
    <row r="118" spans="1:20" s="4" customFormat="1" ht="30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19" spans="1:20" s="4" customFormat="1" ht="23.25" customHeight="1" x14ac:dyDescent="0.2">
      <c r="I119" s="3"/>
      <c r="J119" s="3"/>
      <c r="K119" s="2"/>
      <c r="L119" s="1"/>
      <c r="M119" s="1"/>
      <c r="N119"/>
      <c r="O119"/>
      <c r="P119"/>
      <c r="Q119"/>
      <c r="R119"/>
      <c r="S119"/>
      <c r="T119"/>
    </row>
    <row r="126" spans="1:20" s="5" customFormat="1" ht="12" customHeight="1" x14ac:dyDescent="0.2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2"/>
      <c r="L126" s="1"/>
      <c r="M126" s="1"/>
    </row>
    <row r="130" spans="9:20" x14ac:dyDescent="0.2">
      <c r="Q130" s="42" t="e">
        <f>SUM(#REF!)</f>
        <v>#REF!</v>
      </c>
      <c r="R130" s="42" t="e">
        <f>SUM(#REF!)</f>
        <v>#REF!</v>
      </c>
      <c r="S130" s="42" t="e">
        <f>SUM(#REF!)</f>
        <v>#REF!</v>
      </c>
      <c r="T130" s="42" t="e">
        <f>SUM(#REF!)</f>
        <v>#REF!</v>
      </c>
    </row>
    <row r="131" spans="9:20" ht="35.25" customHeight="1" x14ac:dyDescent="0.2"/>
    <row r="132" spans="9:20" ht="36.75" customHeight="1" x14ac:dyDescent="0.2"/>
    <row r="133" spans="9:20" ht="33.75" customHeight="1" x14ac:dyDescent="0.2"/>
    <row r="134" spans="9:20" ht="26.25" customHeight="1" x14ac:dyDescent="0.2"/>
    <row r="135" spans="9:20" ht="27.75" customHeight="1" x14ac:dyDescent="0.2"/>
    <row r="136" spans="9:20" s="4" customFormat="1" ht="40.5" customHeight="1" x14ac:dyDescent="0.2"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4D4-19EB-4BDF-B2CD-F968D2E846C2}">
  <dimension ref="A1:T139"/>
  <sheetViews>
    <sheetView topLeftCell="A6" zoomScale="84" zoomScaleNormal="76" workbookViewId="0">
      <selection activeCell="B10" sqref="B1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6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ref="J67" si="1">E67-L67</f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2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2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2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2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2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2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2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2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2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2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2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2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2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2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s="70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173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02E6-6765-4E0C-AFF8-95AC245AB312}">
  <dimension ref="A1:T139"/>
  <sheetViews>
    <sheetView topLeftCell="A122" zoomScale="84" zoomScaleNormal="76" workbookViewId="0">
      <selection activeCell="J133" sqref="J1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+A93+A1:L7+A7:L7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45959</v>
      </c>
      <c r="G8" s="113">
        <v>0.375</v>
      </c>
      <c r="H8" s="85">
        <v>45957</v>
      </c>
      <c r="I8" s="86">
        <v>0.41666666666666669</v>
      </c>
      <c r="J8" s="87">
        <f t="shared" ref="J8:J89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45959</v>
      </c>
      <c r="G9" s="113">
        <v>0.375</v>
      </c>
      <c r="H9" s="85">
        <v>45957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12">
        <v>45959</v>
      </c>
      <c r="G10" s="113">
        <v>0.375</v>
      </c>
      <c r="H10" s="112">
        <v>45957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12">
        <v>45959</v>
      </c>
      <c r="G11" s="113">
        <v>0.375</v>
      </c>
      <c r="H11" s="112" t="s">
        <v>513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14" t="s">
        <v>24</v>
      </c>
      <c r="B12" s="8" t="s">
        <v>36</v>
      </c>
      <c r="C12" s="8" t="s">
        <v>43</v>
      </c>
      <c r="D12" s="84">
        <v>1</v>
      </c>
      <c r="E12" s="49">
        <v>30</v>
      </c>
      <c r="F12" s="112">
        <v>45959</v>
      </c>
      <c r="G12" s="113">
        <v>0.375</v>
      </c>
      <c r="H12" s="112" t="s">
        <v>513</v>
      </c>
      <c r="I12" s="113">
        <v>0.45833333333333331</v>
      </c>
      <c r="J12" s="87">
        <f t="shared" si="0"/>
        <v>5</v>
      </c>
      <c r="K12" s="8">
        <v>2</v>
      </c>
      <c r="L12" s="8">
        <v>25</v>
      </c>
      <c r="M12" s="49" t="s">
        <v>516</v>
      </c>
    </row>
    <row r="13" spans="1:20" s="5" customFormat="1" ht="81.75" customHeight="1" x14ac:dyDescent="0.2">
      <c r="A13" s="49" t="s">
        <v>24</v>
      </c>
      <c r="B13" s="8" t="s">
        <v>42</v>
      </c>
      <c r="C13" s="8" t="s">
        <v>37</v>
      </c>
      <c r="D13" s="84">
        <v>1</v>
      </c>
      <c r="E13" s="49">
        <v>30</v>
      </c>
      <c r="F13" s="112">
        <v>45959</v>
      </c>
      <c r="G13" s="113">
        <v>0.375</v>
      </c>
      <c r="H13" s="112" t="s">
        <v>513</v>
      </c>
      <c r="I13" s="113">
        <v>0.45833333333333331</v>
      </c>
      <c r="J13" s="87">
        <f t="shared" si="0"/>
        <v>5</v>
      </c>
      <c r="K13" s="8">
        <v>2</v>
      </c>
      <c r="L13" s="8">
        <v>25</v>
      </c>
      <c r="M13" s="49" t="s">
        <v>516</v>
      </c>
    </row>
    <row r="14" spans="1:20" s="5" customFormat="1" ht="61.5" customHeight="1" x14ac:dyDescent="0.2">
      <c r="A14" s="49" t="s">
        <v>517</v>
      </c>
      <c r="B14" s="8" t="s">
        <v>36</v>
      </c>
      <c r="C14" s="8" t="s">
        <v>43</v>
      </c>
      <c r="D14" s="84">
        <v>1</v>
      </c>
      <c r="E14" s="49">
        <v>30</v>
      </c>
      <c r="F14" s="112">
        <v>45959</v>
      </c>
      <c r="G14" s="113">
        <v>0.375</v>
      </c>
      <c r="H14" s="112">
        <v>45958</v>
      </c>
      <c r="I14" s="113">
        <v>0.41666666666666669</v>
      </c>
      <c r="J14" s="87">
        <f t="shared" si="0"/>
        <v>0</v>
      </c>
      <c r="K14" s="8">
        <v>2</v>
      </c>
      <c r="L14" s="8">
        <v>30</v>
      </c>
      <c r="M14" s="49" t="s">
        <v>518</v>
      </c>
    </row>
    <row r="15" spans="1:20" s="5" customFormat="1" ht="61.5" customHeight="1" x14ac:dyDescent="0.2">
      <c r="A15" s="49" t="s">
        <v>517</v>
      </c>
      <c r="B15" s="8" t="s">
        <v>42</v>
      </c>
      <c r="C15" s="8" t="s">
        <v>37</v>
      </c>
      <c r="D15" s="84">
        <v>1</v>
      </c>
      <c r="E15" s="49">
        <v>30</v>
      </c>
      <c r="F15" s="112">
        <v>45959</v>
      </c>
      <c r="G15" s="113">
        <v>0.375</v>
      </c>
      <c r="H15" s="112">
        <v>45958</v>
      </c>
      <c r="I15" s="113">
        <v>0.41666666666666669</v>
      </c>
      <c r="J15" s="87">
        <f t="shared" si="0"/>
        <v>0</v>
      </c>
      <c r="K15" s="8">
        <v>2</v>
      </c>
      <c r="L15" s="8">
        <v>30</v>
      </c>
      <c r="M15" s="49" t="s">
        <v>518</v>
      </c>
    </row>
    <row r="16" spans="1:20" s="5" customFormat="1" ht="63" customHeight="1" x14ac:dyDescent="0.2">
      <c r="A16" s="38" t="s">
        <v>519</v>
      </c>
      <c r="B16" s="8" t="s">
        <v>36</v>
      </c>
      <c r="C16" s="110" t="s">
        <v>43</v>
      </c>
      <c r="D16" s="84">
        <v>1</v>
      </c>
      <c r="E16" s="49">
        <v>30</v>
      </c>
      <c r="F16" s="80">
        <v>45959</v>
      </c>
      <c r="G16" s="81">
        <v>0.375</v>
      </c>
      <c r="H16" s="80">
        <v>45958</v>
      </c>
      <c r="I16" s="81">
        <v>0.4375</v>
      </c>
      <c r="J16" s="87">
        <f t="shared" si="0"/>
        <v>5</v>
      </c>
      <c r="K16" s="53">
        <v>2</v>
      </c>
      <c r="L16" s="53">
        <v>25</v>
      </c>
      <c r="M16" s="111" t="s">
        <v>520</v>
      </c>
    </row>
    <row r="17" spans="1:13" s="5" customFormat="1" ht="63" customHeight="1" x14ac:dyDescent="0.2">
      <c r="A17" s="38" t="s">
        <v>519</v>
      </c>
      <c r="B17" s="8" t="s">
        <v>42</v>
      </c>
      <c r="C17" s="110" t="s">
        <v>37</v>
      </c>
      <c r="D17" s="84">
        <v>1</v>
      </c>
      <c r="E17" s="49">
        <v>30</v>
      </c>
      <c r="F17" s="80">
        <v>45959</v>
      </c>
      <c r="G17" s="81">
        <v>0.375</v>
      </c>
      <c r="H17" s="80">
        <v>45958</v>
      </c>
      <c r="I17" s="81">
        <v>0.4375</v>
      </c>
      <c r="J17" s="87">
        <f t="shared" si="0"/>
        <v>5</v>
      </c>
      <c r="K17" s="53">
        <v>2</v>
      </c>
      <c r="L17" s="53">
        <v>25</v>
      </c>
      <c r="M17" s="111" t="s">
        <v>520</v>
      </c>
    </row>
    <row r="18" spans="1:13" s="5" customFormat="1" ht="75" customHeight="1" x14ac:dyDescent="0.2">
      <c r="A18" s="38" t="s">
        <v>521</v>
      </c>
      <c r="B18" s="8" t="s">
        <v>42</v>
      </c>
      <c r="C18" s="110" t="s">
        <v>37</v>
      </c>
      <c r="D18" s="84">
        <v>1</v>
      </c>
      <c r="E18" s="49">
        <v>30</v>
      </c>
      <c r="F18" s="80">
        <v>45959</v>
      </c>
      <c r="G18" s="81">
        <v>0.375</v>
      </c>
      <c r="H18" s="80">
        <v>45958</v>
      </c>
      <c r="I18" s="81">
        <v>0.45833333333333331</v>
      </c>
      <c r="J18" s="87">
        <f t="shared" si="0"/>
        <v>3</v>
      </c>
      <c r="K18" s="53">
        <v>1</v>
      </c>
      <c r="L18" s="53">
        <v>27</v>
      </c>
      <c r="M18" s="111" t="s">
        <v>522</v>
      </c>
    </row>
    <row r="19" spans="1:13" s="5" customFormat="1" ht="72.75" customHeight="1" x14ac:dyDescent="0.2">
      <c r="A19" s="35" t="s">
        <v>521</v>
      </c>
      <c r="B19" s="8" t="s">
        <v>36</v>
      </c>
      <c r="C19" s="110" t="s">
        <v>43</v>
      </c>
      <c r="D19" s="84">
        <v>1</v>
      </c>
      <c r="E19" s="49">
        <v>30</v>
      </c>
      <c r="F19" s="80">
        <v>45959</v>
      </c>
      <c r="G19" s="81">
        <v>0.375</v>
      </c>
      <c r="H19" s="80">
        <v>45958</v>
      </c>
      <c r="I19" s="81">
        <v>0.45833333333333331</v>
      </c>
      <c r="J19" s="87">
        <f t="shared" si="0"/>
        <v>3</v>
      </c>
      <c r="K19" s="53">
        <v>1</v>
      </c>
      <c r="L19" s="53">
        <v>27</v>
      </c>
      <c r="M19" s="111" t="s">
        <v>522</v>
      </c>
    </row>
    <row r="20" spans="1:13" s="5" customFormat="1" ht="77.25" customHeight="1" x14ac:dyDescent="0.2">
      <c r="A20" s="49" t="s">
        <v>523</v>
      </c>
      <c r="B20" s="8" t="s">
        <v>36</v>
      </c>
      <c r="C20" s="110" t="s">
        <v>43</v>
      </c>
      <c r="D20" s="84">
        <v>1</v>
      </c>
      <c r="E20" s="49">
        <v>30</v>
      </c>
      <c r="F20" s="80">
        <v>45959</v>
      </c>
      <c r="G20" s="81">
        <v>0.375</v>
      </c>
      <c r="H20" s="80">
        <v>45958</v>
      </c>
      <c r="I20" s="81">
        <v>0.47916666666666669</v>
      </c>
      <c r="J20" s="87">
        <f t="shared" si="0"/>
        <v>2</v>
      </c>
      <c r="K20" s="53">
        <v>1</v>
      </c>
      <c r="L20" s="53">
        <v>28</v>
      </c>
      <c r="M20" s="111" t="s">
        <v>524</v>
      </c>
    </row>
    <row r="21" spans="1:13" s="5" customFormat="1" ht="70.5" customHeight="1" x14ac:dyDescent="0.2">
      <c r="A21" s="49" t="s">
        <v>523</v>
      </c>
      <c r="B21" s="8" t="s">
        <v>42</v>
      </c>
      <c r="C21" s="110" t="s">
        <v>37</v>
      </c>
      <c r="D21" s="84">
        <v>1</v>
      </c>
      <c r="E21" s="49">
        <v>30</v>
      </c>
      <c r="F21" s="80">
        <v>45959</v>
      </c>
      <c r="G21" s="81">
        <v>0.375</v>
      </c>
      <c r="H21" s="80">
        <v>45958</v>
      </c>
      <c r="I21" s="81">
        <v>0.47916666666666669</v>
      </c>
      <c r="J21" s="87">
        <f t="shared" si="0"/>
        <v>2</v>
      </c>
      <c r="K21" s="53">
        <v>1</v>
      </c>
      <c r="L21" s="53">
        <v>28</v>
      </c>
      <c r="M21" s="111" t="s">
        <v>524</v>
      </c>
    </row>
    <row r="22" spans="1:13" s="5" customFormat="1" ht="66" customHeight="1" x14ac:dyDescent="0.2">
      <c r="A22" s="49" t="s">
        <v>525</v>
      </c>
      <c r="B22" s="8" t="s">
        <v>136</v>
      </c>
      <c r="C22" s="110" t="s">
        <v>22</v>
      </c>
      <c r="D22" s="84">
        <v>1</v>
      </c>
      <c r="E22" s="49">
        <v>30</v>
      </c>
      <c r="F22" s="80">
        <v>45959</v>
      </c>
      <c r="G22" s="81">
        <v>0.375</v>
      </c>
      <c r="H22" s="80">
        <v>45958</v>
      </c>
      <c r="I22" s="81">
        <v>0.5</v>
      </c>
      <c r="J22" s="87">
        <f t="shared" si="0"/>
        <v>0</v>
      </c>
      <c r="K22" s="53">
        <v>1</v>
      </c>
      <c r="L22" s="53">
        <v>30</v>
      </c>
      <c r="M22" s="111" t="s">
        <v>526</v>
      </c>
    </row>
    <row r="23" spans="1:13" s="5" customFormat="1" ht="69" customHeight="1" x14ac:dyDescent="0.2">
      <c r="A23" s="49" t="s">
        <v>525</v>
      </c>
      <c r="B23" s="8" t="s">
        <v>30</v>
      </c>
      <c r="C23" s="110" t="s">
        <v>40</v>
      </c>
      <c r="D23" s="84">
        <v>1</v>
      </c>
      <c r="E23" s="49">
        <v>30</v>
      </c>
      <c r="F23" s="80">
        <v>45959</v>
      </c>
      <c r="G23" s="81">
        <v>0.375</v>
      </c>
      <c r="H23" s="80">
        <v>45958</v>
      </c>
      <c r="I23" s="81">
        <v>0.5</v>
      </c>
      <c r="J23" s="87">
        <f t="shared" si="0"/>
        <v>0</v>
      </c>
      <c r="K23" s="53">
        <v>1</v>
      </c>
      <c r="L23" s="53">
        <v>30</v>
      </c>
      <c r="M23" s="111" t="s">
        <v>526</v>
      </c>
    </row>
    <row r="24" spans="1:13" s="5" customFormat="1" ht="60" customHeight="1" x14ac:dyDescent="0.2">
      <c r="A24" s="49" t="s">
        <v>525</v>
      </c>
      <c r="B24" s="8" t="s">
        <v>42</v>
      </c>
      <c r="C24" s="110" t="s">
        <v>37</v>
      </c>
      <c r="D24" s="84">
        <v>1</v>
      </c>
      <c r="E24" s="49">
        <v>30</v>
      </c>
      <c r="F24" s="80">
        <v>45959</v>
      </c>
      <c r="G24" s="81">
        <v>0.375</v>
      </c>
      <c r="H24" s="80">
        <v>45958</v>
      </c>
      <c r="I24" s="81">
        <v>0.5</v>
      </c>
      <c r="J24" s="87">
        <f t="shared" si="0"/>
        <v>0</v>
      </c>
      <c r="K24" s="53">
        <v>1</v>
      </c>
      <c r="L24" s="53">
        <v>30</v>
      </c>
      <c r="M24" s="111" t="s">
        <v>526</v>
      </c>
    </row>
    <row r="25" spans="1:13" s="5" customFormat="1" ht="59.25" customHeight="1" x14ac:dyDescent="0.2">
      <c r="A25" s="49" t="s">
        <v>525</v>
      </c>
      <c r="B25" s="8" t="s">
        <v>36</v>
      </c>
      <c r="C25" s="110" t="s">
        <v>43</v>
      </c>
      <c r="D25" s="84">
        <v>1</v>
      </c>
      <c r="E25" s="49">
        <v>30</v>
      </c>
      <c r="F25" s="80">
        <v>45959</v>
      </c>
      <c r="G25" s="81">
        <v>0.375</v>
      </c>
      <c r="H25" s="80">
        <v>45958</v>
      </c>
      <c r="I25" s="81">
        <v>0.5</v>
      </c>
      <c r="J25" s="87">
        <f t="shared" si="0"/>
        <v>0</v>
      </c>
      <c r="K25" s="53">
        <v>1</v>
      </c>
      <c r="L25" s="53">
        <v>30</v>
      </c>
      <c r="M25" s="111" t="s">
        <v>526</v>
      </c>
    </row>
    <row r="26" spans="1:13" s="5" customFormat="1" ht="89.25" customHeight="1" x14ac:dyDescent="0.2">
      <c r="A26" s="49" t="s">
        <v>525</v>
      </c>
      <c r="B26" s="8" t="s">
        <v>510</v>
      </c>
      <c r="C26" s="110" t="s">
        <v>31</v>
      </c>
      <c r="D26" s="84">
        <v>1</v>
      </c>
      <c r="E26" s="49">
        <v>30</v>
      </c>
      <c r="F26" s="80">
        <v>45959</v>
      </c>
      <c r="G26" s="81">
        <v>0.375</v>
      </c>
      <c r="H26" s="80">
        <v>45958</v>
      </c>
      <c r="I26" s="81">
        <v>0.5</v>
      </c>
      <c r="J26" s="87">
        <f t="shared" si="0"/>
        <v>0</v>
      </c>
      <c r="K26" s="53">
        <v>1</v>
      </c>
      <c r="L26" s="53">
        <v>30</v>
      </c>
      <c r="M26" s="111" t="s">
        <v>526</v>
      </c>
    </row>
    <row r="27" spans="1:13" s="5" customFormat="1" ht="87" customHeight="1" x14ac:dyDescent="0.2">
      <c r="A27" s="49" t="s">
        <v>525</v>
      </c>
      <c r="B27" s="8" t="s">
        <v>21</v>
      </c>
      <c r="C27" s="110" t="s">
        <v>34</v>
      </c>
      <c r="D27" s="84">
        <v>1</v>
      </c>
      <c r="E27" s="49">
        <v>30</v>
      </c>
      <c r="F27" s="80">
        <v>45959</v>
      </c>
      <c r="G27" s="81">
        <v>0.375</v>
      </c>
      <c r="H27" s="80">
        <v>45958</v>
      </c>
      <c r="I27" s="81">
        <v>0.5</v>
      </c>
      <c r="J27" s="87">
        <f t="shared" si="0"/>
        <v>0</v>
      </c>
      <c r="K27" s="53">
        <v>1</v>
      </c>
      <c r="L27" s="53">
        <v>30</v>
      </c>
      <c r="M27" s="111" t="s">
        <v>526</v>
      </c>
    </row>
    <row r="28" spans="1:13" s="5" customFormat="1" ht="48.75" customHeight="1" x14ac:dyDescent="0.2">
      <c r="A28" s="49" t="s">
        <v>527</v>
      </c>
      <c r="B28" s="8" t="s">
        <v>136</v>
      </c>
      <c r="C28" s="110" t="s">
        <v>22</v>
      </c>
      <c r="D28" s="84">
        <v>1</v>
      </c>
      <c r="E28" s="49">
        <v>30</v>
      </c>
      <c r="F28" s="80">
        <v>45959</v>
      </c>
      <c r="G28" s="81">
        <v>0.375</v>
      </c>
      <c r="H28" s="80">
        <v>45958</v>
      </c>
      <c r="I28" s="81">
        <v>0.52083333333333337</v>
      </c>
      <c r="J28" s="87">
        <f t="shared" si="0"/>
        <v>6</v>
      </c>
      <c r="K28" s="53">
        <v>2</v>
      </c>
      <c r="L28" s="53">
        <v>24</v>
      </c>
      <c r="M28" s="111" t="s">
        <v>528</v>
      </c>
    </row>
    <row r="29" spans="1:13" s="5" customFormat="1" ht="36.75" customHeight="1" x14ac:dyDescent="0.2">
      <c r="A29" s="49" t="s">
        <v>527</v>
      </c>
      <c r="B29" s="8" t="s">
        <v>30</v>
      </c>
      <c r="C29" s="110" t="s">
        <v>40</v>
      </c>
      <c r="D29" s="84">
        <v>1</v>
      </c>
      <c r="E29" s="49">
        <v>30</v>
      </c>
      <c r="F29" s="80">
        <v>45959</v>
      </c>
      <c r="G29" s="81">
        <v>0.375</v>
      </c>
      <c r="H29" s="80">
        <v>45958</v>
      </c>
      <c r="I29" s="81">
        <v>0.52083333333333337</v>
      </c>
      <c r="J29" s="87">
        <f t="shared" si="0"/>
        <v>6</v>
      </c>
      <c r="K29" s="53">
        <v>2</v>
      </c>
      <c r="L29" s="53">
        <v>24</v>
      </c>
      <c r="M29" s="111" t="s">
        <v>528</v>
      </c>
    </row>
    <row r="30" spans="1:13" s="5" customFormat="1" ht="37.5" customHeight="1" x14ac:dyDescent="0.2">
      <c r="A30" s="49" t="s">
        <v>527</v>
      </c>
      <c r="B30" s="8" t="s">
        <v>42</v>
      </c>
      <c r="C30" s="110" t="s">
        <v>37</v>
      </c>
      <c r="D30" s="84">
        <v>1</v>
      </c>
      <c r="E30" s="49">
        <v>30</v>
      </c>
      <c r="F30" s="80">
        <v>45959</v>
      </c>
      <c r="G30" s="81">
        <v>0.375</v>
      </c>
      <c r="H30" s="80">
        <v>45958</v>
      </c>
      <c r="I30" s="81">
        <v>0.52083333333333337</v>
      </c>
      <c r="J30" s="87">
        <f t="shared" si="0"/>
        <v>6</v>
      </c>
      <c r="K30" s="53">
        <v>2</v>
      </c>
      <c r="L30" s="53">
        <v>24</v>
      </c>
      <c r="M30" s="111" t="s">
        <v>528</v>
      </c>
    </row>
    <row r="31" spans="1:13" s="5" customFormat="1" ht="38.25" customHeight="1" x14ac:dyDescent="0.2">
      <c r="A31" s="49" t="s">
        <v>527</v>
      </c>
      <c r="B31" s="8" t="s">
        <v>36</v>
      </c>
      <c r="C31" s="110" t="s">
        <v>43</v>
      </c>
      <c r="D31" s="84">
        <v>1</v>
      </c>
      <c r="E31" s="49">
        <v>30</v>
      </c>
      <c r="F31" s="80">
        <v>45959</v>
      </c>
      <c r="G31" s="81">
        <v>0.375</v>
      </c>
      <c r="H31" s="80">
        <v>45958</v>
      </c>
      <c r="I31" s="81">
        <v>0.52083333333333337</v>
      </c>
      <c r="J31" s="87">
        <f t="shared" si="0"/>
        <v>6</v>
      </c>
      <c r="K31" s="53">
        <v>2</v>
      </c>
      <c r="L31" s="53">
        <v>24</v>
      </c>
      <c r="M31" s="111" t="s">
        <v>528</v>
      </c>
    </row>
    <row r="32" spans="1:13" s="5" customFormat="1" ht="38.25" customHeight="1" x14ac:dyDescent="0.2">
      <c r="A32" s="49" t="s">
        <v>527</v>
      </c>
      <c r="B32" s="8" t="s">
        <v>510</v>
      </c>
      <c r="C32" s="110" t="s">
        <v>31</v>
      </c>
      <c r="D32" s="84">
        <v>1</v>
      </c>
      <c r="E32" s="49">
        <v>30</v>
      </c>
      <c r="F32" s="80">
        <v>45959</v>
      </c>
      <c r="G32" s="81">
        <v>0.375</v>
      </c>
      <c r="H32" s="80">
        <v>45958</v>
      </c>
      <c r="I32" s="81">
        <v>0.52083333333333337</v>
      </c>
      <c r="J32" s="87">
        <f t="shared" si="0"/>
        <v>6</v>
      </c>
      <c r="K32" s="53">
        <v>2</v>
      </c>
      <c r="L32" s="53">
        <v>24</v>
      </c>
      <c r="M32" s="111" t="s">
        <v>528</v>
      </c>
    </row>
    <row r="33" spans="1:13" s="5" customFormat="1" ht="38.25" customHeight="1" x14ac:dyDescent="0.2">
      <c r="A33" s="49" t="s">
        <v>527</v>
      </c>
      <c r="B33" s="8" t="s">
        <v>21</v>
      </c>
      <c r="C33" s="110" t="s">
        <v>34</v>
      </c>
      <c r="D33" s="84">
        <v>1</v>
      </c>
      <c r="E33" s="49">
        <v>30</v>
      </c>
      <c r="F33" s="80">
        <v>45959</v>
      </c>
      <c r="G33" s="81">
        <v>0.375</v>
      </c>
      <c r="H33" s="80">
        <v>45958</v>
      </c>
      <c r="I33" s="81">
        <v>0.52083333333333337</v>
      </c>
      <c r="J33" s="87">
        <f t="shared" si="0"/>
        <v>6</v>
      </c>
      <c r="K33" s="53">
        <v>2</v>
      </c>
      <c r="L33" s="53">
        <v>24</v>
      </c>
      <c r="M33" s="111" t="s">
        <v>528</v>
      </c>
    </row>
    <row r="34" spans="1:13" s="5" customFormat="1" ht="44.25" customHeight="1" x14ac:dyDescent="0.2">
      <c r="A34" s="49" t="s">
        <v>529</v>
      </c>
      <c r="B34" s="8" t="s">
        <v>136</v>
      </c>
      <c r="C34" s="110" t="s">
        <v>22</v>
      </c>
      <c r="D34" s="84">
        <v>2</v>
      </c>
      <c r="E34" s="49">
        <v>30</v>
      </c>
      <c r="F34" s="80">
        <v>45959</v>
      </c>
      <c r="G34" s="81">
        <v>0.375</v>
      </c>
      <c r="H34" s="80">
        <v>45958</v>
      </c>
      <c r="I34" s="81">
        <v>0.54166666666666663</v>
      </c>
      <c r="J34" s="87">
        <f t="shared" si="0"/>
        <v>1</v>
      </c>
      <c r="K34" s="53">
        <v>1</v>
      </c>
      <c r="L34" s="53">
        <v>29</v>
      </c>
      <c r="M34" s="111" t="s">
        <v>530</v>
      </c>
    </row>
    <row r="35" spans="1:13" s="5" customFormat="1" ht="55.5" customHeight="1" x14ac:dyDescent="0.2">
      <c r="A35" s="49" t="s">
        <v>529</v>
      </c>
      <c r="B35" s="8" t="s">
        <v>30</v>
      </c>
      <c r="C35" s="110" t="s">
        <v>40</v>
      </c>
      <c r="D35" s="84">
        <v>2</v>
      </c>
      <c r="E35" s="49">
        <v>30</v>
      </c>
      <c r="F35" s="80">
        <v>45959</v>
      </c>
      <c r="G35" s="81">
        <v>0.375</v>
      </c>
      <c r="H35" s="80">
        <v>45958</v>
      </c>
      <c r="I35" s="81">
        <v>0.54166666666666663</v>
      </c>
      <c r="J35" s="87">
        <f t="shared" si="0"/>
        <v>1</v>
      </c>
      <c r="K35" s="53">
        <v>1</v>
      </c>
      <c r="L35" s="53">
        <v>29</v>
      </c>
      <c r="M35" s="111" t="s">
        <v>530</v>
      </c>
    </row>
    <row r="36" spans="1:13" s="5" customFormat="1" ht="39" customHeight="1" x14ac:dyDescent="0.2">
      <c r="A36" s="49" t="s">
        <v>529</v>
      </c>
      <c r="B36" s="8" t="s">
        <v>42</v>
      </c>
      <c r="C36" s="110" t="s">
        <v>37</v>
      </c>
      <c r="D36" s="84">
        <v>2</v>
      </c>
      <c r="E36" s="49">
        <v>30</v>
      </c>
      <c r="F36" s="80">
        <v>45959</v>
      </c>
      <c r="G36" s="81">
        <v>0.375</v>
      </c>
      <c r="H36" s="80">
        <v>45958</v>
      </c>
      <c r="I36" s="81">
        <v>0.54166666666666663</v>
      </c>
      <c r="J36" s="87">
        <f t="shared" si="0"/>
        <v>1</v>
      </c>
      <c r="K36" s="53">
        <v>1</v>
      </c>
      <c r="L36" s="53">
        <v>29</v>
      </c>
      <c r="M36" s="111" t="s">
        <v>530</v>
      </c>
    </row>
    <row r="37" spans="1:13" s="5" customFormat="1" ht="42" customHeight="1" x14ac:dyDescent="0.2">
      <c r="A37" s="49" t="s">
        <v>529</v>
      </c>
      <c r="B37" s="8" t="s">
        <v>36</v>
      </c>
      <c r="C37" s="110" t="s">
        <v>43</v>
      </c>
      <c r="D37" s="84">
        <v>2</v>
      </c>
      <c r="E37" s="49">
        <v>30</v>
      </c>
      <c r="F37" s="80">
        <v>45959</v>
      </c>
      <c r="G37" s="81">
        <v>0.375</v>
      </c>
      <c r="H37" s="80">
        <v>45958</v>
      </c>
      <c r="I37" s="81">
        <v>0.54166666666666663</v>
      </c>
      <c r="J37" s="87">
        <f t="shared" si="0"/>
        <v>1</v>
      </c>
      <c r="K37" s="53">
        <v>1</v>
      </c>
      <c r="L37" s="53">
        <v>29</v>
      </c>
      <c r="M37" s="111" t="s">
        <v>530</v>
      </c>
    </row>
    <row r="38" spans="1:13" s="5" customFormat="1" ht="71.25" customHeight="1" x14ac:dyDescent="0.2">
      <c r="A38" s="49" t="s">
        <v>529</v>
      </c>
      <c r="B38" s="8" t="s">
        <v>510</v>
      </c>
      <c r="C38" s="110" t="s">
        <v>31</v>
      </c>
      <c r="D38" s="84">
        <v>2</v>
      </c>
      <c r="E38" s="49">
        <v>30</v>
      </c>
      <c r="F38" s="80">
        <v>45959</v>
      </c>
      <c r="G38" s="81">
        <v>0.375</v>
      </c>
      <c r="H38" s="80">
        <v>45958</v>
      </c>
      <c r="I38" s="81">
        <v>0.54166666666666663</v>
      </c>
      <c r="J38" s="87">
        <f t="shared" si="0"/>
        <v>1</v>
      </c>
      <c r="K38" s="53">
        <v>1</v>
      </c>
      <c r="L38" s="53">
        <v>29</v>
      </c>
      <c r="M38" s="111" t="s">
        <v>530</v>
      </c>
    </row>
    <row r="39" spans="1:13" s="5" customFormat="1" ht="66" customHeight="1" x14ac:dyDescent="0.2">
      <c r="A39" s="49" t="s">
        <v>529</v>
      </c>
      <c r="B39" s="8" t="s">
        <v>21</v>
      </c>
      <c r="C39" s="110" t="s">
        <v>34</v>
      </c>
      <c r="D39" s="84">
        <v>2</v>
      </c>
      <c r="E39" s="49">
        <v>30</v>
      </c>
      <c r="F39" s="80">
        <v>45959</v>
      </c>
      <c r="G39" s="81">
        <v>0.375</v>
      </c>
      <c r="H39" s="80">
        <v>45958</v>
      </c>
      <c r="I39" s="81">
        <v>0.54166666666666663</v>
      </c>
      <c r="J39" s="87">
        <f t="shared" si="0"/>
        <v>1</v>
      </c>
      <c r="K39" s="53">
        <v>1</v>
      </c>
      <c r="L39" s="53">
        <v>29</v>
      </c>
      <c r="M39" s="111" t="s">
        <v>530</v>
      </c>
    </row>
    <row r="40" spans="1:13" s="5" customFormat="1" ht="56.25" customHeight="1" x14ac:dyDescent="0.2">
      <c r="A40" s="49" t="s">
        <v>531</v>
      </c>
      <c r="B40" s="8" t="s">
        <v>136</v>
      </c>
      <c r="C40" s="110" t="s">
        <v>22</v>
      </c>
      <c r="D40" s="84">
        <v>1</v>
      </c>
      <c r="E40" s="49">
        <v>35</v>
      </c>
      <c r="F40" s="80">
        <v>45959</v>
      </c>
      <c r="G40" s="81">
        <v>0.375</v>
      </c>
      <c r="H40" s="80">
        <v>45958</v>
      </c>
      <c r="I40" s="81">
        <v>0.5625</v>
      </c>
      <c r="J40" s="87">
        <f t="shared" si="0"/>
        <v>5</v>
      </c>
      <c r="K40" s="53">
        <v>2</v>
      </c>
      <c r="L40" s="53">
        <v>30</v>
      </c>
      <c r="M40" s="111" t="s">
        <v>532</v>
      </c>
    </row>
    <row r="41" spans="1:13" s="5" customFormat="1" ht="63" customHeight="1" x14ac:dyDescent="0.2">
      <c r="A41" s="49" t="s">
        <v>531</v>
      </c>
      <c r="B41" s="8" t="s">
        <v>30</v>
      </c>
      <c r="C41" s="110" t="s">
        <v>40</v>
      </c>
      <c r="D41" s="84">
        <v>1</v>
      </c>
      <c r="E41" s="49">
        <v>35</v>
      </c>
      <c r="F41" s="80">
        <v>45959</v>
      </c>
      <c r="G41" s="81">
        <v>0.375</v>
      </c>
      <c r="H41" s="80">
        <v>45958</v>
      </c>
      <c r="I41" s="81">
        <v>0.5625</v>
      </c>
      <c r="J41" s="87">
        <f t="shared" si="0"/>
        <v>5</v>
      </c>
      <c r="K41" s="53">
        <v>2</v>
      </c>
      <c r="L41" s="53">
        <v>30</v>
      </c>
      <c r="M41" s="111" t="s">
        <v>532</v>
      </c>
    </row>
    <row r="42" spans="1:13" s="5" customFormat="1" ht="66" customHeight="1" x14ac:dyDescent="0.2">
      <c r="A42" s="49" t="s">
        <v>531</v>
      </c>
      <c r="B42" s="8" t="s">
        <v>42</v>
      </c>
      <c r="C42" s="110" t="s">
        <v>37</v>
      </c>
      <c r="D42" s="84">
        <v>1</v>
      </c>
      <c r="E42" s="49">
        <v>35</v>
      </c>
      <c r="F42" s="80">
        <v>45959</v>
      </c>
      <c r="G42" s="81">
        <v>0.375</v>
      </c>
      <c r="H42" s="80">
        <v>45958</v>
      </c>
      <c r="I42" s="81">
        <v>0.5625</v>
      </c>
      <c r="J42" s="87">
        <f t="shared" si="0"/>
        <v>5</v>
      </c>
      <c r="K42" s="53">
        <v>2</v>
      </c>
      <c r="L42" s="53">
        <v>30</v>
      </c>
      <c r="M42" s="111" t="s">
        <v>532</v>
      </c>
    </row>
    <row r="43" spans="1:13" s="5" customFormat="1" ht="58.5" customHeight="1" x14ac:dyDescent="0.2">
      <c r="A43" s="49" t="s">
        <v>531</v>
      </c>
      <c r="B43" s="8" t="s">
        <v>36</v>
      </c>
      <c r="C43" s="110" t="s">
        <v>43</v>
      </c>
      <c r="D43" s="84">
        <v>1</v>
      </c>
      <c r="E43" s="49">
        <v>35</v>
      </c>
      <c r="F43" s="80">
        <v>45959</v>
      </c>
      <c r="G43" s="81">
        <v>0.375</v>
      </c>
      <c r="H43" s="80">
        <v>45958</v>
      </c>
      <c r="I43" s="81">
        <v>0.5625</v>
      </c>
      <c r="J43" s="87">
        <f t="shared" si="0"/>
        <v>5</v>
      </c>
      <c r="K43" s="53">
        <v>2</v>
      </c>
      <c r="L43" s="53">
        <v>30</v>
      </c>
      <c r="M43" s="111" t="s">
        <v>532</v>
      </c>
    </row>
    <row r="44" spans="1:13" s="5" customFormat="1" ht="57" customHeight="1" x14ac:dyDescent="0.2">
      <c r="A44" s="49" t="s">
        <v>531</v>
      </c>
      <c r="B44" s="8" t="s">
        <v>510</v>
      </c>
      <c r="C44" s="110" t="s">
        <v>31</v>
      </c>
      <c r="D44" s="84">
        <v>1</v>
      </c>
      <c r="E44" s="49">
        <v>35</v>
      </c>
      <c r="F44" s="80">
        <v>45959</v>
      </c>
      <c r="G44" s="81">
        <v>0.375</v>
      </c>
      <c r="H44" s="80">
        <v>45958</v>
      </c>
      <c r="I44" s="81">
        <v>0.5625</v>
      </c>
      <c r="J44" s="87">
        <f t="shared" si="0"/>
        <v>5</v>
      </c>
      <c r="K44" s="53">
        <v>2</v>
      </c>
      <c r="L44" s="53">
        <v>30</v>
      </c>
      <c r="M44" s="111" t="s">
        <v>532</v>
      </c>
    </row>
    <row r="45" spans="1:13" s="5" customFormat="1" ht="55.5" customHeight="1" x14ac:dyDescent="0.2">
      <c r="A45" s="49" t="s">
        <v>531</v>
      </c>
      <c r="B45" s="8" t="s">
        <v>21</v>
      </c>
      <c r="C45" s="110" t="s">
        <v>34</v>
      </c>
      <c r="D45" s="84">
        <v>1</v>
      </c>
      <c r="E45" s="49">
        <v>35</v>
      </c>
      <c r="F45" s="80">
        <v>45959</v>
      </c>
      <c r="G45" s="81">
        <v>0.375</v>
      </c>
      <c r="H45" s="80">
        <v>45958</v>
      </c>
      <c r="I45" s="81">
        <v>0.5625</v>
      </c>
      <c r="J45" s="87">
        <f t="shared" si="0"/>
        <v>5</v>
      </c>
      <c r="K45" s="53">
        <v>2</v>
      </c>
      <c r="L45" s="53">
        <v>30</v>
      </c>
      <c r="M45" s="111" t="s">
        <v>532</v>
      </c>
    </row>
    <row r="46" spans="1:13" ht="87" customHeight="1" x14ac:dyDescent="0.2">
      <c r="A46" s="49" t="s">
        <v>533</v>
      </c>
      <c r="B46" s="8" t="s">
        <v>136</v>
      </c>
      <c r="C46" s="110" t="s">
        <v>22</v>
      </c>
      <c r="D46" s="84">
        <v>1</v>
      </c>
      <c r="E46" s="49">
        <v>30</v>
      </c>
      <c r="F46" s="80">
        <v>45959</v>
      </c>
      <c r="G46" s="81">
        <v>0.375</v>
      </c>
      <c r="H46" s="80">
        <v>45958</v>
      </c>
      <c r="I46" s="81">
        <v>0.58333333333333337</v>
      </c>
      <c r="J46" s="87">
        <f t="shared" si="0"/>
        <v>7</v>
      </c>
      <c r="K46" s="53">
        <v>1</v>
      </c>
      <c r="L46" s="53">
        <v>23</v>
      </c>
      <c r="M46" s="111" t="s">
        <v>534</v>
      </c>
    </row>
    <row r="47" spans="1:13" s="5" customFormat="1" ht="56.25" customHeight="1" x14ac:dyDescent="0.2">
      <c r="A47" s="49" t="s">
        <v>533</v>
      </c>
      <c r="B47" s="8" t="s">
        <v>30</v>
      </c>
      <c r="C47" s="110" t="s">
        <v>40</v>
      </c>
      <c r="D47" s="84">
        <v>1</v>
      </c>
      <c r="E47" s="49">
        <v>30</v>
      </c>
      <c r="F47" s="80">
        <v>45959</v>
      </c>
      <c r="G47" s="81">
        <v>0.375</v>
      </c>
      <c r="H47" s="80">
        <v>45958</v>
      </c>
      <c r="I47" s="81">
        <v>0.58333333333333337</v>
      </c>
      <c r="J47" s="87">
        <f t="shared" si="0"/>
        <v>7</v>
      </c>
      <c r="K47" s="53">
        <v>1</v>
      </c>
      <c r="L47" s="53">
        <v>23</v>
      </c>
      <c r="M47" s="111" t="s">
        <v>534</v>
      </c>
    </row>
    <row r="48" spans="1:13" s="5" customFormat="1" ht="67.5" customHeight="1" x14ac:dyDescent="0.2">
      <c r="A48" s="49" t="s">
        <v>533</v>
      </c>
      <c r="B48" s="8" t="s">
        <v>42</v>
      </c>
      <c r="C48" s="110" t="s">
        <v>37</v>
      </c>
      <c r="D48" s="84">
        <v>1</v>
      </c>
      <c r="E48" s="49">
        <v>30</v>
      </c>
      <c r="F48" s="80">
        <v>45959</v>
      </c>
      <c r="G48" s="81">
        <v>0.375</v>
      </c>
      <c r="H48" s="80">
        <v>45958</v>
      </c>
      <c r="I48" s="81">
        <v>0.58333333333333337</v>
      </c>
      <c r="J48" s="87">
        <f t="shared" si="0"/>
        <v>7</v>
      </c>
      <c r="K48" s="53">
        <v>1</v>
      </c>
      <c r="L48" s="53">
        <v>23</v>
      </c>
      <c r="M48" s="111" t="s">
        <v>534</v>
      </c>
    </row>
    <row r="49" spans="1:13" s="5" customFormat="1" ht="69.75" customHeight="1" x14ac:dyDescent="0.2">
      <c r="A49" s="49" t="s">
        <v>533</v>
      </c>
      <c r="B49" s="8" t="s">
        <v>36</v>
      </c>
      <c r="C49" s="110" t="s">
        <v>43</v>
      </c>
      <c r="D49" s="84">
        <v>1</v>
      </c>
      <c r="E49" s="49">
        <v>30</v>
      </c>
      <c r="F49" s="80">
        <v>45959</v>
      </c>
      <c r="G49" s="81">
        <v>0.375</v>
      </c>
      <c r="H49" s="80">
        <v>45958</v>
      </c>
      <c r="I49" s="81">
        <v>0.58333333333333337</v>
      </c>
      <c r="J49" s="87">
        <f t="shared" si="0"/>
        <v>7</v>
      </c>
      <c r="K49" s="53">
        <v>1</v>
      </c>
      <c r="L49" s="53">
        <v>23</v>
      </c>
      <c r="M49" s="111" t="s">
        <v>534</v>
      </c>
    </row>
    <row r="50" spans="1:13" s="5" customFormat="1" ht="61.5" customHeight="1" x14ac:dyDescent="0.2">
      <c r="A50" s="49" t="s">
        <v>533</v>
      </c>
      <c r="B50" s="8" t="s">
        <v>510</v>
      </c>
      <c r="C50" s="110" t="s">
        <v>31</v>
      </c>
      <c r="D50" s="84">
        <v>1</v>
      </c>
      <c r="E50" s="49">
        <v>30</v>
      </c>
      <c r="F50" s="80">
        <v>45959</v>
      </c>
      <c r="G50" s="81">
        <v>0.375</v>
      </c>
      <c r="H50" s="80">
        <v>45958</v>
      </c>
      <c r="I50" s="81">
        <v>0.58333333333333337</v>
      </c>
      <c r="J50" s="87">
        <f t="shared" si="0"/>
        <v>7</v>
      </c>
      <c r="K50" s="53">
        <v>1</v>
      </c>
      <c r="L50" s="53">
        <v>23</v>
      </c>
      <c r="M50" s="111" t="s">
        <v>534</v>
      </c>
    </row>
    <row r="51" spans="1:13" s="5" customFormat="1" ht="56.25" customHeight="1" x14ac:dyDescent="0.2">
      <c r="A51" s="49" t="s">
        <v>533</v>
      </c>
      <c r="B51" s="8" t="s">
        <v>21</v>
      </c>
      <c r="C51" s="110" t="s">
        <v>34</v>
      </c>
      <c r="D51" s="84">
        <v>1</v>
      </c>
      <c r="E51" s="49">
        <v>30</v>
      </c>
      <c r="F51" s="80">
        <v>45959</v>
      </c>
      <c r="G51" s="81">
        <v>0.375</v>
      </c>
      <c r="H51" s="80">
        <v>45958</v>
      </c>
      <c r="I51" s="81">
        <v>0.58333333333333337</v>
      </c>
      <c r="J51" s="87">
        <f t="shared" si="0"/>
        <v>7</v>
      </c>
      <c r="K51" s="53">
        <v>1</v>
      </c>
      <c r="L51" s="53">
        <v>23</v>
      </c>
      <c r="M51" s="111" t="s">
        <v>534</v>
      </c>
    </row>
    <row r="52" spans="1:13" s="5" customFormat="1" ht="97.5" customHeight="1" x14ac:dyDescent="0.2">
      <c r="A52" s="49" t="s">
        <v>535</v>
      </c>
      <c r="B52" s="8" t="s">
        <v>136</v>
      </c>
      <c r="C52" s="110" t="s">
        <v>22</v>
      </c>
      <c r="D52" s="84">
        <v>1</v>
      </c>
      <c r="E52" s="49">
        <v>30</v>
      </c>
      <c r="F52" s="80">
        <v>45959</v>
      </c>
      <c r="G52" s="81">
        <v>0.375</v>
      </c>
      <c r="H52" s="80">
        <v>45958</v>
      </c>
      <c r="I52" s="81">
        <v>0.60416666666666663</v>
      </c>
      <c r="J52" s="87">
        <f t="shared" si="0"/>
        <v>0</v>
      </c>
      <c r="K52" s="53">
        <v>1</v>
      </c>
      <c r="L52" s="53">
        <v>30</v>
      </c>
      <c r="M52" s="111" t="s">
        <v>536</v>
      </c>
    </row>
    <row r="53" spans="1:13" s="5" customFormat="1" ht="75" customHeight="1" x14ac:dyDescent="0.2">
      <c r="A53" s="49" t="s">
        <v>535</v>
      </c>
      <c r="B53" s="8" t="s">
        <v>30</v>
      </c>
      <c r="C53" s="110" t="s">
        <v>40</v>
      </c>
      <c r="D53" s="84">
        <v>1</v>
      </c>
      <c r="E53" s="49">
        <v>30</v>
      </c>
      <c r="F53" s="80">
        <v>45959</v>
      </c>
      <c r="G53" s="81">
        <v>0.375</v>
      </c>
      <c r="H53" s="80">
        <v>45958</v>
      </c>
      <c r="I53" s="81">
        <v>0.60416666666666663</v>
      </c>
      <c r="J53" s="87">
        <f t="shared" si="0"/>
        <v>0</v>
      </c>
      <c r="K53" s="53">
        <v>1</v>
      </c>
      <c r="L53" s="53">
        <v>30</v>
      </c>
      <c r="M53" s="111" t="s">
        <v>536</v>
      </c>
    </row>
    <row r="54" spans="1:13" s="5" customFormat="1" ht="70.5" customHeight="1" x14ac:dyDescent="0.2">
      <c r="A54" s="49" t="s">
        <v>535</v>
      </c>
      <c r="B54" s="8" t="s">
        <v>42</v>
      </c>
      <c r="C54" s="110" t="s">
        <v>37</v>
      </c>
      <c r="D54" s="84">
        <v>1</v>
      </c>
      <c r="E54" s="49">
        <v>30</v>
      </c>
      <c r="F54" s="80">
        <v>45959</v>
      </c>
      <c r="G54" s="81">
        <v>0.375</v>
      </c>
      <c r="H54" s="80">
        <v>45958</v>
      </c>
      <c r="I54" s="81">
        <v>0.60416666666666663</v>
      </c>
      <c r="J54" s="87">
        <f t="shared" si="0"/>
        <v>0</v>
      </c>
      <c r="K54" s="53">
        <v>1</v>
      </c>
      <c r="L54" s="53">
        <v>30</v>
      </c>
      <c r="M54" s="111" t="s">
        <v>536</v>
      </c>
    </row>
    <row r="55" spans="1:13" s="5" customFormat="1" ht="73.5" customHeight="1" x14ac:dyDescent="0.2">
      <c r="A55" s="49" t="s">
        <v>535</v>
      </c>
      <c r="B55" s="8" t="s">
        <v>36</v>
      </c>
      <c r="C55" s="110" t="s">
        <v>43</v>
      </c>
      <c r="D55" s="84">
        <v>1</v>
      </c>
      <c r="E55" s="49">
        <v>30</v>
      </c>
      <c r="F55" s="80">
        <v>45959</v>
      </c>
      <c r="G55" s="81">
        <v>0.375</v>
      </c>
      <c r="H55" s="80">
        <v>45958</v>
      </c>
      <c r="I55" s="81">
        <v>0.60416666666666663</v>
      </c>
      <c r="J55" s="87">
        <f t="shared" si="0"/>
        <v>0</v>
      </c>
      <c r="K55" s="53">
        <v>1</v>
      </c>
      <c r="L55" s="53">
        <v>30</v>
      </c>
      <c r="M55" s="111" t="s">
        <v>536</v>
      </c>
    </row>
    <row r="56" spans="1:13" s="5" customFormat="1" ht="66.75" customHeight="1" x14ac:dyDescent="0.2">
      <c r="A56" s="49" t="s">
        <v>535</v>
      </c>
      <c r="B56" s="8" t="s">
        <v>510</v>
      </c>
      <c r="C56" s="110" t="s">
        <v>31</v>
      </c>
      <c r="D56" s="84">
        <v>1</v>
      </c>
      <c r="E56" s="49">
        <v>30</v>
      </c>
      <c r="F56" s="80">
        <v>45959</v>
      </c>
      <c r="G56" s="81">
        <v>0.375</v>
      </c>
      <c r="H56" s="80">
        <v>45958</v>
      </c>
      <c r="I56" s="81">
        <v>0.60416666666666663</v>
      </c>
      <c r="J56" s="87">
        <f t="shared" si="0"/>
        <v>0</v>
      </c>
      <c r="K56" s="53">
        <v>1</v>
      </c>
      <c r="L56" s="53">
        <v>30</v>
      </c>
      <c r="M56" s="111" t="s">
        <v>536</v>
      </c>
    </row>
    <row r="57" spans="1:13" s="5" customFormat="1" ht="55.5" customHeight="1" x14ac:dyDescent="0.2">
      <c r="A57" s="49" t="s">
        <v>535</v>
      </c>
      <c r="B57" s="8" t="s">
        <v>21</v>
      </c>
      <c r="C57" s="110" t="s">
        <v>34</v>
      </c>
      <c r="D57" s="84">
        <v>1</v>
      </c>
      <c r="E57" s="49">
        <v>30</v>
      </c>
      <c r="F57" s="80">
        <v>45959</v>
      </c>
      <c r="G57" s="81">
        <v>0.375</v>
      </c>
      <c r="H57" s="80">
        <v>45958</v>
      </c>
      <c r="I57" s="81">
        <v>0.60416666666666663</v>
      </c>
      <c r="J57" s="87">
        <f t="shared" si="0"/>
        <v>0</v>
      </c>
      <c r="K57" s="53">
        <v>1</v>
      </c>
      <c r="L57" s="53">
        <v>30</v>
      </c>
      <c r="M57" s="111" t="s">
        <v>536</v>
      </c>
    </row>
    <row r="58" spans="1:13" s="5" customFormat="1" ht="59.25" customHeight="1" x14ac:dyDescent="0.2">
      <c r="A58" s="49" t="s">
        <v>537</v>
      </c>
      <c r="B58" s="8" t="s">
        <v>510</v>
      </c>
      <c r="C58" s="110" t="s">
        <v>31</v>
      </c>
      <c r="D58" s="84">
        <v>1</v>
      </c>
      <c r="E58" s="49">
        <v>30</v>
      </c>
      <c r="F58" s="80">
        <v>45959</v>
      </c>
      <c r="G58" s="81">
        <v>0.375</v>
      </c>
      <c r="H58" s="80">
        <v>45958</v>
      </c>
      <c r="I58" s="81">
        <v>0.625</v>
      </c>
      <c r="J58" s="87">
        <f t="shared" si="0"/>
        <v>-1</v>
      </c>
      <c r="K58" s="53">
        <v>3</v>
      </c>
      <c r="L58" s="53">
        <v>31</v>
      </c>
      <c r="M58" s="111" t="s">
        <v>538</v>
      </c>
    </row>
    <row r="59" spans="1:13" s="5" customFormat="1" ht="53.25" customHeight="1" x14ac:dyDescent="0.2">
      <c r="A59" s="49" t="s">
        <v>539</v>
      </c>
      <c r="B59" s="8" t="s">
        <v>136</v>
      </c>
      <c r="C59" s="53" t="s">
        <v>22</v>
      </c>
      <c r="D59" s="84">
        <v>1</v>
      </c>
      <c r="E59" s="49">
        <v>30</v>
      </c>
      <c r="F59" s="80">
        <v>45959</v>
      </c>
      <c r="G59" s="81">
        <v>0.375</v>
      </c>
      <c r="H59" s="80">
        <v>45958</v>
      </c>
      <c r="I59" s="81">
        <v>0.625</v>
      </c>
      <c r="J59" s="87">
        <f t="shared" si="0"/>
        <v>5</v>
      </c>
      <c r="K59" s="53">
        <v>2</v>
      </c>
      <c r="L59" s="53">
        <v>25</v>
      </c>
      <c r="M59" s="79" t="s">
        <v>540</v>
      </c>
    </row>
    <row r="60" spans="1:13" s="5" customFormat="1" ht="63.75" customHeight="1" x14ac:dyDescent="0.2">
      <c r="A60" s="49" t="s">
        <v>541</v>
      </c>
      <c r="B60" s="8" t="s">
        <v>510</v>
      </c>
      <c r="C60" s="53" t="s">
        <v>31</v>
      </c>
      <c r="D60" s="84">
        <v>1</v>
      </c>
      <c r="E60" s="49">
        <v>30</v>
      </c>
      <c r="F60" s="80">
        <v>45959</v>
      </c>
      <c r="G60" s="81">
        <v>0.375</v>
      </c>
      <c r="H60" s="80">
        <v>45958</v>
      </c>
      <c r="I60" s="81">
        <v>0.625</v>
      </c>
      <c r="J60" s="87">
        <f t="shared" si="0"/>
        <v>3</v>
      </c>
      <c r="K60" s="53">
        <v>1</v>
      </c>
      <c r="L60" s="53">
        <v>27</v>
      </c>
      <c r="M60" s="79" t="s">
        <v>542</v>
      </c>
    </row>
    <row r="61" spans="1:13" s="5" customFormat="1" ht="57.75" customHeight="1" x14ac:dyDescent="0.2">
      <c r="A61" s="49" t="s">
        <v>541</v>
      </c>
      <c r="B61" s="8" t="s">
        <v>42</v>
      </c>
      <c r="C61" s="53" t="s">
        <v>37</v>
      </c>
      <c r="D61" s="84">
        <v>1</v>
      </c>
      <c r="E61" s="49">
        <v>30</v>
      </c>
      <c r="F61" s="80">
        <v>45959</v>
      </c>
      <c r="G61" s="81">
        <v>0.375</v>
      </c>
      <c r="H61" s="80">
        <v>45958</v>
      </c>
      <c r="I61" s="81">
        <v>0.625</v>
      </c>
      <c r="J61" s="87">
        <f t="shared" si="0"/>
        <v>3</v>
      </c>
      <c r="K61" s="53">
        <v>1</v>
      </c>
      <c r="L61" s="53">
        <v>27</v>
      </c>
      <c r="M61" s="79" t="s">
        <v>542</v>
      </c>
    </row>
    <row r="62" spans="1:13" s="5" customFormat="1" ht="63" customHeight="1" x14ac:dyDescent="0.2">
      <c r="A62" s="49" t="s">
        <v>543</v>
      </c>
      <c r="B62" s="8" t="s">
        <v>30</v>
      </c>
      <c r="C62" s="53" t="s">
        <v>40</v>
      </c>
      <c r="D62" s="84">
        <v>1</v>
      </c>
      <c r="E62" s="49">
        <v>30</v>
      </c>
      <c r="F62" s="80">
        <v>45959</v>
      </c>
      <c r="G62" s="81">
        <v>0.375</v>
      </c>
      <c r="H62" s="80">
        <v>45958</v>
      </c>
      <c r="I62" s="81">
        <v>0.625</v>
      </c>
      <c r="J62" s="87">
        <f t="shared" si="0"/>
        <v>5</v>
      </c>
      <c r="K62" s="53">
        <v>1</v>
      </c>
      <c r="L62" s="53">
        <v>25</v>
      </c>
      <c r="M62" s="79" t="s">
        <v>544</v>
      </c>
    </row>
    <row r="63" spans="1:13" s="5" customFormat="1" ht="71.25" customHeight="1" x14ac:dyDescent="0.2">
      <c r="A63" s="49" t="s">
        <v>545</v>
      </c>
      <c r="B63" s="8" t="s">
        <v>21</v>
      </c>
      <c r="C63" s="53" t="s">
        <v>22</v>
      </c>
      <c r="D63" s="84">
        <v>1</v>
      </c>
      <c r="E63" s="49">
        <v>30</v>
      </c>
      <c r="F63" s="80">
        <v>45959</v>
      </c>
      <c r="G63" s="81">
        <v>0.375</v>
      </c>
      <c r="H63" s="80">
        <v>45958</v>
      </c>
      <c r="I63" s="81">
        <v>0.625</v>
      </c>
      <c r="J63" s="87">
        <f t="shared" si="0"/>
        <v>0</v>
      </c>
      <c r="K63" s="53">
        <v>1</v>
      </c>
      <c r="L63" s="53">
        <v>30</v>
      </c>
      <c r="M63" s="79" t="s">
        <v>546</v>
      </c>
    </row>
    <row r="64" spans="1:13" s="5" customFormat="1" ht="78.75" customHeight="1" x14ac:dyDescent="0.2">
      <c r="A64" s="49" t="s">
        <v>547</v>
      </c>
      <c r="B64" s="8" t="s">
        <v>510</v>
      </c>
      <c r="C64" s="53" t="s">
        <v>40</v>
      </c>
      <c r="D64" s="84">
        <v>1</v>
      </c>
      <c r="E64" s="49">
        <v>30</v>
      </c>
      <c r="F64" s="80">
        <v>45959</v>
      </c>
      <c r="G64" s="81">
        <v>0.375</v>
      </c>
      <c r="H64" s="80">
        <v>45958</v>
      </c>
      <c r="I64" s="81">
        <v>0.64583333333333337</v>
      </c>
      <c r="J64" s="87">
        <f t="shared" si="0"/>
        <v>3</v>
      </c>
      <c r="K64" s="53">
        <v>1</v>
      </c>
      <c r="L64" s="53">
        <v>27</v>
      </c>
      <c r="M64" s="79" t="s">
        <v>548</v>
      </c>
    </row>
    <row r="65" spans="1:13" s="5" customFormat="1" ht="66.75" customHeight="1" x14ac:dyDescent="0.2">
      <c r="A65" s="49" t="s">
        <v>547</v>
      </c>
      <c r="B65" s="8" t="s">
        <v>30</v>
      </c>
      <c r="C65" s="53" t="s">
        <v>31</v>
      </c>
      <c r="D65" s="84">
        <v>1</v>
      </c>
      <c r="E65" s="49">
        <v>30</v>
      </c>
      <c r="F65" s="80">
        <v>45959</v>
      </c>
      <c r="G65" s="81">
        <v>0.375</v>
      </c>
      <c r="H65" s="80">
        <v>45958</v>
      </c>
      <c r="I65" s="81">
        <v>0.64583333333333337</v>
      </c>
      <c r="J65" s="87">
        <f t="shared" si="0"/>
        <v>3</v>
      </c>
      <c r="K65" s="53">
        <v>1</v>
      </c>
      <c r="L65" s="53">
        <v>27</v>
      </c>
      <c r="M65" s="79" t="s">
        <v>548</v>
      </c>
    </row>
    <row r="66" spans="1:13" s="5" customFormat="1" ht="72.75" customHeight="1" x14ac:dyDescent="0.2">
      <c r="A66" s="49" t="s">
        <v>549</v>
      </c>
      <c r="B66" s="8" t="s">
        <v>30</v>
      </c>
      <c r="C66" s="53" t="s">
        <v>40</v>
      </c>
      <c r="D66" s="84">
        <v>1</v>
      </c>
      <c r="E66" s="49">
        <v>30</v>
      </c>
      <c r="F66" s="80">
        <v>45959</v>
      </c>
      <c r="G66" s="81">
        <v>0.375</v>
      </c>
      <c r="H66" s="80">
        <v>45958</v>
      </c>
      <c r="I66" s="81">
        <v>0.66666666666666663</v>
      </c>
      <c r="J66" s="87">
        <f t="shared" si="0"/>
        <v>0</v>
      </c>
      <c r="K66" s="53">
        <v>1</v>
      </c>
      <c r="L66" s="53">
        <v>30</v>
      </c>
      <c r="M66" s="79" t="s">
        <v>550</v>
      </c>
    </row>
    <row r="67" spans="1:13" s="5" customFormat="1" ht="40.5" customHeight="1" x14ac:dyDescent="0.2">
      <c r="A67" s="49" t="s">
        <v>549</v>
      </c>
      <c r="B67" s="8" t="s">
        <v>510</v>
      </c>
      <c r="C67" s="53" t="s">
        <v>31</v>
      </c>
      <c r="D67" s="84">
        <v>1</v>
      </c>
      <c r="E67" s="49">
        <v>30</v>
      </c>
      <c r="F67" s="80">
        <v>45959</v>
      </c>
      <c r="G67" s="81">
        <v>0.375</v>
      </c>
      <c r="H67" s="80">
        <v>45958</v>
      </c>
      <c r="I67" s="81">
        <v>0.66666666666666663</v>
      </c>
      <c r="J67" s="87">
        <f t="shared" si="0"/>
        <v>0</v>
      </c>
      <c r="K67" s="53">
        <v>1</v>
      </c>
      <c r="L67" s="53">
        <v>30</v>
      </c>
      <c r="M67" s="79" t="s">
        <v>550</v>
      </c>
    </row>
    <row r="68" spans="1:13" s="5" customFormat="1" ht="38.25" customHeight="1" x14ac:dyDescent="0.2">
      <c r="A68" s="49" t="s">
        <v>551</v>
      </c>
      <c r="B68" s="8" t="s">
        <v>30</v>
      </c>
      <c r="C68" s="53" t="s">
        <v>40</v>
      </c>
      <c r="D68" s="84">
        <v>1</v>
      </c>
      <c r="E68" s="49">
        <v>30</v>
      </c>
      <c r="F68" s="80">
        <v>45959</v>
      </c>
      <c r="G68" s="81">
        <v>0.375</v>
      </c>
      <c r="H68" s="80">
        <v>45958</v>
      </c>
      <c r="I68" s="81">
        <v>0.6875</v>
      </c>
      <c r="J68" s="87">
        <f t="shared" ref="J68" si="1">E68-L68</f>
        <v>2</v>
      </c>
      <c r="K68" s="53">
        <v>2</v>
      </c>
      <c r="L68" s="53">
        <v>28</v>
      </c>
      <c r="M68" s="79" t="s">
        <v>552</v>
      </c>
    </row>
    <row r="69" spans="1:13" s="5" customFormat="1" ht="38.25" customHeight="1" x14ac:dyDescent="0.2">
      <c r="A69" s="49" t="s">
        <v>551</v>
      </c>
      <c r="B69" s="8" t="s">
        <v>510</v>
      </c>
      <c r="C69" s="53" t="s">
        <v>31</v>
      </c>
      <c r="D69" s="84">
        <v>1</v>
      </c>
      <c r="E69" s="49">
        <v>30</v>
      </c>
      <c r="F69" s="80">
        <v>45959</v>
      </c>
      <c r="G69" s="81">
        <v>0.375</v>
      </c>
      <c r="H69" s="80">
        <v>45958</v>
      </c>
      <c r="I69" s="81">
        <v>0.6875</v>
      </c>
      <c r="J69" s="87">
        <f t="shared" si="0"/>
        <v>2</v>
      </c>
      <c r="K69" s="53">
        <v>2</v>
      </c>
      <c r="L69" s="53">
        <v>28</v>
      </c>
      <c r="M69" s="79" t="s">
        <v>552</v>
      </c>
    </row>
    <row r="70" spans="1:13" s="5" customFormat="1" ht="67.5" customHeight="1" x14ac:dyDescent="0.2">
      <c r="A70" s="49" t="s">
        <v>553</v>
      </c>
      <c r="B70" s="8" t="s">
        <v>30</v>
      </c>
      <c r="C70" s="53" t="s">
        <v>40</v>
      </c>
      <c r="D70" s="84">
        <v>1</v>
      </c>
      <c r="E70" s="49">
        <v>30</v>
      </c>
      <c r="F70" s="80">
        <v>45959</v>
      </c>
      <c r="G70" s="81">
        <v>0.375</v>
      </c>
      <c r="H70" s="80">
        <v>45958</v>
      </c>
      <c r="I70" s="81">
        <v>0.70833333333333337</v>
      </c>
      <c r="J70" s="87">
        <f t="shared" ref="J70:J88" si="2">E70-L70</f>
        <v>5</v>
      </c>
      <c r="K70" s="53">
        <v>1</v>
      </c>
      <c r="L70" s="53">
        <v>25</v>
      </c>
      <c r="M70" s="79" t="s">
        <v>554</v>
      </c>
    </row>
    <row r="71" spans="1:13" s="5" customFormat="1" ht="53.25" customHeight="1" x14ac:dyDescent="0.2">
      <c r="A71" s="49" t="s">
        <v>553</v>
      </c>
      <c r="B71" s="8" t="s">
        <v>510</v>
      </c>
      <c r="C71" s="53" t="s">
        <v>31</v>
      </c>
      <c r="D71" s="84">
        <v>1</v>
      </c>
      <c r="E71" s="49">
        <v>30</v>
      </c>
      <c r="F71" s="80">
        <v>45959</v>
      </c>
      <c r="G71" s="81">
        <v>0.375</v>
      </c>
      <c r="H71" s="80">
        <v>45958</v>
      </c>
      <c r="I71" s="81">
        <v>0.70833333333333337</v>
      </c>
      <c r="J71" s="87">
        <f t="shared" si="2"/>
        <v>5</v>
      </c>
      <c r="K71" s="53">
        <v>1</v>
      </c>
      <c r="L71" s="53">
        <v>25</v>
      </c>
      <c r="M71" s="79" t="s">
        <v>554</v>
      </c>
    </row>
    <row r="72" spans="1:13" s="5" customFormat="1" ht="41.25" customHeight="1" x14ac:dyDescent="0.2">
      <c r="A72" s="49" t="s">
        <v>555</v>
      </c>
      <c r="B72" s="8" t="s">
        <v>30</v>
      </c>
      <c r="C72" s="53" t="s">
        <v>40</v>
      </c>
      <c r="D72" s="84">
        <v>1</v>
      </c>
      <c r="E72" s="49">
        <v>30</v>
      </c>
      <c r="F72" s="80">
        <v>45959</v>
      </c>
      <c r="G72" s="81">
        <v>0.375</v>
      </c>
      <c r="H72" s="80">
        <v>45958</v>
      </c>
      <c r="I72" s="81">
        <v>0.72916666666666663</v>
      </c>
      <c r="J72" s="87">
        <f t="shared" ref="J72" si="3">E72-L72</f>
        <v>4</v>
      </c>
      <c r="K72" s="53">
        <v>2</v>
      </c>
      <c r="L72" s="53">
        <v>26</v>
      </c>
      <c r="M72" s="79" t="s">
        <v>556</v>
      </c>
    </row>
    <row r="73" spans="1:13" s="5" customFormat="1" ht="42.75" customHeight="1" x14ac:dyDescent="0.2">
      <c r="A73" s="49" t="s">
        <v>555</v>
      </c>
      <c r="B73" s="8" t="s">
        <v>510</v>
      </c>
      <c r="C73" s="53" t="s">
        <v>31</v>
      </c>
      <c r="D73" s="84">
        <v>1</v>
      </c>
      <c r="E73" s="49">
        <v>30</v>
      </c>
      <c r="F73" s="80">
        <v>45959</v>
      </c>
      <c r="G73" s="81">
        <v>0.375</v>
      </c>
      <c r="H73" s="80">
        <v>45958</v>
      </c>
      <c r="I73" s="81">
        <v>0.72916666666666663</v>
      </c>
      <c r="J73" s="87">
        <f t="shared" si="2"/>
        <v>4</v>
      </c>
      <c r="K73" s="53">
        <v>2</v>
      </c>
      <c r="L73" s="53">
        <v>26</v>
      </c>
      <c r="M73" s="79" t="s">
        <v>556</v>
      </c>
    </row>
    <row r="74" spans="1:13" s="5" customFormat="1" ht="37.5" customHeight="1" x14ac:dyDescent="0.2">
      <c r="A74" s="49" t="s">
        <v>557</v>
      </c>
      <c r="B74" s="8" t="s">
        <v>21</v>
      </c>
      <c r="C74" s="53" t="s">
        <v>34</v>
      </c>
      <c r="D74" s="84">
        <v>1</v>
      </c>
      <c r="E74" s="49">
        <v>30</v>
      </c>
      <c r="F74" s="80">
        <v>45959</v>
      </c>
      <c r="G74" s="81">
        <v>0.375</v>
      </c>
      <c r="H74" s="80">
        <v>45958</v>
      </c>
      <c r="I74" s="81">
        <v>0.64583333333333337</v>
      </c>
      <c r="J74" s="87">
        <f t="shared" ref="J74" si="4">E74-L74</f>
        <v>4</v>
      </c>
      <c r="K74" s="53">
        <v>1</v>
      </c>
      <c r="L74" s="53">
        <v>26</v>
      </c>
      <c r="M74" s="79" t="s">
        <v>558</v>
      </c>
    </row>
    <row r="75" spans="1:13" s="5" customFormat="1" ht="39.75" customHeight="1" x14ac:dyDescent="0.2">
      <c r="A75" s="49" t="s">
        <v>557</v>
      </c>
      <c r="B75" s="8" t="s">
        <v>136</v>
      </c>
      <c r="C75" s="53" t="s">
        <v>22</v>
      </c>
      <c r="D75" s="84">
        <v>1</v>
      </c>
      <c r="E75" s="49">
        <v>30</v>
      </c>
      <c r="F75" s="80">
        <v>45959</v>
      </c>
      <c r="G75" s="81">
        <v>0.375</v>
      </c>
      <c r="H75" s="80">
        <v>45958</v>
      </c>
      <c r="I75" s="81">
        <v>0.64583333333333337</v>
      </c>
      <c r="J75" s="87">
        <f t="shared" si="2"/>
        <v>4</v>
      </c>
      <c r="K75" s="53">
        <v>1</v>
      </c>
      <c r="L75" s="53">
        <v>26</v>
      </c>
      <c r="M75" s="79" t="s">
        <v>558</v>
      </c>
    </row>
    <row r="76" spans="1:13" s="5" customFormat="1" ht="44.25" customHeight="1" x14ac:dyDescent="0.2">
      <c r="A76" s="49" t="s">
        <v>559</v>
      </c>
      <c r="B76" s="8" t="s">
        <v>21</v>
      </c>
      <c r="C76" s="53" t="s">
        <v>34</v>
      </c>
      <c r="D76" s="84">
        <v>1</v>
      </c>
      <c r="E76" s="49">
        <v>30</v>
      </c>
      <c r="F76" s="80">
        <v>45959</v>
      </c>
      <c r="G76" s="81">
        <v>0.375</v>
      </c>
      <c r="H76" s="80">
        <v>45958</v>
      </c>
      <c r="I76" s="81">
        <v>0.66666666666666663</v>
      </c>
      <c r="J76" s="87">
        <f t="shared" ref="J76" si="5">E76-L76</f>
        <v>2</v>
      </c>
      <c r="K76" s="53">
        <v>1</v>
      </c>
      <c r="L76" s="53">
        <v>28</v>
      </c>
      <c r="M76" s="79" t="s">
        <v>560</v>
      </c>
    </row>
    <row r="77" spans="1:13" s="5" customFormat="1" ht="44.25" customHeight="1" x14ac:dyDescent="0.2">
      <c r="A77" s="49" t="s">
        <v>559</v>
      </c>
      <c r="B77" s="8" t="s">
        <v>136</v>
      </c>
      <c r="C77" s="53" t="s">
        <v>22</v>
      </c>
      <c r="D77" s="84">
        <v>1</v>
      </c>
      <c r="E77" s="49">
        <v>30</v>
      </c>
      <c r="F77" s="80">
        <v>45959</v>
      </c>
      <c r="G77" s="81">
        <v>0.375</v>
      </c>
      <c r="H77" s="80">
        <v>45958</v>
      </c>
      <c r="I77" s="81">
        <v>0.66666666666666663</v>
      </c>
      <c r="J77" s="87">
        <f t="shared" si="2"/>
        <v>2</v>
      </c>
      <c r="K77" s="53">
        <v>1</v>
      </c>
      <c r="L77" s="53">
        <v>28</v>
      </c>
      <c r="M77" s="79" t="s">
        <v>560</v>
      </c>
    </row>
    <row r="78" spans="1:13" s="5" customFormat="1" ht="36.6" customHeight="1" x14ac:dyDescent="0.2">
      <c r="A78" s="49" t="s">
        <v>561</v>
      </c>
      <c r="B78" s="8" t="s">
        <v>21</v>
      </c>
      <c r="C78" s="53" t="s">
        <v>34</v>
      </c>
      <c r="D78" s="84">
        <v>1</v>
      </c>
      <c r="E78" s="49">
        <v>30</v>
      </c>
      <c r="F78" s="80">
        <v>45959</v>
      </c>
      <c r="G78" s="81">
        <v>0.375</v>
      </c>
      <c r="H78" s="80">
        <v>45958</v>
      </c>
      <c r="I78" s="81">
        <v>0.6875</v>
      </c>
      <c r="J78" s="87">
        <f t="shared" ref="J78" si="6">E78-L78</f>
        <v>0</v>
      </c>
      <c r="K78" s="53">
        <v>1</v>
      </c>
      <c r="L78" s="53">
        <v>30</v>
      </c>
      <c r="M78" s="79" t="s">
        <v>562</v>
      </c>
    </row>
    <row r="79" spans="1:13" s="5" customFormat="1" ht="36.6" customHeight="1" x14ac:dyDescent="0.2">
      <c r="A79" s="49" t="s">
        <v>561</v>
      </c>
      <c r="B79" s="8" t="s">
        <v>136</v>
      </c>
      <c r="C79" s="53" t="s">
        <v>22</v>
      </c>
      <c r="D79" s="84">
        <v>1</v>
      </c>
      <c r="E79" s="49">
        <v>30</v>
      </c>
      <c r="F79" s="80">
        <v>45959</v>
      </c>
      <c r="G79" s="81">
        <v>0.375</v>
      </c>
      <c r="H79" s="80">
        <v>45958</v>
      </c>
      <c r="I79" s="81">
        <v>0.6875</v>
      </c>
      <c r="J79" s="87">
        <f t="shared" si="2"/>
        <v>0</v>
      </c>
      <c r="K79" s="53">
        <v>1</v>
      </c>
      <c r="L79" s="53">
        <v>30</v>
      </c>
      <c r="M79" s="79" t="s">
        <v>562</v>
      </c>
    </row>
    <row r="80" spans="1:13" s="5" customFormat="1" ht="44.25" customHeight="1" x14ac:dyDescent="0.2">
      <c r="A80" s="49" t="s">
        <v>563</v>
      </c>
      <c r="B80" s="8" t="s">
        <v>21</v>
      </c>
      <c r="C80" s="53" t="s">
        <v>34</v>
      </c>
      <c r="D80" s="84">
        <v>1</v>
      </c>
      <c r="E80" s="49">
        <v>30</v>
      </c>
      <c r="F80" s="80">
        <v>45959</v>
      </c>
      <c r="G80" s="81">
        <v>0.375</v>
      </c>
      <c r="H80" s="80">
        <v>45958</v>
      </c>
      <c r="I80" s="81">
        <v>0.70833333333333337</v>
      </c>
      <c r="J80" s="87">
        <f t="shared" si="2"/>
        <v>6</v>
      </c>
      <c r="K80" s="53">
        <v>2</v>
      </c>
      <c r="L80" s="53">
        <v>24</v>
      </c>
      <c r="M80" s="79" t="s">
        <v>564</v>
      </c>
    </row>
    <row r="81" spans="1:13" s="5" customFormat="1" ht="46.5" customHeight="1" x14ac:dyDescent="0.2">
      <c r="A81" s="49" t="s">
        <v>563</v>
      </c>
      <c r="B81" s="8" t="s">
        <v>136</v>
      </c>
      <c r="C81" s="53" t="s">
        <v>22</v>
      </c>
      <c r="D81" s="84">
        <v>1</v>
      </c>
      <c r="E81" s="49">
        <v>30</v>
      </c>
      <c r="F81" s="80">
        <v>45959</v>
      </c>
      <c r="G81" s="81">
        <v>0.375</v>
      </c>
      <c r="H81" s="80">
        <v>45958</v>
      </c>
      <c r="I81" s="81">
        <v>0.70833333333333337</v>
      </c>
      <c r="J81" s="87">
        <f t="shared" ref="J81" si="7">E81-L81</f>
        <v>6</v>
      </c>
      <c r="K81" s="53">
        <v>2</v>
      </c>
      <c r="L81" s="53">
        <v>24</v>
      </c>
      <c r="M81" s="79" t="s">
        <v>564</v>
      </c>
    </row>
    <row r="82" spans="1:13" s="5" customFormat="1" ht="48" customHeight="1" x14ac:dyDescent="0.2">
      <c r="A82" s="49" t="s">
        <v>567</v>
      </c>
      <c r="B82" s="8" t="s">
        <v>21</v>
      </c>
      <c r="C82" s="53" t="s">
        <v>34</v>
      </c>
      <c r="D82" s="84">
        <v>1</v>
      </c>
      <c r="E82" s="49">
        <v>30</v>
      </c>
      <c r="F82" s="80">
        <v>45959</v>
      </c>
      <c r="G82" s="81">
        <v>0.375</v>
      </c>
      <c r="H82" s="80">
        <v>45958</v>
      </c>
      <c r="I82" s="81">
        <v>0.72916666666666663</v>
      </c>
      <c r="J82" s="87">
        <f t="shared" si="2"/>
        <v>2</v>
      </c>
      <c r="K82" s="53">
        <v>1</v>
      </c>
      <c r="L82" s="53">
        <v>28</v>
      </c>
      <c r="M82" s="79" t="s">
        <v>572</v>
      </c>
    </row>
    <row r="83" spans="1:13" s="5" customFormat="1" ht="49.5" customHeight="1" x14ac:dyDescent="0.2">
      <c r="A83" s="49" t="s">
        <v>567</v>
      </c>
      <c r="B83" s="8" t="s">
        <v>136</v>
      </c>
      <c r="C83" s="53" t="s">
        <v>22</v>
      </c>
      <c r="D83" s="84">
        <v>1</v>
      </c>
      <c r="E83" s="49">
        <v>30</v>
      </c>
      <c r="F83" s="80">
        <v>45959</v>
      </c>
      <c r="G83" s="81">
        <v>0.375</v>
      </c>
      <c r="H83" s="80">
        <v>45958</v>
      </c>
      <c r="I83" s="81">
        <v>0.72916666666666663</v>
      </c>
      <c r="J83" s="87">
        <f t="shared" ref="J83" si="8">E83-L83</f>
        <v>2</v>
      </c>
      <c r="K83" s="53">
        <v>1</v>
      </c>
      <c r="L83" s="53">
        <v>28</v>
      </c>
      <c r="M83" s="79" t="s">
        <v>572</v>
      </c>
    </row>
    <row r="84" spans="1:13" s="5" customFormat="1" ht="35.450000000000003" customHeight="1" x14ac:dyDescent="0.2">
      <c r="A84" s="49" t="s">
        <v>568</v>
      </c>
      <c r="B84" s="8" t="s">
        <v>21</v>
      </c>
      <c r="C84" s="53" t="s">
        <v>34</v>
      </c>
      <c r="D84" s="84">
        <v>1</v>
      </c>
      <c r="E84" s="49">
        <v>30</v>
      </c>
      <c r="F84" s="80">
        <v>45959</v>
      </c>
      <c r="G84" s="81">
        <v>0.375</v>
      </c>
      <c r="H84" s="80">
        <v>45958</v>
      </c>
      <c r="I84" s="81">
        <v>0.75</v>
      </c>
      <c r="J84" s="87">
        <f t="shared" si="2"/>
        <v>2</v>
      </c>
      <c r="K84" s="53">
        <v>1</v>
      </c>
      <c r="L84" s="53">
        <v>28</v>
      </c>
      <c r="M84" s="79" t="s">
        <v>571</v>
      </c>
    </row>
    <row r="85" spans="1:13" s="5" customFormat="1" ht="35.450000000000003" customHeight="1" x14ac:dyDescent="0.2">
      <c r="A85" s="49" t="s">
        <v>568</v>
      </c>
      <c r="B85" s="8" t="s">
        <v>136</v>
      </c>
      <c r="C85" s="53" t="s">
        <v>22</v>
      </c>
      <c r="D85" s="84">
        <v>1</v>
      </c>
      <c r="E85" s="49">
        <v>30</v>
      </c>
      <c r="F85" s="80">
        <v>45959</v>
      </c>
      <c r="G85" s="81">
        <v>0.375</v>
      </c>
      <c r="H85" s="80">
        <v>45958</v>
      </c>
      <c r="I85" s="81">
        <v>0.75</v>
      </c>
      <c r="J85" s="87">
        <f t="shared" ref="J85" si="9">E85-L85</f>
        <v>2</v>
      </c>
      <c r="K85" s="53">
        <v>1</v>
      </c>
      <c r="L85" s="53">
        <v>28</v>
      </c>
      <c r="M85" s="79" t="s">
        <v>571</v>
      </c>
    </row>
    <row r="86" spans="1:13" s="5" customFormat="1" ht="35.450000000000003" customHeight="1" x14ac:dyDescent="0.2">
      <c r="A86" s="49" t="s">
        <v>566</v>
      </c>
      <c r="B86" s="8" t="s">
        <v>21</v>
      </c>
      <c r="C86" s="53" t="s">
        <v>34</v>
      </c>
      <c r="D86" s="84">
        <v>1</v>
      </c>
      <c r="E86" s="49">
        <v>30</v>
      </c>
      <c r="F86" s="80">
        <v>45959</v>
      </c>
      <c r="G86" s="81">
        <v>0.375</v>
      </c>
      <c r="H86" s="80">
        <v>45958</v>
      </c>
      <c r="I86" s="81">
        <v>0.77083333333333337</v>
      </c>
      <c r="J86" s="87">
        <f t="shared" si="2"/>
        <v>2</v>
      </c>
      <c r="K86" s="53">
        <v>1</v>
      </c>
      <c r="L86" s="53">
        <v>28</v>
      </c>
      <c r="M86" s="79" t="s">
        <v>570</v>
      </c>
    </row>
    <row r="87" spans="1:13" s="5" customFormat="1" ht="35.450000000000003" customHeight="1" x14ac:dyDescent="0.2">
      <c r="A87" s="49" t="s">
        <v>566</v>
      </c>
      <c r="B87" s="8" t="s">
        <v>136</v>
      </c>
      <c r="C87" s="53" t="s">
        <v>22</v>
      </c>
      <c r="D87" s="84">
        <v>1</v>
      </c>
      <c r="E87" s="49">
        <v>30</v>
      </c>
      <c r="F87" s="80">
        <v>45959</v>
      </c>
      <c r="G87" s="81">
        <v>0.375</v>
      </c>
      <c r="H87" s="80">
        <v>45958</v>
      </c>
      <c r="I87" s="81">
        <v>0.77083333333333337</v>
      </c>
      <c r="J87" s="87">
        <f t="shared" ref="J87" si="10">E87-L87</f>
        <v>2</v>
      </c>
      <c r="K87" s="53">
        <v>1</v>
      </c>
      <c r="L87" s="53">
        <v>28</v>
      </c>
      <c r="M87" s="79" t="s">
        <v>570</v>
      </c>
    </row>
    <row r="88" spans="1:13" s="5" customFormat="1" ht="44.25" customHeight="1" x14ac:dyDescent="0.2">
      <c r="A88" s="49" t="s">
        <v>565</v>
      </c>
      <c r="B88" s="8" t="s">
        <v>21</v>
      </c>
      <c r="C88" s="53" t="s">
        <v>34</v>
      </c>
      <c r="D88" s="84">
        <v>1</v>
      </c>
      <c r="E88" s="49">
        <v>20</v>
      </c>
      <c r="F88" s="80">
        <v>45959</v>
      </c>
      <c r="G88" s="81">
        <v>0.375</v>
      </c>
      <c r="H88" s="80">
        <v>45958</v>
      </c>
      <c r="I88" s="81">
        <v>0.79166666666666663</v>
      </c>
      <c r="J88" s="87">
        <f t="shared" si="2"/>
        <v>2</v>
      </c>
      <c r="K88" s="53">
        <v>1</v>
      </c>
      <c r="L88" s="53">
        <v>18</v>
      </c>
      <c r="M88" s="79" t="s">
        <v>569</v>
      </c>
    </row>
    <row r="89" spans="1:13" s="5" customFormat="1" ht="43.5" customHeight="1" x14ac:dyDescent="0.2">
      <c r="A89" s="49" t="s">
        <v>565</v>
      </c>
      <c r="B89" s="8" t="s">
        <v>136</v>
      </c>
      <c r="C89" s="53" t="s">
        <v>40</v>
      </c>
      <c r="D89" s="84">
        <v>1</v>
      </c>
      <c r="E89" s="49">
        <v>20</v>
      </c>
      <c r="F89" s="80">
        <v>45959</v>
      </c>
      <c r="G89" s="81">
        <v>0.375</v>
      </c>
      <c r="H89" s="80">
        <v>45958</v>
      </c>
      <c r="I89" s="81">
        <v>0.79166666666666663</v>
      </c>
      <c r="J89" s="87">
        <f t="shared" si="0"/>
        <v>2</v>
      </c>
      <c r="K89" s="53">
        <v>1</v>
      </c>
      <c r="L89" s="53">
        <v>18</v>
      </c>
      <c r="M89" s="79" t="s">
        <v>569</v>
      </c>
    </row>
    <row r="90" spans="1:13" s="5" customFormat="1" ht="35.450000000000003" customHeight="1" x14ac:dyDescent="0.2">
      <c r="A90" s="106" t="s">
        <v>123</v>
      </c>
      <c r="B90" s="85" t="s">
        <v>42</v>
      </c>
      <c r="C90" s="85" t="s">
        <v>37</v>
      </c>
      <c r="D90" s="49">
        <v>1</v>
      </c>
      <c r="E90" s="49">
        <v>20</v>
      </c>
      <c r="F90" s="85">
        <v>45959</v>
      </c>
      <c r="G90" s="86">
        <v>0.375</v>
      </c>
      <c r="H90" s="85">
        <v>45958</v>
      </c>
      <c r="I90" s="86">
        <v>0.80555555555555558</v>
      </c>
      <c r="J90" s="87">
        <f>E90-L90</f>
        <v>0</v>
      </c>
      <c r="K90" s="53">
        <v>1</v>
      </c>
      <c r="L90" s="88">
        <v>20</v>
      </c>
      <c r="M90" s="93" t="s">
        <v>124</v>
      </c>
    </row>
    <row r="91" spans="1:13" s="5" customFormat="1" ht="35.450000000000003" customHeight="1" x14ac:dyDescent="0.2">
      <c r="A91" s="38" t="s">
        <v>123</v>
      </c>
      <c r="B91" s="85" t="s">
        <v>36</v>
      </c>
      <c r="C91" s="85" t="s">
        <v>43</v>
      </c>
      <c r="D91" s="49">
        <v>1</v>
      </c>
      <c r="E91" s="49">
        <v>20</v>
      </c>
      <c r="F91" s="85">
        <v>45959</v>
      </c>
      <c r="G91" s="86">
        <v>0.375</v>
      </c>
      <c r="H91" s="85">
        <v>45958</v>
      </c>
      <c r="I91" s="86">
        <v>0.80555555555555558</v>
      </c>
      <c r="J91" s="87">
        <f t="shared" ref="J91:J112" si="11">E91-L91</f>
        <v>0</v>
      </c>
      <c r="K91" s="8">
        <v>1</v>
      </c>
      <c r="L91" s="88">
        <v>20</v>
      </c>
      <c r="M91" s="93" t="s">
        <v>124</v>
      </c>
    </row>
    <row r="92" spans="1:13" s="5" customFormat="1" ht="37.5" customHeight="1" x14ac:dyDescent="0.2">
      <c r="A92" s="115" t="s">
        <v>175</v>
      </c>
      <c r="B92" s="115" t="s">
        <v>42</v>
      </c>
      <c r="C92" s="13" t="s">
        <v>37</v>
      </c>
      <c r="D92" s="53">
        <v>1</v>
      </c>
      <c r="E92" s="53">
        <v>30</v>
      </c>
      <c r="F92" s="13">
        <v>45959</v>
      </c>
      <c r="G92" s="86">
        <v>0.375</v>
      </c>
      <c r="H92" s="13">
        <v>45958</v>
      </c>
      <c r="I92" s="12">
        <v>0.83333333333333337</v>
      </c>
      <c r="J92" s="53">
        <f t="shared" si="11"/>
        <v>6</v>
      </c>
      <c r="K92" s="50">
        <v>1</v>
      </c>
      <c r="L92" s="68">
        <v>24</v>
      </c>
      <c r="M92" s="52" t="s">
        <v>176</v>
      </c>
    </row>
    <row r="93" spans="1:13" ht="25.5" x14ac:dyDescent="0.2">
      <c r="A93" s="115" t="s">
        <v>177</v>
      </c>
      <c r="B93" s="115" t="s">
        <v>30</v>
      </c>
      <c r="C93" s="13" t="s">
        <v>40</v>
      </c>
      <c r="D93" s="53">
        <v>1</v>
      </c>
      <c r="E93" s="53">
        <v>30</v>
      </c>
      <c r="F93" s="13">
        <v>45959</v>
      </c>
      <c r="G93" s="86">
        <v>0.375</v>
      </c>
      <c r="H93" s="13">
        <v>45958</v>
      </c>
      <c r="I93" s="12">
        <v>0.83333333333333337</v>
      </c>
      <c r="J93" s="53">
        <f t="shared" si="11"/>
        <v>0</v>
      </c>
      <c r="K93" s="50">
        <v>1</v>
      </c>
      <c r="L93" s="68">
        <v>30</v>
      </c>
      <c r="M93" s="52" t="s">
        <v>178</v>
      </c>
    </row>
    <row r="94" spans="1:13" ht="38.25" x14ac:dyDescent="0.2">
      <c r="A94" s="85" t="s">
        <v>179</v>
      </c>
      <c r="B94" s="115" t="s">
        <v>30</v>
      </c>
      <c r="C94" s="13" t="s">
        <v>40</v>
      </c>
      <c r="D94" s="53">
        <v>5</v>
      </c>
      <c r="E94" s="53">
        <v>50</v>
      </c>
      <c r="F94" s="13">
        <v>45959</v>
      </c>
      <c r="G94" s="86">
        <v>0.375</v>
      </c>
      <c r="H94" s="13">
        <v>45958</v>
      </c>
      <c r="I94" s="12">
        <v>0.86805555555555558</v>
      </c>
      <c r="J94" s="53">
        <f t="shared" si="11"/>
        <v>5</v>
      </c>
      <c r="K94" s="50">
        <v>5</v>
      </c>
      <c r="L94" s="68">
        <v>45</v>
      </c>
      <c r="M94" s="52" t="s">
        <v>180</v>
      </c>
    </row>
    <row r="95" spans="1:13" ht="36" x14ac:dyDescent="0.2">
      <c r="A95" s="23" t="s">
        <v>146</v>
      </c>
      <c r="B95" s="85" t="s">
        <v>510</v>
      </c>
      <c r="C95" s="90" t="s">
        <v>31</v>
      </c>
      <c r="D95" s="84">
        <v>1</v>
      </c>
      <c r="E95" s="49">
        <v>60</v>
      </c>
      <c r="F95" s="85">
        <v>45959</v>
      </c>
      <c r="G95" s="86">
        <v>0.375</v>
      </c>
      <c r="H95" s="85">
        <v>45958</v>
      </c>
      <c r="I95" s="86">
        <v>0.91666666666666663</v>
      </c>
      <c r="J95" s="87">
        <f t="shared" si="11"/>
        <v>50</v>
      </c>
      <c r="K95" s="8">
        <v>1</v>
      </c>
      <c r="L95" s="88">
        <v>10</v>
      </c>
      <c r="M95" s="91" t="s">
        <v>149</v>
      </c>
    </row>
    <row r="96" spans="1:13" ht="36" x14ac:dyDescent="0.2">
      <c r="A96" s="23" t="s">
        <v>146</v>
      </c>
      <c r="B96" s="85" t="s">
        <v>36</v>
      </c>
      <c r="C96" s="90" t="s">
        <v>43</v>
      </c>
      <c r="D96" s="84">
        <v>1</v>
      </c>
      <c r="E96" s="49">
        <v>60</v>
      </c>
      <c r="F96" s="85">
        <v>45959</v>
      </c>
      <c r="G96" s="86">
        <v>0.375</v>
      </c>
      <c r="H96" s="85">
        <v>45958</v>
      </c>
      <c r="I96" s="86">
        <v>0.91666666666666663</v>
      </c>
      <c r="J96" s="87">
        <f t="shared" si="11"/>
        <v>50</v>
      </c>
      <c r="K96" s="8">
        <v>1</v>
      </c>
      <c r="L96" s="88">
        <v>10</v>
      </c>
      <c r="M96" s="91" t="s">
        <v>149</v>
      </c>
    </row>
    <row r="97" spans="1:13" ht="36" x14ac:dyDescent="0.2">
      <c r="A97" s="23" t="s">
        <v>146</v>
      </c>
      <c r="B97" s="85" t="s">
        <v>136</v>
      </c>
      <c r="C97" s="90" t="s">
        <v>22</v>
      </c>
      <c r="D97" s="84">
        <v>1</v>
      </c>
      <c r="E97" s="49">
        <v>60</v>
      </c>
      <c r="F97" s="85">
        <v>45959</v>
      </c>
      <c r="G97" s="86">
        <v>0.375</v>
      </c>
      <c r="H97" s="85">
        <v>45958</v>
      </c>
      <c r="I97" s="86">
        <v>0.91666666666666663</v>
      </c>
      <c r="J97" s="87">
        <f t="shared" si="11"/>
        <v>50</v>
      </c>
      <c r="K97" s="8">
        <v>1</v>
      </c>
      <c r="L97" s="88">
        <v>10</v>
      </c>
      <c r="M97" s="91" t="s">
        <v>149</v>
      </c>
    </row>
    <row r="98" spans="1:13" ht="36" x14ac:dyDescent="0.2">
      <c r="A98" s="23" t="s">
        <v>146</v>
      </c>
      <c r="B98" s="85" t="s">
        <v>21</v>
      </c>
      <c r="C98" s="90" t="s">
        <v>34</v>
      </c>
      <c r="D98" s="84">
        <v>1</v>
      </c>
      <c r="E98" s="49">
        <v>60</v>
      </c>
      <c r="F98" s="85">
        <v>45959</v>
      </c>
      <c r="G98" s="86">
        <v>0.375</v>
      </c>
      <c r="H98" s="85">
        <v>45958</v>
      </c>
      <c r="I98" s="86">
        <v>0.91666666666666663</v>
      </c>
      <c r="J98" s="87">
        <f t="shared" si="11"/>
        <v>50</v>
      </c>
      <c r="K98" s="8">
        <v>1</v>
      </c>
      <c r="L98" s="88">
        <v>10</v>
      </c>
      <c r="M98" s="91" t="s">
        <v>149</v>
      </c>
    </row>
    <row r="99" spans="1:13" ht="36" x14ac:dyDescent="0.2">
      <c r="A99" s="23" t="s">
        <v>146</v>
      </c>
      <c r="B99" s="85" t="s">
        <v>42</v>
      </c>
      <c r="C99" s="90" t="s">
        <v>37</v>
      </c>
      <c r="D99" s="84">
        <v>1</v>
      </c>
      <c r="E99" s="49">
        <v>60</v>
      </c>
      <c r="F99" s="85">
        <v>45959</v>
      </c>
      <c r="G99" s="86">
        <v>0.375</v>
      </c>
      <c r="H99" s="85">
        <v>45958</v>
      </c>
      <c r="I99" s="86">
        <v>0.91666666666666663</v>
      </c>
      <c r="J99" s="87">
        <f t="shared" si="11"/>
        <v>50</v>
      </c>
      <c r="K99" s="8">
        <v>1</v>
      </c>
      <c r="L99" s="88">
        <v>10</v>
      </c>
      <c r="M99" s="91" t="s">
        <v>149</v>
      </c>
    </row>
    <row r="100" spans="1:13" ht="36" x14ac:dyDescent="0.2">
      <c r="A100" s="23" t="s">
        <v>146</v>
      </c>
      <c r="B100" s="85" t="s">
        <v>510</v>
      </c>
      <c r="C100" s="90" t="s">
        <v>40</v>
      </c>
      <c r="D100" s="84">
        <v>1</v>
      </c>
      <c r="E100" s="49">
        <v>60</v>
      </c>
      <c r="F100" s="85">
        <v>45959</v>
      </c>
      <c r="G100" s="86">
        <v>0.375</v>
      </c>
      <c r="H100" s="85">
        <v>45958</v>
      </c>
      <c r="I100" s="86">
        <v>0.91666666666666663</v>
      </c>
      <c r="J100" s="87">
        <f t="shared" si="11"/>
        <v>50</v>
      </c>
      <c r="K100" s="8">
        <v>1</v>
      </c>
      <c r="L100" s="88">
        <v>10</v>
      </c>
      <c r="M100" s="91" t="s">
        <v>149</v>
      </c>
    </row>
    <row r="101" spans="1:13" ht="24" x14ac:dyDescent="0.2">
      <c r="A101" s="23" t="s">
        <v>52</v>
      </c>
      <c r="B101" s="90" t="s">
        <v>136</v>
      </c>
      <c r="C101" s="90" t="s">
        <v>22</v>
      </c>
      <c r="D101" s="84">
        <v>1</v>
      </c>
      <c r="E101" s="49">
        <v>30</v>
      </c>
      <c r="F101" s="85">
        <v>45959</v>
      </c>
      <c r="G101" s="86">
        <v>0.375</v>
      </c>
      <c r="H101" s="85">
        <v>45958</v>
      </c>
      <c r="I101" s="86">
        <v>0.91666666666666663</v>
      </c>
      <c r="J101" s="87">
        <f t="shared" si="11"/>
        <v>0</v>
      </c>
      <c r="K101" s="8">
        <v>1</v>
      </c>
      <c r="L101" s="88">
        <v>30</v>
      </c>
      <c r="M101" s="91" t="s">
        <v>53</v>
      </c>
    </row>
    <row r="102" spans="1:13" ht="24" x14ac:dyDescent="0.2">
      <c r="A102" s="23" t="s">
        <v>153</v>
      </c>
      <c r="B102" s="90" t="s">
        <v>42</v>
      </c>
      <c r="C102" s="90" t="s">
        <v>37</v>
      </c>
      <c r="D102" s="84">
        <v>1</v>
      </c>
      <c r="E102" s="5">
        <v>30</v>
      </c>
      <c r="F102" s="85">
        <v>45959</v>
      </c>
      <c r="G102" s="86">
        <v>0.375</v>
      </c>
      <c r="H102" s="85">
        <v>45958</v>
      </c>
      <c r="I102" s="86">
        <v>0.91666666666666663</v>
      </c>
      <c r="J102" s="87">
        <f t="shared" si="11"/>
        <v>0</v>
      </c>
      <c r="K102" s="8">
        <v>1</v>
      </c>
      <c r="L102" s="88">
        <v>30</v>
      </c>
      <c r="M102" s="91" t="s">
        <v>53</v>
      </c>
    </row>
    <row r="103" spans="1:13" ht="24" x14ac:dyDescent="0.2">
      <c r="A103" s="23" t="s">
        <v>79</v>
      </c>
      <c r="B103" s="85" t="s">
        <v>42</v>
      </c>
      <c r="C103" s="90" t="s">
        <v>37</v>
      </c>
      <c r="D103" s="84">
        <v>1</v>
      </c>
      <c r="E103" s="49">
        <v>45</v>
      </c>
      <c r="F103" s="85">
        <v>45959</v>
      </c>
      <c r="G103" s="86">
        <v>0.375</v>
      </c>
      <c r="H103" s="85">
        <v>45958</v>
      </c>
      <c r="I103" s="86">
        <v>0.9375</v>
      </c>
      <c r="J103" s="87">
        <f t="shared" si="11"/>
        <v>-35</v>
      </c>
      <c r="K103" s="8">
        <v>1</v>
      </c>
      <c r="L103" s="88">
        <v>80</v>
      </c>
      <c r="M103" s="91" t="s">
        <v>81</v>
      </c>
    </row>
    <row r="104" spans="1:13" ht="36" x14ac:dyDescent="0.2">
      <c r="A104" s="23" t="s">
        <v>85</v>
      </c>
      <c r="B104" s="85" t="s">
        <v>136</v>
      </c>
      <c r="C104" s="90" t="s">
        <v>22</v>
      </c>
      <c r="D104" s="84">
        <v>1</v>
      </c>
      <c r="E104" s="49">
        <v>60</v>
      </c>
      <c r="F104" s="85">
        <v>45959</v>
      </c>
      <c r="G104" s="86">
        <v>0.375</v>
      </c>
      <c r="H104" s="85">
        <v>45958</v>
      </c>
      <c r="I104" s="86">
        <v>0.9375</v>
      </c>
      <c r="J104" s="87">
        <f t="shared" si="11"/>
        <v>10</v>
      </c>
      <c r="K104" s="8">
        <v>1</v>
      </c>
      <c r="L104" s="88">
        <v>50</v>
      </c>
      <c r="M104" s="91" t="s">
        <v>87</v>
      </c>
    </row>
    <row r="105" spans="1:13" ht="24" x14ac:dyDescent="0.2">
      <c r="A105" s="23" t="s">
        <v>88</v>
      </c>
      <c r="B105" s="85" t="s">
        <v>136</v>
      </c>
      <c r="C105" s="85" t="s">
        <v>22</v>
      </c>
      <c r="D105" s="84">
        <v>1</v>
      </c>
      <c r="E105" s="49">
        <v>55</v>
      </c>
      <c r="F105" s="85">
        <v>45959</v>
      </c>
      <c r="G105" s="86">
        <v>0.375</v>
      </c>
      <c r="H105" s="85">
        <v>45958</v>
      </c>
      <c r="I105" s="86">
        <v>0.9375</v>
      </c>
      <c r="J105" s="87">
        <f t="shared" si="11"/>
        <v>0</v>
      </c>
      <c r="K105" s="8">
        <v>1</v>
      </c>
      <c r="L105" s="88">
        <v>55</v>
      </c>
      <c r="M105" s="91" t="s">
        <v>89</v>
      </c>
    </row>
    <row r="106" spans="1:13" ht="24" x14ac:dyDescent="0.2">
      <c r="A106" s="33" t="s">
        <v>131</v>
      </c>
      <c r="B106" s="85" t="s">
        <v>42</v>
      </c>
      <c r="C106" s="85" t="s">
        <v>37</v>
      </c>
      <c r="D106" s="49">
        <v>1</v>
      </c>
      <c r="E106" s="49">
        <v>30</v>
      </c>
      <c r="F106" s="85">
        <v>45959</v>
      </c>
      <c r="G106" s="86">
        <v>0.375</v>
      </c>
      <c r="H106" s="85">
        <v>45958</v>
      </c>
      <c r="I106" s="86">
        <v>0.9375</v>
      </c>
      <c r="J106" s="87">
        <f t="shared" si="11"/>
        <v>-2</v>
      </c>
      <c r="K106" s="8">
        <v>1</v>
      </c>
      <c r="L106" s="88">
        <v>32</v>
      </c>
      <c r="M106" s="91" t="s">
        <v>132</v>
      </c>
    </row>
    <row r="107" spans="1:13" ht="24" x14ac:dyDescent="0.2">
      <c r="A107" s="33" t="s">
        <v>131</v>
      </c>
      <c r="B107" s="85" t="s">
        <v>36</v>
      </c>
      <c r="C107" s="85" t="s">
        <v>43</v>
      </c>
      <c r="D107" s="49">
        <v>1</v>
      </c>
      <c r="E107" s="49">
        <v>30</v>
      </c>
      <c r="F107" s="85">
        <v>45959</v>
      </c>
      <c r="G107" s="86">
        <v>0.375</v>
      </c>
      <c r="H107" s="85">
        <v>45958</v>
      </c>
      <c r="I107" s="86">
        <v>0.9375</v>
      </c>
      <c r="J107" s="87">
        <f t="shared" si="11"/>
        <v>-2</v>
      </c>
      <c r="K107" s="8">
        <v>1</v>
      </c>
      <c r="L107" s="88">
        <v>32</v>
      </c>
      <c r="M107" s="91" t="s">
        <v>132</v>
      </c>
    </row>
    <row r="108" spans="1:13" ht="24" x14ac:dyDescent="0.2">
      <c r="A108" s="33" t="s">
        <v>131</v>
      </c>
      <c r="B108" s="85" t="s">
        <v>510</v>
      </c>
      <c r="C108" s="85" t="s">
        <v>31</v>
      </c>
      <c r="D108" s="49">
        <v>1</v>
      </c>
      <c r="E108" s="49">
        <v>30</v>
      </c>
      <c r="F108" s="85">
        <v>45959</v>
      </c>
      <c r="G108" s="86">
        <v>0.375</v>
      </c>
      <c r="H108" s="85">
        <v>45958</v>
      </c>
      <c r="I108" s="86">
        <v>0.9375</v>
      </c>
      <c r="J108" s="87">
        <f t="shared" si="11"/>
        <v>-2</v>
      </c>
      <c r="K108" s="8">
        <v>1</v>
      </c>
      <c r="L108" s="88">
        <v>32</v>
      </c>
      <c r="M108" s="91" t="s">
        <v>132</v>
      </c>
    </row>
    <row r="109" spans="1:13" ht="24" x14ac:dyDescent="0.2">
      <c r="A109" s="33" t="s">
        <v>131</v>
      </c>
      <c r="B109" s="85" t="s">
        <v>136</v>
      </c>
      <c r="C109" s="85" t="s">
        <v>22</v>
      </c>
      <c r="D109" s="49">
        <v>1</v>
      </c>
      <c r="E109" s="49">
        <v>30</v>
      </c>
      <c r="F109" s="85">
        <v>45959</v>
      </c>
      <c r="G109" s="86">
        <v>0.375</v>
      </c>
      <c r="H109" s="85">
        <v>45958</v>
      </c>
      <c r="I109" s="86">
        <v>0.9375</v>
      </c>
      <c r="J109" s="87">
        <f t="shared" si="11"/>
        <v>-2</v>
      </c>
      <c r="K109" s="8">
        <v>1</v>
      </c>
      <c r="L109" s="88">
        <v>32</v>
      </c>
      <c r="M109" s="91" t="s">
        <v>132</v>
      </c>
    </row>
    <row r="110" spans="1:13" ht="24" x14ac:dyDescent="0.2">
      <c r="A110" s="33" t="s">
        <v>131</v>
      </c>
      <c r="B110" s="85" t="s">
        <v>21</v>
      </c>
      <c r="C110" s="85" t="s">
        <v>34</v>
      </c>
      <c r="D110" s="49">
        <v>1</v>
      </c>
      <c r="E110" s="49">
        <v>30</v>
      </c>
      <c r="F110" s="85">
        <v>45959</v>
      </c>
      <c r="G110" s="86">
        <v>0.375</v>
      </c>
      <c r="H110" s="85">
        <v>45958</v>
      </c>
      <c r="I110" s="86">
        <v>0.9375</v>
      </c>
      <c r="J110" s="87">
        <f t="shared" si="11"/>
        <v>-2</v>
      </c>
      <c r="K110" s="8">
        <v>1</v>
      </c>
      <c r="L110" s="88">
        <v>32</v>
      </c>
      <c r="M110" s="91" t="s">
        <v>132</v>
      </c>
    </row>
    <row r="111" spans="1:13" ht="24" x14ac:dyDescent="0.2">
      <c r="A111" s="33" t="s">
        <v>131</v>
      </c>
      <c r="B111" s="85" t="s">
        <v>30</v>
      </c>
      <c r="C111" s="85" t="s">
        <v>40</v>
      </c>
      <c r="D111" s="49">
        <v>1</v>
      </c>
      <c r="E111" s="49">
        <v>30</v>
      </c>
      <c r="F111" s="85">
        <v>45959</v>
      </c>
      <c r="G111" s="86">
        <v>0.375</v>
      </c>
      <c r="H111" s="85">
        <v>45958</v>
      </c>
      <c r="I111" s="86">
        <v>0.9375</v>
      </c>
      <c r="J111" s="87">
        <f t="shared" si="11"/>
        <v>-2</v>
      </c>
      <c r="K111" s="8">
        <v>1</v>
      </c>
      <c r="L111" s="88">
        <v>32</v>
      </c>
      <c r="M111" s="91" t="s">
        <v>132</v>
      </c>
    </row>
    <row r="112" spans="1:13" ht="24" x14ac:dyDescent="0.2">
      <c r="A112" s="33" t="s">
        <v>133</v>
      </c>
      <c r="B112" s="85" t="s">
        <v>136</v>
      </c>
      <c r="C112" s="85" t="s">
        <v>22</v>
      </c>
      <c r="D112" s="49">
        <v>3</v>
      </c>
      <c r="E112" s="49">
        <v>20</v>
      </c>
      <c r="F112" s="85">
        <v>45959</v>
      </c>
      <c r="G112" s="86">
        <v>0.375</v>
      </c>
      <c r="H112" s="85">
        <v>45959</v>
      </c>
      <c r="I112" s="86">
        <v>0.375</v>
      </c>
      <c r="J112" s="87">
        <f t="shared" si="11"/>
        <v>5</v>
      </c>
      <c r="K112" s="8">
        <v>3</v>
      </c>
      <c r="L112" s="88">
        <v>15</v>
      </c>
      <c r="M112" s="91" t="s">
        <v>134</v>
      </c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5" spans="1:20" x14ac:dyDescent="0.2">
      <c r="A115"/>
      <c r="B115"/>
      <c r="C115"/>
      <c r="D115"/>
      <c r="E115"/>
    </row>
    <row r="116" spans="1:20" x14ac:dyDescent="0.2">
      <c r="A116" s="70" t="s">
        <v>210</v>
      </c>
      <c r="B116" t="s">
        <v>215</v>
      </c>
      <c r="C116" t="s">
        <v>214</v>
      </c>
      <c r="D116" t="s">
        <v>213</v>
      </c>
      <c r="E116" t="s">
        <v>212</v>
      </c>
    </row>
    <row r="117" spans="1:20" x14ac:dyDescent="0.2">
      <c r="A117" s="71" t="s">
        <v>36</v>
      </c>
      <c r="B117">
        <v>16</v>
      </c>
      <c r="C117">
        <v>475</v>
      </c>
      <c r="D117">
        <v>20</v>
      </c>
      <c r="E117">
        <v>389</v>
      </c>
    </row>
    <row r="118" spans="1:20" x14ac:dyDescent="0.2">
      <c r="A118" s="71" t="s">
        <v>510</v>
      </c>
      <c r="B118">
        <v>18</v>
      </c>
      <c r="C118">
        <v>575</v>
      </c>
      <c r="D118">
        <v>23</v>
      </c>
      <c r="E118">
        <v>437</v>
      </c>
    </row>
    <row r="119" spans="1:20" x14ac:dyDescent="0.2">
      <c r="A119" s="71" t="s">
        <v>21</v>
      </c>
      <c r="B119">
        <v>18</v>
      </c>
      <c r="C119">
        <v>535</v>
      </c>
      <c r="D119">
        <v>20</v>
      </c>
      <c r="E119">
        <v>448</v>
      </c>
    </row>
    <row r="120" spans="1:20" x14ac:dyDescent="0.2">
      <c r="A120" s="71" t="s">
        <v>136</v>
      </c>
      <c r="B120">
        <v>24</v>
      </c>
      <c r="C120">
        <v>700</v>
      </c>
      <c r="D120">
        <v>27</v>
      </c>
      <c r="E120">
        <v>593</v>
      </c>
    </row>
    <row r="121" spans="1:20" s="4" customFormat="1" ht="30" customHeight="1" x14ac:dyDescent="0.2">
      <c r="A121" s="71" t="s">
        <v>42</v>
      </c>
      <c r="B121">
        <v>21</v>
      </c>
      <c r="C121">
        <v>640</v>
      </c>
      <c r="D121">
        <v>25</v>
      </c>
      <c r="E121">
        <v>575</v>
      </c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23.25" customHeight="1" x14ac:dyDescent="0.2">
      <c r="A122" s="71" t="s">
        <v>30</v>
      </c>
      <c r="B122">
        <v>20</v>
      </c>
      <c r="C122">
        <v>475</v>
      </c>
      <c r="D122">
        <v>23</v>
      </c>
      <c r="E122">
        <v>434</v>
      </c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x14ac:dyDescent="0.2">
      <c r="A123" s="71" t="s">
        <v>211</v>
      </c>
      <c r="B123">
        <v>117</v>
      </c>
      <c r="C123">
        <v>3400</v>
      </c>
      <c r="D123">
        <v>138</v>
      </c>
      <c r="E123">
        <v>2876</v>
      </c>
    </row>
    <row r="124" spans="1:20" x14ac:dyDescent="0.2">
      <c r="A124"/>
      <c r="B124"/>
      <c r="C124"/>
    </row>
    <row r="125" spans="1:20" x14ac:dyDescent="0.2">
      <c r="A125"/>
      <c r="B125"/>
      <c r="C125"/>
    </row>
    <row r="126" spans="1:20" x14ac:dyDescent="0.2">
      <c r="A126"/>
      <c r="B126"/>
      <c r="C126"/>
    </row>
    <row r="127" spans="1:20" x14ac:dyDescent="0.2">
      <c r="A127"/>
      <c r="B127"/>
      <c r="C127"/>
    </row>
    <row r="128" spans="1:20" x14ac:dyDescent="0.2">
      <c r="A128"/>
      <c r="B128"/>
      <c r="C128"/>
    </row>
    <row r="129" spans="1:20" s="5" customFormat="1" ht="12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20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20" x14ac:dyDescent="0.2">
      <c r="A131"/>
      <c r="B131"/>
      <c r="C131"/>
    </row>
    <row r="132" spans="1:20" x14ac:dyDescent="0.2">
      <c r="A132"/>
      <c r="B132"/>
      <c r="C132"/>
    </row>
    <row r="133" spans="1:20" x14ac:dyDescent="0.2">
      <c r="A133"/>
      <c r="B133"/>
      <c r="C133"/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B4E1-38FD-48BE-9C17-FE92FA3E02E6}">
  <dimension ref="A1:T265"/>
  <sheetViews>
    <sheetView topLeftCell="A17" zoomScale="73" zoomScaleNormal="76" workbookViewId="0">
      <selection activeCell="B60" sqref="B60"/>
    </sheetView>
  </sheetViews>
  <sheetFormatPr baseColWidth="10" defaultColWidth="11.42578125" defaultRowHeight="12.75" x14ac:dyDescent="0.2"/>
  <cols>
    <col min="1" max="1" width="22.42578125" style="4" bestFit="1" customWidth="1"/>
    <col min="2" max="2" width="52.140625" style="4" bestFit="1" customWidth="1"/>
    <col min="3" max="3" width="41.28515625" style="4" bestFit="1" customWidth="1"/>
    <col min="4" max="4" width="24.42578125" style="4" bestFit="1" customWidth="1"/>
    <col min="5" max="5" width="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17" cm="1">
        <f t="array" aca="1" ref="A7" ca="1">+A112+A1:L7+A7:L7</f>
        <v>0</v>
      </c>
      <c r="B7" s="117" t="s">
        <v>8</v>
      </c>
      <c r="C7" s="117" t="s">
        <v>9</v>
      </c>
      <c r="D7" s="117" t="s">
        <v>10</v>
      </c>
      <c r="E7" s="117" t="s">
        <v>11</v>
      </c>
      <c r="F7" s="117" t="s">
        <v>12</v>
      </c>
      <c r="G7" s="117" t="s">
        <v>13</v>
      </c>
      <c r="H7" s="118" t="s">
        <v>14</v>
      </c>
      <c r="I7" s="118" t="s">
        <v>15</v>
      </c>
      <c r="J7" s="118" t="s">
        <v>16</v>
      </c>
      <c r="K7" s="118" t="s">
        <v>17</v>
      </c>
      <c r="L7" s="118" t="s">
        <v>18</v>
      </c>
      <c r="M7" s="1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45968</v>
      </c>
      <c r="G8" s="113">
        <v>0.375</v>
      </c>
      <c r="H8" s="85">
        <v>45966</v>
      </c>
      <c r="I8" s="86">
        <v>0.41666666666666669</v>
      </c>
      <c r="J8" s="87">
        <f t="shared" ref="J8:J108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45968</v>
      </c>
      <c r="G9" s="113">
        <v>0.375</v>
      </c>
      <c r="H9" s="85">
        <v>45966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12">
        <v>45968</v>
      </c>
      <c r="G10" s="113">
        <v>0.375</v>
      </c>
      <c r="H10" s="112">
        <v>45966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12">
        <v>45968</v>
      </c>
      <c r="G11" s="113">
        <v>0.375</v>
      </c>
      <c r="H11" s="112">
        <v>45966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14" t="s">
        <v>573</v>
      </c>
      <c r="B12" s="8" t="s">
        <v>136</v>
      </c>
      <c r="C12" s="8" t="s">
        <v>22</v>
      </c>
      <c r="D12" s="84">
        <v>1</v>
      </c>
      <c r="E12" s="49">
        <v>30</v>
      </c>
      <c r="F12" s="112">
        <v>45968</v>
      </c>
      <c r="G12" s="113">
        <v>0.375</v>
      </c>
      <c r="H12" s="112">
        <v>45966</v>
      </c>
      <c r="I12" s="116">
        <v>0.41666666666666669</v>
      </c>
      <c r="J12" s="87">
        <f t="shared" si="0"/>
        <v>2</v>
      </c>
      <c r="K12" s="8">
        <v>2</v>
      </c>
      <c r="L12" s="8">
        <v>28</v>
      </c>
      <c r="M12" s="49" t="s">
        <v>574</v>
      </c>
    </row>
    <row r="13" spans="1:20" s="5" customFormat="1" ht="81.75" customHeight="1" x14ac:dyDescent="0.2">
      <c r="A13" s="49" t="s">
        <v>573</v>
      </c>
      <c r="B13" s="8" t="s">
        <v>21</v>
      </c>
      <c r="C13" s="8" t="s">
        <v>34</v>
      </c>
      <c r="D13" s="84">
        <v>1</v>
      </c>
      <c r="E13" s="49">
        <v>30</v>
      </c>
      <c r="F13" s="112">
        <v>45968</v>
      </c>
      <c r="G13" s="113">
        <v>0.375</v>
      </c>
      <c r="H13" s="112">
        <v>45966</v>
      </c>
      <c r="I13" s="113">
        <v>0.41666666666666669</v>
      </c>
      <c r="J13" s="87">
        <f t="shared" si="0"/>
        <v>2</v>
      </c>
      <c r="K13" s="8">
        <v>2</v>
      </c>
      <c r="L13" s="8">
        <v>28</v>
      </c>
      <c r="M13" s="49" t="s">
        <v>574</v>
      </c>
    </row>
    <row r="14" spans="1:20" s="5" customFormat="1" ht="61.5" customHeight="1" x14ac:dyDescent="0.2">
      <c r="A14" s="49" t="s">
        <v>573</v>
      </c>
      <c r="B14" s="8" t="s">
        <v>30</v>
      </c>
      <c r="C14" s="8" t="s">
        <v>40</v>
      </c>
      <c r="D14" s="84">
        <v>1</v>
      </c>
      <c r="E14" s="49">
        <v>30</v>
      </c>
      <c r="F14" s="112">
        <v>45968</v>
      </c>
      <c r="G14" s="113">
        <v>0.375</v>
      </c>
      <c r="H14" s="112">
        <v>45966</v>
      </c>
      <c r="I14" s="113">
        <v>0.41666666666666669</v>
      </c>
      <c r="J14" s="87">
        <f t="shared" si="0"/>
        <v>2</v>
      </c>
      <c r="K14" s="8">
        <v>2</v>
      </c>
      <c r="L14" s="8">
        <v>28</v>
      </c>
      <c r="M14" s="49" t="s">
        <v>574</v>
      </c>
    </row>
    <row r="15" spans="1:20" s="5" customFormat="1" ht="61.5" customHeight="1" x14ac:dyDescent="0.2">
      <c r="A15" s="49" t="s">
        <v>573</v>
      </c>
      <c r="B15" s="8" t="s">
        <v>510</v>
      </c>
      <c r="C15" s="8" t="s">
        <v>31</v>
      </c>
      <c r="D15" s="84">
        <v>1</v>
      </c>
      <c r="E15" s="49">
        <v>30</v>
      </c>
      <c r="F15" s="112">
        <v>45968</v>
      </c>
      <c r="G15" s="113">
        <v>0.375</v>
      </c>
      <c r="H15" s="112">
        <v>45966</v>
      </c>
      <c r="I15" s="113">
        <v>0.45833333333333331</v>
      </c>
      <c r="J15" s="87">
        <f t="shared" si="0"/>
        <v>2</v>
      </c>
      <c r="K15" s="8">
        <v>2</v>
      </c>
      <c r="L15" s="8">
        <v>28</v>
      </c>
      <c r="M15" s="49" t="s">
        <v>574</v>
      </c>
    </row>
    <row r="16" spans="1:20" s="5" customFormat="1" ht="63" customHeight="1" x14ac:dyDescent="0.2">
      <c r="A16" s="38" t="s">
        <v>573</v>
      </c>
      <c r="B16" s="8" t="s">
        <v>42</v>
      </c>
      <c r="C16" s="8" t="s">
        <v>37</v>
      </c>
      <c r="D16" s="84">
        <v>1</v>
      </c>
      <c r="E16" s="49">
        <v>30</v>
      </c>
      <c r="F16" s="112">
        <v>45968</v>
      </c>
      <c r="G16" s="113">
        <v>0.375</v>
      </c>
      <c r="H16" s="112">
        <v>45966</v>
      </c>
      <c r="I16" s="113">
        <v>0.45833333333333331</v>
      </c>
      <c r="J16" s="87">
        <f t="shared" si="0"/>
        <v>2</v>
      </c>
      <c r="K16" s="8">
        <v>2</v>
      </c>
      <c r="L16" s="8">
        <v>28</v>
      </c>
      <c r="M16" s="49" t="s">
        <v>574</v>
      </c>
    </row>
    <row r="17" spans="1:13" s="5" customFormat="1" ht="63" customHeight="1" x14ac:dyDescent="0.2">
      <c r="A17" s="38" t="s">
        <v>573</v>
      </c>
      <c r="B17" s="8" t="s">
        <v>36</v>
      </c>
      <c r="C17" s="8" t="s">
        <v>43</v>
      </c>
      <c r="D17" s="84">
        <v>1</v>
      </c>
      <c r="E17" s="49">
        <v>30</v>
      </c>
      <c r="F17" s="112">
        <v>45968</v>
      </c>
      <c r="G17" s="113">
        <v>0.375</v>
      </c>
      <c r="H17" s="112">
        <v>45966</v>
      </c>
      <c r="I17" s="113">
        <v>0.4375</v>
      </c>
      <c r="J17" s="87">
        <f t="shared" si="0"/>
        <v>2</v>
      </c>
      <c r="K17" s="8">
        <v>2</v>
      </c>
      <c r="L17" s="8">
        <v>28</v>
      </c>
      <c r="M17" s="49" t="s">
        <v>574</v>
      </c>
    </row>
    <row r="18" spans="1:13" s="5" customFormat="1" ht="75" customHeight="1" x14ac:dyDescent="0.2">
      <c r="A18" s="38" t="s">
        <v>575</v>
      </c>
      <c r="B18" s="8" t="s">
        <v>30</v>
      </c>
      <c r="C18" s="8" t="s">
        <v>40</v>
      </c>
      <c r="D18" s="84">
        <v>1</v>
      </c>
      <c r="E18" s="49">
        <v>30</v>
      </c>
      <c r="F18" s="112">
        <v>45968</v>
      </c>
      <c r="G18" s="113">
        <v>0.375</v>
      </c>
      <c r="H18" s="112">
        <v>45966</v>
      </c>
      <c r="I18" s="113">
        <v>0.4375</v>
      </c>
      <c r="J18" s="87">
        <f t="shared" si="0"/>
        <v>1</v>
      </c>
      <c r="K18" s="8">
        <v>1</v>
      </c>
      <c r="L18" s="8">
        <v>29</v>
      </c>
      <c r="M18" s="49" t="s">
        <v>576</v>
      </c>
    </row>
    <row r="19" spans="1:13" s="5" customFormat="1" ht="72.75" customHeight="1" x14ac:dyDescent="0.2">
      <c r="A19" s="35" t="s">
        <v>577</v>
      </c>
      <c r="B19" s="8" t="s">
        <v>30</v>
      </c>
      <c r="C19" s="8" t="s">
        <v>40</v>
      </c>
      <c r="D19" s="84">
        <v>1</v>
      </c>
      <c r="E19" s="49">
        <v>30</v>
      </c>
      <c r="F19" s="112">
        <v>45968</v>
      </c>
      <c r="G19" s="113">
        <v>0.375</v>
      </c>
      <c r="H19" s="112">
        <v>45966</v>
      </c>
      <c r="I19" s="113">
        <v>0.45833333333333331</v>
      </c>
      <c r="J19" s="87">
        <f t="shared" si="0"/>
        <v>2</v>
      </c>
      <c r="K19" s="8">
        <v>1</v>
      </c>
      <c r="L19" s="8">
        <v>28</v>
      </c>
      <c r="M19" s="49" t="s">
        <v>578</v>
      </c>
    </row>
    <row r="20" spans="1:13" s="5" customFormat="1" ht="77.25" customHeight="1" x14ac:dyDescent="0.2">
      <c r="A20" s="49" t="s">
        <v>579</v>
      </c>
      <c r="B20" s="8" t="s">
        <v>21</v>
      </c>
      <c r="C20" s="8" t="s">
        <v>34</v>
      </c>
      <c r="D20" s="84">
        <v>1</v>
      </c>
      <c r="E20" s="49">
        <v>30</v>
      </c>
      <c r="F20" s="112">
        <v>45968</v>
      </c>
      <c r="G20" s="113">
        <v>0.375</v>
      </c>
      <c r="H20" s="112">
        <v>45966</v>
      </c>
      <c r="I20" s="113">
        <v>0.4375</v>
      </c>
      <c r="J20" s="87">
        <f t="shared" si="0"/>
        <v>4</v>
      </c>
      <c r="K20" s="8">
        <v>2</v>
      </c>
      <c r="L20" s="8">
        <v>26</v>
      </c>
      <c r="M20" s="49" t="s">
        <v>580</v>
      </c>
    </row>
    <row r="21" spans="1:13" s="5" customFormat="1" ht="70.5" customHeight="1" x14ac:dyDescent="0.2">
      <c r="A21" s="49" t="s">
        <v>581</v>
      </c>
      <c r="B21" s="8" t="s">
        <v>36</v>
      </c>
      <c r="C21" s="8" t="s">
        <v>43</v>
      </c>
      <c r="D21" s="84">
        <v>1</v>
      </c>
      <c r="E21" s="49">
        <v>30</v>
      </c>
      <c r="F21" s="112">
        <v>45968</v>
      </c>
      <c r="G21" s="113">
        <v>0.375</v>
      </c>
      <c r="H21" s="112">
        <v>45966</v>
      </c>
      <c r="I21" s="113">
        <v>0.45833333333333331</v>
      </c>
      <c r="J21" s="87">
        <f t="shared" si="0"/>
        <v>5</v>
      </c>
      <c r="K21" s="8">
        <v>1</v>
      </c>
      <c r="L21" s="8">
        <v>25</v>
      </c>
      <c r="M21" s="49" t="s">
        <v>582</v>
      </c>
    </row>
    <row r="22" spans="1:13" s="5" customFormat="1" ht="66" customHeight="1" x14ac:dyDescent="0.2">
      <c r="A22" s="49" t="s">
        <v>583</v>
      </c>
      <c r="B22" s="8" t="s">
        <v>36</v>
      </c>
      <c r="C22" s="8" t="s">
        <v>43</v>
      </c>
      <c r="D22" s="84">
        <v>1</v>
      </c>
      <c r="E22" s="49">
        <v>30</v>
      </c>
      <c r="F22" s="112">
        <v>45968</v>
      </c>
      <c r="G22" s="113">
        <v>0.375</v>
      </c>
      <c r="H22" s="112">
        <v>45966</v>
      </c>
      <c r="I22" s="113">
        <v>0.47916666666666669</v>
      </c>
      <c r="J22" s="87">
        <f t="shared" si="0"/>
        <v>2</v>
      </c>
      <c r="K22" s="8">
        <v>1</v>
      </c>
      <c r="L22" s="8">
        <v>28</v>
      </c>
      <c r="M22" s="49" t="s">
        <v>584</v>
      </c>
    </row>
    <row r="23" spans="1:13" s="5" customFormat="1" ht="69" customHeight="1" x14ac:dyDescent="0.2">
      <c r="A23" s="49" t="s">
        <v>585</v>
      </c>
      <c r="B23" s="8" t="s">
        <v>36</v>
      </c>
      <c r="C23" s="8" t="s">
        <v>43</v>
      </c>
      <c r="D23" s="84">
        <v>1</v>
      </c>
      <c r="E23" s="49">
        <v>30</v>
      </c>
      <c r="F23" s="112">
        <v>45968</v>
      </c>
      <c r="G23" s="113">
        <v>0.375</v>
      </c>
      <c r="H23" s="112">
        <v>45966</v>
      </c>
      <c r="I23" s="113">
        <v>0.5</v>
      </c>
      <c r="J23" s="87">
        <f t="shared" si="0"/>
        <v>0</v>
      </c>
      <c r="K23" s="8">
        <v>1</v>
      </c>
      <c r="L23" s="8">
        <v>30</v>
      </c>
      <c r="M23" s="49" t="s">
        <v>586</v>
      </c>
    </row>
    <row r="24" spans="1:13" s="5" customFormat="1" ht="60" customHeight="1" x14ac:dyDescent="0.2">
      <c r="A24" s="49" t="s">
        <v>587</v>
      </c>
      <c r="B24" s="8" t="s">
        <v>136</v>
      </c>
      <c r="C24" s="8" t="s">
        <v>22</v>
      </c>
      <c r="D24" s="84">
        <v>1</v>
      </c>
      <c r="E24" s="49">
        <v>30</v>
      </c>
      <c r="F24" s="112">
        <v>45968</v>
      </c>
      <c r="G24" s="113">
        <v>0.375</v>
      </c>
      <c r="H24" s="112">
        <v>45966</v>
      </c>
      <c r="I24" s="113">
        <v>0.4375</v>
      </c>
      <c r="J24" s="87">
        <f t="shared" si="0"/>
        <v>6</v>
      </c>
      <c r="K24" s="8">
        <v>2</v>
      </c>
      <c r="L24" s="8">
        <v>24</v>
      </c>
      <c r="M24" s="49" t="s">
        <v>588</v>
      </c>
    </row>
    <row r="25" spans="1:13" s="5" customFormat="1" ht="59.25" customHeight="1" x14ac:dyDescent="0.2">
      <c r="A25" s="49" t="s">
        <v>589</v>
      </c>
      <c r="B25" s="8" t="s">
        <v>30</v>
      </c>
      <c r="C25" s="8" t="s">
        <v>40</v>
      </c>
      <c r="D25" s="84">
        <v>1</v>
      </c>
      <c r="E25" s="49">
        <v>30</v>
      </c>
      <c r="F25" s="112">
        <v>45968</v>
      </c>
      <c r="G25" s="113">
        <v>0.375</v>
      </c>
      <c r="H25" s="112">
        <v>45966</v>
      </c>
      <c r="I25" s="113">
        <v>0.47916666666666669</v>
      </c>
      <c r="J25" s="87">
        <f t="shared" si="0"/>
        <v>2</v>
      </c>
      <c r="K25" s="8">
        <v>1</v>
      </c>
      <c r="L25" s="8">
        <v>28</v>
      </c>
      <c r="M25" s="49" t="s">
        <v>590</v>
      </c>
    </row>
    <row r="26" spans="1:13" s="5" customFormat="1" ht="89.25" customHeight="1" x14ac:dyDescent="0.2">
      <c r="A26" s="49" t="s">
        <v>591</v>
      </c>
      <c r="B26" s="8" t="s">
        <v>510</v>
      </c>
      <c r="C26" s="8" t="s">
        <v>31</v>
      </c>
      <c r="D26" s="84">
        <v>1</v>
      </c>
      <c r="E26" s="49">
        <v>30</v>
      </c>
      <c r="F26" s="112">
        <v>45968</v>
      </c>
      <c r="G26" s="113">
        <v>0.375</v>
      </c>
      <c r="H26" s="112">
        <v>45966</v>
      </c>
      <c r="I26" s="113">
        <v>0.47916666666666669</v>
      </c>
      <c r="J26" s="87">
        <f t="shared" si="0"/>
        <v>4</v>
      </c>
      <c r="K26" s="8">
        <v>1</v>
      </c>
      <c r="L26" s="8">
        <v>26</v>
      </c>
      <c r="M26" s="49" t="s">
        <v>592</v>
      </c>
    </row>
    <row r="27" spans="1:13" s="5" customFormat="1" ht="87" customHeight="1" x14ac:dyDescent="0.2">
      <c r="A27" s="49" t="s">
        <v>593</v>
      </c>
      <c r="B27" s="8" t="s">
        <v>510</v>
      </c>
      <c r="C27" s="8" t="s">
        <v>31</v>
      </c>
      <c r="D27" s="84">
        <v>1</v>
      </c>
      <c r="E27" s="49">
        <v>30</v>
      </c>
      <c r="F27" s="112">
        <v>45968</v>
      </c>
      <c r="G27" s="113">
        <v>0.375</v>
      </c>
      <c r="H27" s="112">
        <v>45966</v>
      </c>
      <c r="I27" s="113">
        <v>0.5</v>
      </c>
      <c r="J27" s="87">
        <f t="shared" si="0"/>
        <v>3</v>
      </c>
      <c r="K27" s="8">
        <v>2</v>
      </c>
      <c r="L27" s="8">
        <v>27</v>
      </c>
      <c r="M27" s="49" t="s">
        <v>594</v>
      </c>
    </row>
    <row r="28" spans="1:13" s="5" customFormat="1" ht="48.75" customHeight="1" x14ac:dyDescent="0.2">
      <c r="A28" s="49" t="s">
        <v>595</v>
      </c>
      <c r="B28" s="8" t="s">
        <v>21</v>
      </c>
      <c r="C28" s="8" t="s">
        <v>34</v>
      </c>
      <c r="D28" s="84">
        <v>1</v>
      </c>
      <c r="E28" s="49">
        <v>30</v>
      </c>
      <c r="F28" s="112">
        <v>45968</v>
      </c>
      <c r="G28" s="113">
        <v>0.375</v>
      </c>
      <c r="H28" s="112">
        <v>45966</v>
      </c>
      <c r="I28" s="113">
        <v>0.45833333333333331</v>
      </c>
      <c r="J28" s="87">
        <f t="shared" si="0"/>
        <v>2</v>
      </c>
      <c r="K28" s="8">
        <v>1</v>
      </c>
      <c r="L28" s="8">
        <v>28</v>
      </c>
      <c r="M28" s="49" t="s">
        <v>596</v>
      </c>
    </row>
    <row r="29" spans="1:13" s="5" customFormat="1" ht="36.75" customHeight="1" x14ac:dyDescent="0.2">
      <c r="A29" s="49" t="s">
        <v>597</v>
      </c>
      <c r="B29" s="8" t="s">
        <v>136</v>
      </c>
      <c r="C29" s="8" t="s">
        <v>22</v>
      </c>
      <c r="D29" s="84">
        <v>1</v>
      </c>
      <c r="E29" s="49">
        <v>30</v>
      </c>
      <c r="F29" s="112">
        <v>45968</v>
      </c>
      <c r="G29" s="113">
        <v>0.375</v>
      </c>
      <c r="H29" s="112">
        <v>45966</v>
      </c>
      <c r="I29" s="113">
        <v>0.45833333333333331</v>
      </c>
      <c r="J29" s="87">
        <f t="shared" si="0"/>
        <v>3</v>
      </c>
      <c r="K29" s="8">
        <v>1</v>
      </c>
      <c r="L29" s="8">
        <v>27</v>
      </c>
      <c r="M29" s="49" t="s">
        <v>598</v>
      </c>
    </row>
    <row r="30" spans="1:13" s="5" customFormat="1" ht="37.5" customHeight="1" x14ac:dyDescent="0.2">
      <c r="A30" s="49" t="s">
        <v>599</v>
      </c>
      <c r="B30" s="8" t="s">
        <v>21</v>
      </c>
      <c r="C30" s="8" t="s">
        <v>34</v>
      </c>
      <c r="D30" s="84">
        <v>1</v>
      </c>
      <c r="E30" s="49">
        <v>30</v>
      </c>
      <c r="F30" s="112">
        <v>45968</v>
      </c>
      <c r="G30" s="113">
        <v>0.375</v>
      </c>
      <c r="H30" s="112">
        <v>45966</v>
      </c>
      <c r="I30" s="113">
        <v>0.47916666666666669</v>
      </c>
      <c r="J30" s="87">
        <f t="shared" si="0"/>
        <v>4</v>
      </c>
      <c r="K30" s="8">
        <v>1</v>
      </c>
      <c r="L30" s="8">
        <v>26</v>
      </c>
      <c r="M30" s="49" t="s">
        <v>600</v>
      </c>
    </row>
    <row r="31" spans="1:13" s="5" customFormat="1" ht="38.25" customHeight="1" x14ac:dyDescent="0.2">
      <c r="A31" s="49" t="s">
        <v>601</v>
      </c>
      <c r="B31" s="8" t="s">
        <v>136</v>
      </c>
      <c r="C31" s="8" t="s">
        <v>22</v>
      </c>
      <c r="D31" s="84">
        <v>1</v>
      </c>
      <c r="E31" s="49">
        <v>30</v>
      </c>
      <c r="F31" s="112">
        <v>45968</v>
      </c>
      <c r="G31" s="113">
        <v>0.375</v>
      </c>
      <c r="H31" s="112">
        <v>45966</v>
      </c>
      <c r="I31" s="113">
        <v>0.47916666666666669</v>
      </c>
      <c r="J31" s="87">
        <f t="shared" si="0"/>
        <v>4</v>
      </c>
      <c r="K31" s="8">
        <v>2</v>
      </c>
      <c r="L31" s="8">
        <v>26</v>
      </c>
      <c r="M31" s="49" t="s">
        <v>602</v>
      </c>
    </row>
    <row r="32" spans="1:13" s="5" customFormat="1" ht="38.25" customHeight="1" x14ac:dyDescent="0.2">
      <c r="A32" s="49" t="s">
        <v>603</v>
      </c>
      <c r="B32" s="8" t="s">
        <v>42</v>
      </c>
      <c r="C32" s="8" t="s">
        <v>37</v>
      </c>
      <c r="D32" s="84">
        <v>1</v>
      </c>
      <c r="E32" s="49">
        <v>30</v>
      </c>
      <c r="F32" s="112">
        <v>45968</v>
      </c>
      <c r="G32" s="113">
        <v>0.375</v>
      </c>
      <c r="H32" s="112">
        <v>45966</v>
      </c>
      <c r="I32" s="113">
        <v>0.47916666666666669</v>
      </c>
      <c r="J32" s="87">
        <f t="shared" si="0"/>
        <v>1</v>
      </c>
      <c r="K32" s="8">
        <v>1</v>
      </c>
      <c r="L32" s="8">
        <v>29</v>
      </c>
      <c r="M32" s="49" t="s">
        <v>604</v>
      </c>
    </row>
    <row r="33" spans="1:13" s="5" customFormat="1" ht="38.25" customHeight="1" x14ac:dyDescent="0.2">
      <c r="A33" s="49" t="s">
        <v>605</v>
      </c>
      <c r="B33" s="8" t="s">
        <v>42</v>
      </c>
      <c r="C33" s="8" t="s">
        <v>37</v>
      </c>
      <c r="D33" s="84">
        <v>1</v>
      </c>
      <c r="E33" s="49">
        <v>30</v>
      </c>
      <c r="F33" s="112">
        <v>45968</v>
      </c>
      <c r="G33" s="113">
        <v>0.375</v>
      </c>
      <c r="H33" s="112">
        <v>45966</v>
      </c>
      <c r="I33" s="113">
        <v>0.5</v>
      </c>
      <c r="J33" s="87">
        <f t="shared" si="0"/>
        <v>5</v>
      </c>
      <c r="K33" s="8">
        <v>1</v>
      </c>
      <c r="L33" s="8">
        <v>25</v>
      </c>
      <c r="M33" s="49" t="s">
        <v>606</v>
      </c>
    </row>
    <row r="34" spans="1:13" s="5" customFormat="1" ht="55.5" customHeight="1" x14ac:dyDescent="0.2">
      <c r="A34" s="49" t="s">
        <v>607</v>
      </c>
      <c r="B34" s="8" t="s">
        <v>42</v>
      </c>
      <c r="C34" s="8" t="s">
        <v>37</v>
      </c>
      <c r="D34" s="84">
        <v>1</v>
      </c>
      <c r="E34" s="49">
        <v>30</v>
      </c>
      <c r="F34" s="112">
        <v>45968</v>
      </c>
      <c r="G34" s="113">
        <v>0.375</v>
      </c>
      <c r="H34" s="112">
        <v>45966</v>
      </c>
      <c r="I34" s="113">
        <v>0.52083333333333337</v>
      </c>
      <c r="J34" s="87">
        <f t="shared" si="0"/>
        <v>2</v>
      </c>
      <c r="K34" s="8">
        <v>1</v>
      </c>
      <c r="L34" s="8">
        <v>28</v>
      </c>
      <c r="M34" s="49" t="s">
        <v>608</v>
      </c>
    </row>
    <row r="35" spans="1:13" s="5" customFormat="1" ht="55.5" customHeight="1" x14ac:dyDescent="0.2">
      <c r="A35" s="49" t="s">
        <v>609</v>
      </c>
      <c r="B35" s="8" t="s">
        <v>510</v>
      </c>
      <c r="C35" s="8" t="s">
        <v>31</v>
      </c>
      <c r="D35" s="84">
        <v>1</v>
      </c>
      <c r="E35" s="49">
        <v>30</v>
      </c>
      <c r="F35" s="112">
        <v>45968</v>
      </c>
      <c r="G35" s="113">
        <v>0.375</v>
      </c>
      <c r="H35" s="112">
        <v>45966</v>
      </c>
      <c r="I35" s="113">
        <v>0.52083333333333337</v>
      </c>
      <c r="J35" s="87">
        <f t="shared" si="0"/>
        <v>1</v>
      </c>
      <c r="K35" s="8">
        <v>2</v>
      </c>
      <c r="L35" s="8">
        <v>29</v>
      </c>
      <c r="M35" s="49" t="s">
        <v>610</v>
      </c>
    </row>
    <row r="36" spans="1:13" s="5" customFormat="1" ht="57.75" customHeight="1" x14ac:dyDescent="0.2">
      <c r="A36" s="49" t="s">
        <v>611</v>
      </c>
      <c r="B36" s="8" t="s">
        <v>510</v>
      </c>
      <c r="C36" s="8" t="s">
        <v>31</v>
      </c>
      <c r="D36" s="84">
        <v>1</v>
      </c>
      <c r="E36" s="49">
        <v>30</v>
      </c>
      <c r="F36" s="112">
        <v>45968</v>
      </c>
      <c r="G36" s="113">
        <v>0.375</v>
      </c>
      <c r="H36" s="112">
        <v>45966</v>
      </c>
      <c r="I36" s="113">
        <v>0.54166666666666663</v>
      </c>
      <c r="J36" s="87">
        <f t="shared" si="0"/>
        <v>2</v>
      </c>
      <c r="K36" s="8">
        <v>1</v>
      </c>
      <c r="L36" s="8">
        <v>28</v>
      </c>
      <c r="M36" s="49" t="s">
        <v>612</v>
      </c>
    </row>
    <row r="37" spans="1:13" s="5" customFormat="1" ht="42" customHeight="1" x14ac:dyDescent="0.2">
      <c r="A37" s="49" t="s">
        <v>613</v>
      </c>
      <c r="B37" s="8" t="s">
        <v>36</v>
      </c>
      <c r="C37" s="8" t="s">
        <v>43</v>
      </c>
      <c r="D37" s="84">
        <v>1</v>
      </c>
      <c r="E37" s="49">
        <v>30</v>
      </c>
      <c r="F37" s="112">
        <v>45968</v>
      </c>
      <c r="G37" s="113">
        <v>0.375</v>
      </c>
      <c r="H37" s="112">
        <v>45966</v>
      </c>
      <c r="I37" s="113">
        <v>0.52083333333333337</v>
      </c>
      <c r="J37" s="87">
        <f t="shared" si="0"/>
        <v>2</v>
      </c>
      <c r="K37" s="8">
        <v>1</v>
      </c>
      <c r="L37" s="8">
        <v>28</v>
      </c>
      <c r="M37" s="49" t="s">
        <v>614</v>
      </c>
    </row>
    <row r="38" spans="1:13" s="5" customFormat="1" ht="71.25" customHeight="1" x14ac:dyDescent="0.2">
      <c r="A38" s="49" t="s">
        <v>615</v>
      </c>
      <c r="B38" s="8" t="s">
        <v>42</v>
      </c>
      <c r="C38" s="8" t="s">
        <v>37</v>
      </c>
      <c r="D38" s="84">
        <v>1</v>
      </c>
      <c r="E38" s="49">
        <v>30</v>
      </c>
      <c r="F38" s="112">
        <v>45968</v>
      </c>
      <c r="G38" s="113">
        <v>0.375</v>
      </c>
      <c r="H38" s="112">
        <v>45966</v>
      </c>
      <c r="I38" s="113">
        <v>0.54166666666666663</v>
      </c>
      <c r="J38" s="87">
        <f t="shared" si="0"/>
        <v>2</v>
      </c>
      <c r="K38" s="8">
        <v>1</v>
      </c>
      <c r="L38" s="8">
        <v>28</v>
      </c>
      <c r="M38" s="49" t="s">
        <v>616</v>
      </c>
    </row>
    <row r="39" spans="1:13" s="5" customFormat="1" ht="66" customHeight="1" x14ac:dyDescent="0.2">
      <c r="A39" s="49" t="s">
        <v>617</v>
      </c>
      <c r="B39" s="8" t="s">
        <v>136</v>
      </c>
      <c r="C39" s="8" t="s">
        <v>22</v>
      </c>
      <c r="D39" s="84">
        <v>1</v>
      </c>
      <c r="E39" s="49">
        <v>30</v>
      </c>
      <c r="F39" s="112">
        <v>45968</v>
      </c>
      <c r="G39" s="113">
        <v>0.375</v>
      </c>
      <c r="H39" s="112">
        <v>45966</v>
      </c>
      <c r="I39" s="113">
        <v>0.5</v>
      </c>
      <c r="J39" s="87">
        <f t="shared" si="0"/>
        <v>1</v>
      </c>
      <c r="K39" s="8">
        <v>1</v>
      </c>
      <c r="L39" s="8">
        <v>29</v>
      </c>
      <c r="M39" s="49" t="s">
        <v>618</v>
      </c>
    </row>
    <row r="40" spans="1:13" s="5" customFormat="1" ht="56.25" customHeight="1" x14ac:dyDescent="0.2">
      <c r="A40" s="49" t="s">
        <v>619</v>
      </c>
      <c r="B40" s="8" t="s">
        <v>21</v>
      </c>
      <c r="C40" s="8" t="s">
        <v>34</v>
      </c>
      <c r="D40" s="84">
        <v>1</v>
      </c>
      <c r="E40" s="49">
        <v>30</v>
      </c>
      <c r="F40" s="112">
        <v>45968</v>
      </c>
      <c r="G40" s="113">
        <v>0.375</v>
      </c>
      <c r="H40" s="112">
        <v>45966</v>
      </c>
      <c r="I40" s="113">
        <v>0.5</v>
      </c>
      <c r="J40" s="87">
        <f t="shared" si="0"/>
        <v>3</v>
      </c>
      <c r="K40" s="8">
        <v>1</v>
      </c>
      <c r="L40" s="8">
        <v>27</v>
      </c>
      <c r="M40" s="49" t="s">
        <v>620</v>
      </c>
    </row>
    <row r="41" spans="1:13" s="5" customFormat="1" ht="63" customHeight="1" x14ac:dyDescent="0.2">
      <c r="A41" s="49" t="s">
        <v>621</v>
      </c>
      <c r="B41" s="8" t="s">
        <v>30</v>
      </c>
      <c r="C41" s="8" t="s">
        <v>40</v>
      </c>
      <c r="D41" s="84">
        <v>1</v>
      </c>
      <c r="E41" s="49">
        <v>30</v>
      </c>
      <c r="F41" s="112">
        <v>45968</v>
      </c>
      <c r="G41" s="113">
        <v>0.375</v>
      </c>
      <c r="H41" s="112">
        <v>45966</v>
      </c>
      <c r="I41" s="113">
        <v>0.5</v>
      </c>
      <c r="J41" s="87">
        <f t="shared" si="0"/>
        <v>0</v>
      </c>
      <c r="K41" s="8">
        <v>1</v>
      </c>
      <c r="L41" s="8">
        <v>30</v>
      </c>
      <c r="M41" s="49" t="s">
        <v>622</v>
      </c>
    </row>
    <row r="42" spans="1:13" s="5" customFormat="1" ht="66" customHeight="1" x14ac:dyDescent="0.2">
      <c r="A42" s="49" t="s">
        <v>623</v>
      </c>
      <c r="B42" s="8" t="s">
        <v>30</v>
      </c>
      <c r="C42" s="8" t="s">
        <v>40</v>
      </c>
      <c r="D42" s="84">
        <v>1</v>
      </c>
      <c r="E42" s="49">
        <v>30</v>
      </c>
      <c r="F42" s="112">
        <v>45968</v>
      </c>
      <c r="G42" s="113">
        <v>0.375</v>
      </c>
      <c r="H42" s="112">
        <v>45966</v>
      </c>
      <c r="I42" s="113">
        <v>0.52083333333333337</v>
      </c>
      <c r="J42" s="87">
        <f t="shared" si="0"/>
        <v>2</v>
      </c>
      <c r="K42" s="8">
        <v>1</v>
      </c>
      <c r="L42" s="8">
        <v>28</v>
      </c>
      <c r="M42" s="49" t="s">
        <v>624</v>
      </c>
    </row>
    <row r="43" spans="1:13" s="5" customFormat="1" ht="58.5" customHeight="1" x14ac:dyDescent="0.2">
      <c r="A43" s="49" t="s">
        <v>625</v>
      </c>
      <c r="B43" s="8" t="s">
        <v>42</v>
      </c>
      <c r="C43" s="8" t="s">
        <v>37</v>
      </c>
      <c r="D43" s="84">
        <v>1</v>
      </c>
      <c r="E43" s="49">
        <v>30</v>
      </c>
      <c r="F43" s="112">
        <v>45968</v>
      </c>
      <c r="G43" s="113">
        <v>0.375</v>
      </c>
      <c r="H43" s="112">
        <v>45966</v>
      </c>
      <c r="I43" s="113">
        <v>0.5625</v>
      </c>
      <c r="J43" s="87">
        <f t="shared" si="0"/>
        <v>4</v>
      </c>
      <c r="K43" s="8">
        <v>1</v>
      </c>
      <c r="L43" s="8">
        <v>26</v>
      </c>
      <c r="M43" s="49" t="s">
        <v>626</v>
      </c>
    </row>
    <row r="44" spans="1:13" s="5" customFormat="1" ht="57" customHeight="1" x14ac:dyDescent="0.2">
      <c r="A44" s="49" t="s">
        <v>625</v>
      </c>
      <c r="B44" s="8" t="s">
        <v>36</v>
      </c>
      <c r="C44" s="8" t="s">
        <v>43</v>
      </c>
      <c r="D44" s="84">
        <v>1</v>
      </c>
      <c r="E44" s="49">
        <v>30</v>
      </c>
      <c r="F44" s="112">
        <v>45968</v>
      </c>
      <c r="G44" s="113">
        <v>0.375</v>
      </c>
      <c r="H44" s="112">
        <v>45966</v>
      </c>
      <c r="I44" s="113">
        <v>0.54166666666666663</v>
      </c>
      <c r="J44" s="87">
        <f t="shared" si="0"/>
        <v>4</v>
      </c>
      <c r="K44" s="8">
        <v>1</v>
      </c>
      <c r="L44" s="8">
        <v>26</v>
      </c>
      <c r="M44" s="49" t="s">
        <v>626</v>
      </c>
    </row>
    <row r="45" spans="1:13" s="5" customFormat="1" ht="55.5" customHeight="1" x14ac:dyDescent="0.2">
      <c r="A45" s="49" t="s">
        <v>627</v>
      </c>
      <c r="B45" s="8" t="s">
        <v>42</v>
      </c>
      <c r="C45" s="8" t="s">
        <v>37</v>
      </c>
      <c r="D45" s="84">
        <v>1</v>
      </c>
      <c r="E45" s="49">
        <v>30</v>
      </c>
      <c r="F45" s="112">
        <v>45968</v>
      </c>
      <c r="G45" s="113">
        <v>0.375</v>
      </c>
      <c r="H45" s="112">
        <v>45966</v>
      </c>
      <c r="I45" s="113">
        <v>0.58333333333333337</v>
      </c>
      <c r="J45" s="87">
        <f t="shared" si="0"/>
        <v>2</v>
      </c>
      <c r="K45" s="8">
        <v>1</v>
      </c>
      <c r="L45" s="8">
        <v>28</v>
      </c>
      <c r="M45" s="49" t="s">
        <v>628</v>
      </c>
    </row>
    <row r="46" spans="1:13" ht="87" customHeight="1" x14ac:dyDescent="0.2">
      <c r="A46" s="49" t="s">
        <v>627</v>
      </c>
      <c r="B46" s="8" t="s">
        <v>36</v>
      </c>
      <c r="C46" s="8" t="s">
        <v>43</v>
      </c>
      <c r="D46" s="84">
        <v>1</v>
      </c>
      <c r="E46" s="49">
        <v>30</v>
      </c>
      <c r="F46" s="112">
        <v>45968</v>
      </c>
      <c r="G46" s="113">
        <v>0.375</v>
      </c>
      <c r="H46" s="112">
        <v>45966</v>
      </c>
      <c r="I46" s="113">
        <v>0.5625</v>
      </c>
      <c r="J46" s="87">
        <f t="shared" si="0"/>
        <v>2</v>
      </c>
      <c r="K46" s="8">
        <v>1</v>
      </c>
      <c r="L46" s="8">
        <v>28</v>
      </c>
      <c r="M46" s="49" t="s">
        <v>628</v>
      </c>
    </row>
    <row r="47" spans="1:13" s="5" customFormat="1" ht="56.25" customHeight="1" x14ac:dyDescent="0.2">
      <c r="A47" s="49" t="s">
        <v>629</v>
      </c>
      <c r="B47" s="8" t="s">
        <v>42</v>
      </c>
      <c r="C47" s="8" t="s">
        <v>37</v>
      </c>
      <c r="D47" s="84">
        <v>1</v>
      </c>
      <c r="E47" s="49">
        <v>30</v>
      </c>
      <c r="F47" s="112">
        <v>45968</v>
      </c>
      <c r="G47" s="113">
        <v>0.375</v>
      </c>
      <c r="H47" s="112">
        <v>45966</v>
      </c>
      <c r="I47" s="113">
        <v>0.60416666666666663</v>
      </c>
      <c r="J47" s="87">
        <f t="shared" si="0"/>
        <v>6</v>
      </c>
      <c r="K47" s="8">
        <v>1</v>
      </c>
      <c r="L47" s="8">
        <v>24</v>
      </c>
      <c r="M47" s="49" t="s">
        <v>630</v>
      </c>
    </row>
    <row r="48" spans="1:13" s="5" customFormat="1" ht="67.5" customHeight="1" x14ac:dyDescent="0.2">
      <c r="A48" s="49" t="s">
        <v>629</v>
      </c>
      <c r="B48" s="8" t="s">
        <v>36</v>
      </c>
      <c r="C48" s="8" t="s">
        <v>43</v>
      </c>
      <c r="D48" s="84">
        <v>1</v>
      </c>
      <c r="E48" s="49">
        <v>30</v>
      </c>
      <c r="F48" s="112">
        <v>45968</v>
      </c>
      <c r="G48" s="113">
        <v>0.375</v>
      </c>
      <c r="H48" s="112">
        <v>45966</v>
      </c>
      <c r="I48" s="113">
        <v>0.58333333333333337</v>
      </c>
      <c r="J48" s="87">
        <f t="shared" si="0"/>
        <v>6</v>
      </c>
      <c r="K48" s="8">
        <v>1</v>
      </c>
      <c r="L48" s="8">
        <v>24</v>
      </c>
      <c r="M48" s="49" t="s">
        <v>630</v>
      </c>
    </row>
    <row r="49" spans="1:13" s="5" customFormat="1" ht="69.75" customHeight="1" x14ac:dyDescent="0.2">
      <c r="A49" s="49" t="s">
        <v>631</v>
      </c>
      <c r="B49" s="8" t="s">
        <v>42</v>
      </c>
      <c r="C49" s="8" t="s">
        <v>632</v>
      </c>
      <c r="D49" s="84">
        <v>1</v>
      </c>
      <c r="E49" s="49">
        <v>30</v>
      </c>
      <c r="F49" s="112">
        <v>45968</v>
      </c>
      <c r="G49" s="113">
        <v>0.375</v>
      </c>
      <c r="H49" s="112">
        <v>45966</v>
      </c>
      <c r="I49" s="113">
        <v>0.625</v>
      </c>
      <c r="J49" s="87">
        <f t="shared" si="0"/>
        <v>4</v>
      </c>
      <c r="K49" s="8">
        <v>1</v>
      </c>
      <c r="L49" s="8">
        <v>26</v>
      </c>
      <c r="M49" s="49" t="s">
        <v>633</v>
      </c>
    </row>
    <row r="50" spans="1:13" s="5" customFormat="1" ht="61.5" customHeight="1" x14ac:dyDescent="0.2">
      <c r="A50" s="49" t="s">
        <v>631</v>
      </c>
      <c r="B50" s="8" t="s">
        <v>36</v>
      </c>
      <c r="C50" s="8" t="s">
        <v>43</v>
      </c>
      <c r="D50" s="84">
        <v>1</v>
      </c>
      <c r="E50" s="49">
        <v>30</v>
      </c>
      <c r="F50" s="112">
        <v>45968</v>
      </c>
      <c r="G50" s="113">
        <v>0.375</v>
      </c>
      <c r="H50" s="112">
        <v>45966</v>
      </c>
      <c r="I50" s="113">
        <v>0.60416666666666663</v>
      </c>
      <c r="J50" s="87">
        <f t="shared" si="0"/>
        <v>4</v>
      </c>
      <c r="K50" s="8">
        <v>1</v>
      </c>
      <c r="L50" s="8">
        <v>26</v>
      </c>
      <c r="M50" s="49" t="s">
        <v>633</v>
      </c>
    </row>
    <row r="51" spans="1:13" s="5" customFormat="1" ht="56.25" customHeight="1" x14ac:dyDescent="0.2">
      <c r="A51" s="49" t="s">
        <v>634</v>
      </c>
      <c r="B51" s="8" t="s">
        <v>42</v>
      </c>
      <c r="C51" s="8" t="s">
        <v>37</v>
      </c>
      <c r="D51" s="84">
        <v>1</v>
      </c>
      <c r="E51" s="49">
        <v>30</v>
      </c>
      <c r="F51" s="112">
        <v>45968</v>
      </c>
      <c r="G51" s="113">
        <v>0.375</v>
      </c>
      <c r="H51" s="112">
        <v>45966</v>
      </c>
      <c r="I51" s="113">
        <v>0.64583333333333337</v>
      </c>
      <c r="J51" s="87">
        <f t="shared" si="0"/>
        <v>3</v>
      </c>
      <c r="K51" s="8">
        <v>1</v>
      </c>
      <c r="L51" s="8">
        <v>27</v>
      </c>
      <c r="M51" s="49" t="s">
        <v>635</v>
      </c>
    </row>
    <row r="52" spans="1:13" s="5" customFormat="1" ht="97.5" customHeight="1" x14ac:dyDescent="0.2">
      <c r="A52" s="49" t="s">
        <v>634</v>
      </c>
      <c r="B52" s="8" t="s">
        <v>36</v>
      </c>
      <c r="C52" s="8" t="s">
        <v>43</v>
      </c>
      <c r="D52" s="84">
        <v>1</v>
      </c>
      <c r="E52" s="49">
        <v>30</v>
      </c>
      <c r="F52" s="112">
        <v>45968</v>
      </c>
      <c r="G52" s="113">
        <v>0.375</v>
      </c>
      <c r="H52" s="112">
        <v>45966</v>
      </c>
      <c r="I52" s="113">
        <v>0.625</v>
      </c>
      <c r="J52" s="87">
        <f t="shared" si="0"/>
        <v>3</v>
      </c>
      <c r="K52" s="8">
        <v>1</v>
      </c>
      <c r="L52" s="8">
        <v>27</v>
      </c>
      <c r="M52" s="49" t="s">
        <v>635</v>
      </c>
    </row>
    <row r="53" spans="1:13" s="5" customFormat="1" ht="75" customHeight="1" x14ac:dyDescent="0.2">
      <c r="A53" s="49" t="s">
        <v>636</v>
      </c>
      <c r="B53" s="8" t="s">
        <v>42</v>
      </c>
      <c r="C53" s="8" t="s">
        <v>37</v>
      </c>
      <c r="D53" s="84">
        <v>1</v>
      </c>
      <c r="E53" s="49">
        <v>30</v>
      </c>
      <c r="F53" s="112">
        <v>45968</v>
      </c>
      <c r="G53" s="113">
        <v>0.375</v>
      </c>
      <c r="H53" s="112">
        <v>45966</v>
      </c>
      <c r="I53" s="113">
        <v>0.66666666666666663</v>
      </c>
      <c r="J53" s="87">
        <f t="shared" si="0"/>
        <v>2</v>
      </c>
      <c r="K53" s="8">
        <v>1</v>
      </c>
      <c r="L53" s="8">
        <v>28</v>
      </c>
      <c r="M53" s="49" t="s">
        <v>637</v>
      </c>
    </row>
    <row r="54" spans="1:13" s="5" customFormat="1" ht="70.5" customHeight="1" x14ac:dyDescent="0.2">
      <c r="A54" s="49" t="s">
        <v>636</v>
      </c>
      <c r="B54" s="8" t="s">
        <v>36</v>
      </c>
      <c r="C54" s="8" t="s">
        <v>43</v>
      </c>
      <c r="D54" s="84">
        <v>1</v>
      </c>
      <c r="E54" s="49">
        <v>30</v>
      </c>
      <c r="F54" s="112">
        <v>45968</v>
      </c>
      <c r="G54" s="113">
        <v>0.375</v>
      </c>
      <c r="H54" s="112">
        <v>45966</v>
      </c>
      <c r="I54" s="113">
        <v>0.64583333333333337</v>
      </c>
      <c r="J54" s="87">
        <f t="shared" si="0"/>
        <v>2</v>
      </c>
      <c r="K54" s="8">
        <v>1</v>
      </c>
      <c r="L54" s="8">
        <v>28</v>
      </c>
      <c r="M54" s="49" t="s">
        <v>637</v>
      </c>
    </row>
    <row r="55" spans="1:13" s="5" customFormat="1" ht="73.5" customHeight="1" x14ac:dyDescent="0.2">
      <c r="A55" s="49" t="s">
        <v>638</v>
      </c>
      <c r="B55" s="8" t="s">
        <v>42</v>
      </c>
      <c r="C55" s="8" t="s">
        <v>37</v>
      </c>
      <c r="D55" s="84">
        <v>1</v>
      </c>
      <c r="E55" s="49">
        <v>30</v>
      </c>
      <c r="F55" s="112">
        <v>45968</v>
      </c>
      <c r="G55" s="113">
        <v>0.375</v>
      </c>
      <c r="H55" s="112">
        <v>45966</v>
      </c>
      <c r="I55" s="113">
        <v>0.6875</v>
      </c>
      <c r="J55" s="87">
        <f t="shared" si="0"/>
        <v>2</v>
      </c>
      <c r="K55" s="8">
        <v>1</v>
      </c>
      <c r="L55" s="8">
        <v>28</v>
      </c>
      <c r="M55" s="49" t="s">
        <v>639</v>
      </c>
    </row>
    <row r="56" spans="1:13" s="5" customFormat="1" ht="66.75" customHeight="1" x14ac:dyDescent="0.2">
      <c r="A56" s="49" t="s">
        <v>638</v>
      </c>
      <c r="B56" s="8" t="s">
        <v>36</v>
      </c>
      <c r="C56" s="8" t="s">
        <v>43</v>
      </c>
      <c r="D56" s="84">
        <v>1</v>
      </c>
      <c r="E56" s="49">
        <v>30</v>
      </c>
      <c r="F56" s="112">
        <v>45968</v>
      </c>
      <c r="G56" s="113">
        <v>0.375</v>
      </c>
      <c r="H56" s="112">
        <v>45966</v>
      </c>
      <c r="I56" s="113">
        <v>0.66666666666666663</v>
      </c>
      <c r="J56" s="87">
        <f t="shared" si="0"/>
        <v>2</v>
      </c>
      <c r="K56" s="8">
        <v>1</v>
      </c>
      <c r="L56" s="8">
        <v>28</v>
      </c>
      <c r="M56" s="49" t="s">
        <v>639</v>
      </c>
    </row>
    <row r="57" spans="1:13" s="5" customFormat="1" ht="55.5" customHeight="1" x14ac:dyDescent="0.2">
      <c r="A57" s="49" t="s">
        <v>640</v>
      </c>
      <c r="B57" s="8" t="s">
        <v>42</v>
      </c>
      <c r="C57" s="8" t="s">
        <v>37</v>
      </c>
      <c r="D57" s="84">
        <v>1</v>
      </c>
      <c r="E57" s="49">
        <v>30</v>
      </c>
      <c r="F57" s="112">
        <v>45968</v>
      </c>
      <c r="G57" s="113">
        <v>0.375</v>
      </c>
      <c r="H57" s="112">
        <v>45966</v>
      </c>
      <c r="I57" s="113">
        <v>0.70833333333333337</v>
      </c>
      <c r="J57" s="87">
        <f t="shared" si="0"/>
        <v>2</v>
      </c>
      <c r="K57" s="8">
        <v>1</v>
      </c>
      <c r="L57" s="8">
        <v>28</v>
      </c>
      <c r="M57" s="49" t="s">
        <v>641</v>
      </c>
    </row>
    <row r="58" spans="1:13" s="5" customFormat="1" ht="59.25" customHeight="1" x14ac:dyDescent="0.2">
      <c r="A58" s="49" t="s">
        <v>640</v>
      </c>
      <c r="B58" s="8" t="s">
        <v>36</v>
      </c>
      <c r="C58" s="8" t="s">
        <v>43</v>
      </c>
      <c r="D58" s="84">
        <v>1</v>
      </c>
      <c r="E58" s="49">
        <v>30</v>
      </c>
      <c r="F58" s="112">
        <v>45968</v>
      </c>
      <c r="G58" s="113">
        <v>0.375</v>
      </c>
      <c r="H58" s="112">
        <v>45966</v>
      </c>
      <c r="I58" s="113">
        <v>0.6875</v>
      </c>
      <c r="J58" s="87">
        <f t="shared" si="0"/>
        <v>2</v>
      </c>
      <c r="K58" s="8">
        <v>1</v>
      </c>
      <c r="L58" s="8">
        <v>28</v>
      </c>
      <c r="M58" s="49" t="s">
        <v>641</v>
      </c>
    </row>
    <row r="59" spans="1:13" s="5" customFormat="1" ht="53.25" customHeight="1" x14ac:dyDescent="0.2">
      <c r="A59" s="49" t="s">
        <v>642</v>
      </c>
      <c r="B59" s="8" t="s">
        <v>42</v>
      </c>
      <c r="C59" s="8" t="s">
        <v>37</v>
      </c>
      <c r="D59" s="84">
        <v>1</v>
      </c>
      <c r="E59" s="49">
        <v>30</v>
      </c>
      <c r="F59" s="112">
        <v>45968</v>
      </c>
      <c r="G59" s="113">
        <v>0.375</v>
      </c>
      <c r="H59" s="112">
        <v>45966</v>
      </c>
      <c r="I59" s="113">
        <v>0.72916666666666663</v>
      </c>
      <c r="J59" s="87">
        <f t="shared" si="0"/>
        <v>3</v>
      </c>
      <c r="K59" s="8">
        <v>1</v>
      </c>
      <c r="L59" s="8">
        <v>27</v>
      </c>
      <c r="M59" s="49" t="s">
        <v>643</v>
      </c>
    </row>
    <row r="60" spans="1:13" s="5" customFormat="1" ht="63.75" customHeight="1" x14ac:dyDescent="0.2">
      <c r="A60" s="49" t="s">
        <v>642</v>
      </c>
      <c r="B60" s="8" t="s">
        <v>36</v>
      </c>
      <c r="C60" s="8" t="s">
        <v>43</v>
      </c>
      <c r="D60" s="84">
        <v>1</v>
      </c>
      <c r="E60" s="49">
        <v>30</v>
      </c>
      <c r="F60" s="112">
        <v>45968</v>
      </c>
      <c r="G60" s="113">
        <v>0.375</v>
      </c>
      <c r="H60" s="112">
        <v>45966</v>
      </c>
      <c r="I60" s="113">
        <v>0.70833333333333337</v>
      </c>
      <c r="J60" s="87">
        <f t="shared" si="0"/>
        <v>3</v>
      </c>
      <c r="K60" s="8">
        <v>1</v>
      </c>
      <c r="L60" s="8">
        <v>27</v>
      </c>
      <c r="M60" s="49" t="s">
        <v>643</v>
      </c>
    </row>
    <row r="61" spans="1:13" s="5" customFormat="1" ht="57.75" customHeight="1" x14ac:dyDescent="0.2">
      <c r="A61" s="49" t="s">
        <v>644</v>
      </c>
      <c r="B61" s="8" t="s">
        <v>42</v>
      </c>
      <c r="C61" s="8" t="s">
        <v>37</v>
      </c>
      <c r="D61" s="84">
        <v>1</v>
      </c>
      <c r="E61" s="49">
        <v>30</v>
      </c>
      <c r="F61" s="112">
        <v>45968</v>
      </c>
      <c r="G61" s="113">
        <v>0.375</v>
      </c>
      <c r="H61" s="112">
        <v>45966</v>
      </c>
      <c r="I61" s="113">
        <v>0.75</v>
      </c>
      <c r="J61" s="87">
        <f t="shared" si="0"/>
        <v>2</v>
      </c>
      <c r="K61" s="8">
        <v>2</v>
      </c>
      <c r="L61" s="8">
        <v>28</v>
      </c>
      <c r="M61" s="49" t="s">
        <v>645</v>
      </c>
    </row>
    <row r="62" spans="1:13" s="5" customFormat="1" ht="63" customHeight="1" x14ac:dyDescent="0.2">
      <c r="A62" s="49" t="s">
        <v>644</v>
      </c>
      <c r="B62" s="8" t="s">
        <v>36</v>
      </c>
      <c r="C62" s="8" t="s">
        <v>43</v>
      </c>
      <c r="D62" s="84">
        <v>1</v>
      </c>
      <c r="E62" s="49">
        <v>30</v>
      </c>
      <c r="F62" s="112">
        <v>45968</v>
      </c>
      <c r="G62" s="113">
        <v>0.375</v>
      </c>
      <c r="H62" s="112">
        <v>45966</v>
      </c>
      <c r="I62" s="113">
        <v>0.72916666666666663</v>
      </c>
      <c r="J62" s="87">
        <f t="shared" si="0"/>
        <v>2</v>
      </c>
      <c r="K62" s="8">
        <v>2</v>
      </c>
      <c r="L62" s="8">
        <v>28</v>
      </c>
      <c r="M62" s="49" t="s">
        <v>645</v>
      </c>
    </row>
    <row r="63" spans="1:13" s="5" customFormat="1" ht="71.25" customHeight="1" x14ac:dyDescent="0.2">
      <c r="A63" s="49" t="s">
        <v>646</v>
      </c>
      <c r="B63" s="8" t="s">
        <v>42</v>
      </c>
      <c r="C63" s="8" t="s">
        <v>37</v>
      </c>
      <c r="D63" s="84">
        <v>1</v>
      </c>
      <c r="E63" s="49">
        <v>30</v>
      </c>
      <c r="F63" s="112">
        <v>45968</v>
      </c>
      <c r="G63" s="113">
        <v>0.375</v>
      </c>
      <c r="H63" s="112">
        <v>45966</v>
      </c>
      <c r="I63" s="113">
        <v>0.77083333333333337</v>
      </c>
      <c r="J63" s="87">
        <f t="shared" si="0"/>
        <v>1</v>
      </c>
      <c r="K63" s="8">
        <v>1</v>
      </c>
      <c r="L63" s="8">
        <v>29</v>
      </c>
      <c r="M63" s="49" t="s">
        <v>647</v>
      </c>
    </row>
    <row r="64" spans="1:13" s="5" customFormat="1" ht="78.75" customHeight="1" x14ac:dyDescent="0.2">
      <c r="A64" s="49" t="s">
        <v>646</v>
      </c>
      <c r="B64" s="8" t="s">
        <v>36</v>
      </c>
      <c r="C64" s="8" t="s">
        <v>43</v>
      </c>
      <c r="D64" s="84">
        <v>1</v>
      </c>
      <c r="E64" s="49">
        <v>30</v>
      </c>
      <c r="F64" s="112">
        <v>45968</v>
      </c>
      <c r="G64" s="113">
        <v>0.375</v>
      </c>
      <c r="H64" s="112">
        <v>45966</v>
      </c>
      <c r="I64" s="113">
        <v>0.75</v>
      </c>
      <c r="J64" s="87">
        <f t="shared" si="0"/>
        <v>1</v>
      </c>
      <c r="K64" s="8">
        <v>1</v>
      </c>
      <c r="L64" s="8">
        <v>29</v>
      </c>
      <c r="M64" s="49" t="s">
        <v>647</v>
      </c>
    </row>
    <row r="65" spans="1:13" s="5" customFormat="1" ht="66.75" customHeight="1" x14ac:dyDescent="0.2">
      <c r="A65" s="49" t="s">
        <v>648</v>
      </c>
      <c r="B65" s="8" t="s">
        <v>42</v>
      </c>
      <c r="C65" s="8" t="s">
        <v>37</v>
      </c>
      <c r="D65" s="84">
        <v>1</v>
      </c>
      <c r="E65" s="49">
        <v>30</v>
      </c>
      <c r="F65" s="112">
        <v>45968</v>
      </c>
      <c r="G65" s="113">
        <v>0.375</v>
      </c>
      <c r="H65" s="112">
        <v>45966</v>
      </c>
      <c r="I65" s="113">
        <v>0.79166666666666663</v>
      </c>
      <c r="J65" s="87">
        <f t="shared" si="0"/>
        <v>2</v>
      </c>
      <c r="K65" s="8">
        <v>1</v>
      </c>
      <c r="L65" s="8">
        <v>28</v>
      </c>
      <c r="M65" s="49" t="s">
        <v>276</v>
      </c>
    </row>
    <row r="66" spans="1:13" s="5" customFormat="1" ht="72.75" customHeight="1" x14ac:dyDescent="0.2">
      <c r="A66" s="49" t="s">
        <v>648</v>
      </c>
      <c r="B66" s="8" t="s">
        <v>36</v>
      </c>
      <c r="C66" s="8" t="s">
        <v>43</v>
      </c>
      <c r="D66" s="84">
        <v>1</v>
      </c>
      <c r="E66" s="49">
        <v>30</v>
      </c>
      <c r="F66" s="112">
        <v>45968</v>
      </c>
      <c r="G66" s="113">
        <v>0.375</v>
      </c>
      <c r="H66" s="112">
        <v>45966</v>
      </c>
      <c r="I66" s="113">
        <v>0.77083333333333337</v>
      </c>
      <c r="J66" s="87">
        <f t="shared" si="0"/>
        <v>2</v>
      </c>
      <c r="K66" s="8">
        <v>1</v>
      </c>
      <c r="L66" s="8">
        <v>28</v>
      </c>
      <c r="M66" s="49" t="s">
        <v>276</v>
      </c>
    </row>
    <row r="67" spans="1:13" s="5" customFormat="1" ht="40.5" customHeight="1" x14ac:dyDescent="0.2">
      <c r="A67" s="49" t="s">
        <v>649</v>
      </c>
      <c r="B67" s="8" t="s">
        <v>136</v>
      </c>
      <c r="C67" s="8" t="s">
        <v>22</v>
      </c>
      <c r="D67" s="84">
        <v>1</v>
      </c>
      <c r="E67" s="49">
        <v>30</v>
      </c>
      <c r="F67" s="112">
        <v>45968</v>
      </c>
      <c r="G67" s="113">
        <v>0.375</v>
      </c>
      <c r="H67" s="112">
        <v>45966</v>
      </c>
      <c r="I67" s="113">
        <v>0.52083333333333337</v>
      </c>
      <c r="J67" s="87">
        <f t="shared" si="0"/>
        <v>5</v>
      </c>
      <c r="K67" s="8">
        <v>1</v>
      </c>
      <c r="L67" s="8">
        <v>25</v>
      </c>
      <c r="M67" s="49" t="s">
        <v>650</v>
      </c>
    </row>
    <row r="68" spans="1:13" s="5" customFormat="1" ht="38.25" customHeight="1" x14ac:dyDescent="0.2">
      <c r="A68" s="49" t="s">
        <v>649</v>
      </c>
      <c r="B68" s="8" t="s">
        <v>21</v>
      </c>
      <c r="C68" s="8" t="s">
        <v>34</v>
      </c>
      <c r="D68" s="84">
        <v>1</v>
      </c>
      <c r="E68" s="49">
        <v>30</v>
      </c>
      <c r="F68" s="112">
        <v>45968</v>
      </c>
      <c r="G68" s="113">
        <v>0.375</v>
      </c>
      <c r="H68" s="112">
        <v>45966</v>
      </c>
      <c r="I68" s="113">
        <v>0.52083333333333337</v>
      </c>
      <c r="J68" s="87">
        <f t="shared" si="0"/>
        <v>5</v>
      </c>
      <c r="K68" s="8">
        <v>1</v>
      </c>
      <c r="L68" s="8">
        <v>25</v>
      </c>
      <c r="M68" s="49" t="s">
        <v>650</v>
      </c>
    </row>
    <row r="69" spans="1:13" s="5" customFormat="1" ht="38.25" customHeight="1" x14ac:dyDescent="0.2">
      <c r="A69" s="49" t="s">
        <v>651</v>
      </c>
      <c r="B69" s="8" t="s">
        <v>136</v>
      </c>
      <c r="C69" s="8" t="s">
        <v>22</v>
      </c>
      <c r="D69" s="84">
        <v>1</v>
      </c>
      <c r="E69" s="49">
        <v>30</v>
      </c>
      <c r="F69" s="112">
        <v>45968</v>
      </c>
      <c r="G69" s="113">
        <v>0.375</v>
      </c>
      <c r="H69" s="112">
        <v>45966</v>
      </c>
      <c r="I69" s="113">
        <v>0.54166666666666663</v>
      </c>
      <c r="J69" s="87">
        <f t="shared" si="0"/>
        <v>2</v>
      </c>
      <c r="K69" s="8">
        <v>1</v>
      </c>
      <c r="L69" s="8">
        <v>28</v>
      </c>
      <c r="M69" s="49" t="s">
        <v>652</v>
      </c>
    </row>
    <row r="70" spans="1:13" s="5" customFormat="1" ht="67.5" customHeight="1" x14ac:dyDescent="0.2">
      <c r="A70" s="49" t="s">
        <v>651</v>
      </c>
      <c r="B70" s="8" t="s">
        <v>21</v>
      </c>
      <c r="C70" s="8" t="s">
        <v>34</v>
      </c>
      <c r="D70" s="84">
        <v>1</v>
      </c>
      <c r="E70" s="49">
        <v>30</v>
      </c>
      <c r="F70" s="112">
        <v>45968</v>
      </c>
      <c r="G70" s="113">
        <v>0.375</v>
      </c>
      <c r="H70" s="112">
        <v>45966</v>
      </c>
      <c r="I70" s="113">
        <v>0.54166666666666663</v>
      </c>
      <c r="J70" s="87">
        <f t="shared" si="0"/>
        <v>2</v>
      </c>
      <c r="K70" s="8">
        <v>1</v>
      </c>
      <c r="L70" s="8">
        <v>28</v>
      </c>
      <c r="M70" s="49" t="s">
        <v>652</v>
      </c>
    </row>
    <row r="71" spans="1:13" s="5" customFormat="1" ht="53.25" customHeight="1" x14ac:dyDescent="0.2">
      <c r="A71" s="49" t="s">
        <v>653</v>
      </c>
      <c r="B71" s="8" t="s">
        <v>136</v>
      </c>
      <c r="C71" s="8" t="s">
        <v>22</v>
      </c>
      <c r="D71" s="84">
        <v>1</v>
      </c>
      <c r="E71" s="49">
        <v>30</v>
      </c>
      <c r="F71" s="112">
        <v>45968</v>
      </c>
      <c r="G71" s="113">
        <v>0.375</v>
      </c>
      <c r="H71" s="112">
        <v>45966</v>
      </c>
      <c r="I71" s="113">
        <v>0.5625</v>
      </c>
      <c r="J71" s="87">
        <f t="shared" si="0"/>
        <v>2</v>
      </c>
      <c r="K71" s="8">
        <v>1</v>
      </c>
      <c r="L71" s="8">
        <v>28</v>
      </c>
      <c r="M71" s="49" t="s">
        <v>282</v>
      </c>
    </row>
    <row r="72" spans="1:13" s="5" customFormat="1" ht="41.25" customHeight="1" x14ac:dyDescent="0.2">
      <c r="A72" s="49" t="s">
        <v>653</v>
      </c>
      <c r="B72" s="8" t="s">
        <v>21</v>
      </c>
      <c r="C72" s="8" t="s">
        <v>34</v>
      </c>
      <c r="D72" s="84">
        <v>1</v>
      </c>
      <c r="E72" s="49">
        <v>30</v>
      </c>
      <c r="F72" s="112">
        <v>45968</v>
      </c>
      <c r="G72" s="113">
        <v>0.375</v>
      </c>
      <c r="H72" s="112">
        <v>45966</v>
      </c>
      <c r="I72" s="113">
        <v>0.5625</v>
      </c>
      <c r="J72" s="87">
        <f t="shared" si="0"/>
        <v>2</v>
      </c>
      <c r="K72" s="8">
        <v>1</v>
      </c>
      <c r="L72" s="8">
        <v>28</v>
      </c>
      <c r="M72" s="49" t="s">
        <v>282</v>
      </c>
    </row>
    <row r="73" spans="1:13" s="5" customFormat="1" ht="42.75" customHeight="1" x14ac:dyDescent="0.2">
      <c r="A73" s="49" t="s">
        <v>654</v>
      </c>
      <c r="B73" s="8" t="s">
        <v>136</v>
      </c>
      <c r="C73" s="8" t="s">
        <v>22</v>
      </c>
      <c r="D73" s="84">
        <v>1</v>
      </c>
      <c r="E73" s="49">
        <v>30</v>
      </c>
      <c r="F73" s="112">
        <v>45968</v>
      </c>
      <c r="G73" s="113">
        <v>0.375</v>
      </c>
      <c r="H73" s="112">
        <v>45966</v>
      </c>
      <c r="I73" s="113">
        <v>0.58333333333333337</v>
      </c>
      <c r="J73" s="87">
        <f t="shared" si="0"/>
        <v>2</v>
      </c>
      <c r="K73" s="8">
        <v>1</v>
      </c>
      <c r="L73" s="8">
        <v>28</v>
      </c>
      <c r="M73" s="49" t="s">
        <v>655</v>
      </c>
    </row>
    <row r="74" spans="1:13" s="5" customFormat="1" ht="37.5" customHeight="1" x14ac:dyDescent="0.2">
      <c r="A74" s="49" t="s">
        <v>654</v>
      </c>
      <c r="B74" s="8" t="s">
        <v>21</v>
      </c>
      <c r="C74" s="8" t="s">
        <v>34</v>
      </c>
      <c r="D74" s="84">
        <v>1</v>
      </c>
      <c r="E74" s="49">
        <v>30</v>
      </c>
      <c r="F74" s="112">
        <v>45968</v>
      </c>
      <c r="G74" s="113">
        <v>0.375</v>
      </c>
      <c r="H74" s="112">
        <v>45966</v>
      </c>
      <c r="I74" s="113">
        <v>0.58333333333333337</v>
      </c>
      <c r="J74" s="87">
        <f t="shared" si="0"/>
        <v>2</v>
      </c>
      <c r="K74" s="8">
        <v>1</v>
      </c>
      <c r="L74" s="8">
        <v>28</v>
      </c>
      <c r="M74" s="49" t="s">
        <v>655</v>
      </c>
    </row>
    <row r="75" spans="1:13" s="5" customFormat="1" ht="39.75" customHeight="1" x14ac:dyDescent="0.2">
      <c r="A75" s="49" t="s">
        <v>656</v>
      </c>
      <c r="B75" s="8" t="s">
        <v>136</v>
      </c>
      <c r="C75" s="8" t="s">
        <v>22</v>
      </c>
      <c r="D75" s="84">
        <v>1</v>
      </c>
      <c r="E75" s="49">
        <v>30</v>
      </c>
      <c r="F75" s="112">
        <v>45968</v>
      </c>
      <c r="G75" s="113">
        <v>0.375</v>
      </c>
      <c r="H75" s="112">
        <v>45966</v>
      </c>
      <c r="I75" s="113">
        <v>0.60416666666666663</v>
      </c>
      <c r="J75" s="87">
        <f t="shared" si="0"/>
        <v>2</v>
      </c>
      <c r="K75" s="8">
        <v>1</v>
      </c>
      <c r="L75" s="8">
        <v>28</v>
      </c>
      <c r="M75" s="49" t="s">
        <v>657</v>
      </c>
    </row>
    <row r="76" spans="1:13" s="5" customFormat="1" ht="44.25" customHeight="1" x14ac:dyDescent="0.2">
      <c r="A76" s="49" t="s">
        <v>656</v>
      </c>
      <c r="B76" s="8" t="s">
        <v>21</v>
      </c>
      <c r="C76" s="8" t="s">
        <v>34</v>
      </c>
      <c r="D76" s="84">
        <v>1</v>
      </c>
      <c r="E76" s="49">
        <v>30</v>
      </c>
      <c r="F76" s="112">
        <v>45968</v>
      </c>
      <c r="G76" s="113">
        <v>0.375</v>
      </c>
      <c r="H76" s="112">
        <v>45966</v>
      </c>
      <c r="I76" s="113">
        <v>0.60416666666666663</v>
      </c>
      <c r="J76" s="87">
        <f t="shared" si="0"/>
        <v>2</v>
      </c>
      <c r="K76" s="8">
        <v>1</v>
      </c>
      <c r="L76" s="8">
        <v>28</v>
      </c>
      <c r="M76" s="49" t="s">
        <v>657</v>
      </c>
    </row>
    <row r="77" spans="1:13" s="5" customFormat="1" ht="44.25" customHeight="1" x14ac:dyDescent="0.2">
      <c r="A77" s="49" t="s">
        <v>658</v>
      </c>
      <c r="B77" s="8" t="s">
        <v>136</v>
      </c>
      <c r="C77" s="8" t="s">
        <v>22</v>
      </c>
      <c r="D77" s="84">
        <v>1</v>
      </c>
      <c r="E77" s="49">
        <v>30</v>
      </c>
      <c r="F77" s="112">
        <v>45968</v>
      </c>
      <c r="G77" s="113">
        <v>0.375</v>
      </c>
      <c r="H77" s="112">
        <v>45966</v>
      </c>
      <c r="I77" s="113">
        <v>0.625</v>
      </c>
      <c r="J77" s="87">
        <f t="shared" si="0"/>
        <v>2</v>
      </c>
      <c r="K77" s="8">
        <v>1</v>
      </c>
      <c r="L77" s="8">
        <v>28</v>
      </c>
      <c r="M77" s="49" t="s">
        <v>659</v>
      </c>
    </row>
    <row r="78" spans="1:13" s="5" customFormat="1" ht="36.6" customHeight="1" x14ac:dyDescent="0.2">
      <c r="A78" s="49" t="s">
        <v>658</v>
      </c>
      <c r="B78" s="8" t="s">
        <v>21</v>
      </c>
      <c r="C78" s="8" t="s">
        <v>34</v>
      </c>
      <c r="D78" s="84">
        <v>1</v>
      </c>
      <c r="E78" s="49">
        <v>30</v>
      </c>
      <c r="F78" s="112">
        <v>45968</v>
      </c>
      <c r="G78" s="113">
        <v>0.375</v>
      </c>
      <c r="H78" s="112">
        <v>45966</v>
      </c>
      <c r="I78" s="113">
        <v>0.625</v>
      </c>
      <c r="J78" s="87">
        <f t="shared" si="0"/>
        <v>2</v>
      </c>
      <c r="K78" s="8">
        <v>1</v>
      </c>
      <c r="L78" s="8">
        <v>28</v>
      </c>
      <c r="M78" s="49" t="s">
        <v>659</v>
      </c>
    </row>
    <row r="79" spans="1:13" s="5" customFormat="1" ht="36.6" customHeight="1" x14ac:dyDescent="0.2">
      <c r="A79" s="49" t="s">
        <v>660</v>
      </c>
      <c r="B79" s="8" t="s">
        <v>136</v>
      </c>
      <c r="C79" s="8" t="s">
        <v>22</v>
      </c>
      <c r="D79" s="84">
        <v>1</v>
      </c>
      <c r="E79" s="49">
        <v>30</v>
      </c>
      <c r="F79" s="112">
        <v>45968</v>
      </c>
      <c r="G79" s="113">
        <v>0.375</v>
      </c>
      <c r="H79" s="112">
        <v>45966</v>
      </c>
      <c r="I79" s="113">
        <v>0.64583333333333337</v>
      </c>
      <c r="J79" s="87">
        <f t="shared" si="0"/>
        <v>2</v>
      </c>
      <c r="K79" s="8">
        <v>1</v>
      </c>
      <c r="L79" s="8">
        <v>28</v>
      </c>
      <c r="M79" s="49" t="s">
        <v>661</v>
      </c>
    </row>
    <row r="80" spans="1:13" s="5" customFormat="1" ht="44.25" customHeight="1" x14ac:dyDescent="0.2">
      <c r="A80" s="49" t="s">
        <v>660</v>
      </c>
      <c r="B80" s="8" t="s">
        <v>21</v>
      </c>
      <c r="C80" s="8" t="s">
        <v>34</v>
      </c>
      <c r="D80" s="84">
        <v>1</v>
      </c>
      <c r="E80" s="49">
        <v>30</v>
      </c>
      <c r="F80" s="112">
        <v>45968</v>
      </c>
      <c r="G80" s="113">
        <v>0.375</v>
      </c>
      <c r="H80" s="112">
        <v>45966</v>
      </c>
      <c r="I80" s="113">
        <v>0.64583333333333337</v>
      </c>
      <c r="J80" s="87">
        <f t="shared" si="0"/>
        <v>2</v>
      </c>
      <c r="K80" s="8">
        <v>1</v>
      </c>
      <c r="L80" s="8">
        <v>28</v>
      </c>
      <c r="M80" s="49" t="s">
        <v>661</v>
      </c>
    </row>
    <row r="81" spans="1:13" s="5" customFormat="1" ht="46.5" customHeight="1" x14ac:dyDescent="0.2">
      <c r="A81" s="49" t="s">
        <v>662</v>
      </c>
      <c r="B81" s="8" t="s">
        <v>136</v>
      </c>
      <c r="C81" s="8" t="s">
        <v>22</v>
      </c>
      <c r="D81" s="84">
        <v>1</v>
      </c>
      <c r="E81" s="49">
        <v>30</v>
      </c>
      <c r="F81" s="112">
        <v>45968</v>
      </c>
      <c r="G81" s="113">
        <v>0.375</v>
      </c>
      <c r="H81" s="112">
        <v>45966</v>
      </c>
      <c r="I81" s="113">
        <v>0.66666666666666663</v>
      </c>
      <c r="J81" s="87">
        <f t="shared" si="0"/>
        <v>3</v>
      </c>
      <c r="K81" s="8">
        <v>1</v>
      </c>
      <c r="L81" s="8">
        <v>27</v>
      </c>
      <c r="M81" s="49" t="s">
        <v>292</v>
      </c>
    </row>
    <row r="82" spans="1:13" s="5" customFormat="1" ht="48" customHeight="1" x14ac:dyDescent="0.2">
      <c r="A82" s="49" t="s">
        <v>662</v>
      </c>
      <c r="B82" s="8" t="s">
        <v>21</v>
      </c>
      <c r="C82" s="8" t="s">
        <v>34</v>
      </c>
      <c r="D82" s="84">
        <v>1</v>
      </c>
      <c r="E82" s="49">
        <v>30</v>
      </c>
      <c r="F82" s="112">
        <v>45968</v>
      </c>
      <c r="G82" s="113">
        <v>0.375</v>
      </c>
      <c r="H82" s="112">
        <v>45966</v>
      </c>
      <c r="I82" s="113">
        <v>0.66666666666666663</v>
      </c>
      <c r="J82" s="87">
        <f t="shared" si="0"/>
        <v>3</v>
      </c>
      <c r="K82" s="8">
        <v>1</v>
      </c>
      <c r="L82" s="8">
        <v>27</v>
      </c>
      <c r="M82" s="49" t="s">
        <v>292</v>
      </c>
    </row>
    <row r="83" spans="1:13" s="5" customFormat="1" ht="49.5" customHeight="1" x14ac:dyDescent="0.2">
      <c r="A83" s="49" t="s">
        <v>663</v>
      </c>
      <c r="B83" s="8" t="s">
        <v>136</v>
      </c>
      <c r="C83" s="8" t="s">
        <v>22</v>
      </c>
      <c r="D83" s="84">
        <v>1</v>
      </c>
      <c r="E83" s="49">
        <v>30</v>
      </c>
      <c r="F83" s="112">
        <v>45968</v>
      </c>
      <c r="G83" s="113">
        <v>0.375</v>
      </c>
      <c r="H83" s="112">
        <v>45966</v>
      </c>
      <c r="I83" s="113">
        <v>0.6875</v>
      </c>
      <c r="J83" s="87">
        <f t="shared" si="0"/>
        <v>2</v>
      </c>
      <c r="K83" s="8">
        <v>1</v>
      </c>
      <c r="L83" s="8">
        <v>28</v>
      </c>
      <c r="M83" s="49" t="s">
        <v>294</v>
      </c>
    </row>
    <row r="84" spans="1:13" s="5" customFormat="1" ht="35.450000000000003" customHeight="1" x14ac:dyDescent="0.2">
      <c r="A84" s="49" t="s">
        <v>663</v>
      </c>
      <c r="B84" s="8" t="s">
        <v>21</v>
      </c>
      <c r="C84" s="8" t="s">
        <v>34</v>
      </c>
      <c r="D84" s="84">
        <v>1</v>
      </c>
      <c r="E84" s="49">
        <v>30</v>
      </c>
      <c r="F84" s="112">
        <v>45968</v>
      </c>
      <c r="G84" s="113">
        <v>0.375</v>
      </c>
      <c r="H84" s="112">
        <v>45966</v>
      </c>
      <c r="I84" s="113">
        <v>0.6875</v>
      </c>
      <c r="J84" s="87">
        <f t="shared" si="0"/>
        <v>2</v>
      </c>
      <c r="K84" s="8">
        <v>1</v>
      </c>
      <c r="L84" s="8">
        <v>28</v>
      </c>
      <c r="M84" s="49" t="s">
        <v>294</v>
      </c>
    </row>
    <row r="85" spans="1:13" s="5" customFormat="1" ht="35.450000000000003" customHeight="1" x14ac:dyDescent="0.2">
      <c r="A85" s="49" t="s">
        <v>664</v>
      </c>
      <c r="B85" s="8" t="s">
        <v>136</v>
      </c>
      <c r="C85" s="8" t="s">
        <v>22</v>
      </c>
      <c r="D85" s="84">
        <v>1</v>
      </c>
      <c r="E85" s="49">
        <v>30</v>
      </c>
      <c r="F85" s="112">
        <v>45968</v>
      </c>
      <c r="G85" s="113">
        <v>0.375</v>
      </c>
      <c r="H85" s="112">
        <v>45966</v>
      </c>
      <c r="I85" s="113">
        <v>0.70833333333333337</v>
      </c>
      <c r="J85" s="87">
        <f t="shared" si="0"/>
        <v>0</v>
      </c>
      <c r="K85" s="8">
        <v>1</v>
      </c>
      <c r="L85" s="8">
        <v>30</v>
      </c>
      <c r="M85" s="49" t="s">
        <v>665</v>
      </c>
    </row>
    <row r="86" spans="1:13" s="5" customFormat="1" ht="35.450000000000003" customHeight="1" x14ac:dyDescent="0.2">
      <c r="A86" s="49" t="s">
        <v>664</v>
      </c>
      <c r="B86" s="8" t="s">
        <v>21</v>
      </c>
      <c r="C86" s="8" t="s">
        <v>34</v>
      </c>
      <c r="D86" s="84">
        <v>1</v>
      </c>
      <c r="E86" s="49">
        <v>30</v>
      </c>
      <c r="F86" s="112">
        <v>45968</v>
      </c>
      <c r="G86" s="113">
        <v>0.375</v>
      </c>
      <c r="H86" s="112">
        <v>45966</v>
      </c>
      <c r="I86" s="113">
        <v>0.70833333333333337</v>
      </c>
      <c r="J86" s="87">
        <f t="shared" si="0"/>
        <v>0</v>
      </c>
      <c r="K86" s="8">
        <v>1</v>
      </c>
      <c r="L86" s="8">
        <v>30</v>
      </c>
      <c r="M86" s="49" t="s">
        <v>665</v>
      </c>
    </row>
    <row r="87" spans="1:13" s="5" customFormat="1" ht="35.450000000000003" customHeight="1" x14ac:dyDescent="0.2">
      <c r="A87" s="49" t="s">
        <v>666</v>
      </c>
      <c r="B87" s="8" t="s">
        <v>136</v>
      </c>
      <c r="C87" s="8" t="s">
        <v>22</v>
      </c>
      <c r="D87" s="84">
        <v>1</v>
      </c>
      <c r="E87" s="49">
        <v>30</v>
      </c>
      <c r="F87" s="112">
        <v>45968</v>
      </c>
      <c r="G87" s="113">
        <v>0.375</v>
      </c>
      <c r="H87" s="112">
        <v>45966</v>
      </c>
      <c r="I87" s="113">
        <v>0.72916666666666663</v>
      </c>
      <c r="J87" s="87">
        <f t="shared" ref="J87" si="1">E87-L87</f>
        <v>1</v>
      </c>
      <c r="K87" s="8">
        <v>1</v>
      </c>
      <c r="L87" s="8">
        <v>29</v>
      </c>
      <c r="M87" s="49" t="s">
        <v>298</v>
      </c>
    </row>
    <row r="88" spans="1:13" s="5" customFormat="1" ht="44.25" customHeight="1" x14ac:dyDescent="0.2">
      <c r="A88" s="49" t="s">
        <v>666</v>
      </c>
      <c r="B88" s="8" t="s">
        <v>21</v>
      </c>
      <c r="C88" s="8" t="s">
        <v>34</v>
      </c>
      <c r="D88" s="84">
        <v>1</v>
      </c>
      <c r="E88" s="49">
        <v>30</v>
      </c>
      <c r="F88" s="112">
        <v>45968</v>
      </c>
      <c r="G88" s="113">
        <v>0.375</v>
      </c>
      <c r="H88" s="112">
        <v>45966</v>
      </c>
      <c r="I88" s="113">
        <v>0.72916666666666663</v>
      </c>
      <c r="J88" s="87">
        <f t="shared" si="0"/>
        <v>1</v>
      </c>
      <c r="K88" s="8">
        <v>1</v>
      </c>
      <c r="L88" s="8">
        <v>29</v>
      </c>
      <c r="M88" s="49" t="s">
        <v>298</v>
      </c>
    </row>
    <row r="89" spans="1:13" s="5" customFormat="1" ht="43.5" customHeight="1" x14ac:dyDescent="0.2">
      <c r="A89" s="49" t="s">
        <v>667</v>
      </c>
      <c r="B89" s="8" t="s">
        <v>30</v>
      </c>
      <c r="C89" s="8" t="s">
        <v>40</v>
      </c>
      <c r="D89" s="84">
        <v>1</v>
      </c>
      <c r="E89" s="49">
        <v>30</v>
      </c>
      <c r="F89" s="112">
        <v>45968</v>
      </c>
      <c r="G89" s="113">
        <v>0.375</v>
      </c>
      <c r="H89" s="112">
        <v>45966</v>
      </c>
      <c r="I89" s="113">
        <v>0.58333333333333337</v>
      </c>
      <c r="J89" s="87">
        <f t="shared" ref="J89" si="2">E89-L89</f>
        <v>1</v>
      </c>
      <c r="K89" s="8">
        <v>1</v>
      </c>
      <c r="L89" s="8">
        <v>29</v>
      </c>
      <c r="M89" s="49" t="s">
        <v>668</v>
      </c>
    </row>
    <row r="90" spans="1:13" s="5" customFormat="1" ht="44.25" customHeight="1" x14ac:dyDescent="0.2">
      <c r="A90" s="49" t="s">
        <v>667</v>
      </c>
      <c r="B90" s="8" t="s">
        <v>510</v>
      </c>
      <c r="C90" s="8" t="s">
        <v>43</v>
      </c>
      <c r="D90" s="84">
        <v>1</v>
      </c>
      <c r="E90" s="49">
        <v>30</v>
      </c>
      <c r="F90" s="112">
        <v>45968</v>
      </c>
      <c r="G90" s="113">
        <v>0.375</v>
      </c>
      <c r="H90" s="112">
        <v>45966</v>
      </c>
      <c r="I90" s="113">
        <v>0.58333333333333337</v>
      </c>
      <c r="J90" s="87">
        <f t="shared" si="0"/>
        <v>1</v>
      </c>
      <c r="K90" s="8">
        <v>1</v>
      </c>
      <c r="L90" s="8">
        <v>29</v>
      </c>
      <c r="M90" s="49" t="s">
        <v>668</v>
      </c>
    </row>
    <row r="91" spans="1:13" s="5" customFormat="1" ht="35.450000000000003" customHeight="1" x14ac:dyDescent="0.2">
      <c r="A91" s="49" t="s">
        <v>669</v>
      </c>
      <c r="B91" s="8" t="s">
        <v>30</v>
      </c>
      <c r="C91" s="8" t="s">
        <v>40</v>
      </c>
      <c r="D91" s="84">
        <v>1</v>
      </c>
      <c r="E91" s="49">
        <v>30</v>
      </c>
      <c r="F91" s="112">
        <v>45968</v>
      </c>
      <c r="G91" s="113">
        <v>0.375</v>
      </c>
      <c r="H91" s="112">
        <v>45966</v>
      </c>
      <c r="I91" s="113">
        <v>0.60416666666666663</v>
      </c>
      <c r="J91" s="87">
        <f t="shared" ref="J91" si="3">E91-L91</f>
        <v>1</v>
      </c>
      <c r="K91" s="8">
        <v>1</v>
      </c>
      <c r="L91" s="8">
        <v>29</v>
      </c>
      <c r="M91" s="49" t="s">
        <v>670</v>
      </c>
    </row>
    <row r="92" spans="1:13" s="5" customFormat="1" ht="37.5" customHeight="1" x14ac:dyDescent="0.2">
      <c r="A92" s="49" t="s">
        <v>669</v>
      </c>
      <c r="B92" s="8" t="s">
        <v>510</v>
      </c>
      <c r="C92" s="8" t="s">
        <v>43</v>
      </c>
      <c r="D92" s="84">
        <v>1</v>
      </c>
      <c r="E92" s="49">
        <v>30</v>
      </c>
      <c r="F92" s="112">
        <v>45968</v>
      </c>
      <c r="G92" s="113">
        <v>0.375</v>
      </c>
      <c r="H92" s="112">
        <v>45966</v>
      </c>
      <c r="I92" s="120">
        <v>0.60416666666666663</v>
      </c>
      <c r="J92" s="87">
        <f t="shared" si="0"/>
        <v>1</v>
      </c>
      <c r="K92" s="8">
        <v>1</v>
      </c>
      <c r="L92" s="8">
        <v>29</v>
      </c>
      <c r="M92" s="49" t="s">
        <v>670</v>
      </c>
    </row>
    <row r="93" spans="1:13" ht="31.5" customHeight="1" x14ac:dyDescent="0.2">
      <c r="A93" s="49" t="s">
        <v>671</v>
      </c>
      <c r="B93" s="8" t="s">
        <v>30</v>
      </c>
      <c r="C93" s="8" t="s">
        <v>40</v>
      </c>
      <c r="D93" s="84">
        <v>1</v>
      </c>
      <c r="E93" s="49">
        <v>30</v>
      </c>
      <c r="F93" s="112">
        <v>45968</v>
      </c>
      <c r="G93" s="113">
        <v>0.375</v>
      </c>
      <c r="H93" s="112">
        <v>45966</v>
      </c>
      <c r="I93" s="113">
        <v>0.625</v>
      </c>
      <c r="J93" s="87">
        <f t="shared" ref="J93" si="4">E93-L93</f>
        <v>1</v>
      </c>
      <c r="K93" s="8">
        <v>1</v>
      </c>
      <c r="L93" s="8">
        <v>29</v>
      </c>
      <c r="M93" s="49" t="s">
        <v>304</v>
      </c>
    </row>
    <row r="94" spans="1:13" ht="46.5" customHeight="1" x14ac:dyDescent="0.2">
      <c r="A94" s="49" t="s">
        <v>671</v>
      </c>
      <c r="B94" s="8" t="s">
        <v>510</v>
      </c>
      <c r="C94" s="8" t="s">
        <v>43</v>
      </c>
      <c r="D94" s="84">
        <v>1</v>
      </c>
      <c r="E94" s="49">
        <v>30</v>
      </c>
      <c r="F94" s="112">
        <v>45968</v>
      </c>
      <c r="G94" s="113">
        <v>0.375</v>
      </c>
      <c r="H94" s="112">
        <v>45966</v>
      </c>
      <c r="I94" s="113">
        <v>0.625</v>
      </c>
      <c r="J94" s="87">
        <f t="shared" si="0"/>
        <v>1</v>
      </c>
      <c r="K94" s="8">
        <v>1</v>
      </c>
      <c r="L94" s="8">
        <v>29</v>
      </c>
      <c r="M94" s="49" t="s">
        <v>304</v>
      </c>
    </row>
    <row r="95" spans="1:13" ht="29.25" customHeight="1" x14ac:dyDescent="0.2">
      <c r="A95" s="49" t="s">
        <v>305</v>
      </c>
      <c r="B95" s="8" t="s">
        <v>30</v>
      </c>
      <c r="C95" s="8" t="s">
        <v>40</v>
      </c>
      <c r="D95" s="84">
        <v>1</v>
      </c>
      <c r="E95" s="49">
        <v>30</v>
      </c>
      <c r="F95" s="112">
        <v>45968</v>
      </c>
      <c r="G95" s="113">
        <v>0.375</v>
      </c>
      <c r="H95" s="112">
        <v>45966</v>
      </c>
      <c r="I95" s="113">
        <v>0.64583333333333337</v>
      </c>
      <c r="J95" s="87">
        <f t="shared" ref="J95" si="5">E95-L95</f>
        <v>1</v>
      </c>
      <c r="K95" s="8">
        <v>1</v>
      </c>
      <c r="L95" s="8">
        <v>29</v>
      </c>
      <c r="M95" s="49" t="s">
        <v>672</v>
      </c>
    </row>
    <row r="96" spans="1:13" ht="33.75" customHeight="1" x14ac:dyDescent="0.2">
      <c r="A96" s="49" t="s">
        <v>305</v>
      </c>
      <c r="B96" s="8" t="s">
        <v>510</v>
      </c>
      <c r="C96" s="8" t="s">
        <v>43</v>
      </c>
      <c r="D96" s="84">
        <v>1</v>
      </c>
      <c r="E96" s="49">
        <v>30</v>
      </c>
      <c r="F96" s="112">
        <v>45968</v>
      </c>
      <c r="G96" s="113">
        <v>0.375</v>
      </c>
      <c r="H96" s="112">
        <v>45966</v>
      </c>
      <c r="I96" s="113">
        <v>0.64583333333333337</v>
      </c>
      <c r="J96" s="87">
        <f t="shared" si="0"/>
        <v>1</v>
      </c>
      <c r="K96" s="8">
        <v>1</v>
      </c>
      <c r="L96" s="8">
        <v>29</v>
      </c>
      <c r="M96" s="49" t="s">
        <v>672</v>
      </c>
    </row>
    <row r="97" spans="1:13" ht="45" customHeight="1" x14ac:dyDescent="0.2">
      <c r="A97" s="49" t="s">
        <v>673</v>
      </c>
      <c r="B97" s="8" t="s">
        <v>30</v>
      </c>
      <c r="C97" s="8" t="s">
        <v>40</v>
      </c>
      <c r="D97" s="84">
        <v>1</v>
      </c>
      <c r="E97" s="49">
        <v>30</v>
      </c>
      <c r="F97" s="112">
        <v>45968</v>
      </c>
      <c r="G97" s="113">
        <v>0.375</v>
      </c>
      <c r="H97" s="112">
        <v>45966</v>
      </c>
      <c r="I97" s="113">
        <v>0.66666666666666663</v>
      </c>
      <c r="J97" s="87">
        <f t="shared" ref="J97:J98" si="6">E97-L97</f>
        <v>1</v>
      </c>
      <c r="K97" s="8">
        <v>1</v>
      </c>
      <c r="L97" s="8">
        <v>29</v>
      </c>
      <c r="M97" s="49" t="s">
        <v>674</v>
      </c>
    </row>
    <row r="98" spans="1:13" ht="46.5" customHeight="1" x14ac:dyDescent="0.2">
      <c r="A98" s="49" t="s">
        <v>673</v>
      </c>
      <c r="B98" s="8" t="s">
        <v>510</v>
      </c>
      <c r="C98" s="8" t="s">
        <v>43</v>
      </c>
      <c r="D98" s="84">
        <v>1</v>
      </c>
      <c r="E98" s="49">
        <v>30</v>
      </c>
      <c r="F98" s="112">
        <v>45968</v>
      </c>
      <c r="G98" s="113">
        <v>0.375</v>
      </c>
      <c r="H98" s="112">
        <v>45966</v>
      </c>
      <c r="I98" s="113">
        <v>0.66666666666666663</v>
      </c>
      <c r="J98" s="87">
        <f t="shared" si="6"/>
        <v>1</v>
      </c>
      <c r="K98" s="8">
        <v>1</v>
      </c>
      <c r="L98" s="8">
        <v>29</v>
      </c>
      <c r="M98" s="49" t="s">
        <v>674</v>
      </c>
    </row>
    <row r="99" spans="1:13" ht="39.75" customHeight="1" x14ac:dyDescent="0.2">
      <c r="A99" s="49" t="s">
        <v>675</v>
      </c>
      <c r="B99" s="8" t="s">
        <v>30</v>
      </c>
      <c r="C99" s="8" t="s">
        <v>40</v>
      </c>
      <c r="D99" s="84">
        <v>1</v>
      </c>
      <c r="E99" s="49">
        <v>30</v>
      </c>
      <c r="F99" s="112">
        <v>45968</v>
      </c>
      <c r="G99" s="113">
        <v>0.375</v>
      </c>
      <c r="H99" s="112">
        <v>45966</v>
      </c>
      <c r="I99" s="113">
        <v>0.6875</v>
      </c>
      <c r="J99" s="87">
        <f t="shared" si="0"/>
        <v>1</v>
      </c>
      <c r="K99" s="8">
        <v>1</v>
      </c>
      <c r="L99" s="8">
        <v>29</v>
      </c>
      <c r="M99" s="49" t="s">
        <v>676</v>
      </c>
    </row>
    <row r="100" spans="1:13" ht="31.5" customHeight="1" x14ac:dyDescent="0.2">
      <c r="A100" s="49" t="s">
        <v>675</v>
      </c>
      <c r="B100" s="8" t="s">
        <v>510</v>
      </c>
      <c r="C100" s="8" t="s">
        <v>43</v>
      </c>
      <c r="D100" s="84">
        <v>1</v>
      </c>
      <c r="E100" s="49">
        <v>30</v>
      </c>
      <c r="F100" s="112">
        <v>45968</v>
      </c>
      <c r="G100" s="113">
        <v>0.375</v>
      </c>
      <c r="H100" s="112">
        <v>45966</v>
      </c>
      <c r="I100" s="113">
        <v>0.6875</v>
      </c>
      <c r="J100" s="87">
        <f t="shared" si="0"/>
        <v>1</v>
      </c>
      <c r="K100" s="8">
        <v>1</v>
      </c>
      <c r="L100" s="8">
        <v>29</v>
      </c>
      <c r="M100" s="49" t="s">
        <v>676</v>
      </c>
    </row>
    <row r="101" spans="1:13" ht="39.75" customHeight="1" x14ac:dyDescent="0.2">
      <c r="A101" s="49" t="s">
        <v>677</v>
      </c>
      <c r="B101" s="8" t="s">
        <v>30</v>
      </c>
      <c r="C101" s="8" t="s">
        <v>40</v>
      </c>
      <c r="D101" s="84">
        <v>1</v>
      </c>
      <c r="E101" s="49">
        <v>30</v>
      </c>
      <c r="F101" s="112">
        <v>45968</v>
      </c>
      <c r="G101" s="113">
        <v>0.375</v>
      </c>
      <c r="H101" s="112">
        <v>45966</v>
      </c>
      <c r="I101" s="113">
        <v>0.70833333333333337</v>
      </c>
      <c r="J101" s="87">
        <f t="shared" ref="J101:J102" si="7">E101-L101</f>
        <v>1</v>
      </c>
      <c r="K101" s="8">
        <v>1</v>
      </c>
      <c r="L101" s="8">
        <v>29</v>
      </c>
      <c r="M101" s="49" t="s">
        <v>312</v>
      </c>
    </row>
    <row r="102" spans="1:13" ht="42" customHeight="1" x14ac:dyDescent="0.2">
      <c r="A102" s="49" t="s">
        <v>677</v>
      </c>
      <c r="B102" s="8" t="s">
        <v>510</v>
      </c>
      <c r="C102" s="8" t="s">
        <v>43</v>
      </c>
      <c r="D102" s="84">
        <v>1</v>
      </c>
      <c r="E102" s="49">
        <v>30</v>
      </c>
      <c r="F102" s="112">
        <v>45968</v>
      </c>
      <c r="G102" s="113">
        <v>0.375</v>
      </c>
      <c r="H102" s="112">
        <v>45966</v>
      </c>
      <c r="I102" s="113">
        <v>0.70833333333333337</v>
      </c>
      <c r="J102" s="87">
        <f t="shared" si="7"/>
        <v>1</v>
      </c>
      <c r="K102" s="8">
        <v>1</v>
      </c>
      <c r="L102" s="8">
        <v>29</v>
      </c>
      <c r="M102" s="49" t="s">
        <v>312</v>
      </c>
    </row>
    <row r="103" spans="1:13" ht="33" customHeight="1" x14ac:dyDescent="0.2">
      <c r="A103" s="49" t="s">
        <v>678</v>
      </c>
      <c r="B103" s="8" t="s">
        <v>30</v>
      </c>
      <c r="C103" s="8" t="s">
        <v>40</v>
      </c>
      <c r="D103" s="84">
        <v>1</v>
      </c>
      <c r="E103" s="49">
        <v>30</v>
      </c>
      <c r="F103" s="112">
        <v>45968</v>
      </c>
      <c r="G103" s="113">
        <v>0.375</v>
      </c>
      <c r="H103" s="112">
        <v>45966</v>
      </c>
      <c r="I103" s="113">
        <v>0.72916666666666663</v>
      </c>
      <c r="J103" s="87">
        <f t="shared" si="0"/>
        <v>1</v>
      </c>
      <c r="K103" s="8">
        <v>1</v>
      </c>
      <c r="L103" s="8">
        <v>29</v>
      </c>
      <c r="M103" s="49" t="s">
        <v>679</v>
      </c>
    </row>
    <row r="104" spans="1:13" ht="40.5" customHeight="1" x14ac:dyDescent="0.2">
      <c r="A104" s="49" t="s">
        <v>678</v>
      </c>
      <c r="B104" s="8" t="s">
        <v>510</v>
      </c>
      <c r="C104" s="8" t="s">
        <v>43</v>
      </c>
      <c r="D104" s="84">
        <v>1</v>
      </c>
      <c r="E104" s="49">
        <v>30</v>
      </c>
      <c r="F104" s="112">
        <v>45968</v>
      </c>
      <c r="G104" s="113">
        <v>0.375</v>
      </c>
      <c r="H104" s="112">
        <v>45966</v>
      </c>
      <c r="I104" s="113">
        <v>0.72916666666666663</v>
      </c>
      <c r="J104" s="87">
        <f t="shared" ref="J104" si="8">E104-L104</f>
        <v>1</v>
      </c>
      <c r="K104" s="8">
        <v>1</v>
      </c>
      <c r="L104" s="8">
        <v>29</v>
      </c>
      <c r="M104" s="49" t="s">
        <v>679</v>
      </c>
    </row>
    <row r="105" spans="1:13" ht="42" customHeight="1" x14ac:dyDescent="0.2">
      <c r="A105" s="49" t="s">
        <v>680</v>
      </c>
      <c r="B105" s="8" t="s">
        <v>30</v>
      </c>
      <c r="C105" s="8" t="s">
        <v>40</v>
      </c>
      <c r="D105" s="84">
        <v>1</v>
      </c>
      <c r="E105" s="49">
        <v>30</v>
      </c>
      <c r="F105" s="112">
        <v>45968</v>
      </c>
      <c r="G105" s="113">
        <v>0.375</v>
      </c>
      <c r="H105" s="112">
        <v>45966</v>
      </c>
      <c r="I105" s="113">
        <v>0.75</v>
      </c>
      <c r="J105" s="87">
        <f t="shared" ref="J105" si="9">E105-L105</f>
        <v>1</v>
      </c>
      <c r="K105" s="8">
        <v>1</v>
      </c>
      <c r="L105" s="8">
        <v>29</v>
      </c>
      <c r="M105" s="49" t="s">
        <v>681</v>
      </c>
    </row>
    <row r="106" spans="1:13" ht="51" customHeight="1" x14ac:dyDescent="0.2">
      <c r="A106" s="49" t="s">
        <v>680</v>
      </c>
      <c r="B106" s="8" t="s">
        <v>510</v>
      </c>
      <c r="C106" s="8" t="s">
        <v>43</v>
      </c>
      <c r="D106" s="84">
        <v>1</v>
      </c>
      <c r="E106" s="49">
        <v>30</v>
      </c>
      <c r="F106" s="112">
        <v>45968</v>
      </c>
      <c r="G106" s="113">
        <v>0.375</v>
      </c>
      <c r="H106" s="112">
        <v>45967</v>
      </c>
      <c r="I106" s="113">
        <v>0.75</v>
      </c>
      <c r="J106" s="87">
        <f t="shared" si="0"/>
        <v>1</v>
      </c>
      <c r="K106" s="8">
        <v>1</v>
      </c>
      <c r="L106" s="8">
        <v>29</v>
      </c>
      <c r="M106" s="49" t="s">
        <v>681</v>
      </c>
    </row>
    <row r="107" spans="1:13" ht="36" x14ac:dyDescent="0.2">
      <c r="A107" s="49" t="s">
        <v>565</v>
      </c>
      <c r="B107" s="8" t="s">
        <v>21</v>
      </c>
      <c r="C107" s="8" t="s">
        <v>34</v>
      </c>
      <c r="D107" s="84">
        <v>1</v>
      </c>
      <c r="E107" s="49">
        <v>20</v>
      </c>
      <c r="F107" s="112">
        <v>45968</v>
      </c>
      <c r="G107" s="113">
        <v>0.375</v>
      </c>
      <c r="H107" s="112">
        <v>45967</v>
      </c>
      <c r="I107" s="113">
        <v>0.79166666666666663</v>
      </c>
      <c r="J107" s="87">
        <f t="shared" si="0"/>
        <v>2</v>
      </c>
      <c r="K107" s="8">
        <v>1</v>
      </c>
      <c r="L107" s="8">
        <v>18</v>
      </c>
      <c r="M107" s="49" t="s">
        <v>569</v>
      </c>
    </row>
    <row r="108" spans="1:13" ht="36" x14ac:dyDescent="0.2">
      <c r="A108" s="49" t="s">
        <v>565</v>
      </c>
      <c r="B108" s="8" t="s">
        <v>136</v>
      </c>
      <c r="C108" s="8" t="s">
        <v>40</v>
      </c>
      <c r="D108" s="84">
        <v>1</v>
      </c>
      <c r="E108" s="49">
        <v>20</v>
      </c>
      <c r="F108" s="112">
        <v>45968</v>
      </c>
      <c r="G108" s="113">
        <v>0.375</v>
      </c>
      <c r="H108" s="112">
        <v>45967</v>
      </c>
      <c r="I108" s="113">
        <v>0.79166666666666663</v>
      </c>
      <c r="J108" s="87">
        <f t="shared" si="0"/>
        <v>2</v>
      </c>
      <c r="K108" s="8">
        <v>1</v>
      </c>
      <c r="L108" s="8">
        <v>18</v>
      </c>
      <c r="M108" s="49" t="s">
        <v>569</v>
      </c>
    </row>
    <row r="109" spans="1:13" ht="24" x14ac:dyDescent="0.2">
      <c r="A109" s="106" t="s">
        <v>123</v>
      </c>
      <c r="B109" s="85" t="s">
        <v>42</v>
      </c>
      <c r="C109" s="85" t="s">
        <v>37</v>
      </c>
      <c r="D109" s="49">
        <v>1</v>
      </c>
      <c r="E109" s="49">
        <v>20</v>
      </c>
      <c r="F109" s="85">
        <v>45968</v>
      </c>
      <c r="G109" s="86">
        <v>0.375</v>
      </c>
      <c r="H109" s="85">
        <v>45967</v>
      </c>
      <c r="I109" s="86">
        <v>0.80555555555555558</v>
      </c>
      <c r="J109" s="87">
        <f>E109-L109</f>
        <v>0</v>
      </c>
      <c r="K109" s="8">
        <v>1</v>
      </c>
      <c r="L109" s="88">
        <v>20</v>
      </c>
      <c r="M109" s="93" t="s">
        <v>124</v>
      </c>
    </row>
    <row r="110" spans="1:13" ht="24" x14ac:dyDescent="0.2">
      <c r="A110" s="38" t="s">
        <v>123</v>
      </c>
      <c r="B110" s="85" t="s">
        <v>36</v>
      </c>
      <c r="C110" s="85" t="s">
        <v>43</v>
      </c>
      <c r="D110" s="49">
        <v>1</v>
      </c>
      <c r="E110" s="49">
        <v>20</v>
      </c>
      <c r="F110" s="85">
        <v>45968</v>
      </c>
      <c r="G110" s="86">
        <v>0.375</v>
      </c>
      <c r="H110" s="85">
        <v>45967</v>
      </c>
      <c r="I110" s="86">
        <v>0.80555555555555558</v>
      </c>
      <c r="J110" s="87">
        <f t="shared" ref="J110:J131" si="10">E110-L110</f>
        <v>0</v>
      </c>
      <c r="K110" s="8">
        <v>1</v>
      </c>
      <c r="L110" s="88">
        <v>20</v>
      </c>
      <c r="M110" s="93" t="s">
        <v>124</v>
      </c>
    </row>
    <row r="111" spans="1:13" ht="24" x14ac:dyDescent="0.2">
      <c r="A111" s="115" t="s">
        <v>175</v>
      </c>
      <c r="B111" s="115" t="s">
        <v>42</v>
      </c>
      <c r="C111" s="115" t="s">
        <v>37</v>
      </c>
      <c r="D111" s="8">
        <v>1</v>
      </c>
      <c r="E111" s="8">
        <v>30</v>
      </c>
      <c r="F111" s="115">
        <v>45968</v>
      </c>
      <c r="G111" s="86">
        <v>0.375</v>
      </c>
      <c r="H111" s="115">
        <v>45967</v>
      </c>
      <c r="I111" s="121">
        <v>0.83333333333333337</v>
      </c>
      <c r="J111" s="8">
        <f t="shared" si="10"/>
        <v>6</v>
      </c>
      <c r="K111" s="65">
        <v>1</v>
      </c>
      <c r="L111" s="69">
        <v>24</v>
      </c>
      <c r="M111" s="91" t="s">
        <v>176</v>
      </c>
    </row>
    <row r="112" spans="1:13" ht="24" x14ac:dyDescent="0.2">
      <c r="A112" s="115" t="s">
        <v>177</v>
      </c>
      <c r="B112" s="115" t="s">
        <v>30</v>
      </c>
      <c r="C112" s="115" t="s">
        <v>40</v>
      </c>
      <c r="D112" s="8">
        <v>1</v>
      </c>
      <c r="E112" s="8">
        <v>30</v>
      </c>
      <c r="F112" s="115">
        <v>45968</v>
      </c>
      <c r="G112" s="86">
        <v>0.375</v>
      </c>
      <c r="H112" s="115">
        <v>45967</v>
      </c>
      <c r="I112" s="121">
        <v>0.83333333333333337</v>
      </c>
      <c r="J112" s="8">
        <f t="shared" si="10"/>
        <v>0</v>
      </c>
      <c r="K112" s="65">
        <v>1</v>
      </c>
      <c r="L112" s="69">
        <v>30</v>
      </c>
      <c r="M112" s="91" t="s">
        <v>178</v>
      </c>
    </row>
    <row r="113" spans="1:20" ht="36" x14ac:dyDescent="0.2">
      <c r="A113" s="85" t="s">
        <v>179</v>
      </c>
      <c r="B113" s="115" t="s">
        <v>30</v>
      </c>
      <c r="C113" s="115" t="s">
        <v>40</v>
      </c>
      <c r="D113" s="8">
        <v>5</v>
      </c>
      <c r="E113" s="8">
        <v>50</v>
      </c>
      <c r="F113" s="115">
        <v>45968</v>
      </c>
      <c r="G113" s="86">
        <v>0.375</v>
      </c>
      <c r="H113" s="115">
        <v>45967</v>
      </c>
      <c r="I113" s="121">
        <v>0.86805555555555558</v>
      </c>
      <c r="J113" s="8">
        <f t="shared" si="10"/>
        <v>5</v>
      </c>
      <c r="K113" s="65">
        <v>5</v>
      </c>
      <c r="L113" s="69">
        <v>45</v>
      </c>
      <c r="M113" s="91" t="s">
        <v>180</v>
      </c>
    </row>
    <row r="114" spans="1:20" ht="36" x14ac:dyDescent="0.2">
      <c r="A114" s="23" t="s">
        <v>146</v>
      </c>
      <c r="B114" s="85" t="s">
        <v>510</v>
      </c>
      <c r="C114" s="90" t="s">
        <v>31</v>
      </c>
      <c r="D114" s="84">
        <v>1</v>
      </c>
      <c r="E114" s="49">
        <v>60</v>
      </c>
      <c r="F114" s="85">
        <v>45968</v>
      </c>
      <c r="G114" s="86">
        <v>0.375</v>
      </c>
      <c r="H114" s="85">
        <v>45967</v>
      </c>
      <c r="I114" s="86">
        <v>0.91666666666666663</v>
      </c>
      <c r="J114" s="87">
        <f t="shared" si="10"/>
        <v>50</v>
      </c>
      <c r="K114" s="8">
        <v>1</v>
      </c>
      <c r="L114" s="88">
        <v>10</v>
      </c>
      <c r="M114" s="91" t="s">
        <v>149</v>
      </c>
    </row>
    <row r="115" spans="1:20" ht="36" x14ac:dyDescent="0.2">
      <c r="A115" s="23" t="s">
        <v>146</v>
      </c>
      <c r="B115" s="85" t="s">
        <v>36</v>
      </c>
      <c r="C115" s="90" t="s">
        <v>43</v>
      </c>
      <c r="D115" s="84">
        <v>1</v>
      </c>
      <c r="E115" s="49">
        <v>60</v>
      </c>
      <c r="F115" s="85">
        <v>45968</v>
      </c>
      <c r="G115" s="86">
        <v>0.375</v>
      </c>
      <c r="H115" s="85">
        <v>45967</v>
      </c>
      <c r="I115" s="86">
        <v>0.91666666666666663</v>
      </c>
      <c r="J115" s="87">
        <f t="shared" si="10"/>
        <v>50</v>
      </c>
      <c r="K115" s="8">
        <v>1</v>
      </c>
      <c r="L115" s="88">
        <v>10</v>
      </c>
      <c r="M115" s="91" t="s">
        <v>149</v>
      </c>
    </row>
    <row r="116" spans="1:20" ht="36" x14ac:dyDescent="0.2">
      <c r="A116" s="23" t="s">
        <v>146</v>
      </c>
      <c r="B116" s="85" t="s">
        <v>136</v>
      </c>
      <c r="C116" s="90" t="s">
        <v>22</v>
      </c>
      <c r="D116" s="84">
        <v>1</v>
      </c>
      <c r="E116" s="49">
        <v>60</v>
      </c>
      <c r="F116" s="85">
        <v>45968</v>
      </c>
      <c r="G116" s="86">
        <v>0.375</v>
      </c>
      <c r="H116" s="85">
        <v>45967</v>
      </c>
      <c r="I116" s="86">
        <v>0.91666666666666663</v>
      </c>
      <c r="J116" s="87">
        <f t="shared" si="10"/>
        <v>50</v>
      </c>
      <c r="K116" s="8">
        <v>1</v>
      </c>
      <c r="L116" s="88">
        <v>10</v>
      </c>
      <c r="M116" s="91" t="s">
        <v>149</v>
      </c>
    </row>
    <row r="117" spans="1:20" ht="36" x14ac:dyDescent="0.2">
      <c r="A117" s="23" t="s">
        <v>146</v>
      </c>
      <c r="B117" s="85" t="s">
        <v>21</v>
      </c>
      <c r="C117" s="90" t="s">
        <v>34</v>
      </c>
      <c r="D117" s="84">
        <v>1</v>
      </c>
      <c r="E117" s="49">
        <v>60</v>
      </c>
      <c r="F117" s="85">
        <v>45968</v>
      </c>
      <c r="G117" s="86">
        <v>0.375</v>
      </c>
      <c r="H117" s="85">
        <v>45967</v>
      </c>
      <c r="I117" s="86">
        <v>0.91666666666666663</v>
      </c>
      <c r="J117" s="87">
        <f t="shared" si="10"/>
        <v>50</v>
      </c>
      <c r="K117" s="8">
        <v>1</v>
      </c>
      <c r="L117" s="88">
        <v>10</v>
      </c>
      <c r="M117" s="91" t="s">
        <v>149</v>
      </c>
    </row>
    <row r="118" spans="1:20" ht="36" x14ac:dyDescent="0.2">
      <c r="A118" s="23" t="s">
        <v>146</v>
      </c>
      <c r="B118" s="85" t="s">
        <v>42</v>
      </c>
      <c r="C118" s="90" t="s">
        <v>37</v>
      </c>
      <c r="D118" s="84">
        <v>1</v>
      </c>
      <c r="E118" s="49">
        <v>60</v>
      </c>
      <c r="F118" s="85">
        <v>45968</v>
      </c>
      <c r="G118" s="86">
        <v>0.375</v>
      </c>
      <c r="H118" s="85">
        <v>45967</v>
      </c>
      <c r="I118" s="86">
        <v>0.91666666666666663</v>
      </c>
      <c r="J118" s="87">
        <f t="shared" si="10"/>
        <v>50</v>
      </c>
      <c r="K118" s="8">
        <v>1</v>
      </c>
      <c r="L118" s="88">
        <v>10</v>
      </c>
      <c r="M118" s="91" t="s">
        <v>149</v>
      </c>
    </row>
    <row r="119" spans="1:20" ht="36" x14ac:dyDescent="0.2">
      <c r="A119" s="23" t="s">
        <v>146</v>
      </c>
      <c r="B119" s="85" t="s">
        <v>510</v>
      </c>
      <c r="C119" s="90" t="s">
        <v>40</v>
      </c>
      <c r="D119" s="84">
        <v>1</v>
      </c>
      <c r="E119" s="49">
        <v>60</v>
      </c>
      <c r="F119" s="85">
        <v>45968</v>
      </c>
      <c r="G119" s="86">
        <v>0.375</v>
      </c>
      <c r="H119" s="85">
        <v>45967</v>
      </c>
      <c r="I119" s="86">
        <v>0.91666666666666663</v>
      </c>
      <c r="J119" s="87">
        <f t="shared" si="10"/>
        <v>50</v>
      </c>
      <c r="K119" s="8">
        <v>1</v>
      </c>
      <c r="L119" s="88">
        <v>10</v>
      </c>
      <c r="M119" s="91" t="s">
        <v>149</v>
      </c>
    </row>
    <row r="120" spans="1:20" ht="24" x14ac:dyDescent="0.2">
      <c r="A120" s="23" t="s">
        <v>52</v>
      </c>
      <c r="B120" s="90" t="s">
        <v>136</v>
      </c>
      <c r="C120" s="90" t="s">
        <v>22</v>
      </c>
      <c r="D120" s="84">
        <v>1</v>
      </c>
      <c r="E120" s="49">
        <v>30</v>
      </c>
      <c r="F120" s="85">
        <v>45968</v>
      </c>
      <c r="G120" s="86">
        <v>0.375</v>
      </c>
      <c r="H120" s="85">
        <v>45967</v>
      </c>
      <c r="I120" s="86">
        <v>0.91666666666666663</v>
      </c>
      <c r="J120" s="87">
        <f t="shared" si="10"/>
        <v>0</v>
      </c>
      <c r="K120" s="8">
        <v>1</v>
      </c>
      <c r="L120" s="88">
        <v>30</v>
      </c>
      <c r="M120" s="91" t="s">
        <v>53</v>
      </c>
    </row>
    <row r="121" spans="1:20" s="4" customFormat="1" ht="30" customHeight="1" x14ac:dyDescent="0.2">
      <c r="A121" s="23" t="s">
        <v>153</v>
      </c>
      <c r="B121" s="90" t="s">
        <v>42</v>
      </c>
      <c r="C121" s="90" t="s">
        <v>37</v>
      </c>
      <c r="D121" s="84">
        <v>1</v>
      </c>
      <c r="E121" s="5">
        <v>30</v>
      </c>
      <c r="F121" s="85">
        <v>45968</v>
      </c>
      <c r="G121" s="86">
        <v>0.375</v>
      </c>
      <c r="H121" s="85">
        <v>45967</v>
      </c>
      <c r="I121" s="86">
        <v>0.91666666666666663</v>
      </c>
      <c r="J121" s="87">
        <f t="shared" si="10"/>
        <v>0</v>
      </c>
      <c r="K121" s="8">
        <v>1</v>
      </c>
      <c r="L121" s="88">
        <v>30</v>
      </c>
      <c r="M121" s="91" t="s">
        <v>53</v>
      </c>
      <c r="N121"/>
      <c r="O121"/>
      <c r="P121"/>
      <c r="Q121"/>
      <c r="R121"/>
      <c r="S121"/>
      <c r="T121"/>
    </row>
    <row r="122" spans="1:20" s="4" customFormat="1" ht="23.25" customHeight="1" x14ac:dyDescent="0.2">
      <c r="A122" s="23" t="s">
        <v>79</v>
      </c>
      <c r="B122" s="85" t="s">
        <v>42</v>
      </c>
      <c r="C122" s="90" t="s">
        <v>37</v>
      </c>
      <c r="D122" s="84">
        <v>1</v>
      </c>
      <c r="E122" s="49">
        <v>45</v>
      </c>
      <c r="F122" s="85">
        <v>45968</v>
      </c>
      <c r="G122" s="86">
        <v>0.375</v>
      </c>
      <c r="H122" s="85">
        <v>45967</v>
      </c>
      <c r="I122" s="86">
        <v>0.9375</v>
      </c>
      <c r="J122" s="87">
        <f t="shared" si="10"/>
        <v>-35</v>
      </c>
      <c r="K122" s="8">
        <v>1</v>
      </c>
      <c r="L122" s="88">
        <v>80</v>
      </c>
      <c r="M122" s="91" t="s">
        <v>81</v>
      </c>
      <c r="N122"/>
      <c r="O122"/>
      <c r="P122"/>
      <c r="Q122"/>
      <c r="R122"/>
      <c r="S122"/>
      <c r="T122"/>
    </row>
    <row r="123" spans="1:20" ht="24" x14ac:dyDescent="0.2">
      <c r="A123" s="23" t="s">
        <v>85</v>
      </c>
      <c r="B123" s="85" t="s">
        <v>136</v>
      </c>
      <c r="C123" s="90" t="s">
        <v>22</v>
      </c>
      <c r="D123" s="84">
        <v>1</v>
      </c>
      <c r="E123" s="49">
        <v>60</v>
      </c>
      <c r="F123" s="85">
        <v>45968</v>
      </c>
      <c r="G123" s="86">
        <v>0.375</v>
      </c>
      <c r="H123" s="85">
        <v>45967</v>
      </c>
      <c r="I123" s="86">
        <v>0.9375</v>
      </c>
      <c r="J123" s="87">
        <f t="shared" si="10"/>
        <v>10</v>
      </c>
      <c r="K123" s="8">
        <v>1</v>
      </c>
      <c r="L123" s="88">
        <v>50</v>
      </c>
      <c r="M123" s="91" t="s">
        <v>87</v>
      </c>
    </row>
    <row r="124" spans="1:20" x14ac:dyDescent="0.2">
      <c r="A124" s="23" t="s">
        <v>88</v>
      </c>
      <c r="B124" s="85" t="s">
        <v>136</v>
      </c>
      <c r="C124" s="85" t="s">
        <v>22</v>
      </c>
      <c r="D124" s="84">
        <v>1</v>
      </c>
      <c r="E124" s="49">
        <v>55</v>
      </c>
      <c r="F124" s="85">
        <v>45968</v>
      </c>
      <c r="G124" s="86">
        <v>0.375</v>
      </c>
      <c r="H124" s="85">
        <v>45967</v>
      </c>
      <c r="I124" s="86">
        <v>0.9375</v>
      </c>
      <c r="J124" s="87">
        <f t="shared" si="10"/>
        <v>0</v>
      </c>
      <c r="K124" s="8">
        <v>1</v>
      </c>
      <c r="L124" s="88">
        <v>55</v>
      </c>
      <c r="M124" s="91" t="s">
        <v>89</v>
      </c>
    </row>
    <row r="125" spans="1:20" ht="24" x14ac:dyDescent="0.2">
      <c r="A125" s="33" t="s">
        <v>131</v>
      </c>
      <c r="B125" s="85" t="s">
        <v>42</v>
      </c>
      <c r="C125" s="85" t="s">
        <v>37</v>
      </c>
      <c r="D125" s="49">
        <v>1</v>
      </c>
      <c r="E125" s="49">
        <v>30</v>
      </c>
      <c r="F125" s="85">
        <v>45968</v>
      </c>
      <c r="G125" s="86">
        <v>0.375</v>
      </c>
      <c r="H125" s="85">
        <v>45967</v>
      </c>
      <c r="I125" s="86">
        <v>0.9375</v>
      </c>
      <c r="J125" s="87">
        <f t="shared" si="10"/>
        <v>-2</v>
      </c>
      <c r="K125" s="8">
        <v>1</v>
      </c>
      <c r="L125" s="88">
        <v>32</v>
      </c>
      <c r="M125" s="91" t="s">
        <v>132</v>
      </c>
    </row>
    <row r="126" spans="1:20" ht="24" x14ac:dyDescent="0.2">
      <c r="A126" s="33" t="s">
        <v>131</v>
      </c>
      <c r="B126" s="85" t="s">
        <v>36</v>
      </c>
      <c r="C126" s="85" t="s">
        <v>43</v>
      </c>
      <c r="D126" s="49">
        <v>1</v>
      </c>
      <c r="E126" s="49">
        <v>30</v>
      </c>
      <c r="F126" s="85">
        <v>45968</v>
      </c>
      <c r="G126" s="86">
        <v>0.375</v>
      </c>
      <c r="H126" s="85">
        <v>45967</v>
      </c>
      <c r="I126" s="86">
        <v>0.9375</v>
      </c>
      <c r="J126" s="87">
        <f t="shared" si="10"/>
        <v>-2</v>
      </c>
      <c r="K126" s="8">
        <v>1</v>
      </c>
      <c r="L126" s="88">
        <v>32</v>
      </c>
      <c r="M126" s="91" t="s">
        <v>132</v>
      </c>
    </row>
    <row r="127" spans="1:20" ht="24" x14ac:dyDescent="0.2">
      <c r="A127" s="33" t="s">
        <v>131</v>
      </c>
      <c r="B127" s="85" t="s">
        <v>510</v>
      </c>
      <c r="C127" s="85" t="s">
        <v>31</v>
      </c>
      <c r="D127" s="49">
        <v>1</v>
      </c>
      <c r="E127" s="49">
        <v>30</v>
      </c>
      <c r="F127" s="85">
        <v>45968</v>
      </c>
      <c r="G127" s="86">
        <v>0.375</v>
      </c>
      <c r="H127" s="85">
        <v>45967</v>
      </c>
      <c r="I127" s="86">
        <v>0.9375</v>
      </c>
      <c r="J127" s="87">
        <f t="shared" si="10"/>
        <v>-2</v>
      </c>
      <c r="K127" s="8">
        <v>1</v>
      </c>
      <c r="L127" s="88">
        <v>32</v>
      </c>
      <c r="M127" s="91" t="s">
        <v>132</v>
      </c>
    </row>
    <row r="128" spans="1:20" ht="24" x14ac:dyDescent="0.2">
      <c r="A128" s="33" t="s">
        <v>131</v>
      </c>
      <c r="B128" s="85" t="s">
        <v>136</v>
      </c>
      <c r="C128" s="85" t="s">
        <v>22</v>
      </c>
      <c r="D128" s="49">
        <v>1</v>
      </c>
      <c r="E128" s="49">
        <v>30</v>
      </c>
      <c r="F128" s="85">
        <v>45968</v>
      </c>
      <c r="G128" s="86">
        <v>0.375</v>
      </c>
      <c r="H128" s="85">
        <v>45967</v>
      </c>
      <c r="I128" s="86">
        <v>0.9375</v>
      </c>
      <c r="J128" s="87">
        <f t="shared" si="10"/>
        <v>-2</v>
      </c>
      <c r="K128" s="8">
        <v>1</v>
      </c>
      <c r="L128" s="88">
        <v>32</v>
      </c>
      <c r="M128" s="91" t="s">
        <v>132</v>
      </c>
    </row>
    <row r="129" spans="1:20" s="5" customFormat="1" ht="12" customHeight="1" x14ac:dyDescent="0.2">
      <c r="A129" s="33" t="s">
        <v>131</v>
      </c>
      <c r="B129" s="85" t="s">
        <v>21</v>
      </c>
      <c r="C129" s="85" t="s">
        <v>34</v>
      </c>
      <c r="D129" s="49">
        <v>1</v>
      </c>
      <c r="E129" s="49">
        <v>30</v>
      </c>
      <c r="F129" s="85">
        <v>45968</v>
      </c>
      <c r="G129" s="86">
        <v>0.375</v>
      </c>
      <c r="H129" s="85">
        <v>45967</v>
      </c>
      <c r="I129" s="86">
        <v>0.9375</v>
      </c>
      <c r="J129" s="87">
        <f t="shared" si="10"/>
        <v>-2</v>
      </c>
      <c r="K129" s="8">
        <v>1</v>
      </c>
      <c r="L129" s="88">
        <v>32</v>
      </c>
      <c r="M129" s="91" t="s">
        <v>132</v>
      </c>
    </row>
    <row r="130" spans="1:20" ht="24" x14ac:dyDescent="0.2">
      <c r="A130" s="33" t="s">
        <v>131</v>
      </c>
      <c r="B130" s="85" t="s">
        <v>30</v>
      </c>
      <c r="C130" s="85" t="s">
        <v>40</v>
      </c>
      <c r="D130" s="49">
        <v>1</v>
      </c>
      <c r="E130" s="49">
        <v>30</v>
      </c>
      <c r="F130" s="85">
        <v>45968</v>
      </c>
      <c r="G130" s="86">
        <v>0.375</v>
      </c>
      <c r="H130" s="85">
        <v>45967</v>
      </c>
      <c r="I130" s="86">
        <v>0.9375</v>
      </c>
      <c r="J130" s="87">
        <f t="shared" si="10"/>
        <v>-2</v>
      </c>
      <c r="K130" s="8">
        <v>1</v>
      </c>
      <c r="L130" s="88">
        <v>32</v>
      </c>
      <c r="M130" s="91" t="s">
        <v>132</v>
      </c>
    </row>
    <row r="131" spans="1:20" ht="24" x14ac:dyDescent="0.2">
      <c r="A131" s="33" t="s">
        <v>133</v>
      </c>
      <c r="B131" s="85" t="s">
        <v>136</v>
      </c>
      <c r="C131" s="85" t="s">
        <v>22</v>
      </c>
      <c r="D131" s="49">
        <v>3</v>
      </c>
      <c r="E131" s="49">
        <v>20</v>
      </c>
      <c r="F131" s="85">
        <v>45968</v>
      </c>
      <c r="G131" s="86">
        <v>0.375</v>
      </c>
      <c r="H131" s="85">
        <v>45968</v>
      </c>
      <c r="I131" s="86">
        <v>0.375</v>
      </c>
      <c r="J131" s="87">
        <f t="shared" si="10"/>
        <v>5</v>
      </c>
      <c r="K131" s="8">
        <v>3</v>
      </c>
      <c r="L131" s="88">
        <v>15</v>
      </c>
      <c r="M131" s="91" t="s">
        <v>134</v>
      </c>
    </row>
    <row r="132" spans="1:20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>
      <c r="A134"/>
      <c r="B134"/>
      <c r="C134"/>
      <c r="D134"/>
      <c r="E134"/>
    </row>
    <row r="135" spans="1:20" ht="36.75" customHeight="1" x14ac:dyDescent="0.2">
      <c r="A135" s="70" t="s">
        <v>210</v>
      </c>
      <c r="B135" t="s">
        <v>215</v>
      </c>
      <c r="C135" t="s">
        <v>214</v>
      </c>
      <c r="D135" t="s">
        <v>212</v>
      </c>
      <c r="E135" t="s">
        <v>213</v>
      </c>
    </row>
    <row r="136" spans="1:20" ht="33.75" customHeight="1" x14ac:dyDescent="0.2">
      <c r="A136" s="71" t="s">
        <v>36</v>
      </c>
      <c r="B136">
        <v>21</v>
      </c>
      <c r="C136">
        <v>650</v>
      </c>
      <c r="D136">
        <v>554</v>
      </c>
      <c r="E136">
        <v>23</v>
      </c>
    </row>
    <row r="137" spans="1:20" ht="26.25" customHeight="1" x14ac:dyDescent="0.2">
      <c r="A137" s="71" t="s">
        <v>510</v>
      </c>
      <c r="B137">
        <v>18</v>
      </c>
      <c r="C137">
        <v>600</v>
      </c>
      <c r="D137">
        <v>476</v>
      </c>
      <c r="E137">
        <v>21</v>
      </c>
    </row>
    <row r="138" spans="1:20" ht="27.75" customHeight="1" x14ac:dyDescent="0.2">
      <c r="A138" s="71" t="s">
        <v>21</v>
      </c>
      <c r="B138">
        <v>19</v>
      </c>
      <c r="C138">
        <v>590</v>
      </c>
      <c r="D138">
        <v>502</v>
      </c>
      <c r="E138">
        <v>21</v>
      </c>
    </row>
    <row r="139" spans="1:20" s="4" customFormat="1" ht="40.5" customHeight="1" x14ac:dyDescent="0.2">
      <c r="A139" s="71" t="s">
        <v>136</v>
      </c>
      <c r="B139">
        <v>25</v>
      </c>
      <c r="C139">
        <v>755</v>
      </c>
      <c r="D139">
        <v>651</v>
      </c>
      <c r="E139">
        <v>28</v>
      </c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  <row r="140" spans="1:20" x14ac:dyDescent="0.2">
      <c r="A140" s="71" t="s">
        <v>42</v>
      </c>
      <c r="B140">
        <v>25</v>
      </c>
      <c r="C140">
        <v>785</v>
      </c>
      <c r="D140">
        <v>712</v>
      </c>
      <c r="E140">
        <v>27</v>
      </c>
    </row>
    <row r="141" spans="1:20" x14ac:dyDescent="0.2">
      <c r="A141" s="71" t="s">
        <v>30</v>
      </c>
      <c r="B141">
        <v>22</v>
      </c>
      <c r="C141">
        <v>560</v>
      </c>
      <c r="D141">
        <v>539</v>
      </c>
      <c r="E141">
        <v>23</v>
      </c>
    </row>
    <row r="142" spans="1:20" x14ac:dyDescent="0.2">
      <c r="A142" s="71" t="s">
        <v>211</v>
      </c>
      <c r="B142">
        <v>130</v>
      </c>
      <c r="C142">
        <v>3940</v>
      </c>
      <c r="D142">
        <v>3434</v>
      </c>
      <c r="E142">
        <v>143</v>
      </c>
    </row>
    <row r="143" spans="1:20" x14ac:dyDescent="0.2">
      <c r="A143"/>
      <c r="B143"/>
      <c r="C143"/>
      <c r="D143"/>
      <c r="E143"/>
    </row>
    <row r="144" spans="1:20" x14ac:dyDescent="0.2">
      <c r="A144"/>
      <c r="B144"/>
      <c r="C144"/>
      <c r="D144"/>
      <c r="E144"/>
    </row>
    <row r="145" spans="1:13" x14ac:dyDescent="0.2">
      <c r="A145"/>
      <c r="B145"/>
      <c r="C145"/>
      <c r="D145"/>
      <c r="E145"/>
    </row>
    <row r="146" spans="1:13" x14ac:dyDescent="0.2">
      <c r="A146"/>
      <c r="B146"/>
      <c r="C146"/>
      <c r="D146"/>
      <c r="E146"/>
    </row>
    <row r="147" spans="1:13" x14ac:dyDescent="0.2">
      <c r="A147"/>
      <c r="B147"/>
      <c r="C147"/>
      <c r="D147"/>
      <c r="E147"/>
    </row>
    <row r="148" spans="1:13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">
      <c r="A150"/>
      <c r="B150"/>
      <c r="C150"/>
      <c r="D150"/>
      <c r="E150"/>
    </row>
    <row r="151" spans="1:13" x14ac:dyDescent="0.2">
      <c r="A151"/>
      <c r="B151"/>
      <c r="C151"/>
      <c r="D151"/>
      <c r="E151"/>
    </row>
    <row r="152" spans="1:13" x14ac:dyDescent="0.2">
      <c r="A152"/>
      <c r="B152"/>
      <c r="C152"/>
      <c r="D152"/>
      <c r="E152"/>
    </row>
    <row r="153" spans="1:13" x14ac:dyDescent="0.2">
      <c r="A153"/>
      <c r="B153"/>
      <c r="C153"/>
      <c r="D153"/>
      <c r="E153"/>
    </row>
    <row r="154" spans="1:13" x14ac:dyDescent="0.2">
      <c r="A154"/>
      <c r="B154"/>
      <c r="C154"/>
      <c r="D154"/>
      <c r="E154"/>
    </row>
    <row r="155" spans="1:13" x14ac:dyDescent="0.2">
      <c r="A155"/>
      <c r="B155"/>
      <c r="C155"/>
      <c r="D155"/>
      <c r="E155"/>
    </row>
    <row r="156" spans="1:13" x14ac:dyDescent="0.2">
      <c r="A156"/>
      <c r="B156"/>
      <c r="C156"/>
      <c r="D156"/>
      <c r="E156"/>
    </row>
    <row r="157" spans="1:13" x14ac:dyDescent="0.2">
      <c r="A157"/>
      <c r="B157"/>
      <c r="C157"/>
      <c r="D157"/>
      <c r="E157"/>
    </row>
    <row r="158" spans="1:13" x14ac:dyDescent="0.2">
      <c r="A158"/>
      <c r="B158"/>
      <c r="C158"/>
      <c r="D158"/>
      <c r="E158"/>
    </row>
    <row r="159" spans="1:13" x14ac:dyDescent="0.2">
      <c r="A159"/>
      <c r="B159"/>
      <c r="C159"/>
      <c r="D159"/>
      <c r="E159"/>
    </row>
    <row r="160" spans="1:13" x14ac:dyDescent="0.2">
      <c r="A160"/>
      <c r="B160"/>
      <c r="C160"/>
      <c r="D160"/>
      <c r="E160"/>
    </row>
    <row r="161" spans="1:5" x14ac:dyDescent="0.2">
      <c r="A161"/>
      <c r="B161"/>
      <c r="C161"/>
      <c r="D161"/>
      <c r="E161"/>
    </row>
    <row r="162" spans="1:5" x14ac:dyDescent="0.2">
      <c r="A162"/>
      <c r="B162"/>
      <c r="C162"/>
      <c r="D162"/>
      <c r="E162"/>
    </row>
    <row r="163" spans="1:5" x14ac:dyDescent="0.2">
      <c r="A163"/>
      <c r="B163"/>
      <c r="C163"/>
      <c r="D163"/>
      <c r="E163"/>
    </row>
    <row r="164" spans="1:5" x14ac:dyDescent="0.2">
      <c r="A164"/>
      <c r="B164"/>
      <c r="C164"/>
      <c r="D164"/>
      <c r="E164"/>
    </row>
    <row r="165" spans="1:5" x14ac:dyDescent="0.2">
      <c r="A165"/>
      <c r="B165"/>
      <c r="C165"/>
      <c r="D165"/>
      <c r="E165"/>
    </row>
    <row r="166" spans="1:5" x14ac:dyDescent="0.2">
      <c r="A166"/>
      <c r="B166"/>
      <c r="C166"/>
      <c r="D166"/>
      <c r="E166"/>
    </row>
    <row r="167" spans="1:5" x14ac:dyDescent="0.2">
      <c r="A167"/>
      <c r="B167"/>
      <c r="C167"/>
      <c r="D167"/>
      <c r="E167"/>
    </row>
    <row r="168" spans="1:5" x14ac:dyDescent="0.2">
      <c r="A168"/>
      <c r="B168"/>
      <c r="C168"/>
      <c r="D168"/>
      <c r="E168"/>
    </row>
    <row r="169" spans="1:5" x14ac:dyDescent="0.2">
      <c r="A169"/>
      <c r="B169"/>
      <c r="C169"/>
      <c r="D169"/>
      <c r="E169"/>
    </row>
    <row r="170" spans="1:5" x14ac:dyDescent="0.2">
      <c r="A170"/>
      <c r="B170"/>
      <c r="C170"/>
      <c r="D170"/>
      <c r="E170"/>
    </row>
    <row r="171" spans="1:5" x14ac:dyDescent="0.2">
      <c r="A171"/>
      <c r="B171"/>
      <c r="C171"/>
      <c r="D171"/>
      <c r="E171"/>
    </row>
    <row r="172" spans="1:5" x14ac:dyDescent="0.2">
      <c r="A172"/>
      <c r="B172"/>
      <c r="C172"/>
      <c r="D172"/>
      <c r="E172"/>
    </row>
    <row r="173" spans="1:5" x14ac:dyDescent="0.2">
      <c r="A173"/>
      <c r="B173"/>
      <c r="C173"/>
      <c r="D173"/>
      <c r="E173"/>
    </row>
    <row r="174" spans="1:5" x14ac:dyDescent="0.2">
      <c r="A174"/>
      <c r="B174"/>
      <c r="C174"/>
      <c r="D174"/>
      <c r="E174"/>
    </row>
    <row r="175" spans="1:5" x14ac:dyDescent="0.2">
      <c r="A175"/>
      <c r="B175"/>
      <c r="C175"/>
      <c r="D175"/>
      <c r="E175"/>
    </row>
    <row r="176" spans="1:5" x14ac:dyDescent="0.2">
      <c r="A176"/>
      <c r="B176"/>
      <c r="C176"/>
      <c r="D176"/>
      <c r="E176"/>
    </row>
    <row r="177" spans="1:5" x14ac:dyDescent="0.2">
      <c r="A177"/>
      <c r="B177"/>
      <c r="C177"/>
      <c r="D177"/>
      <c r="E177"/>
    </row>
    <row r="178" spans="1:5" x14ac:dyDescent="0.2">
      <c r="A178"/>
      <c r="B178"/>
      <c r="C178"/>
      <c r="D178"/>
      <c r="E178"/>
    </row>
    <row r="179" spans="1:5" x14ac:dyDescent="0.2">
      <c r="A179"/>
      <c r="B179"/>
      <c r="C179"/>
      <c r="D179"/>
      <c r="E179"/>
    </row>
    <row r="180" spans="1:5" x14ac:dyDescent="0.2">
      <c r="A180"/>
      <c r="B180"/>
      <c r="C180"/>
      <c r="D180"/>
      <c r="E180"/>
    </row>
    <row r="181" spans="1:5" x14ac:dyDescent="0.2">
      <c r="A181"/>
      <c r="B181"/>
      <c r="C181"/>
      <c r="D181"/>
      <c r="E181"/>
    </row>
    <row r="182" spans="1:5" x14ac:dyDescent="0.2">
      <c r="A182"/>
      <c r="B182"/>
      <c r="C182"/>
      <c r="D182"/>
      <c r="E182"/>
    </row>
    <row r="183" spans="1:5" x14ac:dyDescent="0.2">
      <c r="A183"/>
      <c r="B183"/>
      <c r="C183"/>
      <c r="D183"/>
      <c r="E183"/>
    </row>
    <row r="184" spans="1:5" x14ac:dyDescent="0.2">
      <c r="A184"/>
      <c r="B184"/>
      <c r="C184"/>
      <c r="D184"/>
      <c r="E184"/>
    </row>
    <row r="185" spans="1:5" x14ac:dyDescent="0.2">
      <c r="A185"/>
      <c r="B185"/>
      <c r="C185"/>
      <c r="D185"/>
      <c r="E185"/>
    </row>
    <row r="186" spans="1:5" x14ac:dyDescent="0.2">
      <c r="A186"/>
      <c r="B186"/>
      <c r="C186"/>
      <c r="D186"/>
      <c r="E186"/>
    </row>
    <row r="187" spans="1:5" x14ac:dyDescent="0.2">
      <c r="A187"/>
      <c r="B187"/>
      <c r="C187"/>
      <c r="D187"/>
      <c r="E187"/>
    </row>
    <row r="188" spans="1:5" x14ac:dyDescent="0.2">
      <c r="A188"/>
      <c r="B188"/>
      <c r="C188"/>
      <c r="D188"/>
      <c r="E188"/>
    </row>
    <row r="189" spans="1:5" x14ac:dyDescent="0.2">
      <c r="A189"/>
      <c r="B189"/>
      <c r="C189"/>
      <c r="D189"/>
      <c r="E189"/>
    </row>
    <row r="190" spans="1:5" x14ac:dyDescent="0.2">
      <c r="A190"/>
      <c r="B190"/>
      <c r="C190"/>
      <c r="D190"/>
      <c r="E190"/>
    </row>
    <row r="191" spans="1:5" x14ac:dyDescent="0.2">
      <c r="A191"/>
      <c r="B191"/>
      <c r="C191"/>
      <c r="D191"/>
      <c r="E191"/>
    </row>
    <row r="192" spans="1:5" x14ac:dyDescent="0.2">
      <c r="A192"/>
      <c r="B192"/>
      <c r="C192"/>
      <c r="D192"/>
      <c r="E192"/>
    </row>
    <row r="193" spans="1:5" x14ac:dyDescent="0.2">
      <c r="A193"/>
      <c r="B193"/>
      <c r="C193"/>
      <c r="D193"/>
      <c r="E193"/>
    </row>
    <row r="194" spans="1:5" x14ac:dyDescent="0.2">
      <c r="A194"/>
      <c r="B194"/>
      <c r="C194"/>
      <c r="D194"/>
      <c r="E194"/>
    </row>
    <row r="195" spans="1:5" x14ac:dyDescent="0.2">
      <c r="A195"/>
      <c r="B195"/>
      <c r="C195"/>
      <c r="D195"/>
      <c r="E195"/>
    </row>
    <row r="196" spans="1:5" x14ac:dyDescent="0.2">
      <c r="A196"/>
      <c r="B196"/>
      <c r="C196"/>
      <c r="D196"/>
      <c r="E196"/>
    </row>
    <row r="197" spans="1:5" x14ac:dyDescent="0.2">
      <c r="A197"/>
      <c r="B197"/>
      <c r="C197"/>
      <c r="D197"/>
      <c r="E197"/>
    </row>
    <row r="198" spans="1:5" x14ac:dyDescent="0.2">
      <c r="A198"/>
      <c r="B198"/>
      <c r="C198"/>
      <c r="D198"/>
      <c r="E198"/>
    </row>
    <row r="199" spans="1:5" x14ac:dyDescent="0.2">
      <c r="A199"/>
      <c r="B199"/>
      <c r="C199"/>
      <c r="D199"/>
      <c r="E199"/>
    </row>
    <row r="200" spans="1:5" x14ac:dyDescent="0.2">
      <c r="A200"/>
      <c r="B200"/>
      <c r="C200"/>
      <c r="D200"/>
      <c r="E200"/>
    </row>
    <row r="201" spans="1:5" x14ac:dyDescent="0.2">
      <c r="A201"/>
      <c r="B201"/>
      <c r="C201"/>
      <c r="D201"/>
      <c r="E201"/>
    </row>
    <row r="202" spans="1:5" x14ac:dyDescent="0.2">
      <c r="A202"/>
      <c r="B202"/>
      <c r="C202"/>
      <c r="D202"/>
      <c r="E202"/>
    </row>
    <row r="203" spans="1:5" x14ac:dyDescent="0.2">
      <c r="A203"/>
      <c r="B203"/>
      <c r="C203"/>
      <c r="D203"/>
      <c r="E203"/>
    </row>
    <row r="204" spans="1:5" x14ac:dyDescent="0.2">
      <c r="A204"/>
      <c r="B204"/>
      <c r="C204"/>
      <c r="D204"/>
      <c r="E204"/>
    </row>
    <row r="205" spans="1:5" x14ac:dyDescent="0.2">
      <c r="A205"/>
      <c r="B205"/>
      <c r="C205"/>
      <c r="D205"/>
      <c r="E205"/>
    </row>
    <row r="206" spans="1:5" x14ac:dyDescent="0.2">
      <c r="A206"/>
      <c r="B206"/>
      <c r="C206"/>
      <c r="D206"/>
      <c r="E206"/>
    </row>
    <row r="207" spans="1:5" x14ac:dyDescent="0.2">
      <c r="A207"/>
      <c r="B207"/>
      <c r="C207"/>
      <c r="D207"/>
      <c r="E207"/>
    </row>
    <row r="208" spans="1:5" x14ac:dyDescent="0.2">
      <c r="A208"/>
      <c r="B208"/>
      <c r="C208"/>
      <c r="D208"/>
      <c r="E208"/>
    </row>
    <row r="209" spans="1:5" x14ac:dyDescent="0.2">
      <c r="A209"/>
      <c r="B209"/>
      <c r="C209"/>
      <c r="D209"/>
      <c r="E209"/>
    </row>
    <row r="210" spans="1:5" x14ac:dyDescent="0.2">
      <c r="A210"/>
      <c r="B210"/>
      <c r="C210"/>
      <c r="D210"/>
      <c r="E210"/>
    </row>
    <row r="211" spans="1:5" x14ac:dyDescent="0.2">
      <c r="A211"/>
      <c r="B211"/>
      <c r="C211"/>
      <c r="D211"/>
      <c r="E211"/>
    </row>
    <row r="212" spans="1:5" x14ac:dyDescent="0.2">
      <c r="A212"/>
      <c r="B212"/>
      <c r="C212"/>
      <c r="D212"/>
      <c r="E212"/>
    </row>
    <row r="213" spans="1:5" x14ac:dyDescent="0.2">
      <c r="A213"/>
      <c r="B213"/>
      <c r="C213"/>
      <c r="D213"/>
      <c r="E213"/>
    </row>
    <row r="214" spans="1:5" x14ac:dyDescent="0.2">
      <c r="A214"/>
      <c r="B214"/>
      <c r="C214"/>
      <c r="D214"/>
      <c r="E214"/>
    </row>
    <row r="215" spans="1:5" x14ac:dyDescent="0.2">
      <c r="A215"/>
      <c r="B215"/>
      <c r="C215"/>
      <c r="D215"/>
      <c r="E215"/>
    </row>
    <row r="216" spans="1:5" x14ac:dyDescent="0.2">
      <c r="A216"/>
      <c r="B216"/>
      <c r="C216"/>
      <c r="D216"/>
      <c r="E216"/>
    </row>
    <row r="217" spans="1:5" x14ac:dyDescent="0.2">
      <c r="A217"/>
      <c r="B217"/>
      <c r="C217"/>
      <c r="D217"/>
      <c r="E217"/>
    </row>
    <row r="218" spans="1:5" x14ac:dyDescent="0.2">
      <c r="A218"/>
      <c r="B218"/>
      <c r="C218"/>
      <c r="D218"/>
      <c r="E218"/>
    </row>
    <row r="219" spans="1:5" x14ac:dyDescent="0.2">
      <c r="A219"/>
      <c r="B219"/>
      <c r="C219"/>
      <c r="D219"/>
      <c r="E219"/>
    </row>
    <row r="220" spans="1:5" x14ac:dyDescent="0.2">
      <c r="A220"/>
      <c r="B220"/>
      <c r="C220"/>
      <c r="D220"/>
      <c r="E220"/>
    </row>
    <row r="221" spans="1:5" x14ac:dyDescent="0.2">
      <c r="A221"/>
      <c r="B221"/>
      <c r="C221"/>
      <c r="D221"/>
      <c r="E221"/>
    </row>
    <row r="222" spans="1:5" x14ac:dyDescent="0.2">
      <c r="A222"/>
      <c r="B222"/>
      <c r="C222"/>
      <c r="D222"/>
      <c r="E222"/>
    </row>
    <row r="223" spans="1:5" x14ac:dyDescent="0.2">
      <c r="A223"/>
      <c r="B223"/>
      <c r="C223"/>
      <c r="D223"/>
      <c r="E223"/>
    </row>
    <row r="224" spans="1:5" x14ac:dyDescent="0.2">
      <c r="A224"/>
      <c r="B224"/>
      <c r="C224"/>
      <c r="D224"/>
      <c r="E224"/>
    </row>
    <row r="225" spans="1:5" x14ac:dyDescent="0.2">
      <c r="A225"/>
      <c r="B225"/>
      <c r="C225"/>
      <c r="D225"/>
      <c r="E225"/>
    </row>
    <row r="226" spans="1:5" x14ac:dyDescent="0.2">
      <c r="A226"/>
      <c r="B226"/>
      <c r="C226"/>
      <c r="D226"/>
      <c r="E226"/>
    </row>
    <row r="227" spans="1:5" x14ac:dyDescent="0.2">
      <c r="A227"/>
      <c r="B227"/>
      <c r="C227"/>
      <c r="D227"/>
      <c r="E227"/>
    </row>
    <row r="228" spans="1:5" x14ac:dyDescent="0.2">
      <c r="A228"/>
      <c r="B228"/>
      <c r="C228"/>
      <c r="D228"/>
      <c r="E228"/>
    </row>
    <row r="229" spans="1:5" x14ac:dyDescent="0.2">
      <c r="A229"/>
      <c r="B229"/>
      <c r="C229"/>
      <c r="D229"/>
      <c r="E229"/>
    </row>
    <row r="230" spans="1:5" x14ac:dyDescent="0.2">
      <c r="A230"/>
      <c r="B230"/>
      <c r="C230"/>
      <c r="D230"/>
      <c r="E230"/>
    </row>
    <row r="231" spans="1:5" x14ac:dyDescent="0.2">
      <c r="A231"/>
      <c r="B231"/>
      <c r="C231"/>
      <c r="D231"/>
      <c r="E231"/>
    </row>
    <row r="232" spans="1:5" x14ac:dyDescent="0.2">
      <c r="A232"/>
      <c r="B232"/>
      <c r="C232"/>
      <c r="D232"/>
      <c r="E232"/>
    </row>
    <row r="233" spans="1:5" x14ac:dyDescent="0.2">
      <c r="A233"/>
      <c r="B233"/>
      <c r="C233"/>
      <c r="D233"/>
      <c r="E233"/>
    </row>
    <row r="234" spans="1:5" x14ac:dyDescent="0.2">
      <c r="A234"/>
      <c r="B234"/>
      <c r="C234"/>
      <c r="D234"/>
      <c r="E234"/>
    </row>
    <row r="235" spans="1:5" x14ac:dyDescent="0.2">
      <c r="A235"/>
      <c r="B235"/>
      <c r="C235"/>
      <c r="D235"/>
      <c r="E235"/>
    </row>
    <row r="236" spans="1:5" x14ac:dyDescent="0.2">
      <c r="A236"/>
      <c r="B236"/>
      <c r="C236"/>
      <c r="D236"/>
      <c r="E236"/>
    </row>
    <row r="237" spans="1:5" x14ac:dyDescent="0.2">
      <c r="A237"/>
      <c r="B237"/>
      <c r="C237"/>
      <c r="D237"/>
      <c r="E237"/>
    </row>
    <row r="238" spans="1:5" x14ac:dyDescent="0.2">
      <c r="A238"/>
      <c r="B238"/>
      <c r="C238"/>
      <c r="D238"/>
      <c r="E238"/>
    </row>
    <row r="239" spans="1:5" x14ac:dyDescent="0.2">
      <c r="A239"/>
      <c r="B239"/>
      <c r="C239"/>
      <c r="D239"/>
      <c r="E239"/>
    </row>
    <row r="240" spans="1:5" x14ac:dyDescent="0.2">
      <c r="A240"/>
      <c r="B240"/>
      <c r="C240"/>
      <c r="D240"/>
      <c r="E240"/>
    </row>
    <row r="241" spans="1:5" x14ac:dyDescent="0.2">
      <c r="A241"/>
      <c r="B241"/>
      <c r="C241"/>
      <c r="D241"/>
      <c r="E241"/>
    </row>
    <row r="242" spans="1:5" x14ac:dyDescent="0.2">
      <c r="A242"/>
      <c r="B242"/>
      <c r="C242"/>
      <c r="D242"/>
      <c r="E242"/>
    </row>
    <row r="243" spans="1:5" x14ac:dyDescent="0.2">
      <c r="A243"/>
      <c r="B243"/>
      <c r="C243"/>
      <c r="D243"/>
      <c r="E243"/>
    </row>
    <row r="244" spans="1:5" x14ac:dyDescent="0.2">
      <c r="A244"/>
      <c r="B244"/>
      <c r="C244"/>
      <c r="D244"/>
      <c r="E244"/>
    </row>
    <row r="245" spans="1:5" x14ac:dyDescent="0.2">
      <c r="A245"/>
      <c r="B245"/>
      <c r="C245"/>
      <c r="D245"/>
      <c r="E245"/>
    </row>
    <row r="246" spans="1:5" x14ac:dyDescent="0.2">
      <c r="A246"/>
      <c r="B246"/>
      <c r="C246"/>
      <c r="D246"/>
      <c r="E246"/>
    </row>
    <row r="247" spans="1:5" x14ac:dyDescent="0.2">
      <c r="A247"/>
      <c r="B247"/>
      <c r="C247"/>
      <c r="D247"/>
      <c r="E247"/>
    </row>
    <row r="248" spans="1:5" x14ac:dyDescent="0.2">
      <c r="A248"/>
      <c r="B248"/>
      <c r="C248"/>
      <c r="D248"/>
      <c r="E248"/>
    </row>
    <row r="249" spans="1:5" x14ac:dyDescent="0.2">
      <c r="A249"/>
      <c r="B249"/>
      <c r="C249"/>
      <c r="D249"/>
      <c r="E249"/>
    </row>
    <row r="250" spans="1:5" x14ac:dyDescent="0.2">
      <c r="A250"/>
      <c r="B250"/>
      <c r="C250"/>
      <c r="D250"/>
      <c r="E250"/>
    </row>
    <row r="251" spans="1:5" x14ac:dyDescent="0.2">
      <c r="A251"/>
      <c r="B251"/>
      <c r="C251"/>
      <c r="D251"/>
      <c r="E251"/>
    </row>
    <row r="252" spans="1:5" x14ac:dyDescent="0.2">
      <c r="A252"/>
      <c r="B252"/>
      <c r="C252"/>
      <c r="D252"/>
      <c r="E252"/>
    </row>
    <row r="253" spans="1:5" x14ac:dyDescent="0.2">
      <c r="A253"/>
      <c r="B253"/>
      <c r="C253"/>
      <c r="D253"/>
      <c r="E253"/>
    </row>
    <row r="254" spans="1:5" x14ac:dyDescent="0.2">
      <c r="A254"/>
      <c r="B254"/>
      <c r="C254"/>
      <c r="D254"/>
      <c r="E254"/>
    </row>
    <row r="255" spans="1:5" x14ac:dyDescent="0.2">
      <c r="A255"/>
      <c r="B255"/>
      <c r="C255"/>
      <c r="D255"/>
      <c r="E255"/>
    </row>
    <row r="256" spans="1:5" x14ac:dyDescent="0.2">
      <c r="A256"/>
      <c r="B256"/>
      <c r="C256"/>
      <c r="D256"/>
      <c r="E256"/>
    </row>
    <row r="257" spans="1:5" x14ac:dyDescent="0.2">
      <c r="A257"/>
      <c r="B257"/>
      <c r="C257"/>
      <c r="D257"/>
      <c r="E257"/>
    </row>
    <row r="258" spans="1:5" x14ac:dyDescent="0.2">
      <c r="A258"/>
      <c r="B258"/>
      <c r="C258"/>
      <c r="D258"/>
      <c r="E258"/>
    </row>
    <row r="259" spans="1:5" x14ac:dyDescent="0.2">
      <c r="A259"/>
      <c r="B259"/>
      <c r="C259"/>
      <c r="D259"/>
      <c r="E259"/>
    </row>
    <row r="260" spans="1:5" x14ac:dyDescent="0.2">
      <c r="A260"/>
      <c r="B260"/>
      <c r="C260"/>
      <c r="D260"/>
      <c r="E260"/>
    </row>
    <row r="261" spans="1:5" x14ac:dyDescent="0.2">
      <c r="A261"/>
      <c r="B261"/>
      <c r="C261"/>
      <c r="D261"/>
      <c r="E261"/>
    </row>
    <row r="262" spans="1:5" x14ac:dyDescent="0.2">
      <c r="A262"/>
      <c r="B262"/>
      <c r="C262"/>
      <c r="D262"/>
      <c r="E262"/>
    </row>
    <row r="263" spans="1:5" x14ac:dyDescent="0.2">
      <c r="A263"/>
      <c r="B263"/>
      <c r="C263"/>
      <c r="D263"/>
      <c r="E263"/>
    </row>
    <row r="264" spans="1:5" x14ac:dyDescent="0.2">
      <c r="A264"/>
      <c r="B264"/>
      <c r="C264"/>
      <c r="D264"/>
      <c r="E264"/>
    </row>
    <row r="265" spans="1:5" x14ac:dyDescent="0.2">
      <c r="A265"/>
      <c r="B265"/>
      <c r="C265"/>
      <c r="D265"/>
      <c r="E26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8C6F-219E-4EAF-83EF-972C5590A550}">
  <dimension ref="A1:T198"/>
  <sheetViews>
    <sheetView topLeftCell="A29" zoomScale="71" zoomScaleNormal="76" workbookViewId="0">
      <selection activeCell="B31" sqref="B31"/>
    </sheetView>
  </sheetViews>
  <sheetFormatPr baseColWidth="10" defaultColWidth="11.42578125" defaultRowHeight="12.75" x14ac:dyDescent="0.2"/>
  <cols>
    <col min="1" max="1" width="21.7109375" style="4" bestFit="1" customWidth="1"/>
    <col min="2" max="2" width="50" style="4" bestFit="1" customWidth="1"/>
    <col min="3" max="3" width="40.140625" style="4" bestFit="1" customWidth="1"/>
    <col min="4" max="4" width="23.42578125" style="4" bestFit="1" customWidth="1"/>
    <col min="5" max="5" width="23.8554687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17" cm="1">
        <f t="array" aca="1" ref="A7" ca="1">+A45+A1:L7+A7:L7</f>
        <v>0</v>
      </c>
      <c r="B7" s="117" t="s">
        <v>8</v>
      </c>
      <c r="C7" s="117" t="s">
        <v>9</v>
      </c>
      <c r="D7" s="117" t="s">
        <v>10</v>
      </c>
      <c r="E7" s="117" t="s">
        <v>11</v>
      </c>
      <c r="F7" s="117" t="s">
        <v>12</v>
      </c>
      <c r="G7" s="117" t="s">
        <v>13</v>
      </c>
      <c r="H7" s="118" t="s">
        <v>14</v>
      </c>
      <c r="I7" s="118" t="s">
        <v>15</v>
      </c>
      <c r="J7" s="118" t="s">
        <v>16</v>
      </c>
      <c r="K7" s="118" t="s">
        <v>17</v>
      </c>
      <c r="L7" s="118" t="s">
        <v>18</v>
      </c>
      <c r="M7" s="1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45973</v>
      </c>
      <c r="G8" s="113">
        <v>0.375</v>
      </c>
      <c r="H8" s="85">
        <v>45971</v>
      </c>
      <c r="I8" s="86">
        <v>0.41666666666666669</v>
      </c>
      <c r="J8" s="87">
        <f t="shared" ref="J8:J41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45973</v>
      </c>
      <c r="G9" s="113">
        <v>0.375</v>
      </c>
      <c r="H9" s="85">
        <v>45971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33" t="s">
        <v>322</v>
      </c>
      <c r="B10" s="8" t="s">
        <v>510</v>
      </c>
      <c r="C10" s="8" t="s">
        <v>31</v>
      </c>
      <c r="D10" s="84">
        <v>1</v>
      </c>
      <c r="E10" s="49">
        <v>30</v>
      </c>
      <c r="F10" s="112">
        <v>45973</v>
      </c>
      <c r="G10" s="113">
        <v>0.375</v>
      </c>
      <c r="H10" s="112">
        <v>45971</v>
      </c>
      <c r="I10" s="113">
        <v>0.4375</v>
      </c>
      <c r="J10" s="87">
        <f t="shared" si="0"/>
        <v>5</v>
      </c>
      <c r="K10" s="8">
        <v>1</v>
      </c>
      <c r="L10" s="88">
        <v>25</v>
      </c>
      <c r="M10" s="49" t="s">
        <v>323</v>
      </c>
    </row>
    <row r="11" spans="1:20" s="5" customFormat="1" ht="75" customHeight="1" x14ac:dyDescent="0.2">
      <c r="A11" s="33" t="s">
        <v>682</v>
      </c>
      <c r="B11" s="8" t="s">
        <v>510</v>
      </c>
      <c r="C11" s="8" t="s">
        <v>31</v>
      </c>
      <c r="D11" s="84">
        <v>1</v>
      </c>
      <c r="E11" s="49">
        <v>30</v>
      </c>
      <c r="F11" s="112">
        <v>45973</v>
      </c>
      <c r="G11" s="113">
        <v>0.375</v>
      </c>
      <c r="H11" s="112">
        <v>45971</v>
      </c>
      <c r="I11" s="113">
        <v>0.41666666666666669</v>
      </c>
      <c r="J11" s="87">
        <f t="shared" si="0"/>
        <v>5</v>
      </c>
      <c r="K11" s="8">
        <v>1</v>
      </c>
      <c r="L11" s="88">
        <v>25</v>
      </c>
      <c r="M11" s="49" t="s">
        <v>325</v>
      </c>
    </row>
    <row r="12" spans="1:20" s="5" customFormat="1" ht="84.75" customHeight="1" x14ac:dyDescent="0.2">
      <c r="A12" s="114" t="s">
        <v>683</v>
      </c>
      <c r="B12" s="8" t="s">
        <v>510</v>
      </c>
      <c r="C12" s="8" t="s">
        <v>31</v>
      </c>
      <c r="D12" s="84">
        <v>1</v>
      </c>
      <c r="E12" s="49">
        <v>30</v>
      </c>
      <c r="F12" s="112">
        <v>45973</v>
      </c>
      <c r="G12" s="113">
        <v>0.375</v>
      </c>
      <c r="H12" s="112">
        <v>45971</v>
      </c>
      <c r="I12" s="116">
        <v>0.41666666666666669</v>
      </c>
      <c r="J12" s="87">
        <f t="shared" si="0"/>
        <v>5</v>
      </c>
      <c r="K12" s="8">
        <v>1</v>
      </c>
      <c r="L12" s="88">
        <v>25</v>
      </c>
      <c r="M12" s="49" t="s">
        <v>331</v>
      </c>
    </row>
    <row r="13" spans="1:20" s="5" customFormat="1" ht="81.75" customHeight="1" x14ac:dyDescent="0.2">
      <c r="A13" s="49" t="s">
        <v>327</v>
      </c>
      <c r="B13" s="8" t="s">
        <v>21</v>
      </c>
      <c r="C13" s="8" t="s">
        <v>34</v>
      </c>
      <c r="D13" s="84">
        <v>1</v>
      </c>
      <c r="E13" s="49">
        <v>30</v>
      </c>
      <c r="F13" s="112">
        <v>45973</v>
      </c>
      <c r="G13" s="113">
        <v>0.375</v>
      </c>
      <c r="H13" s="112">
        <v>45971</v>
      </c>
      <c r="I13" s="113">
        <v>0.41666666666666669</v>
      </c>
      <c r="J13" s="87">
        <f t="shared" si="0"/>
        <v>5</v>
      </c>
      <c r="K13" s="8">
        <v>1</v>
      </c>
      <c r="L13" s="88">
        <v>25</v>
      </c>
      <c r="M13" s="49" t="s">
        <v>330</v>
      </c>
    </row>
    <row r="14" spans="1:20" s="5" customFormat="1" ht="61.5" customHeight="1" x14ac:dyDescent="0.2">
      <c r="A14" s="49" t="s">
        <v>684</v>
      </c>
      <c r="B14" s="8" t="s">
        <v>21</v>
      </c>
      <c r="C14" s="8" t="s">
        <v>34</v>
      </c>
      <c r="D14" s="84">
        <v>1</v>
      </c>
      <c r="E14" s="49">
        <v>30</v>
      </c>
      <c r="F14" s="112">
        <v>45973</v>
      </c>
      <c r="G14" s="113">
        <v>0.375</v>
      </c>
      <c r="H14" s="112">
        <v>45971</v>
      </c>
      <c r="I14" s="113">
        <v>0.41666666666666669</v>
      </c>
      <c r="J14" s="87">
        <f t="shared" si="0"/>
        <v>5</v>
      </c>
      <c r="K14" s="8">
        <v>1</v>
      </c>
      <c r="L14" s="88">
        <v>25</v>
      </c>
      <c r="M14" s="49" t="s">
        <v>329</v>
      </c>
    </row>
    <row r="15" spans="1:20" s="5" customFormat="1" ht="61.5" customHeight="1" x14ac:dyDescent="0.2">
      <c r="A15" s="49" t="s">
        <v>685</v>
      </c>
      <c r="B15" s="8" t="s">
        <v>21</v>
      </c>
      <c r="C15" s="8" t="s">
        <v>34</v>
      </c>
      <c r="D15" s="84">
        <v>1</v>
      </c>
      <c r="E15" s="49">
        <v>30</v>
      </c>
      <c r="F15" s="112">
        <v>45973</v>
      </c>
      <c r="G15" s="113">
        <v>0.375</v>
      </c>
      <c r="H15" s="112">
        <v>45971</v>
      </c>
      <c r="I15" s="113">
        <v>0.45833333333333331</v>
      </c>
      <c r="J15" s="87">
        <f t="shared" si="0"/>
        <v>5</v>
      </c>
      <c r="K15" s="8">
        <v>1</v>
      </c>
      <c r="L15" s="88">
        <v>25</v>
      </c>
      <c r="M15" s="49" t="s">
        <v>333</v>
      </c>
    </row>
    <row r="16" spans="1:20" s="5" customFormat="1" ht="63" customHeight="1" x14ac:dyDescent="0.2">
      <c r="A16" s="38" t="s">
        <v>686</v>
      </c>
      <c r="B16" s="8" t="s">
        <v>136</v>
      </c>
      <c r="C16" s="8" t="s">
        <v>22</v>
      </c>
      <c r="D16" s="84">
        <v>1</v>
      </c>
      <c r="E16" s="49">
        <v>30</v>
      </c>
      <c r="F16" s="112">
        <v>45973</v>
      </c>
      <c r="G16" s="113">
        <v>0.375</v>
      </c>
      <c r="H16" s="112">
        <v>45971</v>
      </c>
      <c r="I16" s="113">
        <v>0.45833333333333331</v>
      </c>
      <c r="J16" s="87">
        <f t="shared" si="0"/>
        <v>5</v>
      </c>
      <c r="K16" s="8">
        <v>1</v>
      </c>
      <c r="L16" s="88">
        <v>25</v>
      </c>
      <c r="M16" s="49" t="s">
        <v>710</v>
      </c>
    </row>
    <row r="17" spans="1:13" s="5" customFormat="1" ht="63" customHeight="1" x14ac:dyDescent="0.2">
      <c r="A17" s="38" t="s">
        <v>687</v>
      </c>
      <c r="B17" s="8" t="s">
        <v>510</v>
      </c>
      <c r="C17" s="8" t="s">
        <v>31</v>
      </c>
      <c r="D17" s="84">
        <v>1</v>
      </c>
      <c r="E17" s="49">
        <v>30</v>
      </c>
      <c r="F17" s="112">
        <v>45973</v>
      </c>
      <c r="G17" s="113">
        <v>0.375</v>
      </c>
      <c r="H17" s="112">
        <v>45971</v>
      </c>
      <c r="I17" s="113">
        <v>0.4375</v>
      </c>
      <c r="J17" s="87">
        <f t="shared" si="0"/>
        <v>5</v>
      </c>
      <c r="K17" s="8">
        <v>1</v>
      </c>
      <c r="L17" s="88">
        <v>25</v>
      </c>
      <c r="M17" s="49" t="s">
        <v>337</v>
      </c>
    </row>
    <row r="18" spans="1:13" s="5" customFormat="1" ht="75" customHeight="1" x14ac:dyDescent="0.2">
      <c r="A18" s="38" t="s">
        <v>688</v>
      </c>
      <c r="B18" s="8" t="s">
        <v>21</v>
      </c>
      <c r="C18" s="8" t="s">
        <v>34</v>
      </c>
      <c r="D18" s="84">
        <v>1</v>
      </c>
      <c r="E18" s="49">
        <v>30</v>
      </c>
      <c r="F18" s="112">
        <v>45973</v>
      </c>
      <c r="G18" s="113">
        <v>0.375</v>
      </c>
      <c r="H18" s="112">
        <v>45971</v>
      </c>
      <c r="I18" s="113">
        <v>0.4375</v>
      </c>
      <c r="J18" s="87">
        <f t="shared" si="0"/>
        <v>5</v>
      </c>
      <c r="K18" s="8">
        <v>1</v>
      </c>
      <c r="L18" s="88">
        <v>25</v>
      </c>
      <c r="M18" s="49" t="s">
        <v>320</v>
      </c>
    </row>
    <row r="19" spans="1:13" s="5" customFormat="1" ht="72.75" customHeight="1" x14ac:dyDescent="0.2">
      <c r="A19" s="35" t="s">
        <v>689</v>
      </c>
      <c r="B19" s="8" t="s">
        <v>136</v>
      </c>
      <c r="C19" s="8" t="s">
        <v>31</v>
      </c>
      <c r="D19" s="84">
        <v>1</v>
      </c>
      <c r="E19" s="49">
        <v>30</v>
      </c>
      <c r="F19" s="112">
        <v>45973</v>
      </c>
      <c r="G19" s="113">
        <v>0.375</v>
      </c>
      <c r="H19" s="112">
        <v>45971</v>
      </c>
      <c r="I19" s="113">
        <v>0.45833333333333331</v>
      </c>
      <c r="J19" s="87">
        <f t="shared" si="0"/>
        <v>5</v>
      </c>
      <c r="K19" s="8">
        <v>1</v>
      </c>
      <c r="L19" s="88">
        <v>25</v>
      </c>
      <c r="M19" s="49" t="s">
        <v>321</v>
      </c>
    </row>
    <row r="20" spans="1:13" s="5" customFormat="1" ht="77.25" customHeight="1" x14ac:dyDescent="0.2">
      <c r="A20" s="49" t="s">
        <v>690</v>
      </c>
      <c r="B20" s="8" t="s">
        <v>42</v>
      </c>
      <c r="C20" s="8" t="s">
        <v>37</v>
      </c>
      <c r="D20" s="84">
        <v>1</v>
      </c>
      <c r="E20" s="49">
        <v>30</v>
      </c>
      <c r="F20" s="112">
        <v>45973</v>
      </c>
      <c r="G20" s="113">
        <v>0.375</v>
      </c>
      <c r="H20" s="112">
        <v>45971</v>
      </c>
      <c r="I20" s="113">
        <v>0.4375</v>
      </c>
      <c r="J20" s="87">
        <f t="shared" si="0"/>
        <v>5</v>
      </c>
      <c r="K20" s="8">
        <v>1</v>
      </c>
      <c r="L20" s="88">
        <v>25</v>
      </c>
      <c r="M20" s="49" t="s">
        <v>340</v>
      </c>
    </row>
    <row r="21" spans="1:13" s="5" customFormat="1" ht="70.5" customHeight="1" x14ac:dyDescent="0.2">
      <c r="A21" s="49" t="s">
        <v>691</v>
      </c>
      <c r="B21" s="8" t="s">
        <v>36</v>
      </c>
      <c r="C21" s="8" t="s">
        <v>43</v>
      </c>
      <c r="D21" s="84">
        <v>1</v>
      </c>
      <c r="E21" s="49">
        <v>30</v>
      </c>
      <c r="F21" s="112">
        <v>45973</v>
      </c>
      <c r="G21" s="113">
        <v>0.375</v>
      </c>
      <c r="H21" s="112">
        <v>45971</v>
      </c>
      <c r="I21" s="113">
        <v>0.45833333333333331</v>
      </c>
      <c r="J21" s="87">
        <f t="shared" si="0"/>
        <v>5</v>
      </c>
      <c r="K21" s="8">
        <v>1</v>
      </c>
      <c r="L21" s="88">
        <v>25</v>
      </c>
      <c r="M21" s="49" t="s">
        <v>342</v>
      </c>
    </row>
    <row r="22" spans="1:13" s="5" customFormat="1" ht="66" customHeight="1" x14ac:dyDescent="0.2">
      <c r="A22" s="49" t="s">
        <v>692</v>
      </c>
      <c r="B22" s="8" t="s">
        <v>30</v>
      </c>
      <c r="C22" s="8" t="s">
        <v>40</v>
      </c>
      <c r="D22" s="84">
        <v>1</v>
      </c>
      <c r="E22" s="49">
        <v>30</v>
      </c>
      <c r="F22" s="112">
        <v>45973</v>
      </c>
      <c r="G22" s="113">
        <v>0.375</v>
      </c>
      <c r="H22" s="112">
        <v>45971</v>
      </c>
      <c r="I22" s="113">
        <v>0.47916666666666669</v>
      </c>
      <c r="J22" s="87">
        <f t="shared" si="0"/>
        <v>5</v>
      </c>
      <c r="K22" s="8">
        <v>1</v>
      </c>
      <c r="L22" s="88">
        <v>25</v>
      </c>
      <c r="M22" s="49" t="s">
        <v>344</v>
      </c>
    </row>
    <row r="23" spans="1:13" s="5" customFormat="1" ht="69" customHeight="1" x14ac:dyDescent="0.2">
      <c r="A23" s="49" t="s">
        <v>693</v>
      </c>
      <c r="B23" s="8" t="s">
        <v>136</v>
      </c>
      <c r="C23" s="8" t="s">
        <v>22</v>
      </c>
      <c r="D23" s="84">
        <v>1</v>
      </c>
      <c r="E23" s="49">
        <v>30</v>
      </c>
      <c r="F23" s="112">
        <v>45973</v>
      </c>
      <c r="G23" s="113">
        <v>0.375</v>
      </c>
      <c r="H23" s="112">
        <v>45971</v>
      </c>
      <c r="I23" s="113">
        <v>0.5</v>
      </c>
      <c r="J23" s="87">
        <f t="shared" si="0"/>
        <v>5</v>
      </c>
      <c r="K23" s="8">
        <v>1</v>
      </c>
      <c r="L23" s="88">
        <v>25</v>
      </c>
      <c r="M23" s="49" t="s">
        <v>348</v>
      </c>
    </row>
    <row r="24" spans="1:13" s="5" customFormat="1" ht="60" customHeight="1" x14ac:dyDescent="0.2">
      <c r="A24" s="49" t="s">
        <v>694</v>
      </c>
      <c r="B24" s="8" t="s">
        <v>42</v>
      </c>
      <c r="C24" s="8" t="s">
        <v>37</v>
      </c>
      <c r="D24" s="84">
        <v>1</v>
      </c>
      <c r="E24" s="49">
        <v>30</v>
      </c>
      <c r="F24" s="112">
        <v>45973</v>
      </c>
      <c r="G24" s="113">
        <v>0.375</v>
      </c>
      <c r="H24" s="112">
        <v>45971</v>
      </c>
      <c r="I24" s="113">
        <v>0.4375</v>
      </c>
      <c r="J24" s="87">
        <f t="shared" si="0"/>
        <v>5</v>
      </c>
      <c r="K24" s="8">
        <v>1</v>
      </c>
      <c r="L24" s="88">
        <v>25</v>
      </c>
      <c r="M24" s="49" t="s">
        <v>347</v>
      </c>
    </row>
    <row r="25" spans="1:13" s="5" customFormat="1" ht="59.25" customHeight="1" x14ac:dyDescent="0.2">
      <c r="A25" s="49" t="s">
        <v>695</v>
      </c>
      <c r="B25" s="8" t="s">
        <v>36</v>
      </c>
      <c r="C25" s="8" t="s">
        <v>43</v>
      </c>
      <c r="D25" s="84">
        <v>1</v>
      </c>
      <c r="E25" s="49">
        <v>30</v>
      </c>
      <c r="F25" s="112">
        <v>45973</v>
      </c>
      <c r="G25" s="113">
        <v>0.375</v>
      </c>
      <c r="H25" s="112">
        <v>45971</v>
      </c>
      <c r="I25" s="113">
        <v>0.47916666666666669</v>
      </c>
      <c r="J25" s="87">
        <f t="shared" si="0"/>
        <v>5</v>
      </c>
      <c r="K25" s="8">
        <v>1</v>
      </c>
      <c r="L25" s="88">
        <v>25</v>
      </c>
      <c r="M25" s="49" t="s">
        <v>350</v>
      </c>
    </row>
    <row r="26" spans="1:13" s="5" customFormat="1" ht="89.25" customHeight="1" x14ac:dyDescent="0.2">
      <c r="A26" s="49" t="s">
        <v>696</v>
      </c>
      <c r="B26" s="8" t="s">
        <v>30</v>
      </c>
      <c r="C26" s="8" t="s">
        <v>40</v>
      </c>
      <c r="D26" s="84">
        <v>1</v>
      </c>
      <c r="E26" s="49">
        <v>30</v>
      </c>
      <c r="F26" s="112">
        <v>45973</v>
      </c>
      <c r="G26" s="113">
        <v>0.375</v>
      </c>
      <c r="H26" s="112">
        <v>45971</v>
      </c>
      <c r="I26" s="113">
        <v>0.47916666666666669</v>
      </c>
      <c r="J26" s="87">
        <f t="shared" si="0"/>
        <v>5</v>
      </c>
      <c r="K26" s="8">
        <v>1</v>
      </c>
      <c r="L26" s="88">
        <v>25</v>
      </c>
      <c r="M26" s="49" t="s">
        <v>711</v>
      </c>
    </row>
    <row r="27" spans="1:13" s="5" customFormat="1" ht="87" customHeight="1" x14ac:dyDescent="0.2">
      <c r="A27" s="49" t="s">
        <v>697</v>
      </c>
      <c r="B27" s="8" t="s">
        <v>30</v>
      </c>
      <c r="C27" s="8" t="s">
        <v>40</v>
      </c>
      <c r="D27" s="84">
        <v>1</v>
      </c>
      <c r="E27" s="49">
        <v>30</v>
      </c>
      <c r="F27" s="112">
        <v>45973</v>
      </c>
      <c r="G27" s="113">
        <v>0.375</v>
      </c>
      <c r="H27" s="112">
        <v>45971</v>
      </c>
      <c r="I27" s="113">
        <v>0.5</v>
      </c>
      <c r="J27" s="87">
        <f t="shared" si="0"/>
        <v>5</v>
      </c>
      <c r="K27" s="8">
        <v>1</v>
      </c>
      <c r="L27" s="88">
        <v>25</v>
      </c>
      <c r="M27" s="49" t="s">
        <v>712</v>
      </c>
    </row>
    <row r="28" spans="1:13" s="5" customFormat="1" ht="48.75" customHeight="1" x14ac:dyDescent="0.2">
      <c r="A28" s="49" t="s">
        <v>698</v>
      </c>
      <c r="B28" s="8" t="s">
        <v>30</v>
      </c>
      <c r="C28" s="8" t="s">
        <v>40</v>
      </c>
      <c r="D28" s="84">
        <v>1</v>
      </c>
      <c r="E28" s="49">
        <v>30</v>
      </c>
      <c r="F28" s="112">
        <v>45973</v>
      </c>
      <c r="G28" s="113">
        <v>0.375</v>
      </c>
      <c r="H28" s="112">
        <v>45971</v>
      </c>
      <c r="I28" s="113">
        <v>0.45833333333333331</v>
      </c>
      <c r="J28" s="87">
        <f t="shared" si="0"/>
        <v>5</v>
      </c>
      <c r="K28" s="8">
        <v>1</v>
      </c>
      <c r="L28" s="88">
        <v>25</v>
      </c>
      <c r="M28" s="49" t="s">
        <v>713</v>
      </c>
    </row>
    <row r="29" spans="1:13" s="5" customFormat="1" ht="36.75" customHeight="1" x14ac:dyDescent="0.2">
      <c r="A29" s="49" t="s">
        <v>699</v>
      </c>
      <c r="B29" s="8" t="s">
        <v>136</v>
      </c>
      <c r="C29" s="8" t="s">
        <v>22</v>
      </c>
      <c r="D29" s="84">
        <v>1</v>
      </c>
      <c r="E29" s="49">
        <v>30</v>
      </c>
      <c r="F29" s="112">
        <v>45973</v>
      </c>
      <c r="G29" s="113">
        <v>0.375</v>
      </c>
      <c r="H29" s="112">
        <v>45971</v>
      </c>
      <c r="I29" s="113">
        <v>0.45833333333333331</v>
      </c>
      <c r="J29" s="87">
        <f t="shared" si="0"/>
        <v>7</v>
      </c>
      <c r="K29" s="8">
        <v>2</v>
      </c>
      <c r="L29" s="88">
        <v>23</v>
      </c>
      <c r="M29" s="49" t="s">
        <v>714</v>
      </c>
    </row>
    <row r="30" spans="1:13" s="5" customFormat="1" ht="37.5" customHeight="1" x14ac:dyDescent="0.2">
      <c r="A30" s="49" t="s">
        <v>700</v>
      </c>
      <c r="B30" s="8" t="s">
        <v>136</v>
      </c>
      <c r="C30" s="8" t="s">
        <v>22</v>
      </c>
      <c r="D30" s="84">
        <v>1</v>
      </c>
      <c r="E30" s="49">
        <v>30</v>
      </c>
      <c r="F30" s="112">
        <v>45973</v>
      </c>
      <c r="G30" s="113">
        <v>0.375</v>
      </c>
      <c r="H30" s="112">
        <v>45971</v>
      </c>
      <c r="I30" s="113">
        <v>0.47916666666666669</v>
      </c>
      <c r="J30" s="87">
        <f t="shared" si="0"/>
        <v>5</v>
      </c>
      <c r="K30" s="8">
        <v>1</v>
      </c>
      <c r="L30" s="88">
        <v>25</v>
      </c>
      <c r="M30" s="49" t="s">
        <v>715</v>
      </c>
    </row>
    <row r="31" spans="1:13" s="5" customFormat="1" ht="38.25" customHeight="1" x14ac:dyDescent="0.2">
      <c r="A31" s="49" t="s">
        <v>701</v>
      </c>
      <c r="B31" s="8" t="s">
        <v>36</v>
      </c>
      <c r="C31" s="8" t="s">
        <v>43</v>
      </c>
      <c r="D31" s="84">
        <v>1</v>
      </c>
      <c r="E31" s="49">
        <v>30</v>
      </c>
      <c r="F31" s="112">
        <v>45973</v>
      </c>
      <c r="G31" s="113">
        <v>0.375</v>
      </c>
      <c r="H31" s="112">
        <v>45971</v>
      </c>
      <c r="I31" s="113">
        <v>0.47916666666666669</v>
      </c>
      <c r="J31" s="87">
        <f t="shared" si="0"/>
        <v>5</v>
      </c>
      <c r="K31" s="8">
        <v>2</v>
      </c>
      <c r="L31" s="88">
        <v>25</v>
      </c>
      <c r="M31" s="49" t="s">
        <v>716</v>
      </c>
    </row>
    <row r="32" spans="1:13" s="5" customFormat="1" ht="38.25" customHeight="1" x14ac:dyDescent="0.2">
      <c r="A32" s="49" t="s">
        <v>702</v>
      </c>
      <c r="B32" s="8" t="s">
        <v>36</v>
      </c>
      <c r="C32" s="8" t="s">
        <v>43</v>
      </c>
      <c r="D32" s="84">
        <v>1</v>
      </c>
      <c r="E32" s="49">
        <v>30</v>
      </c>
      <c r="F32" s="112">
        <v>45973</v>
      </c>
      <c r="G32" s="113">
        <v>0.375</v>
      </c>
      <c r="H32" s="112">
        <v>45971</v>
      </c>
      <c r="I32" s="113">
        <v>0.47916666666666669</v>
      </c>
      <c r="J32" s="87">
        <f t="shared" si="0"/>
        <v>5</v>
      </c>
      <c r="K32" s="8">
        <v>1</v>
      </c>
      <c r="L32" s="88">
        <v>25</v>
      </c>
      <c r="M32" s="49" t="s">
        <v>717</v>
      </c>
    </row>
    <row r="33" spans="1:13" s="5" customFormat="1" ht="38.25" customHeight="1" x14ac:dyDescent="0.2">
      <c r="A33" s="49" t="s">
        <v>703</v>
      </c>
      <c r="B33" s="8" t="s">
        <v>42</v>
      </c>
      <c r="C33" s="8" t="s">
        <v>37</v>
      </c>
      <c r="D33" s="84">
        <v>1</v>
      </c>
      <c r="E33" s="49">
        <v>30</v>
      </c>
      <c r="F33" s="112">
        <v>45973</v>
      </c>
      <c r="G33" s="113">
        <v>0.375</v>
      </c>
      <c r="H33" s="112">
        <v>45971</v>
      </c>
      <c r="I33" s="113">
        <v>0.5</v>
      </c>
      <c r="J33" s="87">
        <f t="shared" si="0"/>
        <v>5</v>
      </c>
      <c r="K33" s="8">
        <v>2</v>
      </c>
      <c r="L33" s="88">
        <v>25</v>
      </c>
      <c r="M33" s="49" t="s">
        <v>718</v>
      </c>
    </row>
    <row r="34" spans="1:13" s="5" customFormat="1" ht="55.5" customHeight="1" x14ac:dyDescent="0.2">
      <c r="A34" s="49" t="s">
        <v>704</v>
      </c>
      <c r="B34" s="8" t="s">
        <v>42</v>
      </c>
      <c r="C34" s="8" t="s">
        <v>37</v>
      </c>
      <c r="D34" s="84">
        <v>1</v>
      </c>
      <c r="E34" s="49">
        <v>30</v>
      </c>
      <c r="F34" s="112">
        <v>45973</v>
      </c>
      <c r="G34" s="113">
        <v>0.375</v>
      </c>
      <c r="H34" s="112">
        <v>45971</v>
      </c>
      <c r="I34" s="113">
        <v>0.52083333333333337</v>
      </c>
      <c r="J34" s="87">
        <f t="shared" si="0"/>
        <v>5</v>
      </c>
      <c r="K34" s="8">
        <v>1</v>
      </c>
      <c r="L34" s="88">
        <v>25</v>
      </c>
      <c r="M34" s="49" t="s">
        <v>719</v>
      </c>
    </row>
    <row r="35" spans="1:13" s="5" customFormat="1" ht="55.5" customHeight="1" x14ac:dyDescent="0.2">
      <c r="A35" s="49" t="s">
        <v>705</v>
      </c>
      <c r="B35" s="8" t="s">
        <v>510</v>
      </c>
      <c r="C35" s="8" t="s">
        <v>31</v>
      </c>
      <c r="D35" s="84">
        <v>1</v>
      </c>
      <c r="E35" s="49">
        <v>30</v>
      </c>
      <c r="F35" s="112">
        <v>45973</v>
      </c>
      <c r="G35" s="113">
        <v>0.375</v>
      </c>
      <c r="H35" s="112">
        <v>45971</v>
      </c>
      <c r="I35" s="113">
        <v>0.52083333333333337</v>
      </c>
      <c r="J35" s="87">
        <f t="shared" si="0"/>
        <v>5</v>
      </c>
      <c r="K35" s="8">
        <v>1</v>
      </c>
      <c r="L35" s="88">
        <v>25</v>
      </c>
      <c r="M35" s="49" t="s">
        <v>720</v>
      </c>
    </row>
    <row r="36" spans="1:13" s="5" customFormat="1" ht="57.75" customHeight="1" x14ac:dyDescent="0.2">
      <c r="A36" s="49" t="s">
        <v>706</v>
      </c>
      <c r="B36" s="8" t="s">
        <v>510</v>
      </c>
      <c r="C36" s="8" t="s">
        <v>31</v>
      </c>
      <c r="D36" s="84">
        <v>1</v>
      </c>
      <c r="E36" s="49">
        <v>30</v>
      </c>
      <c r="F36" s="112">
        <v>45973</v>
      </c>
      <c r="G36" s="113">
        <v>0.375</v>
      </c>
      <c r="H36" s="112">
        <v>45971</v>
      </c>
      <c r="I36" s="113">
        <v>0.54166666666666663</v>
      </c>
      <c r="J36" s="87">
        <f t="shared" si="0"/>
        <v>5</v>
      </c>
      <c r="K36" s="8">
        <v>1</v>
      </c>
      <c r="L36" s="88">
        <v>25</v>
      </c>
      <c r="M36" s="49" t="s">
        <v>721</v>
      </c>
    </row>
    <row r="37" spans="1:13" s="5" customFormat="1" ht="42" customHeight="1" x14ac:dyDescent="0.2">
      <c r="A37" s="49" t="s">
        <v>707</v>
      </c>
      <c r="B37" s="8" t="s">
        <v>21</v>
      </c>
      <c r="C37" s="8" t="s">
        <v>34</v>
      </c>
      <c r="D37" s="84">
        <v>1</v>
      </c>
      <c r="E37" s="49">
        <v>30</v>
      </c>
      <c r="F37" s="112">
        <v>45973</v>
      </c>
      <c r="G37" s="113">
        <v>0.375</v>
      </c>
      <c r="H37" s="112">
        <v>45971</v>
      </c>
      <c r="I37" s="113">
        <v>0.52083333333333337</v>
      </c>
      <c r="J37" s="87">
        <f t="shared" si="0"/>
        <v>5</v>
      </c>
      <c r="K37" s="8">
        <v>1</v>
      </c>
      <c r="L37" s="88">
        <v>25</v>
      </c>
      <c r="M37" s="49" t="s">
        <v>722</v>
      </c>
    </row>
    <row r="38" spans="1:13" s="5" customFormat="1" ht="71.25" customHeight="1" x14ac:dyDescent="0.2">
      <c r="A38" s="49" t="s">
        <v>708</v>
      </c>
      <c r="B38" s="8" t="s">
        <v>21</v>
      </c>
      <c r="C38" s="8" t="s">
        <v>34</v>
      </c>
      <c r="D38" s="84">
        <v>1</v>
      </c>
      <c r="E38" s="49">
        <v>30</v>
      </c>
      <c r="F38" s="112">
        <v>45973</v>
      </c>
      <c r="G38" s="113">
        <v>0.375</v>
      </c>
      <c r="H38" s="112">
        <v>45971</v>
      </c>
      <c r="I38" s="113">
        <v>0.54166666666666663</v>
      </c>
      <c r="J38" s="87">
        <f t="shared" si="0"/>
        <v>5</v>
      </c>
      <c r="K38" s="8">
        <v>1</v>
      </c>
      <c r="L38" s="88">
        <v>25</v>
      </c>
      <c r="M38" s="49" t="s">
        <v>723</v>
      </c>
    </row>
    <row r="39" spans="1:13" s="5" customFormat="1" ht="66" customHeight="1" x14ac:dyDescent="0.2">
      <c r="A39" s="49" t="s">
        <v>709</v>
      </c>
      <c r="B39" s="8" t="s">
        <v>21</v>
      </c>
      <c r="C39" s="8" t="s">
        <v>34</v>
      </c>
      <c r="D39" s="84">
        <v>1</v>
      </c>
      <c r="E39" s="49">
        <v>30</v>
      </c>
      <c r="F39" s="112">
        <v>45973</v>
      </c>
      <c r="G39" s="113">
        <v>0.375</v>
      </c>
      <c r="H39" s="112">
        <v>45971</v>
      </c>
      <c r="I39" s="113">
        <v>0.5</v>
      </c>
      <c r="J39" s="87">
        <f t="shared" si="0"/>
        <v>5</v>
      </c>
      <c r="K39" s="8">
        <v>1</v>
      </c>
      <c r="L39" s="88">
        <v>25</v>
      </c>
      <c r="M39" s="49" t="s">
        <v>354</v>
      </c>
    </row>
    <row r="40" spans="1:13" s="5" customFormat="1" ht="56.25" customHeight="1" x14ac:dyDescent="0.2">
      <c r="A40" s="49" t="s">
        <v>565</v>
      </c>
      <c r="B40" s="8" t="s">
        <v>21</v>
      </c>
      <c r="C40" s="8" t="s">
        <v>34</v>
      </c>
      <c r="D40" s="84">
        <v>1</v>
      </c>
      <c r="E40" s="49">
        <v>20</v>
      </c>
      <c r="F40" s="112">
        <v>45973</v>
      </c>
      <c r="G40" s="113">
        <v>0.375</v>
      </c>
      <c r="H40" s="112">
        <v>45972</v>
      </c>
      <c r="I40" s="113">
        <v>0.79166666666666663</v>
      </c>
      <c r="J40" s="87">
        <f t="shared" si="0"/>
        <v>2</v>
      </c>
      <c r="K40" s="8">
        <v>1</v>
      </c>
      <c r="L40" s="8">
        <v>18</v>
      </c>
      <c r="M40" s="49" t="s">
        <v>569</v>
      </c>
    </row>
    <row r="41" spans="1:13" s="5" customFormat="1" ht="63" customHeight="1" x14ac:dyDescent="0.2">
      <c r="A41" s="49" t="s">
        <v>565</v>
      </c>
      <c r="B41" s="8" t="s">
        <v>136</v>
      </c>
      <c r="C41" s="8" t="s">
        <v>40</v>
      </c>
      <c r="D41" s="84">
        <v>1</v>
      </c>
      <c r="E41" s="49">
        <v>20</v>
      </c>
      <c r="F41" s="112">
        <v>45973</v>
      </c>
      <c r="G41" s="113">
        <v>0.375</v>
      </c>
      <c r="H41" s="112">
        <v>45972</v>
      </c>
      <c r="I41" s="113">
        <v>0.79166666666666663</v>
      </c>
      <c r="J41" s="87">
        <f t="shared" si="0"/>
        <v>2</v>
      </c>
      <c r="K41" s="8">
        <v>1</v>
      </c>
      <c r="L41" s="8">
        <v>18</v>
      </c>
      <c r="M41" s="49" t="s">
        <v>569</v>
      </c>
    </row>
    <row r="42" spans="1:13" s="5" customFormat="1" ht="66" customHeight="1" x14ac:dyDescent="0.2">
      <c r="A42" s="106" t="s">
        <v>123</v>
      </c>
      <c r="B42" s="85" t="s">
        <v>42</v>
      </c>
      <c r="C42" s="85" t="s">
        <v>37</v>
      </c>
      <c r="D42" s="49">
        <v>1</v>
      </c>
      <c r="E42" s="49">
        <v>20</v>
      </c>
      <c r="F42" s="85">
        <v>45973</v>
      </c>
      <c r="G42" s="86">
        <v>0.375</v>
      </c>
      <c r="H42" s="85">
        <v>45972</v>
      </c>
      <c r="I42" s="86">
        <v>0.80555555555555558</v>
      </c>
      <c r="J42" s="87">
        <f>E42-L42</f>
        <v>0</v>
      </c>
      <c r="K42" s="8">
        <v>1</v>
      </c>
      <c r="L42" s="88">
        <v>20</v>
      </c>
      <c r="M42" s="93" t="s">
        <v>124</v>
      </c>
    </row>
    <row r="43" spans="1:13" s="5" customFormat="1" ht="58.5" customHeight="1" x14ac:dyDescent="0.2">
      <c r="A43" s="38" t="s">
        <v>123</v>
      </c>
      <c r="B43" s="85" t="s">
        <v>36</v>
      </c>
      <c r="C43" s="85" t="s">
        <v>43</v>
      </c>
      <c r="D43" s="49">
        <v>1</v>
      </c>
      <c r="E43" s="49">
        <v>20</v>
      </c>
      <c r="F43" s="85">
        <v>45973</v>
      </c>
      <c r="G43" s="86">
        <v>0.375</v>
      </c>
      <c r="H43" s="85">
        <v>45972</v>
      </c>
      <c r="I43" s="86">
        <v>0.80555555555555558</v>
      </c>
      <c r="J43" s="87">
        <f t="shared" ref="J43:J64" si="1">E43-L43</f>
        <v>0</v>
      </c>
      <c r="K43" s="8">
        <v>1</v>
      </c>
      <c r="L43" s="88">
        <v>20</v>
      </c>
      <c r="M43" s="93" t="s">
        <v>124</v>
      </c>
    </row>
    <row r="44" spans="1:13" s="5" customFormat="1" ht="57" customHeight="1" x14ac:dyDescent="0.2">
      <c r="A44" s="115" t="s">
        <v>175</v>
      </c>
      <c r="B44" s="115" t="s">
        <v>42</v>
      </c>
      <c r="C44" s="115" t="s">
        <v>37</v>
      </c>
      <c r="D44" s="8">
        <v>1</v>
      </c>
      <c r="E44" s="8">
        <v>30</v>
      </c>
      <c r="F44" s="115">
        <v>45973</v>
      </c>
      <c r="G44" s="86">
        <v>0.375</v>
      </c>
      <c r="H44" s="115">
        <v>45972</v>
      </c>
      <c r="I44" s="121">
        <v>0.83333333333333337</v>
      </c>
      <c r="J44" s="8">
        <f t="shared" si="1"/>
        <v>6</v>
      </c>
      <c r="K44" s="65">
        <v>1</v>
      </c>
      <c r="L44" s="69">
        <v>24</v>
      </c>
      <c r="M44" s="91" t="s">
        <v>176</v>
      </c>
    </row>
    <row r="45" spans="1:13" s="5" customFormat="1" ht="55.5" customHeight="1" x14ac:dyDescent="0.2">
      <c r="A45" s="115" t="s">
        <v>177</v>
      </c>
      <c r="B45" s="115" t="s">
        <v>30</v>
      </c>
      <c r="C45" s="115" t="s">
        <v>40</v>
      </c>
      <c r="D45" s="8">
        <v>1</v>
      </c>
      <c r="E45" s="8">
        <v>30</v>
      </c>
      <c r="F45" s="115">
        <v>45973</v>
      </c>
      <c r="G45" s="86">
        <v>0.375</v>
      </c>
      <c r="H45" s="115">
        <v>45972</v>
      </c>
      <c r="I45" s="121">
        <v>0.83333333333333337</v>
      </c>
      <c r="J45" s="8">
        <f t="shared" si="1"/>
        <v>0</v>
      </c>
      <c r="K45" s="65">
        <v>1</v>
      </c>
      <c r="L45" s="69">
        <v>30</v>
      </c>
      <c r="M45" s="91" t="s">
        <v>178</v>
      </c>
    </row>
    <row r="46" spans="1:13" ht="87" customHeight="1" x14ac:dyDescent="0.2">
      <c r="A46" s="85" t="s">
        <v>179</v>
      </c>
      <c r="B46" s="115" t="s">
        <v>30</v>
      </c>
      <c r="C46" s="115" t="s">
        <v>40</v>
      </c>
      <c r="D46" s="8">
        <v>5</v>
      </c>
      <c r="E46" s="8">
        <v>50</v>
      </c>
      <c r="F46" s="115">
        <v>45973</v>
      </c>
      <c r="G46" s="86">
        <v>0.375</v>
      </c>
      <c r="H46" s="115">
        <v>45972</v>
      </c>
      <c r="I46" s="121">
        <v>0.86805555555555558</v>
      </c>
      <c r="J46" s="8">
        <f t="shared" si="1"/>
        <v>5</v>
      </c>
      <c r="K46" s="65">
        <v>5</v>
      </c>
      <c r="L46" s="69">
        <v>45</v>
      </c>
      <c r="M46" s="91" t="s">
        <v>180</v>
      </c>
    </row>
    <row r="47" spans="1:13" s="5" customFormat="1" ht="56.25" customHeight="1" x14ac:dyDescent="0.2">
      <c r="A47" s="23" t="s">
        <v>146</v>
      </c>
      <c r="B47" s="85" t="s">
        <v>510</v>
      </c>
      <c r="C47" s="90" t="s">
        <v>31</v>
      </c>
      <c r="D47" s="84">
        <v>1</v>
      </c>
      <c r="E47" s="49">
        <v>60</v>
      </c>
      <c r="F47" s="85">
        <v>45973</v>
      </c>
      <c r="G47" s="86">
        <v>0.375</v>
      </c>
      <c r="H47" s="85">
        <v>45972</v>
      </c>
      <c r="I47" s="86">
        <v>0.91666666666666663</v>
      </c>
      <c r="J47" s="87">
        <f t="shared" si="1"/>
        <v>50</v>
      </c>
      <c r="K47" s="8">
        <v>1</v>
      </c>
      <c r="L47" s="88">
        <v>10</v>
      </c>
      <c r="M47" s="91" t="s">
        <v>149</v>
      </c>
    </row>
    <row r="48" spans="1:13" s="5" customFormat="1" ht="67.5" customHeight="1" x14ac:dyDescent="0.2">
      <c r="A48" s="23" t="s">
        <v>146</v>
      </c>
      <c r="B48" s="85" t="s">
        <v>36</v>
      </c>
      <c r="C48" s="90" t="s">
        <v>43</v>
      </c>
      <c r="D48" s="84">
        <v>1</v>
      </c>
      <c r="E48" s="49">
        <v>60</v>
      </c>
      <c r="F48" s="85">
        <v>45973</v>
      </c>
      <c r="G48" s="86">
        <v>0.375</v>
      </c>
      <c r="H48" s="85">
        <v>45972</v>
      </c>
      <c r="I48" s="86">
        <v>0.91666666666666663</v>
      </c>
      <c r="J48" s="87">
        <f t="shared" si="1"/>
        <v>50</v>
      </c>
      <c r="K48" s="8">
        <v>1</v>
      </c>
      <c r="L48" s="88">
        <v>10</v>
      </c>
      <c r="M48" s="91" t="s">
        <v>149</v>
      </c>
    </row>
    <row r="49" spans="1:13" s="5" customFormat="1" ht="69.75" customHeight="1" x14ac:dyDescent="0.2">
      <c r="A49" s="23" t="s">
        <v>146</v>
      </c>
      <c r="B49" s="85" t="s">
        <v>136</v>
      </c>
      <c r="C49" s="90" t="s">
        <v>22</v>
      </c>
      <c r="D49" s="84">
        <v>1</v>
      </c>
      <c r="E49" s="49">
        <v>60</v>
      </c>
      <c r="F49" s="85">
        <v>45973</v>
      </c>
      <c r="G49" s="86">
        <v>0.375</v>
      </c>
      <c r="H49" s="85">
        <v>45972</v>
      </c>
      <c r="I49" s="86">
        <v>0.91666666666666663</v>
      </c>
      <c r="J49" s="87">
        <f t="shared" si="1"/>
        <v>50</v>
      </c>
      <c r="K49" s="8">
        <v>1</v>
      </c>
      <c r="L49" s="88">
        <v>10</v>
      </c>
      <c r="M49" s="91" t="s">
        <v>149</v>
      </c>
    </row>
    <row r="50" spans="1:13" s="5" customFormat="1" ht="61.5" customHeight="1" x14ac:dyDescent="0.2">
      <c r="A50" s="23" t="s">
        <v>146</v>
      </c>
      <c r="B50" s="85" t="s">
        <v>21</v>
      </c>
      <c r="C50" s="90" t="s">
        <v>34</v>
      </c>
      <c r="D50" s="84">
        <v>1</v>
      </c>
      <c r="E50" s="49">
        <v>60</v>
      </c>
      <c r="F50" s="85">
        <v>45973</v>
      </c>
      <c r="G50" s="86">
        <v>0.375</v>
      </c>
      <c r="H50" s="85">
        <v>45972</v>
      </c>
      <c r="I50" s="86">
        <v>0.91666666666666663</v>
      </c>
      <c r="J50" s="87">
        <f t="shared" si="1"/>
        <v>50</v>
      </c>
      <c r="K50" s="8">
        <v>1</v>
      </c>
      <c r="L50" s="88">
        <v>10</v>
      </c>
      <c r="M50" s="91" t="s">
        <v>149</v>
      </c>
    </row>
    <row r="51" spans="1:13" s="5" customFormat="1" ht="56.25" customHeight="1" x14ac:dyDescent="0.2">
      <c r="A51" s="23" t="s">
        <v>146</v>
      </c>
      <c r="B51" s="85" t="s">
        <v>42</v>
      </c>
      <c r="C51" s="90" t="s">
        <v>37</v>
      </c>
      <c r="D51" s="84">
        <v>1</v>
      </c>
      <c r="E51" s="49">
        <v>60</v>
      </c>
      <c r="F51" s="85">
        <v>45973</v>
      </c>
      <c r="G51" s="86">
        <v>0.375</v>
      </c>
      <c r="H51" s="85">
        <v>45972</v>
      </c>
      <c r="I51" s="86">
        <v>0.91666666666666663</v>
      </c>
      <c r="J51" s="87">
        <f t="shared" si="1"/>
        <v>50</v>
      </c>
      <c r="K51" s="8">
        <v>1</v>
      </c>
      <c r="L51" s="88">
        <v>10</v>
      </c>
      <c r="M51" s="91" t="s">
        <v>149</v>
      </c>
    </row>
    <row r="52" spans="1:13" s="5" customFormat="1" ht="97.5" customHeight="1" x14ac:dyDescent="0.2">
      <c r="A52" s="23" t="s">
        <v>146</v>
      </c>
      <c r="B52" s="85" t="s">
        <v>510</v>
      </c>
      <c r="C52" s="90" t="s">
        <v>40</v>
      </c>
      <c r="D52" s="84">
        <v>1</v>
      </c>
      <c r="E52" s="49">
        <v>60</v>
      </c>
      <c r="F52" s="85">
        <v>45973</v>
      </c>
      <c r="G52" s="86">
        <v>0.375</v>
      </c>
      <c r="H52" s="85">
        <v>45972</v>
      </c>
      <c r="I52" s="86">
        <v>0.91666666666666663</v>
      </c>
      <c r="J52" s="87">
        <f t="shared" si="1"/>
        <v>50</v>
      </c>
      <c r="K52" s="8">
        <v>1</v>
      </c>
      <c r="L52" s="88">
        <v>10</v>
      </c>
      <c r="M52" s="91" t="s">
        <v>149</v>
      </c>
    </row>
    <row r="53" spans="1:13" s="5" customFormat="1" ht="75" customHeight="1" x14ac:dyDescent="0.2">
      <c r="A53" s="23" t="s">
        <v>52</v>
      </c>
      <c r="B53" s="90" t="s">
        <v>136</v>
      </c>
      <c r="C53" s="90" t="s">
        <v>22</v>
      </c>
      <c r="D53" s="84">
        <v>1</v>
      </c>
      <c r="E53" s="49">
        <v>30</v>
      </c>
      <c r="F53" s="85">
        <v>45973</v>
      </c>
      <c r="G53" s="86">
        <v>0.375</v>
      </c>
      <c r="H53" s="85">
        <v>45972</v>
      </c>
      <c r="I53" s="86">
        <v>0.91666666666666663</v>
      </c>
      <c r="J53" s="87">
        <f t="shared" si="1"/>
        <v>0</v>
      </c>
      <c r="K53" s="8">
        <v>1</v>
      </c>
      <c r="L53" s="88">
        <v>30</v>
      </c>
      <c r="M53" s="91" t="s">
        <v>53</v>
      </c>
    </row>
    <row r="54" spans="1:13" s="5" customFormat="1" ht="70.5" customHeight="1" x14ac:dyDescent="0.2">
      <c r="A54" s="23" t="s">
        <v>153</v>
      </c>
      <c r="B54" s="90" t="s">
        <v>42</v>
      </c>
      <c r="C54" s="90" t="s">
        <v>37</v>
      </c>
      <c r="D54" s="84">
        <v>1</v>
      </c>
      <c r="E54" s="5">
        <v>30</v>
      </c>
      <c r="F54" s="85">
        <v>45973</v>
      </c>
      <c r="G54" s="86">
        <v>0.375</v>
      </c>
      <c r="H54" s="85">
        <v>45972</v>
      </c>
      <c r="I54" s="86">
        <v>0.91666666666666663</v>
      </c>
      <c r="J54" s="87">
        <f t="shared" si="1"/>
        <v>0</v>
      </c>
      <c r="K54" s="8">
        <v>1</v>
      </c>
      <c r="L54" s="88">
        <v>30</v>
      </c>
      <c r="M54" s="91" t="s">
        <v>53</v>
      </c>
    </row>
    <row r="55" spans="1:13" s="5" customFormat="1" ht="73.5" customHeight="1" x14ac:dyDescent="0.2">
      <c r="A55" s="23" t="s">
        <v>79</v>
      </c>
      <c r="B55" s="85" t="s">
        <v>42</v>
      </c>
      <c r="C55" s="90" t="s">
        <v>37</v>
      </c>
      <c r="D55" s="84">
        <v>1</v>
      </c>
      <c r="E55" s="49">
        <v>45</v>
      </c>
      <c r="F55" s="85">
        <v>45973</v>
      </c>
      <c r="G55" s="86">
        <v>0.375</v>
      </c>
      <c r="H55" s="85">
        <v>45972</v>
      </c>
      <c r="I55" s="86">
        <v>0.9375</v>
      </c>
      <c r="J55" s="87">
        <f t="shared" si="1"/>
        <v>-35</v>
      </c>
      <c r="K55" s="8">
        <v>1</v>
      </c>
      <c r="L55" s="88">
        <v>80</v>
      </c>
      <c r="M55" s="91" t="s">
        <v>81</v>
      </c>
    </row>
    <row r="56" spans="1:13" s="5" customFormat="1" ht="66.75" customHeight="1" x14ac:dyDescent="0.2">
      <c r="A56" s="23" t="s">
        <v>85</v>
      </c>
      <c r="B56" s="85" t="s">
        <v>136</v>
      </c>
      <c r="C56" s="90" t="s">
        <v>22</v>
      </c>
      <c r="D56" s="84">
        <v>1</v>
      </c>
      <c r="E56" s="49">
        <v>60</v>
      </c>
      <c r="F56" s="85">
        <v>45973</v>
      </c>
      <c r="G56" s="86">
        <v>0.375</v>
      </c>
      <c r="H56" s="85">
        <v>45972</v>
      </c>
      <c r="I56" s="86">
        <v>0.9375</v>
      </c>
      <c r="J56" s="87">
        <f t="shared" si="1"/>
        <v>10</v>
      </c>
      <c r="K56" s="8">
        <v>1</v>
      </c>
      <c r="L56" s="88">
        <v>50</v>
      </c>
      <c r="M56" s="91" t="s">
        <v>87</v>
      </c>
    </row>
    <row r="57" spans="1:13" s="5" customFormat="1" ht="55.5" customHeight="1" x14ac:dyDescent="0.2">
      <c r="A57" s="23" t="s">
        <v>88</v>
      </c>
      <c r="B57" s="85" t="s">
        <v>136</v>
      </c>
      <c r="C57" s="85" t="s">
        <v>22</v>
      </c>
      <c r="D57" s="84">
        <v>1</v>
      </c>
      <c r="E57" s="49">
        <v>55</v>
      </c>
      <c r="F57" s="85">
        <v>45973</v>
      </c>
      <c r="G57" s="86">
        <v>0.375</v>
      </c>
      <c r="H57" s="85">
        <v>45972</v>
      </c>
      <c r="I57" s="86">
        <v>0.9375</v>
      </c>
      <c r="J57" s="87">
        <f t="shared" si="1"/>
        <v>0</v>
      </c>
      <c r="K57" s="8">
        <v>1</v>
      </c>
      <c r="L57" s="88">
        <v>55</v>
      </c>
      <c r="M57" s="91" t="s">
        <v>89</v>
      </c>
    </row>
    <row r="58" spans="1:13" s="5" customFormat="1" ht="59.25" customHeight="1" x14ac:dyDescent="0.2">
      <c r="A58" s="33" t="s">
        <v>131</v>
      </c>
      <c r="B58" s="85" t="s">
        <v>42</v>
      </c>
      <c r="C58" s="85" t="s">
        <v>37</v>
      </c>
      <c r="D58" s="49">
        <v>1</v>
      </c>
      <c r="E58" s="49">
        <v>30</v>
      </c>
      <c r="F58" s="85">
        <v>45973</v>
      </c>
      <c r="G58" s="86">
        <v>0.375</v>
      </c>
      <c r="H58" s="85">
        <v>45972</v>
      </c>
      <c r="I58" s="86">
        <v>0.9375</v>
      </c>
      <c r="J58" s="87">
        <f t="shared" si="1"/>
        <v>-2</v>
      </c>
      <c r="K58" s="8">
        <v>1</v>
      </c>
      <c r="L58" s="88">
        <v>32</v>
      </c>
      <c r="M58" s="91" t="s">
        <v>132</v>
      </c>
    </row>
    <row r="59" spans="1:13" s="5" customFormat="1" ht="53.25" customHeight="1" x14ac:dyDescent="0.2">
      <c r="A59" s="33" t="s">
        <v>131</v>
      </c>
      <c r="B59" s="85" t="s">
        <v>36</v>
      </c>
      <c r="C59" s="85" t="s">
        <v>43</v>
      </c>
      <c r="D59" s="49">
        <v>1</v>
      </c>
      <c r="E59" s="49">
        <v>30</v>
      </c>
      <c r="F59" s="85">
        <v>45973</v>
      </c>
      <c r="G59" s="86">
        <v>0.375</v>
      </c>
      <c r="H59" s="85">
        <v>45972</v>
      </c>
      <c r="I59" s="86">
        <v>0.9375</v>
      </c>
      <c r="J59" s="87">
        <f t="shared" si="1"/>
        <v>-2</v>
      </c>
      <c r="K59" s="8">
        <v>1</v>
      </c>
      <c r="L59" s="88">
        <v>32</v>
      </c>
      <c r="M59" s="91" t="s">
        <v>132</v>
      </c>
    </row>
    <row r="60" spans="1:13" s="5" customFormat="1" ht="63.75" customHeight="1" x14ac:dyDescent="0.2">
      <c r="A60" s="33" t="s">
        <v>131</v>
      </c>
      <c r="B60" s="85" t="s">
        <v>510</v>
      </c>
      <c r="C60" s="85" t="s">
        <v>31</v>
      </c>
      <c r="D60" s="49">
        <v>1</v>
      </c>
      <c r="E60" s="49">
        <v>30</v>
      </c>
      <c r="F60" s="85">
        <v>45973</v>
      </c>
      <c r="G60" s="86">
        <v>0.375</v>
      </c>
      <c r="H60" s="85">
        <v>45972</v>
      </c>
      <c r="I60" s="86">
        <v>0.9375</v>
      </c>
      <c r="J60" s="87">
        <f t="shared" si="1"/>
        <v>-2</v>
      </c>
      <c r="K60" s="8">
        <v>1</v>
      </c>
      <c r="L60" s="88">
        <v>32</v>
      </c>
      <c r="M60" s="91" t="s">
        <v>132</v>
      </c>
    </row>
    <row r="61" spans="1:13" s="5" customFormat="1" ht="57.75" customHeight="1" x14ac:dyDescent="0.2">
      <c r="A61" s="33" t="s">
        <v>131</v>
      </c>
      <c r="B61" s="85" t="s">
        <v>136</v>
      </c>
      <c r="C61" s="85" t="s">
        <v>22</v>
      </c>
      <c r="D61" s="49">
        <v>1</v>
      </c>
      <c r="E61" s="49">
        <v>30</v>
      </c>
      <c r="F61" s="85">
        <v>45973</v>
      </c>
      <c r="G61" s="86">
        <v>0.375</v>
      </c>
      <c r="H61" s="85">
        <v>45972</v>
      </c>
      <c r="I61" s="86">
        <v>0.9375</v>
      </c>
      <c r="J61" s="87">
        <f t="shared" si="1"/>
        <v>-2</v>
      </c>
      <c r="K61" s="8">
        <v>1</v>
      </c>
      <c r="L61" s="88">
        <v>32</v>
      </c>
      <c r="M61" s="91" t="s">
        <v>132</v>
      </c>
    </row>
    <row r="62" spans="1:13" s="5" customFormat="1" ht="63" customHeight="1" x14ac:dyDescent="0.2">
      <c r="A62" s="33" t="s">
        <v>131</v>
      </c>
      <c r="B62" s="85" t="s">
        <v>21</v>
      </c>
      <c r="C62" s="85" t="s">
        <v>34</v>
      </c>
      <c r="D62" s="49">
        <v>1</v>
      </c>
      <c r="E62" s="49">
        <v>30</v>
      </c>
      <c r="F62" s="85">
        <v>45973</v>
      </c>
      <c r="G62" s="86">
        <v>0.375</v>
      </c>
      <c r="H62" s="85">
        <v>45972</v>
      </c>
      <c r="I62" s="86">
        <v>0.9375</v>
      </c>
      <c r="J62" s="87">
        <f t="shared" si="1"/>
        <v>-2</v>
      </c>
      <c r="K62" s="8">
        <v>1</v>
      </c>
      <c r="L62" s="88">
        <v>32</v>
      </c>
      <c r="M62" s="91" t="s">
        <v>132</v>
      </c>
    </row>
    <row r="63" spans="1:13" s="5" customFormat="1" ht="71.25" customHeight="1" x14ac:dyDescent="0.2">
      <c r="A63" s="33" t="s">
        <v>131</v>
      </c>
      <c r="B63" s="85" t="s">
        <v>30</v>
      </c>
      <c r="C63" s="85" t="s">
        <v>40</v>
      </c>
      <c r="D63" s="49">
        <v>1</v>
      </c>
      <c r="E63" s="49">
        <v>30</v>
      </c>
      <c r="F63" s="85">
        <v>45973</v>
      </c>
      <c r="G63" s="86">
        <v>0.375</v>
      </c>
      <c r="H63" s="85">
        <v>45972</v>
      </c>
      <c r="I63" s="86">
        <v>0.9375</v>
      </c>
      <c r="J63" s="87">
        <f t="shared" si="1"/>
        <v>-2</v>
      </c>
      <c r="K63" s="8">
        <v>1</v>
      </c>
      <c r="L63" s="88">
        <v>32</v>
      </c>
      <c r="M63" s="91" t="s">
        <v>132</v>
      </c>
    </row>
    <row r="64" spans="1:13" s="5" customFormat="1" ht="78.75" customHeight="1" x14ac:dyDescent="0.2">
      <c r="A64" s="33" t="s">
        <v>133</v>
      </c>
      <c r="B64" s="85" t="s">
        <v>136</v>
      </c>
      <c r="C64" s="85" t="s">
        <v>22</v>
      </c>
      <c r="D64" s="49">
        <v>3</v>
      </c>
      <c r="E64" s="49">
        <v>20</v>
      </c>
      <c r="F64" s="85">
        <v>45973</v>
      </c>
      <c r="G64" s="86">
        <v>0.375</v>
      </c>
      <c r="H64" s="85">
        <v>45973</v>
      </c>
      <c r="I64" s="86">
        <v>0.375</v>
      </c>
      <c r="J64" s="87">
        <f t="shared" si="1"/>
        <v>5</v>
      </c>
      <c r="K64" s="8">
        <v>3</v>
      </c>
      <c r="L64" s="88">
        <v>15</v>
      </c>
      <c r="M64" s="91" t="s">
        <v>134</v>
      </c>
    </row>
    <row r="65" spans="1:13" s="5" customFormat="1" ht="66.75" customHeigh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s="5" customFormat="1" ht="72.75" customHeight="1" x14ac:dyDescent="0.2">
      <c r="A66" s="70" t="s">
        <v>210</v>
      </c>
      <c r="B66" t="s">
        <v>215</v>
      </c>
      <c r="C66" t="s">
        <v>214</v>
      </c>
      <c r="D66" t="s">
        <v>212</v>
      </c>
      <c r="E66" t="s">
        <v>213</v>
      </c>
      <c r="F66" s="4"/>
      <c r="G66" s="4"/>
      <c r="H66" s="4"/>
      <c r="I66" s="3"/>
      <c r="J66" s="3"/>
      <c r="K66" s="2"/>
      <c r="L66" s="1"/>
      <c r="M66" s="1"/>
    </row>
    <row r="67" spans="1:13" s="5" customFormat="1" ht="40.5" customHeight="1" x14ac:dyDescent="0.2">
      <c r="A67" s="71" t="s">
        <v>36</v>
      </c>
      <c r="B67">
        <v>7</v>
      </c>
      <c r="C67">
        <v>230</v>
      </c>
      <c r="D67">
        <v>162</v>
      </c>
      <c r="E67">
        <v>8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38.25" customHeight="1" x14ac:dyDescent="0.2">
      <c r="A68" s="71" t="s">
        <v>510</v>
      </c>
      <c r="B68">
        <v>10</v>
      </c>
      <c r="C68">
        <v>360</v>
      </c>
      <c r="D68">
        <v>227</v>
      </c>
      <c r="E68">
        <v>10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38.25" customHeight="1" x14ac:dyDescent="0.2">
      <c r="A69" s="71" t="s">
        <v>21</v>
      </c>
      <c r="B69">
        <v>10</v>
      </c>
      <c r="C69">
        <v>320</v>
      </c>
      <c r="D69">
        <v>235</v>
      </c>
      <c r="E69">
        <v>10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67.5" customHeight="1" x14ac:dyDescent="0.2">
      <c r="A70" s="71" t="s">
        <v>136</v>
      </c>
      <c r="B70">
        <v>14</v>
      </c>
      <c r="C70">
        <v>425</v>
      </c>
      <c r="D70">
        <v>333</v>
      </c>
      <c r="E70">
        <v>15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53.25" customHeight="1" x14ac:dyDescent="0.2">
      <c r="A71" s="71" t="s">
        <v>42</v>
      </c>
      <c r="B71">
        <v>11</v>
      </c>
      <c r="C71">
        <v>365</v>
      </c>
      <c r="D71">
        <v>321</v>
      </c>
      <c r="E71">
        <v>12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41.25" customHeight="1" x14ac:dyDescent="0.2">
      <c r="A72" s="71" t="s">
        <v>30</v>
      </c>
      <c r="B72">
        <v>11</v>
      </c>
      <c r="C72">
        <v>230</v>
      </c>
      <c r="D72">
        <v>207</v>
      </c>
      <c r="E72">
        <v>11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42.75" customHeight="1" x14ac:dyDescent="0.2">
      <c r="A73" s="71" t="s">
        <v>211</v>
      </c>
      <c r="B73">
        <v>63</v>
      </c>
      <c r="C73">
        <v>1930</v>
      </c>
      <c r="D73">
        <v>1485</v>
      </c>
      <c r="E73">
        <v>66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7.5" customHeight="1" x14ac:dyDescent="0.2">
      <c r="A74"/>
      <c r="B74"/>
      <c r="C74"/>
      <c r="D74"/>
      <c r="E74"/>
      <c r="F74" s="4"/>
      <c r="G74" s="4"/>
      <c r="H74" s="4"/>
      <c r="I74" s="3"/>
      <c r="J74" s="3"/>
      <c r="K74" s="2"/>
      <c r="L74" s="1"/>
      <c r="M74" s="1"/>
    </row>
    <row r="75" spans="1:13" s="5" customFormat="1" ht="39.75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44.25" customHeight="1" x14ac:dyDescent="0.2">
      <c r="A76"/>
      <c r="B76"/>
      <c r="C76"/>
      <c r="D76"/>
      <c r="E76"/>
      <c r="F76" s="4"/>
      <c r="G76" s="4"/>
      <c r="H76" s="4"/>
      <c r="I76" s="3"/>
      <c r="J76" s="3"/>
      <c r="K76" s="2"/>
      <c r="L76" s="1"/>
      <c r="M76" s="1"/>
    </row>
    <row r="77" spans="1:13" s="5" customFormat="1" ht="44.25" customHeight="1" x14ac:dyDescent="0.2">
      <c r="A77"/>
      <c r="B77"/>
      <c r="C77"/>
      <c r="D77"/>
      <c r="E77"/>
      <c r="F77" s="4"/>
      <c r="G77" s="4"/>
      <c r="H77" s="4"/>
      <c r="I77" s="3"/>
      <c r="J77" s="3"/>
      <c r="K77" s="2"/>
      <c r="L77" s="1"/>
      <c r="M77" s="1"/>
    </row>
    <row r="78" spans="1:13" s="5" customFormat="1" ht="36.6" customHeight="1" x14ac:dyDescent="0.2">
      <c r="A78"/>
      <c r="B78"/>
      <c r="C78"/>
      <c r="D78"/>
      <c r="E78"/>
      <c r="F78" s="4"/>
      <c r="G78" s="4"/>
      <c r="H78" s="4"/>
      <c r="I78" s="3"/>
      <c r="J78" s="3"/>
      <c r="K78" s="2"/>
      <c r="L78" s="1"/>
      <c r="M78" s="1"/>
    </row>
    <row r="79" spans="1:13" s="5" customFormat="1" ht="36.6" customHeight="1" x14ac:dyDescent="0.2">
      <c r="A79"/>
      <c r="B79"/>
      <c r="C79"/>
      <c r="D79"/>
      <c r="E79"/>
      <c r="F79" s="4"/>
      <c r="G79" s="4"/>
      <c r="H79" s="4"/>
      <c r="I79" s="3"/>
      <c r="J79" s="3"/>
      <c r="K79" s="2"/>
      <c r="L79" s="1"/>
      <c r="M79" s="1"/>
    </row>
    <row r="80" spans="1:13" s="5" customFormat="1" ht="44.25" customHeight="1" x14ac:dyDescent="0.2">
      <c r="A80"/>
      <c r="B80"/>
      <c r="C80"/>
      <c r="D80"/>
      <c r="E80"/>
      <c r="F80" s="4"/>
      <c r="G80" s="4"/>
      <c r="H80" s="4"/>
      <c r="I80" s="3"/>
      <c r="J80" s="3"/>
      <c r="K80" s="2"/>
      <c r="L80" s="1"/>
      <c r="M80" s="1"/>
    </row>
    <row r="81" spans="1:13" s="5" customFormat="1" ht="46.5" customHeigh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s="5" customFormat="1" ht="48" customHeigh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49.5" customHeight="1" x14ac:dyDescent="0.2">
      <c r="A83"/>
      <c r="B83"/>
      <c r="C83"/>
      <c r="D83"/>
      <c r="E83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/>
      <c r="E84"/>
      <c r="F84" s="4"/>
      <c r="G84" s="4"/>
      <c r="H84" s="4"/>
      <c r="I84" s="3"/>
      <c r="J84" s="3"/>
      <c r="K84" s="2"/>
      <c r="L84" s="1"/>
      <c r="M84" s="1"/>
    </row>
    <row r="85" spans="1:13" s="5" customFormat="1" ht="35.450000000000003" customHeight="1" x14ac:dyDescent="0.2">
      <c r="A85"/>
      <c r="B85"/>
      <c r="C85"/>
      <c r="D85"/>
      <c r="E85"/>
      <c r="F85" s="4"/>
      <c r="G85" s="4"/>
      <c r="H85" s="4"/>
      <c r="I85" s="3"/>
      <c r="J85" s="3"/>
      <c r="K85" s="2"/>
      <c r="L85" s="1"/>
      <c r="M85" s="1"/>
    </row>
    <row r="86" spans="1:13" s="5" customFormat="1" ht="35.450000000000003" customHeight="1" x14ac:dyDescent="0.2">
      <c r="A86"/>
      <c r="B86"/>
      <c r="C86"/>
      <c r="D86"/>
      <c r="E86"/>
      <c r="F86" s="4"/>
      <c r="G86" s="4"/>
      <c r="H86" s="4"/>
      <c r="I86" s="3"/>
      <c r="J86" s="3"/>
      <c r="K86" s="2"/>
      <c r="L86" s="1"/>
      <c r="M86" s="1"/>
    </row>
    <row r="87" spans="1:13" s="5" customFormat="1" ht="35.450000000000003" customHeight="1" x14ac:dyDescent="0.2">
      <c r="A87"/>
      <c r="B87"/>
      <c r="C87"/>
      <c r="D87"/>
      <c r="E87"/>
      <c r="F87" s="4"/>
      <c r="G87" s="4"/>
      <c r="H87" s="4"/>
      <c r="I87" s="3"/>
      <c r="J87" s="3"/>
      <c r="K87" s="2"/>
      <c r="L87" s="1"/>
      <c r="M87" s="1"/>
    </row>
    <row r="88" spans="1:13" s="5" customFormat="1" ht="44.25" customHeight="1" x14ac:dyDescent="0.2">
      <c r="A88"/>
      <c r="B88"/>
      <c r="C88"/>
      <c r="D88"/>
      <c r="E88"/>
      <c r="F88" s="4"/>
      <c r="G88" s="4"/>
      <c r="H88" s="4"/>
      <c r="I88" s="3"/>
      <c r="J88" s="3"/>
      <c r="K88" s="2"/>
      <c r="L88" s="1"/>
      <c r="M88" s="1"/>
    </row>
    <row r="89" spans="1:13" s="5" customFormat="1" ht="43.5" customHeight="1" x14ac:dyDescent="0.2">
      <c r="A89"/>
      <c r="B89"/>
      <c r="C89"/>
      <c r="D89"/>
      <c r="E89"/>
      <c r="F89" s="4"/>
      <c r="G89" s="4"/>
      <c r="H89" s="4"/>
      <c r="I89" s="3"/>
      <c r="J89" s="3"/>
      <c r="K89" s="2"/>
      <c r="L89" s="1"/>
      <c r="M89" s="1"/>
    </row>
    <row r="90" spans="1:13" s="5" customFormat="1" ht="44.25" customHeight="1" x14ac:dyDescent="0.2">
      <c r="A90"/>
      <c r="B90"/>
      <c r="C90"/>
      <c r="D90"/>
      <c r="E90"/>
      <c r="F90" s="4"/>
      <c r="G90" s="4"/>
      <c r="H90" s="4"/>
      <c r="I90" s="3"/>
      <c r="J90" s="3"/>
      <c r="K90" s="2"/>
      <c r="L90" s="1"/>
      <c r="M90" s="1"/>
    </row>
    <row r="91" spans="1:13" s="5" customFormat="1" ht="35.450000000000003" customHeight="1" x14ac:dyDescent="0.2">
      <c r="A91"/>
      <c r="B91"/>
      <c r="C91"/>
      <c r="D91"/>
      <c r="E91"/>
      <c r="F91" s="4"/>
      <c r="G91" s="4"/>
      <c r="H91" s="4"/>
      <c r="I91" s="3"/>
      <c r="J91" s="3"/>
      <c r="K91" s="2"/>
      <c r="L91" s="1"/>
      <c r="M91" s="1"/>
    </row>
    <row r="92" spans="1:13" s="5" customFormat="1" ht="37.5" customHeight="1" x14ac:dyDescent="0.2">
      <c r="A92"/>
      <c r="B92"/>
      <c r="C92"/>
      <c r="D92"/>
      <c r="E92"/>
      <c r="F92" s="4"/>
      <c r="G92" s="4"/>
      <c r="H92" s="4"/>
      <c r="I92" s="3"/>
      <c r="J92" s="3"/>
      <c r="K92" s="2"/>
      <c r="L92" s="1"/>
      <c r="M92" s="1"/>
    </row>
    <row r="93" spans="1:13" ht="31.5" customHeight="1" x14ac:dyDescent="0.2">
      <c r="A93"/>
      <c r="B93"/>
      <c r="C93"/>
      <c r="D93"/>
      <c r="E93"/>
    </row>
    <row r="94" spans="1:13" ht="46.5" customHeight="1" x14ac:dyDescent="0.2">
      <c r="A94"/>
      <c r="B94"/>
      <c r="C94"/>
      <c r="D94"/>
      <c r="E94"/>
    </row>
    <row r="95" spans="1:13" ht="29.25" customHeight="1" x14ac:dyDescent="0.2">
      <c r="A95"/>
      <c r="B95"/>
      <c r="C95"/>
      <c r="D95"/>
      <c r="E95"/>
    </row>
    <row r="96" spans="1:13" ht="33.75" customHeight="1" x14ac:dyDescent="0.2">
      <c r="A96"/>
      <c r="B96"/>
      <c r="C96"/>
      <c r="D96"/>
      <c r="E96"/>
    </row>
    <row r="97" spans="1:5" ht="45" customHeight="1" x14ac:dyDescent="0.2">
      <c r="A97"/>
      <c r="B97"/>
      <c r="C97"/>
      <c r="D97"/>
      <c r="E97"/>
    </row>
    <row r="98" spans="1:5" ht="46.5" customHeight="1" x14ac:dyDescent="0.2">
      <c r="A98"/>
      <c r="B98"/>
      <c r="C98"/>
      <c r="D98"/>
      <c r="E98"/>
    </row>
    <row r="99" spans="1:5" ht="39.75" customHeight="1" x14ac:dyDescent="0.2">
      <c r="A99"/>
      <c r="B99"/>
      <c r="C99"/>
      <c r="D99"/>
      <c r="E99"/>
    </row>
    <row r="100" spans="1:5" ht="31.5" customHeight="1" x14ac:dyDescent="0.2">
      <c r="A100"/>
      <c r="B100"/>
      <c r="C100"/>
      <c r="D100"/>
      <c r="E100"/>
    </row>
    <row r="101" spans="1:5" ht="39.75" customHeight="1" x14ac:dyDescent="0.2">
      <c r="A101"/>
      <c r="B101"/>
      <c r="C101"/>
      <c r="D101"/>
      <c r="E101"/>
    </row>
    <row r="102" spans="1:5" ht="42" customHeight="1" x14ac:dyDescent="0.2">
      <c r="A102"/>
      <c r="B102"/>
      <c r="C102"/>
      <c r="D102"/>
      <c r="E102"/>
    </row>
    <row r="103" spans="1:5" ht="33" customHeight="1" x14ac:dyDescent="0.2">
      <c r="A103"/>
      <c r="B103"/>
      <c r="C103"/>
      <c r="D103"/>
      <c r="E103"/>
    </row>
    <row r="104" spans="1:5" ht="40.5" customHeight="1" x14ac:dyDescent="0.2">
      <c r="A104"/>
      <c r="B104"/>
      <c r="C104"/>
      <c r="D104"/>
      <c r="E104"/>
    </row>
    <row r="105" spans="1:5" ht="42" customHeight="1" x14ac:dyDescent="0.2">
      <c r="A105"/>
      <c r="B105"/>
      <c r="C105"/>
      <c r="D105"/>
      <c r="E105"/>
    </row>
    <row r="106" spans="1:5" ht="51" customHeight="1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20" x14ac:dyDescent="0.2">
      <c r="A113"/>
      <c r="B113"/>
      <c r="C113"/>
      <c r="D113"/>
      <c r="E113"/>
    </row>
    <row r="114" spans="1:20" x14ac:dyDescent="0.2">
      <c r="A114"/>
      <c r="B114"/>
      <c r="C114"/>
      <c r="D114"/>
      <c r="E114"/>
    </row>
    <row r="115" spans="1:20" x14ac:dyDescent="0.2">
      <c r="A115"/>
      <c r="B115"/>
      <c r="C115"/>
      <c r="D115"/>
      <c r="E115"/>
    </row>
    <row r="116" spans="1:20" x14ac:dyDescent="0.2">
      <c r="A116"/>
      <c r="B116"/>
      <c r="C116"/>
      <c r="D116"/>
      <c r="E116"/>
    </row>
    <row r="117" spans="1:20" x14ac:dyDescent="0.2">
      <c r="A117"/>
      <c r="B117"/>
      <c r="C117"/>
      <c r="D117"/>
      <c r="E117"/>
    </row>
    <row r="118" spans="1:20" x14ac:dyDescent="0.2">
      <c r="A118"/>
      <c r="B118"/>
      <c r="C118"/>
      <c r="D118"/>
      <c r="E118"/>
    </row>
    <row r="119" spans="1:20" x14ac:dyDescent="0.2">
      <c r="A119"/>
      <c r="B119"/>
      <c r="C119"/>
      <c r="D119"/>
      <c r="E119"/>
    </row>
    <row r="120" spans="1:20" x14ac:dyDescent="0.2">
      <c r="A120"/>
      <c r="B120"/>
      <c r="C120"/>
      <c r="D120"/>
      <c r="E120"/>
    </row>
    <row r="121" spans="1:20" s="4" customFormat="1" ht="30" customHeight="1" x14ac:dyDescent="0.2">
      <c r="A121"/>
      <c r="B121"/>
      <c r="C121"/>
      <c r="D121"/>
      <c r="E121"/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23.25" customHeight="1" x14ac:dyDescent="0.2">
      <c r="A122"/>
      <c r="B122"/>
      <c r="C122"/>
      <c r="D122"/>
      <c r="E122"/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x14ac:dyDescent="0.2">
      <c r="A123"/>
      <c r="B123"/>
      <c r="C123"/>
      <c r="D123"/>
      <c r="E123"/>
    </row>
    <row r="124" spans="1:20" x14ac:dyDescent="0.2">
      <c r="A124"/>
      <c r="B124"/>
      <c r="C124"/>
      <c r="D124"/>
      <c r="E124"/>
    </row>
    <row r="125" spans="1:20" x14ac:dyDescent="0.2">
      <c r="A125"/>
      <c r="B125"/>
      <c r="C125"/>
      <c r="D125"/>
      <c r="E125"/>
    </row>
    <row r="126" spans="1:20" x14ac:dyDescent="0.2">
      <c r="A126"/>
      <c r="B126"/>
      <c r="C126"/>
      <c r="D126"/>
      <c r="E126"/>
    </row>
    <row r="127" spans="1:20" x14ac:dyDescent="0.2">
      <c r="A127"/>
      <c r="B127"/>
      <c r="C127"/>
      <c r="D127"/>
      <c r="E127"/>
    </row>
    <row r="128" spans="1:20" x14ac:dyDescent="0.2">
      <c r="A128"/>
      <c r="B128"/>
      <c r="C128"/>
      <c r="D128"/>
      <c r="E128"/>
    </row>
    <row r="129" spans="1:20" s="5" customFormat="1" ht="12" customHeight="1" x14ac:dyDescent="0.2">
      <c r="A129"/>
      <c r="B129"/>
      <c r="C129"/>
      <c r="D129"/>
      <c r="E129"/>
      <c r="F129" s="4"/>
      <c r="G129" s="4"/>
      <c r="H129" s="4"/>
      <c r="I129" s="3"/>
      <c r="J129" s="3"/>
      <c r="K129" s="2"/>
      <c r="L129" s="1"/>
      <c r="M129" s="1"/>
    </row>
    <row r="130" spans="1:20" x14ac:dyDescent="0.2">
      <c r="A130"/>
      <c r="B130"/>
      <c r="C130"/>
      <c r="D130"/>
      <c r="E130"/>
    </row>
    <row r="131" spans="1:20" x14ac:dyDescent="0.2">
      <c r="A131"/>
      <c r="B131"/>
      <c r="C131"/>
      <c r="D131"/>
      <c r="E131"/>
    </row>
    <row r="132" spans="1:20" x14ac:dyDescent="0.2">
      <c r="A132"/>
      <c r="B132"/>
      <c r="C132"/>
      <c r="D132"/>
      <c r="E132"/>
    </row>
    <row r="133" spans="1:20" x14ac:dyDescent="0.2">
      <c r="A133"/>
      <c r="B133"/>
      <c r="C133"/>
      <c r="D133"/>
      <c r="E133"/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>
      <c r="A134"/>
      <c r="B134"/>
      <c r="C134"/>
      <c r="D134"/>
      <c r="E134"/>
    </row>
    <row r="135" spans="1:20" ht="36.75" customHeight="1" x14ac:dyDescent="0.2">
      <c r="A135"/>
      <c r="B135"/>
      <c r="C135"/>
      <c r="D135"/>
      <c r="E135"/>
    </row>
    <row r="136" spans="1:20" ht="33.75" customHeight="1" x14ac:dyDescent="0.2">
      <c r="A136"/>
      <c r="B136"/>
      <c r="C136"/>
      <c r="D136"/>
      <c r="E136"/>
    </row>
    <row r="137" spans="1:20" ht="26.25" customHeight="1" x14ac:dyDescent="0.2">
      <c r="A137"/>
      <c r="B137"/>
      <c r="C137"/>
      <c r="D137"/>
      <c r="E137"/>
    </row>
    <row r="138" spans="1:20" ht="27.75" customHeight="1" x14ac:dyDescent="0.2">
      <c r="A138"/>
      <c r="B138"/>
      <c r="C138"/>
      <c r="D138"/>
      <c r="E138"/>
    </row>
    <row r="139" spans="1:20" s="4" customFormat="1" ht="40.5" customHeight="1" x14ac:dyDescent="0.2">
      <c r="A139"/>
      <c r="B139"/>
      <c r="C139"/>
      <c r="D139"/>
      <c r="E139"/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  <row r="140" spans="1:20" x14ac:dyDescent="0.2">
      <c r="A140"/>
      <c r="B140"/>
      <c r="C140"/>
      <c r="D140"/>
      <c r="E140"/>
    </row>
    <row r="141" spans="1:20" x14ac:dyDescent="0.2">
      <c r="A141"/>
      <c r="B141"/>
      <c r="C141"/>
      <c r="D141"/>
      <c r="E141"/>
    </row>
    <row r="142" spans="1:20" x14ac:dyDescent="0.2">
      <c r="A142"/>
      <c r="B142"/>
      <c r="C142"/>
      <c r="D142"/>
      <c r="E142"/>
    </row>
    <row r="143" spans="1:20" x14ac:dyDescent="0.2">
      <c r="A143"/>
      <c r="B143"/>
      <c r="C143"/>
      <c r="D143"/>
      <c r="E143"/>
    </row>
    <row r="144" spans="1:20" x14ac:dyDescent="0.2">
      <c r="A144"/>
      <c r="B144"/>
      <c r="C144"/>
      <c r="D144"/>
      <c r="E144"/>
    </row>
    <row r="145" spans="1:5" x14ac:dyDescent="0.2">
      <c r="A145"/>
      <c r="B145"/>
      <c r="C145"/>
      <c r="D145"/>
      <c r="E145"/>
    </row>
    <row r="146" spans="1:5" x14ac:dyDescent="0.2">
      <c r="A146"/>
      <c r="B146"/>
      <c r="C146"/>
      <c r="D146"/>
      <c r="E146"/>
    </row>
    <row r="147" spans="1:5" x14ac:dyDescent="0.2">
      <c r="A147"/>
      <c r="B147"/>
      <c r="C147"/>
      <c r="D147"/>
      <c r="E147"/>
    </row>
    <row r="148" spans="1:5" x14ac:dyDescent="0.2">
      <c r="A148"/>
      <c r="B148"/>
      <c r="C148"/>
      <c r="D148"/>
      <c r="E148"/>
    </row>
    <row r="149" spans="1:5" x14ac:dyDescent="0.2">
      <c r="A149"/>
      <c r="B149"/>
      <c r="C149"/>
      <c r="D149"/>
      <c r="E149"/>
    </row>
    <row r="150" spans="1:5" x14ac:dyDescent="0.2">
      <c r="A150"/>
      <c r="B150"/>
      <c r="C150"/>
      <c r="D150"/>
      <c r="E150"/>
    </row>
    <row r="151" spans="1:5" x14ac:dyDescent="0.2">
      <c r="A151"/>
      <c r="B151"/>
      <c r="C151"/>
      <c r="D151"/>
      <c r="E151"/>
    </row>
    <row r="152" spans="1:5" x14ac:dyDescent="0.2">
      <c r="A152"/>
      <c r="B152"/>
      <c r="C152"/>
      <c r="D152"/>
      <c r="E152"/>
    </row>
    <row r="153" spans="1:5" x14ac:dyDescent="0.2">
      <c r="A153"/>
      <c r="B153"/>
      <c r="C153"/>
      <c r="D153"/>
      <c r="E153"/>
    </row>
    <row r="154" spans="1:5" x14ac:dyDescent="0.2">
      <c r="A154"/>
      <c r="B154"/>
      <c r="C154"/>
      <c r="D154"/>
      <c r="E154"/>
    </row>
    <row r="155" spans="1:5" x14ac:dyDescent="0.2">
      <c r="A155"/>
      <c r="B155"/>
      <c r="C155"/>
      <c r="D155"/>
      <c r="E155"/>
    </row>
    <row r="156" spans="1:5" x14ac:dyDescent="0.2">
      <c r="A156"/>
      <c r="B156"/>
      <c r="C156"/>
      <c r="D156"/>
      <c r="E156"/>
    </row>
    <row r="157" spans="1:5" x14ac:dyDescent="0.2">
      <c r="A157"/>
      <c r="B157"/>
      <c r="C157"/>
      <c r="D157"/>
      <c r="E157"/>
    </row>
    <row r="158" spans="1:5" x14ac:dyDescent="0.2">
      <c r="A158"/>
      <c r="B158"/>
      <c r="C158"/>
      <c r="D158"/>
      <c r="E158"/>
    </row>
    <row r="159" spans="1:5" x14ac:dyDescent="0.2">
      <c r="A159"/>
      <c r="B159"/>
      <c r="C159"/>
      <c r="D159"/>
      <c r="E159"/>
    </row>
    <row r="160" spans="1:5" x14ac:dyDescent="0.2">
      <c r="A160"/>
      <c r="B160"/>
      <c r="C160"/>
      <c r="D160"/>
      <c r="E160"/>
    </row>
    <row r="161" spans="1:5" x14ac:dyDescent="0.2">
      <c r="A161"/>
      <c r="B161"/>
      <c r="C161"/>
      <c r="D161"/>
      <c r="E161"/>
    </row>
    <row r="162" spans="1:5" x14ac:dyDescent="0.2">
      <c r="A162"/>
      <c r="B162"/>
      <c r="C162"/>
      <c r="D162"/>
      <c r="E162"/>
    </row>
    <row r="163" spans="1:5" x14ac:dyDescent="0.2">
      <c r="A163"/>
      <c r="B163"/>
      <c r="C163"/>
      <c r="D163"/>
      <c r="E163"/>
    </row>
    <row r="164" spans="1:5" x14ac:dyDescent="0.2">
      <c r="A164"/>
      <c r="B164"/>
      <c r="C164"/>
      <c r="D164"/>
      <c r="E164"/>
    </row>
    <row r="165" spans="1:5" x14ac:dyDescent="0.2">
      <c r="A165"/>
      <c r="B165"/>
      <c r="C165"/>
      <c r="D165"/>
      <c r="E165"/>
    </row>
    <row r="166" spans="1:5" x14ac:dyDescent="0.2">
      <c r="A166"/>
      <c r="B166"/>
      <c r="C166"/>
      <c r="D166"/>
      <c r="E166"/>
    </row>
    <row r="167" spans="1:5" x14ac:dyDescent="0.2">
      <c r="A167"/>
      <c r="B167"/>
      <c r="C167"/>
      <c r="D167"/>
      <c r="E167"/>
    </row>
    <row r="168" spans="1:5" x14ac:dyDescent="0.2">
      <c r="A168"/>
      <c r="B168"/>
      <c r="C168"/>
      <c r="D168"/>
      <c r="E168"/>
    </row>
    <row r="169" spans="1:5" x14ac:dyDescent="0.2">
      <c r="A169"/>
      <c r="B169"/>
      <c r="C169"/>
      <c r="D169"/>
      <c r="E169"/>
    </row>
    <row r="170" spans="1:5" x14ac:dyDescent="0.2">
      <c r="A170"/>
      <c r="B170"/>
      <c r="C170"/>
      <c r="D170"/>
      <c r="E170"/>
    </row>
    <row r="171" spans="1:5" x14ac:dyDescent="0.2">
      <c r="A171"/>
      <c r="B171"/>
      <c r="C171"/>
      <c r="D171"/>
      <c r="E171"/>
    </row>
    <row r="172" spans="1:5" x14ac:dyDescent="0.2">
      <c r="A172"/>
      <c r="B172"/>
      <c r="C172"/>
      <c r="D172"/>
      <c r="E172"/>
    </row>
    <row r="173" spans="1:5" x14ac:dyDescent="0.2">
      <c r="A173"/>
      <c r="B173"/>
      <c r="C173"/>
      <c r="D173"/>
      <c r="E173"/>
    </row>
    <row r="174" spans="1:5" x14ac:dyDescent="0.2">
      <c r="A174"/>
      <c r="B174"/>
      <c r="C174"/>
      <c r="D174"/>
      <c r="E174"/>
    </row>
    <row r="175" spans="1:5" x14ac:dyDescent="0.2">
      <c r="A175"/>
      <c r="B175"/>
      <c r="C175"/>
      <c r="D175"/>
      <c r="E175"/>
    </row>
    <row r="176" spans="1:5" x14ac:dyDescent="0.2">
      <c r="A176"/>
      <c r="B176"/>
      <c r="C176"/>
      <c r="D176"/>
      <c r="E176"/>
    </row>
    <row r="177" spans="1:5" x14ac:dyDescent="0.2">
      <c r="A177"/>
      <c r="B177"/>
      <c r="C177"/>
      <c r="D177"/>
      <c r="E177"/>
    </row>
    <row r="178" spans="1:5" x14ac:dyDescent="0.2">
      <c r="A178"/>
      <c r="B178"/>
      <c r="C178"/>
      <c r="D178"/>
      <c r="E178"/>
    </row>
    <row r="179" spans="1:5" x14ac:dyDescent="0.2">
      <c r="A179"/>
      <c r="B179"/>
      <c r="C179"/>
      <c r="D179"/>
      <c r="E179"/>
    </row>
    <row r="180" spans="1:5" x14ac:dyDescent="0.2">
      <c r="A180"/>
      <c r="B180"/>
      <c r="C180"/>
      <c r="D180"/>
      <c r="E180"/>
    </row>
    <row r="181" spans="1:5" x14ac:dyDescent="0.2">
      <c r="A181"/>
      <c r="B181"/>
      <c r="C181"/>
      <c r="D181"/>
      <c r="E181"/>
    </row>
    <row r="182" spans="1:5" x14ac:dyDescent="0.2">
      <c r="A182"/>
      <c r="B182"/>
      <c r="C182"/>
      <c r="D182"/>
      <c r="E182"/>
    </row>
    <row r="183" spans="1:5" x14ac:dyDescent="0.2">
      <c r="A183"/>
      <c r="B183"/>
      <c r="C183"/>
      <c r="D183"/>
      <c r="E183"/>
    </row>
    <row r="184" spans="1:5" x14ac:dyDescent="0.2">
      <c r="A184"/>
      <c r="B184"/>
      <c r="C184"/>
      <c r="D184"/>
      <c r="E184"/>
    </row>
    <row r="185" spans="1:5" x14ac:dyDescent="0.2">
      <c r="A185"/>
      <c r="B185"/>
      <c r="C185"/>
      <c r="D185"/>
      <c r="E185"/>
    </row>
    <row r="186" spans="1:5" x14ac:dyDescent="0.2">
      <c r="A186"/>
      <c r="B186"/>
      <c r="C186"/>
      <c r="D186"/>
      <c r="E186"/>
    </row>
    <row r="187" spans="1:5" x14ac:dyDescent="0.2">
      <c r="A187"/>
      <c r="B187"/>
      <c r="C187"/>
      <c r="D187"/>
      <c r="E187"/>
    </row>
    <row r="188" spans="1:5" x14ac:dyDescent="0.2">
      <c r="A188"/>
      <c r="B188"/>
      <c r="C188"/>
      <c r="D188"/>
      <c r="E188"/>
    </row>
    <row r="189" spans="1:5" x14ac:dyDescent="0.2">
      <c r="A189"/>
      <c r="B189"/>
      <c r="C189"/>
      <c r="D189"/>
      <c r="E189"/>
    </row>
    <row r="190" spans="1:5" x14ac:dyDescent="0.2">
      <c r="A190"/>
      <c r="B190"/>
      <c r="C190"/>
      <c r="D190"/>
      <c r="E190"/>
    </row>
    <row r="191" spans="1:5" x14ac:dyDescent="0.2">
      <c r="A191"/>
      <c r="B191"/>
      <c r="C191"/>
      <c r="D191"/>
      <c r="E191"/>
    </row>
    <row r="192" spans="1:5" x14ac:dyDescent="0.2">
      <c r="A192"/>
      <c r="B192"/>
      <c r="C192"/>
      <c r="D192"/>
      <c r="E192"/>
    </row>
    <row r="193" spans="1:5" x14ac:dyDescent="0.2">
      <c r="A193"/>
      <c r="B193"/>
      <c r="C193"/>
      <c r="D193"/>
      <c r="E193"/>
    </row>
    <row r="194" spans="1:5" x14ac:dyDescent="0.2">
      <c r="A194"/>
      <c r="B194"/>
      <c r="C194"/>
      <c r="D194"/>
      <c r="E194"/>
    </row>
    <row r="195" spans="1:5" x14ac:dyDescent="0.2">
      <c r="A195"/>
      <c r="B195"/>
      <c r="C195"/>
      <c r="D195"/>
      <c r="E195"/>
    </row>
    <row r="196" spans="1:5" x14ac:dyDescent="0.2">
      <c r="A196"/>
      <c r="B196"/>
      <c r="C196"/>
      <c r="D196"/>
      <c r="E196"/>
    </row>
    <row r="197" spans="1:5" x14ac:dyDescent="0.2">
      <c r="A197"/>
      <c r="B197"/>
      <c r="C197"/>
      <c r="D197"/>
      <c r="E197"/>
    </row>
    <row r="198" spans="1:5" x14ac:dyDescent="0.2">
      <c r="A198"/>
      <c r="B198"/>
      <c r="C198"/>
      <c r="D198"/>
      <c r="E198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106C-E3F6-4D9C-801E-0BE2952D8BA9}">
  <dimension ref="A1:T222"/>
  <sheetViews>
    <sheetView tabSelected="1" topLeftCell="A90" zoomScale="70" zoomScaleNormal="70" workbookViewId="0">
      <selection activeCell="L101" sqref="L101"/>
    </sheetView>
  </sheetViews>
  <sheetFormatPr baseColWidth="10" defaultColWidth="11.42578125" defaultRowHeight="12.75" x14ac:dyDescent="0.2"/>
  <cols>
    <col min="1" max="1" width="22" style="4" bestFit="1" customWidth="1"/>
    <col min="2" max="2" width="50.7109375" style="4" bestFit="1" customWidth="1"/>
    <col min="3" max="3" width="24.28515625" style="4" bestFit="1" customWidth="1"/>
    <col min="4" max="4" width="40.7109375" style="4" bestFit="1" customWidth="1"/>
    <col min="5" max="5" width="23.8554687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17" cm="1">
        <f t="array" aca="1" ref="A7" ca="1">+A69+A1:L7+A7:L7</f>
        <v>0</v>
      </c>
      <c r="B7" s="117" t="s">
        <v>8</v>
      </c>
      <c r="C7" s="117" t="s">
        <v>9</v>
      </c>
      <c r="D7" s="117" t="s">
        <v>10</v>
      </c>
      <c r="E7" s="117" t="s">
        <v>11</v>
      </c>
      <c r="F7" s="117" t="s">
        <v>12</v>
      </c>
      <c r="G7" s="117" t="s">
        <v>13</v>
      </c>
      <c r="H7" s="118" t="s">
        <v>14</v>
      </c>
      <c r="I7" s="118" t="s">
        <v>15</v>
      </c>
      <c r="J7" s="118" t="s">
        <v>16</v>
      </c>
      <c r="K7" s="118" t="s">
        <v>17</v>
      </c>
      <c r="L7" s="118" t="s">
        <v>18</v>
      </c>
      <c r="M7" s="1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45980</v>
      </c>
      <c r="G8" s="113">
        <v>0.375</v>
      </c>
      <c r="H8" s="85">
        <v>45978</v>
      </c>
      <c r="I8" s="86">
        <v>0.41666666666666669</v>
      </c>
      <c r="J8" s="87">
        <f t="shared" ref="J8:J65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45980</v>
      </c>
      <c r="G9" s="113">
        <v>0.375</v>
      </c>
      <c r="H9" s="85">
        <v>45978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33" t="s">
        <v>724</v>
      </c>
      <c r="B10" s="8" t="s">
        <v>30</v>
      </c>
      <c r="C10" s="8" t="s">
        <v>40</v>
      </c>
      <c r="D10" s="84">
        <v>1</v>
      </c>
      <c r="E10" s="49">
        <v>30</v>
      </c>
      <c r="F10" s="112">
        <v>45980</v>
      </c>
      <c r="G10" s="113">
        <v>0.375</v>
      </c>
      <c r="H10" s="112">
        <v>45978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772</v>
      </c>
    </row>
    <row r="11" spans="1:20" s="5" customFormat="1" ht="75" customHeight="1" x14ac:dyDescent="0.2">
      <c r="A11" s="33" t="s">
        <v>725</v>
      </c>
      <c r="B11" s="8" t="s">
        <v>30</v>
      </c>
      <c r="C11" s="8" t="s">
        <v>40</v>
      </c>
      <c r="D11" s="84">
        <v>1</v>
      </c>
      <c r="E11" s="49">
        <v>30</v>
      </c>
      <c r="F11" s="112">
        <v>45980</v>
      </c>
      <c r="G11" s="113">
        <v>0.375</v>
      </c>
      <c r="H11" s="112">
        <v>45978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773</v>
      </c>
    </row>
    <row r="12" spans="1:20" s="5" customFormat="1" ht="84.75" customHeight="1" x14ac:dyDescent="0.2">
      <c r="A12" s="114" t="s">
        <v>727</v>
      </c>
      <c r="B12" s="8" t="s">
        <v>21</v>
      </c>
      <c r="C12" s="8" t="s">
        <v>34</v>
      </c>
      <c r="D12" s="84">
        <v>1</v>
      </c>
      <c r="E12" s="49">
        <v>30</v>
      </c>
      <c r="F12" s="112">
        <v>45980</v>
      </c>
      <c r="G12" s="113">
        <v>0.375</v>
      </c>
      <c r="H12" s="112">
        <v>45978</v>
      </c>
      <c r="I12" s="116">
        <v>0.41666666666666669</v>
      </c>
      <c r="J12" s="87">
        <f t="shared" si="0"/>
        <v>2</v>
      </c>
      <c r="K12" s="8">
        <v>2</v>
      </c>
      <c r="L12" s="8">
        <v>28</v>
      </c>
      <c r="M12" s="49" t="s">
        <v>774</v>
      </c>
    </row>
    <row r="13" spans="1:20" s="5" customFormat="1" ht="81.75" customHeight="1" x14ac:dyDescent="0.2">
      <c r="A13" s="49" t="s">
        <v>726</v>
      </c>
      <c r="B13" s="8" t="s">
        <v>36</v>
      </c>
      <c r="C13" s="8" t="s">
        <v>43</v>
      </c>
      <c r="D13" s="84">
        <v>1</v>
      </c>
      <c r="E13" s="49">
        <v>30</v>
      </c>
      <c r="F13" s="112">
        <v>45980</v>
      </c>
      <c r="G13" s="113">
        <v>0.375</v>
      </c>
      <c r="H13" s="112">
        <v>45978</v>
      </c>
      <c r="I13" s="113">
        <v>0.41666666666666669</v>
      </c>
      <c r="J13" s="87">
        <f t="shared" si="0"/>
        <v>2</v>
      </c>
      <c r="K13" s="8">
        <v>2</v>
      </c>
      <c r="L13" s="8">
        <v>28</v>
      </c>
      <c r="M13" s="49" t="s">
        <v>775</v>
      </c>
    </row>
    <row r="14" spans="1:20" s="5" customFormat="1" ht="61.5" customHeight="1" x14ac:dyDescent="0.2">
      <c r="A14" s="49" t="s">
        <v>728</v>
      </c>
      <c r="B14" s="8" t="s">
        <v>36</v>
      </c>
      <c r="C14" s="8" t="s">
        <v>43</v>
      </c>
      <c r="D14" s="84">
        <v>1</v>
      </c>
      <c r="E14" s="49">
        <v>30</v>
      </c>
      <c r="F14" s="112">
        <v>45980</v>
      </c>
      <c r="G14" s="113">
        <v>0.375</v>
      </c>
      <c r="H14" s="112">
        <v>45978</v>
      </c>
      <c r="I14" s="113">
        <v>0.41666666666666669</v>
      </c>
      <c r="J14" s="87">
        <f t="shared" si="0"/>
        <v>2</v>
      </c>
      <c r="K14" s="8">
        <v>2</v>
      </c>
      <c r="L14" s="8">
        <v>28</v>
      </c>
      <c r="M14" s="49" t="s">
        <v>776</v>
      </c>
    </row>
    <row r="15" spans="1:20" s="5" customFormat="1" ht="61.5" customHeight="1" x14ac:dyDescent="0.2">
      <c r="A15" s="49" t="s">
        <v>729</v>
      </c>
      <c r="B15" s="8" t="s">
        <v>510</v>
      </c>
      <c r="C15" s="8" t="s">
        <v>31</v>
      </c>
      <c r="D15" s="84">
        <v>1</v>
      </c>
      <c r="E15" s="49">
        <v>30</v>
      </c>
      <c r="F15" s="112">
        <v>45980</v>
      </c>
      <c r="G15" s="113">
        <v>0.375</v>
      </c>
      <c r="H15" s="112">
        <v>45978</v>
      </c>
      <c r="I15" s="113">
        <v>0.45833333333333331</v>
      </c>
      <c r="J15" s="87">
        <f t="shared" si="0"/>
        <v>2</v>
      </c>
      <c r="K15" s="8">
        <v>2</v>
      </c>
      <c r="L15" s="8">
        <v>28</v>
      </c>
      <c r="M15" s="49" t="s">
        <v>777</v>
      </c>
    </row>
    <row r="16" spans="1:20" s="5" customFormat="1" ht="63" customHeight="1" x14ac:dyDescent="0.2">
      <c r="A16" s="38" t="s">
        <v>730</v>
      </c>
      <c r="B16" s="8" t="s">
        <v>36</v>
      </c>
      <c r="C16" s="8" t="s">
        <v>43</v>
      </c>
      <c r="D16" s="84">
        <v>1</v>
      </c>
      <c r="E16" s="49">
        <v>30</v>
      </c>
      <c r="F16" s="112">
        <v>45980</v>
      </c>
      <c r="G16" s="113">
        <v>0.375</v>
      </c>
      <c r="H16" s="112">
        <v>45978</v>
      </c>
      <c r="I16" s="113">
        <v>0.45833333333333331</v>
      </c>
      <c r="J16" s="87">
        <f t="shared" si="0"/>
        <v>2</v>
      </c>
      <c r="K16" s="8">
        <v>2</v>
      </c>
      <c r="L16" s="8">
        <v>28</v>
      </c>
      <c r="M16" s="49" t="s">
        <v>778</v>
      </c>
    </row>
    <row r="17" spans="1:13" s="5" customFormat="1" ht="63" customHeight="1" x14ac:dyDescent="0.2">
      <c r="A17" s="38" t="s">
        <v>731</v>
      </c>
      <c r="B17" s="8" t="s">
        <v>136</v>
      </c>
      <c r="C17" s="8" t="s">
        <v>22</v>
      </c>
      <c r="D17" s="84">
        <v>1</v>
      </c>
      <c r="E17" s="49">
        <v>30</v>
      </c>
      <c r="F17" s="112">
        <v>45980</v>
      </c>
      <c r="G17" s="113">
        <v>0.375</v>
      </c>
      <c r="H17" s="112">
        <v>45978</v>
      </c>
      <c r="I17" s="113">
        <v>0.4375</v>
      </c>
      <c r="J17" s="87">
        <f t="shared" si="0"/>
        <v>2</v>
      </c>
      <c r="K17" s="8">
        <v>2</v>
      </c>
      <c r="L17" s="8">
        <v>28</v>
      </c>
      <c r="M17" s="49" t="s">
        <v>779</v>
      </c>
    </row>
    <row r="18" spans="1:13" s="5" customFormat="1" ht="75" customHeight="1" x14ac:dyDescent="0.2">
      <c r="A18" s="38" t="s">
        <v>732</v>
      </c>
      <c r="B18" s="8" t="s">
        <v>30</v>
      </c>
      <c r="C18" s="8" t="s">
        <v>40</v>
      </c>
      <c r="D18" s="84">
        <v>1</v>
      </c>
      <c r="E18" s="49">
        <v>30</v>
      </c>
      <c r="F18" s="112">
        <v>45980</v>
      </c>
      <c r="G18" s="113">
        <v>0.375</v>
      </c>
      <c r="H18" s="112">
        <v>45978</v>
      </c>
      <c r="I18" s="113">
        <v>0.4375</v>
      </c>
      <c r="J18" s="87">
        <f t="shared" si="0"/>
        <v>1</v>
      </c>
      <c r="K18" s="8">
        <v>1</v>
      </c>
      <c r="L18" s="8">
        <v>29</v>
      </c>
      <c r="M18" s="49" t="s">
        <v>780</v>
      </c>
    </row>
    <row r="19" spans="1:13" s="5" customFormat="1" ht="72.75" customHeight="1" x14ac:dyDescent="0.2">
      <c r="A19" s="35" t="s">
        <v>733</v>
      </c>
      <c r="B19" s="8" t="s">
        <v>510</v>
      </c>
      <c r="C19" s="8" t="s">
        <v>31</v>
      </c>
      <c r="D19" s="84">
        <v>1</v>
      </c>
      <c r="E19" s="49">
        <v>30</v>
      </c>
      <c r="F19" s="112">
        <v>45980</v>
      </c>
      <c r="G19" s="113">
        <v>0.375</v>
      </c>
      <c r="H19" s="112">
        <v>45978</v>
      </c>
      <c r="I19" s="113">
        <v>0.45833333333333331</v>
      </c>
      <c r="J19" s="87">
        <f t="shared" si="0"/>
        <v>2</v>
      </c>
      <c r="K19" s="8">
        <v>1</v>
      </c>
      <c r="L19" s="8">
        <v>28</v>
      </c>
      <c r="M19" s="49" t="s">
        <v>781</v>
      </c>
    </row>
    <row r="20" spans="1:13" s="5" customFormat="1" ht="77.25" customHeight="1" x14ac:dyDescent="0.2">
      <c r="A20" s="49" t="s">
        <v>734</v>
      </c>
      <c r="B20" s="8" t="s">
        <v>510</v>
      </c>
      <c r="C20" s="8" t="s">
        <v>31</v>
      </c>
      <c r="D20" s="84">
        <v>1</v>
      </c>
      <c r="E20" s="49">
        <v>30</v>
      </c>
      <c r="F20" s="112">
        <v>45980</v>
      </c>
      <c r="G20" s="113">
        <v>0.375</v>
      </c>
      <c r="H20" s="112">
        <v>45978</v>
      </c>
      <c r="I20" s="113">
        <v>0.4375</v>
      </c>
      <c r="J20" s="87">
        <f t="shared" si="0"/>
        <v>4</v>
      </c>
      <c r="K20" s="8">
        <v>2</v>
      </c>
      <c r="L20" s="8">
        <v>26</v>
      </c>
      <c r="M20" s="49" t="s">
        <v>782</v>
      </c>
    </row>
    <row r="21" spans="1:13" s="5" customFormat="1" ht="70.5" customHeight="1" x14ac:dyDescent="0.2">
      <c r="A21" s="49" t="s">
        <v>735</v>
      </c>
      <c r="B21" s="8" t="s">
        <v>21</v>
      </c>
      <c r="C21" s="8" t="s">
        <v>34</v>
      </c>
      <c r="D21" s="84">
        <v>1</v>
      </c>
      <c r="E21" s="49">
        <v>30</v>
      </c>
      <c r="F21" s="112">
        <v>45980</v>
      </c>
      <c r="G21" s="113">
        <v>0.375</v>
      </c>
      <c r="H21" s="112">
        <v>45978</v>
      </c>
      <c r="I21" s="113">
        <v>0.45833333333333331</v>
      </c>
      <c r="J21" s="87">
        <f t="shared" si="0"/>
        <v>5</v>
      </c>
      <c r="K21" s="8">
        <v>1</v>
      </c>
      <c r="L21" s="8">
        <v>25</v>
      </c>
      <c r="M21" s="49" t="s">
        <v>783</v>
      </c>
    </row>
    <row r="22" spans="1:13" s="5" customFormat="1" ht="66" customHeight="1" x14ac:dyDescent="0.2">
      <c r="A22" s="49" t="s">
        <v>736</v>
      </c>
      <c r="B22" s="8" t="s">
        <v>136</v>
      </c>
      <c r="C22" s="8" t="s">
        <v>22</v>
      </c>
      <c r="D22" s="84">
        <v>1</v>
      </c>
      <c r="E22" s="49">
        <v>30</v>
      </c>
      <c r="F22" s="112">
        <v>45980</v>
      </c>
      <c r="G22" s="113">
        <v>0.375</v>
      </c>
      <c r="H22" s="112">
        <v>45978</v>
      </c>
      <c r="I22" s="113">
        <v>0.47916666666666669</v>
      </c>
      <c r="J22" s="87">
        <f t="shared" si="0"/>
        <v>2</v>
      </c>
      <c r="K22" s="8">
        <v>1</v>
      </c>
      <c r="L22" s="8">
        <v>28</v>
      </c>
      <c r="M22" s="49" t="s">
        <v>784</v>
      </c>
    </row>
    <row r="23" spans="1:13" s="5" customFormat="1" ht="69" customHeight="1" x14ac:dyDescent="0.2">
      <c r="A23" s="49" t="s">
        <v>737</v>
      </c>
      <c r="B23" s="8" t="s">
        <v>21</v>
      </c>
      <c r="C23" s="8" t="s">
        <v>34</v>
      </c>
      <c r="D23" s="84">
        <v>1</v>
      </c>
      <c r="E23" s="49">
        <v>30</v>
      </c>
      <c r="F23" s="112">
        <v>45980</v>
      </c>
      <c r="G23" s="113">
        <v>0.375</v>
      </c>
      <c r="H23" s="112">
        <v>45978</v>
      </c>
      <c r="I23" s="113">
        <v>0.5</v>
      </c>
      <c r="J23" s="87">
        <f t="shared" si="0"/>
        <v>0</v>
      </c>
      <c r="K23" s="8">
        <v>1</v>
      </c>
      <c r="L23" s="8">
        <v>30</v>
      </c>
      <c r="M23" s="49" t="s">
        <v>785</v>
      </c>
    </row>
    <row r="24" spans="1:13" s="5" customFormat="1" ht="60" customHeight="1" x14ac:dyDescent="0.2">
      <c r="A24" s="49" t="s">
        <v>738</v>
      </c>
      <c r="B24" s="8" t="s">
        <v>136</v>
      </c>
      <c r="C24" s="8" t="s">
        <v>22</v>
      </c>
      <c r="D24" s="84">
        <v>1</v>
      </c>
      <c r="E24" s="49">
        <v>30</v>
      </c>
      <c r="F24" s="112">
        <v>45980</v>
      </c>
      <c r="G24" s="113">
        <v>0.375</v>
      </c>
      <c r="H24" s="112">
        <v>45978</v>
      </c>
      <c r="I24" s="113">
        <v>0.4375</v>
      </c>
      <c r="J24" s="87">
        <f t="shared" si="0"/>
        <v>6</v>
      </c>
      <c r="K24" s="8">
        <v>2</v>
      </c>
      <c r="L24" s="8">
        <v>24</v>
      </c>
      <c r="M24" s="49" t="s">
        <v>786</v>
      </c>
    </row>
    <row r="25" spans="1:13" s="5" customFormat="1" ht="59.25" customHeight="1" x14ac:dyDescent="0.2">
      <c r="A25" s="49" t="s">
        <v>739</v>
      </c>
      <c r="B25" s="8" t="s">
        <v>42</v>
      </c>
      <c r="C25" s="8" t="s">
        <v>37</v>
      </c>
      <c r="D25" s="84">
        <v>1</v>
      </c>
      <c r="E25" s="49">
        <v>30</v>
      </c>
      <c r="F25" s="112">
        <v>45980</v>
      </c>
      <c r="G25" s="113">
        <v>0.375</v>
      </c>
      <c r="H25" s="112">
        <v>45978</v>
      </c>
      <c r="I25" s="113">
        <v>0.47916666666666669</v>
      </c>
      <c r="J25" s="87">
        <f t="shared" si="0"/>
        <v>2</v>
      </c>
      <c r="K25" s="8">
        <v>1</v>
      </c>
      <c r="L25" s="8">
        <v>28</v>
      </c>
      <c r="M25" s="49" t="s">
        <v>787</v>
      </c>
    </row>
    <row r="26" spans="1:13" s="5" customFormat="1" ht="89.25" customHeight="1" x14ac:dyDescent="0.2">
      <c r="A26" s="49" t="s">
        <v>740</v>
      </c>
      <c r="B26" s="8" t="s">
        <v>42</v>
      </c>
      <c r="C26" s="8" t="s">
        <v>37</v>
      </c>
      <c r="D26" s="84">
        <v>1</v>
      </c>
      <c r="E26" s="49">
        <v>30</v>
      </c>
      <c r="F26" s="112">
        <v>45980</v>
      </c>
      <c r="G26" s="113">
        <v>0.375</v>
      </c>
      <c r="H26" s="112">
        <v>45978</v>
      </c>
      <c r="I26" s="113">
        <v>0.47916666666666669</v>
      </c>
      <c r="J26" s="87">
        <f t="shared" si="0"/>
        <v>4</v>
      </c>
      <c r="K26" s="8">
        <v>1</v>
      </c>
      <c r="L26" s="8">
        <v>26</v>
      </c>
      <c r="M26" s="49" t="s">
        <v>788</v>
      </c>
    </row>
    <row r="27" spans="1:13" s="5" customFormat="1" ht="87" customHeight="1" x14ac:dyDescent="0.2">
      <c r="A27" s="49" t="s">
        <v>741</v>
      </c>
      <c r="B27" s="8" t="s">
        <v>42</v>
      </c>
      <c r="C27" s="8" t="s">
        <v>37</v>
      </c>
      <c r="D27" s="84">
        <v>1</v>
      </c>
      <c r="E27" s="49">
        <v>30</v>
      </c>
      <c r="F27" s="112">
        <v>45980</v>
      </c>
      <c r="G27" s="113">
        <v>0.375</v>
      </c>
      <c r="H27" s="112">
        <v>45978</v>
      </c>
      <c r="I27" s="113">
        <v>0.5</v>
      </c>
      <c r="J27" s="87">
        <f t="shared" si="0"/>
        <v>3</v>
      </c>
      <c r="K27" s="8">
        <v>2</v>
      </c>
      <c r="L27" s="8">
        <v>27</v>
      </c>
      <c r="M27" s="49" t="s">
        <v>789</v>
      </c>
    </row>
    <row r="28" spans="1:13" s="5" customFormat="1" ht="48.75" customHeight="1" x14ac:dyDescent="0.2">
      <c r="A28" s="49" t="s">
        <v>742</v>
      </c>
      <c r="B28" s="8" t="s">
        <v>42</v>
      </c>
      <c r="C28" s="8" t="s">
        <v>37</v>
      </c>
      <c r="D28" s="84">
        <v>1</v>
      </c>
      <c r="E28" s="49">
        <v>30</v>
      </c>
      <c r="F28" s="112">
        <v>45980</v>
      </c>
      <c r="G28" s="113">
        <v>0.375</v>
      </c>
      <c r="H28" s="112">
        <v>45978</v>
      </c>
      <c r="I28" s="113">
        <v>0.45833333333333331</v>
      </c>
      <c r="J28" s="87">
        <f t="shared" si="0"/>
        <v>2</v>
      </c>
      <c r="K28" s="8">
        <v>1</v>
      </c>
      <c r="L28" s="8">
        <v>28</v>
      </c>
      <c r="M28" s="49" t="s">
        <v>388</v>
      </c>
    </row>
    <row r="29" spans="1:13" s="5" customFormat="1" ht="48.75" customHeight="1" x14ac:dyDescent="0.2">
      <c r="A29" s="49" t="s">
        <v>742</v>
      </c>
      <c r="B29" s="8" t="s">
        <v>36</v>
      </c>
      <c r="C29" s="8" t="s">
        <v>43</v>
      </c>
      <c r="D29" s="84">
        <v>1</v>
      </c>
      <c r="E29" s="49">
        <v>30</v>
      </c>
      <c r="F29" s="112">
        <v>45980</v>
      </c>
      <c r="G29" s="113">
        <v>0.375</v>
      </c>
      <c r="H29" s="112">
        <v>45978</v>
      </c>
      <c r="I29" s="113">
        <v>0.45833333333333331</v>
      </c>
      <c r="J29" s="87">
        <f t="shared" ref="J29" si="1">E29-L29</f>
        <v>2</v>
      </c>
      <c r="K29" s="8">
        <v>1</v>
      </c>
      <c r="L29" s="8">
        <v>28</v>
      </c>
      <c r="M29" s="49" t="s">
        <v>388</v>
      </c>
    </row>
    <row r="30" spans="1:13" s="5" customFormat="1" ht="48.75" customHeight="1" x14ac:dyDescent="0.2">
      <c r="A30" s="49" t="s">
        <v>742</v>
      </c>
      <c r="B30" s="8" t="s">
        <v>21</v>
      </c>
      <c r="C30" s="8" t="s">
        <v>34</v>
      </c>
      <c r="D30" s="84">
        <v>1</v>
      </c>
      <c r="E30" s="49">
        <v>30</v>
      </c>
      <c r="F30" s="112">
        <v>45980</v>
      </c>
      <c r="G30" s="113">
        <v>0.375</v>
      </c>
      <c r="H30" s="112">
        <v>45978</v>
      </c>
      <c r="I30" s="113">
        <v>0.45833333333333331</v>
      </c>
      <c r="J30" s="87">
        <f t="shared" si="0"/>
        <v>2</v>
      </c>
      <c r="K30" s="8">
        <v>1</v>
      </c>
      <c r="L30" s="8">
        <v>28</v>
      </c>
      <c r="M30" s="49" t="s">
        <v>388</v>
      </c>
    </row>
    <row r="31" spans="1:13" s="5" customFormat="1" ht="36.75" customHeight="1" x14ac:dyDescent="0.2">
      <c r="A31" s="49" t="s">
        <v>743</v>
      </c>
      <c r="B31" s="8" t="s">
        <v>30</v>
      </c>
      <c r="C31" s="8" t="s">
        <v>40</v>
      </c>
      <c r="D31" s="84">
        <v>1</v>
      </c>
      <c r="E31" s="49">
        <v>30</v>
      </c>
      <c r="F31" s="112">
        <v>45980</v>
      </c>
      <c r="G31" s="113">
        <v>0.375</v>
      </c>
      <c r="H31" s="112">
        <v>45978</v>
      </c>
      <c r="I31" s="113">
        <v>0.45833333333333331</v>
      </c>
      <c r="J31" s="87">
        <f t="shared" si="0"/>
        <v>3</v>
      </c>
      <c r="K31" s="8">
        <v>1</v>
      </c>
      <c r="L31" s="8">
        <v>27</v>
      </c>
      <c r="M31" s="49" t="s">
        <v>390</v>
      </c>
    </row>
    <row r="32" spans="1:13" s="5" customFormat="1" ht="37.5" customHeight="1" x14ac:dyDescent="0.2">
      <c r="A32" s="49" t="s">
        <v>744</v>
      </c>
      <c r="B32" s="8" t="s">
        <v>136</v>
      </c>
      <c r="C32" s="8" t="s">
        <v>22</v>
      </c>
      <c r="D32" s="84">
        <v>1</v>
      </c>
      <c r="E32" s="49">
        <v>30</v>
      </c>
      <c r="F32" s="112">
        <v>45980</v>
      </c>
      <c r="G32" s="113">
        <v>0.375</v>
      </c>
      <c r="H32" s="112">
        <v>45978</v>
      </c>
      <c r="I32" s="113">
        <v>0.47916666666666669</v>
      </c>
      <c r="J32" s="87">
        <f t="shared" si="0"/>
        <v>4</v>
      </c>
      <c r="K32" s="8">
        <v>1</v>
      </c>
      <c r="L32" s="8">
        <v>26</v>
      </c>
      <c r="M32" s="49" t="s">
        <v>392</v>
      </c>
    </row>
    <row r="33" spans="1:13" s="5" customFormat="1" ht="60.75" customHeight="1" x14ac:dyDescent="0.2">
      <c r="A33" s="49" t="s">
        <v>393</v>
      </c>
      <c r="B33" s="8" t="s">
        <v>30</v>
      </c>
      <c r="C33" s="8" t="s">
        <v>40</v>
      </c>
      <c r="D33" s="84">
        <v>1</v>
      </c>
      <c r="E33" s="49">
        <v>30</v>
      </c>
      <c r="F33" s="112">
        <v>45980</v>
      </c>
      <c r="G33" s="113">
        <v>0.375</v>
      </c>
      <c r="H33" s="112">
        <v>45978</v>
      </c>
      <c r="I33" s="113">
        <v>0.47916666666666669</v>
      </c>
      <c r="J33" s="87">
        <f t="shared" si="0"/>
        <v>4</v>
      </c>
      <c r="K33" s="8">
        <v>2</v>
      </c>
      <c r="L33" s="8">
        <v>26</v>
      </c>
      <c r="M33" s="49" t="s">
        <v>394</v>
      </c>
    </row>
    <row r="34" spans="1:13" s="5" customFormat="1" ht="38.25" customHeight="1" x14ac:dyDescent="0.2">
      <c r="A34" s="49" t="s">
        <v>395</v>
      </c>
      <c r="B34" s="8" t="s">
        <v>136</v>
      </c>
      <c r="C34" s="8" t="s">
        <v>22</v>
      </c>
      <c r="D34" s="84">
        <v>1</v>
      </c>
      <c r="E34" s="49">
        <v>30</v>
      </c>
      <c r="F34" s="112">
        <v>45980</v>
      </c>
      <c r="G34" s="113">
        <v>0.375</v>
      </c>
      <c r="H34" s="112">
        <v>45978</v>
      </c>
      <c r="I34" s="113">
        <v>0.47916666666666669</v>
      </c>
      <c r="J34" s="87">
        <f t="shared" si="0"/>
        <v>1</v>
      </c>
      <c r="K34" s="8">
        <v>1</v>
      </c>
      <c r="L34" s="8">
        <v>29</v>
      </c>
      <c r="M34" s="49" t="s">
        <v>396</v>
      </c>
    </row>
    <row r="35" spans="1:13" s="5" customFormat="1" ht="38.25" customHeight="1" x14ac:dyDescent="0.2">
      <c r="A35" s="49" t="s">
        <v>745</v>
      </c>
      <c r="B35" s="8" t="s">
        <v>36</v>
      </c>
      <c r="C35" s="8" t="s">
        <v>43</v>
      </c>
      <c r="D35" s="84">
        <v>1</v>
      </c>
      <c r="E35" s="49">
        <v>30</v>
      </c>
      <c r="F35" s="112">
        <v>45980</v>
      </c>
      <c r="G35" s="113">
        <v>0.375</v>
      </c>
      <c r="H35" s="112">
        <v>45978</v>
      </c>
      <c r="I35" s="113">
        <v>0.5</v>
      </c>
      <c r="J35" s="87">
        <f t="shared" si="0"/>
        <v>5</v>
      </c>
      <c r="K35" s="8">
        <v>1</v>
      </c>
      <c r="L35" s="8">
        <v>25</v>
      </c>
      <c r="M35" s="49" t="s">
        <v>398</v>
      </c>
    </row>
    <row r="36" spans="1:13" s="5" customFormat="1" ht="55.5" customHeight="1" x14ac:dyDescent="0.2">
      <c r="A36" s="49" t="s">
        <v>399</v>
      </c>
      <c r="B36" s="8" t="s">
        <v>36</v>
      </c>
      <c r="C36" s="8" t="s">
        <v>43</v>
      </c>
      <c r="D36" s="84">
        <v>1</v>
      </c>
      <c r="E36" s="49">
        <v>30</v>
      </c>
      <c r="F36" s="112">
        <v>45980</v>
      </c>
      <c r="G36" s="113">
        <v>0.375</v>
      </c>
      <c r="H36" s="112">
        <v>45978</v>
      </c>
      <c r="I36" s="113">
        <v>0.52083333333333337</v>
      </c>
      <c r="J36" s="87">
        <f t="shared" si="0"/>
        <v>2</v>
      </c>
      <c r="K36" s="8">
        <v>1</v>
      </c>
      <c r="L36" s="8">
        <v>28</v>
      </c>
      <c r="M36" s="49" t="s">
        <v>400</v>
      </c>
    </row>
    <row r="37" spans="1:13" s="5" customFormat="1" ht="55.5" customHeight="1" x14ac:dyDescent="0.2">
      <c r="A37" s="49" t="s">
        <v>401</v>
      </c>
      <c r="B37" s="8" t="s">
        <v>36</v>
      </c>
      <c r="C37" s="8" t="s">
        <v>815</v>
      </c>
      <c r="D37" s="84">
        <v>1</v>
      </c>
      <c r="E37" s="49">
        <v>30</v>
      </c>
      <c r="F37" s="112">
        <v>45980</v>
      </c>
      <c r="G37" s="113">
        <v>0.375</v>
      </c>
      <c r="H37" s="112">
        <v>45978</v>
      </c>
      <c r="I37" s="113">
        <v>0.52083333333333337</v>
      </c>
      <c r="J37" s="87">
        <f t="shared" si="0"/>
        <v>1</v>
      </c>
      <c r="K37" s="8">
        <v>2</v>
      </c>
      <c r="L37" s="8">
        <v>29</v>
      </c>
      <c r="M37" s="49" t="s">
        <v>403</v>
      </c>
    </row>
    <row r="38" spans="1:13" s="5" customFormat="1" ht="57.75" customHeight="1" x14ac:dyDescent="0.2">
      <c r="A38" s="49" t="s">
        <v>746</v>
      </c>
      <c r="B38" s="8" t="s">
        <v>36</v>
      </c>
      <c r="C38" s="8" t="s">
        <v>43</v>
      </c>
      <c r="D38" s="84">
        <v>1</v>
      </c>
      <c r="E38" s="49">
        <v>30</v>
      </c>
      <c r="F38" s="112">
        <v>45980</v>
      </c>
      <c r="G38" s="113">
        <v>0.375</v>
      </c>
      <c r="H38" s="112">
        <v>45978</v>
      </c>
      <c r="I38" s="113">
        <v>0.54166666666666663</v>
      </c>
      <c r="J38" s="87">
        <f t="shared" si="0"/>
        <v>2</v>
      </c>
      <c r="K38" s="8">
        <v>1</v>
      </c>
      <c r="L38" s="8">
        <v>28</v>
      </c>
      <c r="M38" s="49" t="s">
        <v>790</v>
      </c>
    </row>
    <row r="39" spans="1:13" s="5" customFormat="1" ht="42" customHeight="1" x14ac:dyDescent="0.2">
      <c r="A39" s="49" t="s">
        <v>747</v>
      </c>
      <c r="B39" s="8" t="s">
        <v>21</v>
      </c>
      <c r="C39" s="8" t="s">
        <v>34</v>
      </c>
      <c r="D39" s="84">
        <v>1</v>
      </c>
      <c r="E39" s="49">
        <v>30</v>
      </c>
      <c r="F39" s="112">
        <v>45980</v>
      </c>
      <c r="G39" s="113">
        <v>0.375</v>
      </c>
      <c r="H39" s="112">
        <v>45978</v>
      </c>
      <c r="I39" s="113">
        <v>0.52083333333333337</v>
      </c>
      <c r="J39" s="87">
        <f t="shared" si="0"/>
        <v>2</v>
      </c>
      <c r="K39" s="8">
        <v>1</v>
      </c>
      <c r="L39" s="8">
        <v>28</v>
      </c>
      <c r="M39" s="49" t="s">
        <v>791</v>
      </c>
    </row>
    <row r="40" spans="1:13" s="5" customFormat="1" ht="71.25" customHeight="1" x14ac:dyDescent="0.2">
      <c r="A40" s="49" t="s">
        <v>748</v>
      </c>
      <c r="B40" s="8" t="s">
        <v>30</v>
      </c>
      <c r="C40" s="8" t="s">
        <v>40</v>
      </c>
      <c r="D40" s="84">
        <v>1</v>
      </c>
      <c r="E40" s="49">
        <v>30</v>
      </c>
      <c r="F40" s="112">
        <v>45980</v>
      </c>
      <c r="G40" s="113">
        <v>0.375</v>
      </c>
      <c r="H40" s="112">
        <v>45978</v>
      </c>
      <c r="I40" s="113">
        <v>0.54166666666666663</v>
      </c>
      <c r="J40" s="87">
        <f t="shared" si="0"/>
        <v>2</v>
      </c>
      <c r="K40" s="8">
        <v>1</v>
      </c>
      <c r="L40" s="8">
        <v>28</v>
      </c>
      <c r="M40" s="49" t="s">
        <v>792</v>
      </c>
    </row>
    <row r="41" spans="1:13" s="5" customFormat="1" ht="71.25" customHeight="1" x14ac:dyDescent="0.2">
      <c r="A41" s="49" t="s">
        <v>749</v>
      </c>
      <c r="B41" s="8" t="s">
        <v>30</v>
      </c>
      <c r="C41" s="8" t="s">
        <v>40</v>
      </c>
      <c r="D41" s="84">
        <v>1</v>
      </c>
      <c r="E41" s="49">
        <v>30</v>
      </c>
      <c r="F41" s="112">
        <v>45980</v>
      </c>
      <c r="G41" s="113">
        <v>0.375</v>
      </c>
      <c r="H41" s="112">
        <v>45978</v>
      </c>
      <c r="I41" s="113">
        <v>0.5</v>
      </c>
      <c r="J41" s="87">
        <f t="shared" si="0"/>
        <v>1</v>
      </c>
      <c r="K41" s="8">
        <v>1</v>
      </c>
      <c r="L41" s="8">
        <v>29</v>
      </c>
      <c r="M41" s="49" t="s">
        <v>793</v>
      </c>
    </row>
    <row r="42" spans="1:13" s="5" customFormat="1" ht="71.25" customHeight="1" x14ac:dyDescent="0.2">
      <c r="A42" s="49" t="s">
        <v>750</v>
      </c>
      <c r="B42" s="8" t="s">
        <v>21</v>
      </c>
      <c r="C42" s="8" t="s">
        <v>34</v>
      </c>
      <c r="D42" s="84">
        <v>1</v>
      </c>
      <c r="E42" s="49">
        <v>30</v>
      </c>
      <c r="F42" s="112">
        <v>45980</v>
      </c>
      <c r="G42" s="113">
        <v>0.375</v>
      </c>
      <c r="H42" s="112">
        <v>45978</v>
      </c>
      <c r="I42" s="113">
        <v>0.5</v>
      </c>
      <c r="J42" s="87">
        <f t="shared" si="0"/>
        <v>3</v>
      </c>
      <c r="K42" s="8">
        <v>1</v>
      </c>
      <c r="L42" s="8">
        <v>27</v>
      </c>
      <c r="M42" s="49" t="s">
        <v>794</v>
      </c>
    </row>
    <row r="43" spans="1:13" s="5" customFormat="1" ht="71.25" customHeight="1" x14ac:dyDescent="0.2">
      <c r="A43" s="49" t="s">
        <v>751</v>
      </c>
      <c r="B43" s="8" t="s">
        <v>36</v>
      </c>
      <c r="C43" s="8" t="s">
        <v>43</v>
      </c>
      <c r="D43" s="84">
        <v>1</v>
      </c>
      <c r="E43" s="49">
        <v>30</v>
      </c>
      <c r="F43" s="112">
        <v>45980</v>
      </c>
      <c r="G43" s="113">
        <v>0.375</v>
      </c>
      <c r="H43" s="112">
        <v>45978</v>
      </c>
      <c r="I43" s="113">
        <v>0.5</v>
      </c>
      <c r="J43" s="87">
        <f t="shared" si="0"/>
        <v>0</v>
      </c>
      <c r="K43" s="8">
        <v>1</v>
      </c>
      <c r="L43" s="8">
        <v>30</v>
      </c>
      <c r="M43" s="49" t="s">
        <v>795</v>
      </c>
    </row>
    <row r="44" spans="1:13" s="5" customFormat="1" ht="71.25" customHeight="1" x14ac:dyDescent="0.2">
      <c r="A44" s="49" t="s">
        <v>752</v>
      </c>
      <c r="B44" s="8" t="s">
        <v>36</v>
      </c>
      <c r="C44" s="8" t="s">
        <v>43</v>
      </c>
      <c r="D44" s="84">
        <v>1</v>
      </c>
      <c r="E44" s="49">
        <v>30</v>
      </c>
      <c r="F44" s="112">
        <v>45980</v>
      </c>
      <c r="G44" s="113">
        <v>0.375</v>
      </c>
      <c r="H44" s="112">
        <v>45978</v>
      </c>
      <c r="I44" s="113">
        <v>0.52083333333333337</v>
      </c>
      <c r="J44" s="87">
        <f t="shared" si="0"/>
        <v>2</v>
      </c>
      <c r="K44" s="8">
        <v>1</v>
      </c>
      <c r="L44" s="8">
        <v>28</v>
      </c>
      <c r="M44" s="49" t="s">
        <v>796</v>
      </c>
    </row>
    <row r="45" spans="1:13" s="5" customFormat="1" ht="71.25" customHeight="1" x14ac:dyDescent="0.2">
      <c r="A45" s="49" t="s">
        <v>753</v>
      </c>
      <c r="B45" s="8" t="s">
        <v>36</v>
      </c>
      <c r="C45" s="8" t="s">
        <v>43</v>
      </c>
      <c r="D45" s="84">
        <v>1</v>
      </c>
      <c r="E45" s="49">
        <v>30</v>
      </c>
      <c r="F45" s="112">
        <v>45980</v>
      </c>
      <c r="G45" s="113">
        <v>0.375</v>
      </c>
      <c r="H45" s="112">
        <v>45978</v>
      </c>
      <c r="I45" s="113">
        <v>0.5625</v>
      </c>
      <c r="J45" s="87">
        <f t="shared" si="0"/>
        <v>4</v>
      </c>
      <c r="K45" s="8">
        <v>1</v>
      </c>
      <c r="L45" s="8">
        <v>26</v>
      </c>
      <c r="M45" s="49" t="s">
        <v>797</v>
      </c>
    </row>
    <row r="46" spans="1:13" s="5" customFormat="1" ht="71.25" customHeight="1" x14ac:dyDescent="0.2">
      <c r="A46" s="49" t="s">
        <v>754</v>
      </c>
      <c r="B46" s="8" t="s">
        <v>36</v>
      </c>
      <c r="C46" s="8" t="s">
        <v>43</v>
      </c>
      <c r="D46" s="84">
        <v>1</v>
      </c>
      <c r="E46" s="49">
        <v>30</v>
      </c>
      <c r="F46" s="112">
        <v>45980</v>
      </c>
      <c r="G46" s="113">
        <v>0.375</v>
      </c>
      <c r="H46" s="112">
        <v>45978</v>
      </c>
      <c r="I46" s="113">
        <v>0.54166666666666663</v>
      </c>
      <c r="J46" s="87">
        <f t="shared" si="0"/>
        <v>4</v>
      </c>
      <c r="K46" s="8">
        <v>1</v>
      </c>
      <c r="L46" s="8">
        <v>26</v>
      </c>
      <c r="M46" s="49" t="s">
        <v>798</v>
      </c>
    </row>
    <row r="47" spans="1:13" s="5" customFormat="1" ht="71.25" customHeight="1" x14ac:dyDescent="0.2">
      <c r="A47" s="49" t="s">
        <v>755</v>
      </c>
      <c r="B47" s="8" t="s">
        <v>136</v>
      </c>
      <c r="C47" s="8" t="s">
        <v>22</v>
      </c>
      <c r="D47" s="84">
        <v>1</v>
      </c>
      <c r="E47" s="49">
        <v>30</v>
      </c>
      <c r="F47" s="112">
        <v>45980</v>
      </c>
      <c r="G47" s="113">
        <v>0.375</v>
      </c>
      <c r="H47" s="112">
        <v>45978</v>
      </c>
      <c r="I47" s="113">
        <v>0.58333333333333337</v>
      </c>
      <c r="J47" s="87">
        <f t="shared" si="0"/>
        <v>2</v>
      </c>
      <c r="K47" s="8">
        <v>1</v>
      </c>
      <c r="L47" s="8">
        <v>28</v>
      </c>
      <c r="M47" s="49" t="s">
        <v>799</v>
      </c>
    </row>
    <row r="48" spans="1:13" s="5" customFormat="1" ht="71.25" customHeight="1" x14ac:dyDescent="0.2">
      <c r="A48" s="49" t="s">
        <v>756</v>
      </c>
      <c r="B48" s="8" t="s">
        <v>30</v>
      </c>
      <c r="C48" s="8" t="s">
        <v>40</v>
      </c>
      <c r="D48" s="84">
        <v>1</v>
      </c>
      <c r="E48" s="49">
        <v>30</v>
      </c>
      <c r="F48" s="112">
        <v>45980</v>
      </c>
      <c r="G48" s="113">
        <v>0.375</v>
      </c>
      <c r="H48" s="112">
        <v>45978</v>
      </c>
      <c r="I48" s="113">
        <v>0.5625</v>
      </c>
      <c r="J48" s="87">
        <f t="shared" si="0"/>
        <v>2</v>
      </c>
      <c r="K48" s="8">
        <v>1</v>
      </c>
      <c r="L48" s="8">
        <v>28</v>
      </c>
      <c r="M48" s="49" t="s">
        <v>800</v>
      </c>
    </row>
    <row r="49" spans="1:13" s="5" customFormat="1" ht="71.25" customHeight="1" x14ac:dyDescent="0.2">
      <c r="A49" s="49" t="s">
        <v>757</v>
      </c>
      <c r="B49" s="8" t="s">
        <v>510</v>
      </c>
      <c r="C49" s="8" t="s">
        <v>31</v>
      </c>
      <c r="D49" s="84">
        <v>1</v>
      </c>
      <c r="E49" s="49">
        <v>30</v>
      </c>
      <c r="F49" s="112">
        <v>45980</v>
      </c>
      <c r="G49" s="113">
        <v>0.375</v>
      </c>
      <c r="H49" s="112">
        <v>45978</v>
      </c>
      <c r="I49" s="113">
        <v>0.60416666666666663</v>
      </c>
      <c r="J49" s="87">
        <f t="shared" si="0"/>
        <v>6</v>
      </c>
      <c r="K49" s="8">
        <v>1</v>
      </c>
      <c r="L49" s="8">
        <v>24</v>
      </c>
      <c r="M49" s="49" t="s">
        <v>801</v>
      </c>
    </row>
    <row r="50" spans="1:13" s="5" customFormat="1" ht="71.25" customHeight="1" x14ac:dyDescent="0.2">
      <c r="A50" s="49" t="s">
        <v>758</v>
      </c>
      <c r="B50" s="8" t="s">
        <v>510</v>
      </c>
      <c r="C50" s="8" t="s">
        <v>31</v>
      </c>
      <c r="D50" s="84">
        <v>1</v>
      </c>
      <c r="E50" s="49">
        <v>30</v>
      </c>
      <c r="F50" s="112">
        <v>45980</v>
      </c>
      <c r="G50" s="113">
        <v>0.375</v>
      </c>
      <c r="H50" s="112">
        <v>45978</v>
      </c>
      <c r="I50" s="113">
        <v>0.58333333333333337</v>
      </c>
      <c r="J50" s="87">
        <f t="shared" si="0"/>
        <v>6</v>
      </c>
      <c r="K50" s="8">
        <v>1</v>
      </c>
      <c r="L50" s="8">
        <v>24</v>
      </c>
      <c r="M50" s="49" t="s">
        <v>802</v>
      </c>
    </row>
    <row r="51" spans="1:13" s="5" customFormat="1" ht="71.25" customHeight="1" x14ac:dyDescent="0.2">
      <c r="A51" s="49" t="s">
        <v>759</v>
      </c>
      <c r="B51" s="8" t="s">
        <v>21</v>
      </c>
      <c r="C51" s="8" t="s">
        <v>34</v>
      </c>
      <c r="D51" s="84">
        <v>1</v>
      </c>
      <c r="E51" s="49">
        <v>30</v>
      </c>
      <c r="F51" s="112">
        <v>45980</v>
      </c>
      <c r="G51" s="113">
        <v>0.375</v>
      </c>
      <c r="H51" s="112">
        <v>45978</v>
      </c>
      <c r="I51" s="113">
        <v>0.625</v>
      </c>
      <c r="J51" s="87">
        <f t="shared" si="0"/>
        <v>4</v>
      </c>
      <c r="K51" s="8">
        <v>1</v>
      </c>
      <c r="L51" s="8">
        <v>26</v>
      </c>
      <c r="M51" s="49" t="s">
        <v>803</v>
      </c>
    </row>
    <row r="52" spans="1:13" s="5" customFormat="1" ht="71.25" customHeight="1" x14ac:dyDescent="0.2">
      <c r="A52" s="49" t="s">
        <v>760</v>
      </c>
      <c r="B52" s="8" t="s">
        <v>136</v>
      </c>
      <c r="C52" s="8" t="s">
        <v>22</v>
      </c>
      <c r="D52" s="84">
        <v>1</v>
      </c>
      <c r="E52" s="49">
        <v>30</v>
      </c>
      <c r="F52" s="112">
        <v>45980</v>
      </c>
      <c r="G52" s="113">
        <v>0.375</v>
      </c>
      <c r="H52" s="112">
        <v>45978</v>
      </c>
      <c r="I52" s="113">
        <v>0.60416666666666663</v>
      </c>
      <c r="J52" s="87">
        <f t="shared" si="0"/>
        <v>4</v>
      </c>
      <c r="K52" s="8">
        <v>1</v>
      </c>
      <c r="L52" s="8">
        <v>26</v>
      </c>
      <c r="M52" s="49" t="s">
        <v>804</v>
      </c>
    </row>
    <row r="53" spans="1:13" s="5" customFormat="1" ht="71.25" customHeight="1" x14ac:dyDescent="0.2">
      <c r="A53" s="49" t="s">
        <v>761</v>
      </c>
      <c r="B53" s="8" t="s">
        <v>136</v>
      </c>
      <c r="C53" s="8" t="s">
        <v>22</v>
      </c>
      <c r="D53" s="84">
        <v>1</v>
      </c>
      <c r="E53" s="49">
        <v>30</v>
      </c>
      <c r="F53" s="112">
        <v>45980</v>
      </c>
      <c r="G53" s="113">
        <v>0.375</v>
      </c>
      <c r="H53" s="112">
        <v>45978</v>
      </c>
      <c r="I53" s="113">
        <v>0.64583333333333337</v>
      </c>
      <c r="J53" s="87">
        <f t="shared" si="0"/>
        <v>3</v>
      </c>
      <c r="K53" s="8">
        <v>1</v>
      </c>
      <c r="L53" s="8">
        <v>27</v>
      </c>
      <c r="M53" s="49" t="s">
        <v>805</v>
      </c>
    </row>
    <row r="54" spans="1:13" s="5" customFormat="1" ht="71.25" customHeight="1" x14ac:dyDescent="0.2">
      <c r="A54" s="49" t="s">
        <v>762</v>
      </c>
      <c r="B54" s="8" t="s">
        <v>42</v>
      </c>
      <c r="C54" s="8" t="s">
        <v>37</v>
      </c>
      <c r="D54" s="84">
        <v>1</v>
      </c>
      <c r="E54" s="49">
        <v>30</v>
      </c>
      <c r="F54" s="112">
        <v>45980</v>
      </c>
      <c r="G54" s="113">
        <v>0.375</v>
      </c>
      <c r="H54" s="112">
        <v>45978</v>
      </c>
      <c r="I54" s="113">
        <v>0.625</v>
      </c>
      <c r="J54" s="87">
        <f t="shared" si="0"/>
        <v>3</v>
      </c>
      <c r="K54" s="8">
        <v>1</v>
      </c>
      <c r="L54" s="8">
        <v>27</v>
      </c>
      <c r="M54" s="49" t="s">
        <v>806</v>
      </c>
    </row>
    <row r="55" spans="1:13" s="5" customFormat="1" ht="71.25" customHeight="1" x14ac:dyDescent="0.2">
      <c r="A55" s="49" t="s">
        <v>763</v>
      </c>
      <c r="B55" s="8" t="s">
        <v>42</v>
      </c>
      <c r="C55" s="8" t="s">
        <v>37</v>
      </c>
      <c r="D55" s="84">
        <v>1</v>
      </c>
      <c r="E55" s="49">
        <v>30</v>
      </c>
      <c r="F55" s="112">
        <v>45980</v>
      </c>
      <c r="G55" s="113">
        <v>0.375</v>
      </c>
      <c r="H55" s="112">
        <v>45978</v>
      </c>
      <c r="I55" s="113">
        <v>0.66666666666666663</v>
      </c>
      <c r="J55" s="87">
        <f t="shared" si="0"/>
        <v>2</v>
      </c>
      <c r="K55" s="8">
        <v>1</v>
      </c>
      <c r="L55" s="8">
        <v>28</v>
      </c>
      <c r="M55" s="49" t="s">
        <v>807</v>
      </c>
    </row>
    <row r="56" spans="1:13" s="5" customFormat="1" ht="71.25" customHeight="1" x14ac:dyDescent="0.2">
      <c r="A56" s="49" t="s">
        <v>764</v>
      </c>
      <c r="B56" s="8" t="s">
        <v>42</v>
      </c>
      <c r="C56" s="8" t="s">
        <v>37</v>
      </c>
      <c r="D56" s="84">
        <v>1</v>
      </c>
      <c r="E56" s="49">
        <v>30</v>
      </c>
      <c r="F56" s="112">
        <v>45980</v>
      </c>
      <c r="G56" s="113">
        <v>0.375</v>
      </c>
      <c r="H56" s="112">
        <v>45978</v>
      </c>
      <c r="I56" s="113">
        <v>0.64583333333333337</v>
      </c>
      <c r="J56" s="87">
        <f t="shared" si="0"/>
        <v>2</v>
      </c>
      <c r="K56" s="8">
        <v>1</v>
      </c>
      <c r="L56" s="8">
        <v>28</v>
      </c>
      <c r="M56" s="49" t="s">
        <v>808</v>
      </c>
    </row>
    <row r="57" spans="1:13" s="5" customFormat="1" ht="71.25" customHeight="1" x14ac:dyDescent="0.2">
      <c r="A57" s="49" t="s">
        <v>765</v>
      </c>
      <c r="B57" s="8" t="s">
        <v>510</v>
      </c>
      <c r="C57" s="8" t="s">
        <v>31</v>
      </c>
      <c r="D57" s="84">
        <v>1</v>
      </c>
      <c r="E57" s="49">
        <v>30</v>
      </c>
      <c r="F57" s="112">
        <v>45980</v>
      </c>
      <c r="G57" s="113">
        <v>0.375</v>
      </c>
      <c r="H57" s="112">
        <v>45978</v>
      </c>
      <c r="I57" s="113">
        <v>0.6875</v>
      </c>
      <c r="J57" s="87">
        <f t="shared" si="0"/>
        <v>2</v>
      </c>
      <c r="K57" s="8">
        <v>1</v>
      </c>
      <c r="L57" s="8">
        <v>28</v>
      </c>
      <c r="M57" s="49" t="s">
        <v>809</v>
      </c>
    </row>
    <row r="58" spans="1:13" s="5" customFormat="1" ht="71.25" customHeight="1" x14ac:dyDescent="0.2">
      <c r="A58" s="49" t="s">
        <v>766</v>
      </c>
      <c r="B58" s="8" t="s">
        <v>42</v>
      </c>
      <c r="C58" s="8" t="s">
        <v>37</v>
      </c>
      <c r="D58" s="84">
        <v>1</v>
      </c>
      <c r="E58" s="49">
        <v>30</v>
      </c>
      <c r="F58" s="112">
        <v>45980</v>
      </c>
      <c r="G58" s="113">
        <v>0.375</v>
      </c>
      <c r="H58" s="112">
        <v>45978</v>
      </c>
      <c r="I58" s="113">
        <v>0.66666666666666663</v>
      </c>
      <c r="J58" s="87">
        <f t="shared" si="0"/>
        <v>2</v>
      </c>
      <c r="K58" s="8">
        <v>1</v>
      </c>
      <c r="L58" s="8">
        <v>28</v>
      </c>
      <c r="M58" s="49" t="s">
        <v>810</v>
      </c>
    </row>
    <row r="59" spans="1:13" s="5" customFormat="1" ht="71.25" customHeight="1" x14ac:dyDescent="0.2">
      <c r="A59" s="49" t="s">
        <v>767</v>
      </c>
      <c r="B59" s="8" t="s">
        <v>21</v>
      </c>
      <c r="C59" s="8" t="s">
        <v>34</v>
      </c>
      <c r="D59" s="84">
        <v>1</v>
      </c>
      <c r="E59" s="49">
        <v>30</v>
      </c>
      <c r="F59" s="112">
        <v>45980</v>
      </c>
      <c r="G59" s="113">
        <v>0.375</v>
      </c>
      <c r="H59" s="112">
        <v>45978</v>
      </c>
      <c r="I59" s="113">
        <v>0.70833333333333337</v>
      </c>
      <c r="J59" s="87">
        <f t="shared" si="0"/>
        <v>2</v>
      </c>
      <c r="K59" s="8">
        <v>1</v>
      </c>
      <c r="L59" s="8">
        <v>28</v>
      </c>
      <c r="M59" s="49" t="s">
        <v>461</v>
      </c>
    </row>
    <row r="60" spans="1:13" s="5" customFormat="1" ht="71.25" customHeight="1" x14ac:dyDescent="0.2">
      <c r="A60" s="49" t="s">
        <v>768</v>
      </c>
      <c r="B60" s="8" t="s">
        <v>136</v>
      </c>
      <c r="C60" s="8" t="s">
        <v>22</v>
      </c>
      <c r="D60" s="84">
        <v>1</v>
      </c>
      <c r="E60" s="49">
        <v>30</v>
      </c>
      <c r="F60" s="112">
        <v>45980</v>
      </c>
      <c r="G60" s="113">
        <v>0.375</v>
      </c>
      <c r="H60" s="112">
        <v>45978</v>
      </c>
      <c r="I60" s="113">
        <v>0.6875</v>
      </c>
      <c r="J60" s="87">
        <f t="shared" si="0"/>
        <v>2</v>
      </c>
      <c r="K60" s="8">
        <v>1</v>
      </c>
      <c r="L60" s="8">
        <v>28</v>
      </c>
      <c r="M60" s="49" t="s">
        <v>811</v>
      </c>
    </row>
    <row r="61" spans="1:13" s="5" customFormat="1" ht="71.25" customHeight="1" x14ac:dyDescent="0.2">
      <c r="A61" s="49" t="s">
        <v>769</v>
      </c>
      <c r="B61" s="8" t="s">
        <v>21</v>
      </c>
      <c r="C61" s="8" t="s">
        <v>34</v>
      </c>
      <c r="D61" s="84">
        <v>1</v>
      </c>
      <c r="E61" s="49">
        <v>30</v>
      </c>
      <c r="F61" s="112">
        <v>45980</v>
      </c>
      <c r="G61" s="113">
        <v>0.375</v>
      </c>
      <c r="H61" s="112">
        <v>45978</v>
      </c>
      <c r="I61" s="113">
        <v>0.72916666666666663</v>
      </c>
      <c r="J61" s="87">
        <f t="shared" si="0"/>
        <v>3</v>
      </c>
      <c r="K61" s="8">
        <v>1</v>
      </c>
      <c r="L61" s="8">
        <v>27</v>
      </c>
      <c r="M61" s="49" t="s">
        <v>812</v>
      </c>
    </row>
    <row r="62" spans="1:13" s="5" customFormat="1" ht="71.25" customHeight="1" x14ac:dyDescent="0.2">
      <c r="A62" s="49" t="s">
        <v>770</v>
      </c>
      <c r="B62" s="8" t="s">
        <v>30</v>
      </c>
      <c r="C62" s="8" t="s">
        <v>40</v>
      </c>
      <c r="D62" s="84">
        <v>1</v>
      </c>
      <c r="E62" s="49">
        <v>30</v>
      </c>
      <c r="F62" s="112">
        <v>45980</v>
      </c>
      <c r="G62" s="113">
        <v>0.375</v>
      </c>
      <c r="H62" s="112">
        <v>45978</v>
      </c>
      <c r="I62" s="113">
        <v>0.70833333333333337</v>
      </c>
      <c r="J62" s="87">
        <f t="shared" si="0"/>
        <v>0</v>
      </c>
      <c r="K62" s="8">
        <v>2</v>
      </c>
      <c r="L62" s="88">
        <v>30</v>
      </c>
      <c r="M62" s="49" t="s">
        <v>813</v>
      </c>
    </row>
    <row r="63" spans="1:13" s="5" customFormat="1" ht="66" customHeight="1" x14ac:dyDescent="0.2">
      <c r="A63" s="49" t="s">
        <v>771</v>
      </c>
      <c r="B63" s="8" t="s">
        <v>30</v>
      </c>
      <c r="C63" s="8" t="s">
        <v>40</v>
      </c>
      <c r="D63" s="84">
        <v>1</v>
      </c>
      <c r="E63" s="49">
        <v>30</v>
      </c>
      <c r="F63" s="112">
        <v>45980</v>
      </c>
      <c r="G63" s="113">
        <v>0.375</v>
      </c>
      <c r="H63" s="112">
        <v>45978</v>
      </c>
      <c r="I63" s="113">
        <v>0.75</v>
      </c>
      <c r="J63" s="87">
        <f t="shared" si="0"/>
        <v>0</v>
      </c>
      <c r="K63" s="8">
        <v>2</v>
      </c>
      <c r="L63" s="88">
        <v>30</v>
      </c>
      <c r="M63" s="49" t="s">
        <v>814</v>
      </c>
    </row>
    <row r="64" spans="1:13" s="5" customFormat="1" ht="56.25" customHeight="1" x14ac:dyDescent="0.2">
      <c r="A64" s="49" t="s">
        <v>565</v>
      </c>
      <c r="B64" s="8" t="s">
        <v>21</v>
      </c>
      <c r="C64" s="8" t="s">
        <v>34</v>
      </c>
      <c r="D64" s="84">
        <v>1</v>
      </c>
      <c r="E64" s="49">
        <v>20</v>
      </c>
      <c r="F64" s="112">
        <v>45980</v>
      </c>
      <c r="G64" s="113">
        <v>0.375</v>
      </c>
      <c r="H64" s="112">
        <v>45979</v>
      </c>
      <c r="I64" s="113">
        <v>0.79166666666666663</v>
      </c>
      <c r="J64" s="87">
        <f t="shared" si="0"/>
        <v>2</v>
      </c>
      <c r="K64" s="8">
        <v>1</v>
      </c>
      <c r="L64" s="8">
        <v>18</v>
      </c>
      <c r="M64" s="49" t="s">
        <v>569</v>
      </c>
    </row>
    <row r="65" spans="1:13" s="5" customFormat="1" ht="63" customHeight="1" x14ac:dyDescent="0.2">
      <c r="A65" s="49" t="s">
        <v>565</v>
      </c>
      <c r="B65" s="8" t="s">
        <v>136</v>
      </c>
      <c r="C65" s="8" t="s">
        <v>40</v>
      </c>
      <c r="D65" s="84">
        <v>1</v>
      </c>
      <c r="E65" s="49">
        <v>20</v>
      </c>
      <c r="F65" s="112">
        <v>45980</v>
      </c>
      <c r="G65" s="113">
        <v>0.375</v>
      </c>
      <c r="H65" s="112">
        <v>45979</v>
      </c>
      <c r="I65" s="113">
        <v>0.79166666666666663</v>
      </c>
      <c r="J65" s="87">
        <f t="shared" si="0"/>
        <v>2</v>
      </c>
      <c r="K65" s="8">
        <v>1</v>
      </c>
      <c r="L65" s="8">
        <v>18</v>
      </c>
      <c r="M65" s="49" t="s">
        <v>569</v>
      </c>
    </row>
    <row r="66" spans="1:13" s="5" customFormat="1" ht="66" customHeight="1" x14ac:dyDescent="0.2">
      <c r="A66" s="106" t="s">
        <v>123</v>
      </c>
      <c r="B66" s="85" t="s">
        <v>42</v>
      </c>
      <c r="C66" s="85" t="s">
        <v>37</v>
      </c>
      <c r="D66" s="49">
        <v>1</v>
      </c>
      <c r="E66" s="49">
        <v>20</v>
      </c>
      <c r="F66" s="85">
        <v>45980</v>
      </c>
      <c r="G66" s="86">
        <v>0.375</v>
      </c>
      <c r="H66" s="85">
        <v>45979</v>
      </c>
      <c r="I66" s="86">
        <v>0.80555555555555558</v>
      </c>
      <c r="J66" s="87">
        <f>E66-L66</f>
        <v>0</v>
      </c>
      <c r="K66" s="8">
        <v>1</v>
      </c>
      <c r="L66" s="88">
        <v>20</v>
      </c>
      <c r="M66" s="93" t="s">
        <v>124</v>
      </c>
    </row>
    <row r="67" spans="1:13" s="5" customFormat="1" ht="58.5" customHeight="1" x14ac:dyDescent="0.2">
      <c r="A67" s="38" t="s">
        <v>123</v>
      </c>
      <c r="B67" s="85" t="s">
        <v>36</v>
      </c>
      <c r="C67" s="85" t="s">
        <v>43</v>
      </c>
      <c r="D67" s="49">
        <v>1</v>
      </c>
      <c r="E67" s="49">
        <v>20</v>
      </c>
      <c r="F67" s="85">
        <v>45980</v>
      </c>
      <c r="G67" s="86">
        <v>0.375</v>
      </c>
      <c r="H67" s="85">
        <v>45979</v>
      </c>
      <c r="I67" s="86">
        <v>0.80555555555555558</v>
      </c>
      <c r="J67" s="87">
        <f t="shared" ref="J67:J88" si="2">E67-L67</f>
        <v>0</v>
      </c>
      <c r="K67" s="8">
        <v>1</v>
      </c>
      <c r="L67" s="88">
        <v>20</v>
      </c>
      <c r="M67" s="93" t="s">
        <v>124</v>
      </c>
    </row>
    <row r="68" spans="1:13" s="5" customFormat="1" ht="57" customHeight="1" x14ac:dyDescent="0.2">
      <c r="A68" s="115" t="s">
        <v>175</v>
      </c>
      <c r="B68" s="115" t="s">
        <v>42</v>
      </c>
      <c r="C68" s="115" t="s">
        <v>37</v>
      </c>
      <c r="D68" s="8">
        <v>1</v>
      </c>
      <c r="E68" s="8">
        <v>30</v>
      </c>
      <c r="F68" s="115">
        <v>45980</v>
      </c>
      <c r="G68" s="86">
        <v>0.375</v>
      </c>
      <c r="H68" s="115">
        <v>45979</v>
      </c>
      <c r="I68" s="121">
        <v>0.83333333333333337</v>
      </c>
      <c r="J68" s="8">
        <f t="shared" si="2"/>
        <v>6</v>
      </c>
      <c r="K68" s="65">
        <v>1</v>
      </c>
      <c r="L68" s="69">
        <v>24</v>
      </c>
      <c r="M68" s="91" t="s">
        <v>176</v>
      </c>
    </row>
    <row r="69" spans="1:13" s="5" customFormat="1" ht="55.5" customHeight="1" x14ac:dyDescent="0.2">
      <c r="A69" s="115" t="s">
        <v>177</v>
      </c>
      <c r="B69" s="115" t="s">
        <v>30</v>
      </c>
      <c r="C69" s="115" t="s">
        <v>40</v>
      </c>
      <c r="D69" s="8">
        <v>1</v>
      </c>
      <c r="E69" s="8">
        <v>30</v>
      </c>
      <c r="F69" s="115">
        <v>45980</v>
      </c>
      <c r="G69" s="86">
        <v>0.375</v>
      </c>
      <c r="H69" s="115">
        <v>45979</v>
      </c>
      <c r="I69" s="121">
        <v>0.83333333333333337</v>
      </c>
      <c r="J69" s="8">
        <f t="shared" si="2"/>
        <v>0</v>
      </c>
      <c r="K69" s="65">
        <v>1</v>
      </c>
      <c r="L69" s="69">
        <v>30</v>
      </c>
      <c r="M69" s="91" t="s">
        <v>178</v>
      </c>
    </row>
    <row r="70" spans="1:13" ht="87" customHeight="1" x14ac:dyDescent="0.2">
      <c r="A70" s="85" t="s">
        <v>179</v>
      </c>
      <c r="B70" s="115" t="s">
        <v>30</v>
      </c>
      <c r="C70" s="115" t="s">
        <v>40</v>
      </c>
      <c r="D70" s="8">
        <v>5</v>
      </c>
      <c r="E70" s="8">
        <v>50</v>
      </c>
      <c r="F70" s="115">
        <v>45980</v>
      </c>
      <c r="G70" s="86">
        <v>0.375</v>
      </c>
      <c r="H70" s="115">
        <v>45979</v>
      </c>
      <c r="I70" s="121">
        <v>0.86805555555555558</v>
      </c>
      <c r="J70" s="8">
        <f t="shared" si="2"/>
        <v>5</v>
      </c>
      <c r="K70" s="65">
        <v>5</v>
      </c>
      <c r="L70" s="69">
        <v>45</v>
      </c>
      <c r="M70" s="91" t="s">
        <v>180</v>
      </c>
    </row>
    <row r="71" spans="1:13" s="5" customFormat="1" ht="56.25" customHeight="1" x14ac:dyDescent="0.2">
      <c r="A71" s="23" t="s">
        <v>146</v>
      </c>
      <c r="B71" s="85" t="s">
        <v>510</v>
      </c>
      <c r="C71" s="90" t="s">
        <v>31</v>
      </c>
      <c r="D71" s="84">
        <v>1</v>
      </c>
      <c r="E71" s="49">
        <v>60</v>
      </c>
      <c r="F71" s="85">
        <v>45980</v>
      </c>
      <c r="G71" s="86">
        <v>0.375</v>
      </c>
      <c r="H71" s="85">
        <v>45979</v>
      </c>
      <c r="I71" s="86">
        <v>0.91666666666666663</v>
      </c>
      <c r="J71" s="87">
        <f t="shared" si="2"/>
        <v>50</v>
      </c>
      <c r="K71" s="8">
        <v>1</v>
      </c>
      <c r="L71" s="88">
        <v>10</v>
      </c>
      <c r="M71" s="91" t="s">
        <v>149</v>
      </c>
    </row>
    <row r="72" spans="1:13" s="5" customFormat="1" ht="67.5" customHeight="1" x14ac:dyDescent="0.2">
      <c r="A72" s="23" t="s">
        <v>146</v>
      </c>
      <c r="B72" s="85" t="s">
        <v>36</v>
      </c>
      <c r="C72" s="90" t="s">
        <v>43</v>
      </c>
      <c r="D72" s="84">
        <v>1</v>
      </c>
      <c r="E72" s="49">
        <v>60</v>
      </c>
      <c r="F72" s="85">
        <v>45980</v>
      </c>
      <c r="G72" s="86">
        <v>0.375</v>
      </c>
      <c r="H72" s="85">
        <v>45979</v>
      </c>
      <c r="I72" s="86">
        <v>0.91666666666666663</v>
      </c>
      <c r="J72" s="87">
        <f t="shared" si="2"/>
        <v>50</v>
      </c>
      <c r="K72" s="8">
        <v>1</v>
      </c>
      <c r="L72" s="88">
        <v>10</v>
      </c>
      <c r="M72" s="91" t="s">
        <v>149</v>
      </c>
    </row>
    <row r="73" spans="1:13" s="5" customFormat="1" ht="69.75" customHeight="1" x14ac:dyDescent="0.2">
      <c r="A73" s="23" t="s">
        <v>146</v>
      </c>
      <c r="B73" s="85" t="s">
        <v>136</v>
      </c>
      <c r="C73" s="90" t="s">
        <v>22</v>
      </c>
      <c r="D73" s="84">
        <v>1</v>
      </c>
      <c r="E73" s="49">
        <v>60</v>
      </c>
      <c r="F73" s="85">
        <v>45980</v>
      </c>
      <c r="G73" s="86">
        <v>0.375</v>
      </c>
      <c r="H73" s="85">
        <v>45979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61.5" customHeight="1" x14ac:dyDescent="0.2">
      <c r="A74" s="23" t="s">
        <v>146</v>
      </c>
      <c r="B74" s="85" t="s">
        <v>21</v>
      </c>
      <c r="C74" s="90" t="s">
        <v>34</v>
      </c>
      <c r="D74" s="84">
        <v>1</v>
      </c>
      <c r="E74" s="49">
        <v>60</v>
      </c>
      <c r="F74" s="85">
        <v>45980</v>
      </c>
      <c r="G74" s="86">
        <v>0.375</v>
      </c>
      <c r="H74" s="85">
        <v>45979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56.25" customHeight="1" x14ac:dyDescent="0.2">
      <c r="A75" s="23" t="s">
        <v>146</v>
      </c>
      <c r="B75" s="85" t="s">
        <v>42</v>
      </c>
      <c r="C75" s="90" t="s">
        <v>37</v>
      </c>
      <c r="D75" s="84">
        <v>1</v>
      </c>
      <c r="E75" s="49">
        <v>60</v>
      </c>
      <c r="F75" s="85">
        <v>45980</v>
      </c>
      <c r="G75" s="86">
        <v>0.375</v>
      </c>
      <c r="H75" s="85">
        <v>45979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97.5" customHeight="1" x14ac:dyDescent="0.2">
      <c r="A76" s="23" t="s">
        <v>146</v>
      </c>
      <c r="B76" s="85" t="s">
        <v>510</v>
      </c>
      <c r="C76" s="90" t="s">
        <v>40</v>
      </c>
      <c r="D76" s="84">
        <v>1</v>
      </c>
      <c r="E76" s="49">
        <v>60</v>
      </c>
      <c r="F76" s="85">
        <v>45980</v>
      </c>
      <c r="G76" s="86">
        <v>0.375</v>
      </c>
      <c r="H76" s="85">
        <v>45979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75" customHeight="1" x14ac:dyDescent="0.2">
      <c r="A77" s="23" t="s">
        <v>52</v>
      </c>
      <c r="B77" s="90" t="s">
        <v>136</v>
      </c>
      <c r="C77" s="90" t="s">
        <v>22</v>
      </c>
      <c r="D77" s="84">
        <v>1</v>
      </c>
      <c r="E77" s="49">
        <v>30</v>
      </c>
      <c r="F77" s="85">
        <v>45980</v>
      </c>
      <c r="G77" s="86">
        <v>0.375</v>
      </c>
      <c r="H77" s="85">
        <v>45979</v>
      </c>
      <c r="I77" s="86">
        <v>0.91666666666666663</v>
      </c>
      <c r="J77" s="87">
        <f t="shared" si="2"/>
        <v>0</v>
      </c>
      <c r="K77" s="8">
        <v>1</v>
      </c>
      <c r="L77" s="88">
        <v>30</v>
      </c>
      <c r="M77" s="91" t="s">
        <v>53</v>
      </c>
    </row>
    <row r="78" spans="1:13" s="5" customFormat="1" ht="70.5" customHeight="1" x14ac:dyDescent="0.2">
      <c r="A78" s="23" t="s">
        <v>153</v>
      </c>
      <c r="B78" s="90" t="s">
        <v>42</v>
      </c>
      <c r="C78" s="90" t="s">
        <v>37</v>
      </c>
      <c r="D78" s="84">
        <v>1</v>
      </c>
      <c r="E78" s="5">
        <v>30</v>
      </c>
      <c r="F78" s="85">
        <v>45980</v>
      </c>
      <c r="G78" s="86">
        <v>0.375</v>
      </c>
      <c r="H78" s="85">
        <v>45979</v>
      </c>
      <c r="I78" s="86">
        <v>0.91666666666666663</v>
      </c>
      <c r="J78" s="87">
        <f t="shared" si="2"/>
        <v>0</v>
      </c>
      <c r="K78" s="8">
        <v>1</v>
      </c>
      <c r="L78" s="88">
        <v>30</v>
      </c>
      <c r="M78" s="91" t="s">
        <v>53</v>
      </c>
    </row>
    <row r="79" spans="1:13" s="5" customFormat="1" ht="73.5" customHeight="1" x14ac:dyDescent="0.2">
      <c r="A79" s="23" t="s">
        <v>79</v>
      </c>
      <c r="B79" s="85" t="s">
        <v>42</v>
      </c>
      <c r="C79" s="90" t="s">
        <v>37</v>
      </c>
      <c r="D79" s="84">
        <v>1</v>
      </c>
      <c r="E79" s="49">
        <v>45</v>
      </c>
      <c r="F79" s="85">
        <v>45980</v>
      </c>
      <c r="G79" s="86">
        <v>0.375</v>
      </c>
      <c r="H79" s="85">
        <v>45979</v>
      </c>
      <c r="I79" s="86">
        <v>0.9375</v>
      </c>
      <c r="J79" s="87">
        <f t="shared" si="2"/>
        <v>-35</v>
      </c>
      <c r="K79" s="8">
        <v>1</v>
      </c>
      <c r="L79" s="88">
        <v>80</v>
      </c>
      <c r="M79" s="91" t="s">
        <v>81</v>
      </c>
    </row>
    <row r="80" spans="1:13" s="5" customFormat="1" ht="66.75" customHeight="1" x14ac:dyDescent="0.2">
      <c r="A80" s="23" t="s">
        <v>85</v>
      </c>
      <c r="B80" s="85" t="s">
        <v>136</v>
      </c>
      <c r="C80" s="90" t="s">
        <v>22</v>
      </c>
      <c r="D80" s="84">
        <v>1</v>
      </c>
      <c r="E80" s="49">
        <v>60</v>
      </c>
      <c r="F80" s="85">
        <v>45980</v>
      </c>
      <c r="G80" s="86">
        <v>0.375</v>
      </c>
      <c r="H80" s="85">
        <v>45979</v>
      </c>
      <c r="I80" s="86">
        <v>0.9375</v>
      </c>
      <c r="J80" s="87">
        <f t="shared" si="2"/>
        <v>10</v>
      </c>
      <c r="K80" s="8">
        <v>1</v>
      </c>
      <c r="L80" s="88">
        <v>50</v>
      </c>
      <c r="M80" s="91" t="s">
        <v>87</v>
      </c>
    </row>
    <row r="81" spans="1:13" s="5" customFormat="1" ht="55.5" customHeight="1" x14ac:dyDescent="0.2">
      <c r="A81" s="23" t="s">
        <v>88</v>
      </c>
      <c r="B81" s="85" t="s">
        <v>136</v>
      </c>
      <c r="C81" s="85" t="s">
        <v>22</v>
      </c>
      <c r="D81" s="84">
        <v>1</v>
      </c>
      <c r="E81" s="49">
        <v>55</v>
      </c>
      <c r="F81" s="85">
        <v>45980</v>
      </c>
      <c r="G81" s="86">
        <v>0.375</v>
      </c>
      <c r="H81" s="85">
        <v>45979</v>
      </c>
      <c r="I81" s="86">
        <v>0.9375</v>
      </c>
      <c r="J81" s="87">
        <f t="shared" si="2"/>
        <v>0</v>
      </c>
      <c r="K81" s="8">
        <v>1</v>
      </c>
      <c r="L81" s="88">
        <v>55</v>
      </c>
      <c r="M81" s="91" t="s">
        <v>89</v>
      </c>
    </row>
    <row r="82" spans="1:13" s="5" customFormat="1" ht="59.25" customHeight="1" x14ac:dyDescent="0.2">
      <c r="A82" s="33" t="s">
        <v>131</v>
      </c>
      <c r="B82" s="85" t="s">
        <v>42</v>
      </c>
      <c r="C82" s="85" t="s">
        <v>37</v>
      </c>
      <c r="D82" s="49">
        <v>1</v>
      </c>
      <c r="E82" s="49">
        <v>30</v>
      </c>
      <c r="F82" s="85">
        <v>45980</v>
      </c>
      <c r="G82" s="86">
        <v>0.375</v>
      </c>
      <c r="H82" s="85">
        <v>45979</v>
      </c>
      <c r="I82" s="86">
        <v>0.9375</v>
      </c>
      <c r="J82" s="87">
        <f t="shared" si="2"/>
        <v>-2</v>
      </c>
      <c r="K82" s="8">
        <v>1</v>
      </c>
      <c r="L82" s="88">
        <v>32</v>
      </c>
      <c r="M82" s="91" t="s">
        <v>132</v>
      </c>
    </row>
    <row r="83" spans="1:13" s="5" customFormat="1" ht="53.25" customHeight="1" x14ac:dyDescent="0.2">
      <c r="A83" s="33" t="s">
        <v>131</v>
      </c>
      <c r="B83" s="85" t="s">
        <v>36</v>
      </c>
      <c r="C83" s="85" t="s">
        <v>43</v>
      </c>
      <c r="D83" s="49">
        <v>1</v>
      </c>
      <c r="E83" s="49">
        <v>30</v>
      </c>
      <c r="F83" s="85">
        <v>45980</v>
      </c>
      <c r="G83" s="86">
        <v>0.375</v>
      </c>
      <c r="H83" s="85">
        <v>45979</v>
      </c>
      <c r="I83" s="86">
        <v>0.9375</v>
      </c>
      <c r="J83" s="87">
        <f t="shared" si="2"/>
        <v>-2</v>
      </c>
      <c r="K83" s="8">
        <v>1</v>
      </c>
      <c r="L83" s="88">
        <v>32</v>
      </c>
      <c r="M83" s="91" t="s">
        <v>132</v>
      </c>
    </row>
    <row r="84" spans="1:13" s="5" customFormat="1" ht="63.75" customHeight="1" x14ac:dyDescent="0.2">
      <c r="A84" s="33" t="s">
        <v>131</v>
      </c>
      <c r="B84" s="85" t="s">
        <v>510</v>
      </c>
      <c r="C84" s="85" t="s">
        <v>31</v>
      </c>
      <c r="D84" s="49">
        <v>1</v>
      </c>
      <c r="E84" s="49">
        <v>30</v>
      </c>
      <c r="F84" s="85">
        <v>45980</v>
      </c>
      <c r="G84" s="86">
        <v>0.375</v>
      </c>
      <c r="H84" s="85">
        <v>45979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57.75" customHeight="1" x14ac:dyDescent="0.2">
      <c r="A85" s="33" t="s">
        <v>131</v>
      </c>
      <c r="B85" s="85" t="s">
        <v>136</v>
      </c>
      <c r="C85" s="85" t="s">
        <v>22</v>
      </c>
      <c r="D85" s="49">
        <v>1</v>
      </c>
      <c r="E85" s="49">
        <v>30</v>
      </c>
      <c r="F85" s="85">
        <v>45980</v>
      </c>
      <c r="G85" s="86">
        <v>0.375</v>
      </c>
      <c r="H85" s="85">
        <v>45979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63" customHeight="1" x14ac:dyDescent="0.2">
      <c r="A86" s="33" t="s">
        <v>131</v>
      </c>
      <c r="B86" s="85" t="s">
        <v>21</v>
      </c>
      <c r="C86" s="85" t="s">
        <v>34</v>
      </c>
      <c r="D86" s="49">
        <v>1</v>
      </c>
      <c r="E86" s="49">
        <v>30</v>
      </c>
      <c r="F86" s="85">
        <v>45980</v>
      </c>
      <c r="G86" s="86">
        <v>0.375</v>
      </c>
      <c r="H86" s="85">
        <v>45979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71.25" customHeight="1" x14ac:dyDescent="0.2">
      <c r="A87" s="33" t="s">
        <v>131</v>
      </c>
      <c r="B87" s="85" t="s">
        <v>30</v>
      </c>
      <c r="C87" s="85" t="s">
        <v>40</v>
      </c>
      <c r="D87" s="49">
        <v>1</v>
      </c>
      <c r="E87" s="49">
        <v>30</v>
      </c>
      <c r="F87" s="85">
        <v>45980</v>
      </c>
      <c r="G87" s="86">
        <v>0.375</v>
      </c>
      <c r="H87" s="85">
        <v>45979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78.75" customHeight="1" x14ac:dyDescent="0.2">
      <c r="A88" s="33" t="s">
        <v>133</v>
      </c>
      <c r="B88" s="85" t="s">
        <v>136</v>
      </c>
      <c r="C88" s="85" t="s">
        <v>22</v>
      </c>
      <c r="D88" s="49">
        <v>3</v>
      </c>
      <c r="E88" s="49">
        <v>20</v>
      </c>
      <c r="F88" s="85">
        <v>45980</v>
      </c>
      <c r="G88" s="86">
        <v>0.375</v>
      </c>
      <c r="H88" s="85">
        <v>45980</v>
      </c>
      <c r="I88" s="86">
        <v>0.375</v>
      </c>
      <c r="J88" s="87">
        <f t="shared" si="2"/>
        <v>5</v>
      </c>
      <c r="K88" s="8">
        <v>3</v>
      </c>
      <c r="L88" s="88">
        <v>15</v>
      </c>
      <c r="M88" s="91" t="s">
        <v>134</v>
      </c>
    </row>
    <row r="89" spans="1:13" s="5" customFormat="1" ht="66.75" customHeigh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s="5" customFormat="1" ht="72.75" customHeight="1" x14ac:dyDescent="0.2">
      <c r="A90" s="70" t="s">
        <v>210</v>
      </c>
      <c r="B90" t="s">
        <v>215</v>
      </c>
      <c r="C90" t="s">
        <v>213</v>
      </c>
      <c r="D90" t="s">
        <v>214</v>
      </c>
      <c r="E90" t="s">
        <v>212</v>
      </c>
      <c r="F90" s="4"/>
      <c r="G90" s="4"/>
      <c r="H90" s="4"/>
      <c r="I90" s="3"/>
      <c r="J90" s="3"/>
      <c r="K90" s="2"/>
      <c r="L90" s="1"/>
      <c r="M90" s="1"/>
    </row>
    <row r="91" spans="1:13" s="5" customFormat="1" ht="40.5" customHeight="1" x14ac:dyDescent="0.2">
      <c r="A91" s="71" t="s">
        <v>36</v>
      </c>
      <c r="B91" s="140">
        <v>15</v>
      </c>
      <c r="C91" s="140">
        <v>19</v>
      </c>
      <c r="D91" s="140">
        <v>470</v>
      </c>
      <c r="E91" s="140">
        <v>394</v>
      </c>
      <c r="F91" s="4"/>
      <c r="G91" s="4"/>
      <c r="H91" s="4"/>
      <c r="I91" s="3"/>
      <c r="J91" s="3"/>
      <c r="K91" s="2"/>
      <c r="L91" s="1"/>
      <c r="M91" s="1"/>
    </row>
    <row r="92" spans="1:13" s="5" customFormat="1" ht="38.25" customHeight="1" x14ac:dyDescent="0.2">
      <c r="A92" s="71" t="s">
        <v>510</v>
      </c>
      <c r="B92" s="140">
        <v>10</v>
      </c>
      <c r="C92" s="140">
        <v>12</v>
      </c>
      <c r="D92" s="140">
        <v>360</v>
      </c>
      <c r="E92" s="140">
        <v>235</v>
      </c>
      <c r="F92" s="4"/>
      <c r="G92" s="4"/>
      <c r="H92" s="4"/>
      <c r="I92" s="3"/>
      <c r="J92" s="3"/>
      <c r="K92" s="2"/>
      <c r="L92" s="1"/>
      <c r="M92" s="1"/>
    </row>
    <row r="93" spans="1:13" s="5" customFormat="1" ht="38.25" customHeight="1" x14ac:dyDescent="0.2">
      <c r="A93" s="71" t="s">
        <v>21</v>
      </c>
      <c r="B93" s="140">
        <v>12</v>
      </c>
      <c r="C93" s="140">
        <v>13</v>
      </c>
      <c r="D93" s="140">
        <v>380</v>
      </c>
      <c r="E93" s="140">
        <v>307</v>
      </c>
      <c r="F93" s="4"/>
      <c r="G93" s="4"/>
      <c r="H93" s="4"/>
      <c r="I93" s="3"/>
      <c r="J93" s="3"/>
      <c r="K93" s="2"/>
      <c r="L93" s="1"/>
      <c r="M93" s="1"/>
    </row>
    <row r="94" spans="1:13" s="5" customFormat="1" ht="67.5" customHeight="1" x14ac:dyDescent="0.2">
      <c r="A94" s="71" t="s">
        <v>136</v>
      </c>
      <c r="B94" s="140">
        <v>18</v>
      </c>
      <c r="C94" s="140">
        <v>20</v>
      </c>
      <c r="D94" s="140">
        <v>545</v>
      </c>
      <c r="E94" s="140">
        <v>454</v>
      </c>
      <c r="F94" s="4"/>
      <c r="G94" s="4"/>
      <c r="H94" s="4"/>
      <c r="I94" s="3"/>
      <c r="J94" s="3"/>
      <c r="K94" s="2"/>
      <c r="L94" s="1"/>
      <c r="M94" s="1"/>
    </row>
    <row r="95" spans="1:13" s="5" customFormat="1" ht="53.25" customHeight="1" x14ac:dyDescent="0.2">
      <c r="A95" s="71" t="s">
        <v>42</v>
      </c>
      <c r="B95" s="140">
        <v>15</v>
      </c>
      <c r="C95" s="140">
        <v>16</v>
      </c>
      <c r="D95" s="140">
        <v>485</v>
      </c>
      <c r="E95" s="140">
        <v>441</v>
      </c>
      <c r="F95" s="4"/>
      <c r="G95" s="4"/>
      <c r="H95" s="4"/>
      <c r="I95" s="3"/>
      <c r="J95" s="3"/>
      <c r="K95" s="2"/>
      <c r="L95" s="1"/>
      <c r="M95" s="1"/>
    </row>
    <row r="96" spans="1:13" s="5" customFormat="1" ht="41.25" customHeight="1" x14ac:dyDescent="0.2">
      <c r="A96" s="71" t="s">
        <v>30</v>
      </c>
      <c r="B96" s="140">
        <v>17</v>
      </c>
      <c r="C96" s="140">
        <v>20</v>
      </c>
      <c r="D96" s="140">
        <v>410</v>
      </c>
      <c r="E96" s="140">
        <v>386</v>
      </c>
      <c r="F96" s="4"/>
      <c r="G96" s="4"/>
      <c r="H96" s="4"/>
      <c r="I96" s="3"/>
      <c r="J96" s="3"/>
      <c r="K96" s="2"/>
      <c r="L96" s="1"/>
      <c r="M96" s="1"/>
    </row>
    <row r="97" spans="1:13" s="5" customFormat="1" ht="42.75" customHeight="1" x14ac:dyDescent="0.2">
      <c r="A97" s="71" t="s">
        <v>211</v>
      </c>
      <c r="B97" s="140">
        <v>87</v>
      </c>
      <c r="C97" s="140">
        <v>100</v>
      </c>
      <c r="D97" s="140">
        <v>2650</v>
      </c>
      <c r="E97" s="140">
        <v>2217</v>
      </c>
      <c r="F97" s="4"/>
      <c r="G97" s="4"/>
      <c r="H97" s="4"/>
      <c r="I97" s="3"/>
      <c r="J97" s="3"/>
      <c r="K97" s="2"/>
      <c r="L97" s="1"/>
      <c r="M97" s="1"/>
    </row>
    <row r="98" spans="1:13" s="5" customFormat="1" ht="37.5" customHeight="1" x14ac:dyDescent="0.2">
      <c r="A98"/>
      <c r="B98"/>
      <c r="C98"/>
      <c r="D98"/>
      <c r="E98"/>
      <c r="F98" s="4"/>
      <c r="G98" s="4"/>
      <c r="H98" s="4"/>
      <c r="I98" s="3"/>
      <c r="J98" s="3"/>
      <c r="K98" s="2"/>
      <c r="L98" s="1"/>
      <c r="M98" s="1"/>
    </row>
    <row r="99" spans="1:13" s="5" customFormat="1" ht="39.75" customHeight="1" x14ac:dyDescent="0.2">
      <c r="A99"/>
      <c r="B99"/>
      <c r="C99"/>
      <c r="D99"/>
      <c r="E99"/>
      <c r="F99" s="4"/>
      <c r="G99" s="4"/>
      <c r="H99" s="4"/>
      <c r="I99" s="3"/>
      <c r="J99" s="3"/>
      <c r="K99" s="2"/>
      <c r="L99" s="1"/>
      <c r="M99" s="1"/>
    </row>
    <row r="100" spans="1:13" s="5" customFormat="1" ht="44.25" customHeight="1" x14ac:dyDescent="0.2">
      <c r="A100"/>
      <c r="B100"/>
      <c r="C100"/>
      <c r="D100"/>
      <c r="E100"/>
      <c r="F100" s="4"/>
      <c r="G100" s="4"/>
      <c r="H100" s="4"/>
      <c r="I100" s="3"/>
      <c r="J100" s="3"/>
      <c r="K100" s="2"/>
      <c r="L100" s="1"/>
      <c r="M100" s="1"/>
    </row>
    <row r="101" spans="1:13" s="5" customFormat="1" ht="44.25" customHeight="1" x14ac:dyDescent="0.2">
      <c r="A101"/>
      <c r="B101"/>
      <c r="C101"/>
      <c r="D101"/>
      <c r="E101"/>
      <c r="F101" s="4"/>
      <c r="G101" s="4"/>
      <c r="H101" s="4"/>
      <c r="I101" s="3"/>
      <c r="J101" s="3"/>
      <c r="K101" s="2"/>
      <c r="L101" s="1"/>
      <c r="M101" s="1"/>
    </row>
    <row r="102" spans="1:13" s="5" customFormat="1" ht="36.6" customHeight="1" x14ac:dyDescent="0.2">
      <c r="A102"/>
      <c r="B102"/>
      <c r="C102"/>
      <c r="D102"/>
      <c r="E102"/>
      <c r="F102" s="4"/>
      <c r="G102" s="4"/>
      <c r="H102" s="4"/>
      <c r="I102" s="3"/>
      <c r="J102" s="3"/>
      <c r="K102" s="2"/>
      <c r="L102" s="1"/>
      <c r="M102" s="1"/>
    </row>
    <row r="103" spans="1:13" s="5" customFormat="1" ht="36.6" customHeight="1" x14ac:dyDescent="0.2">
      <c r="A103"/>
      <c r="B103"/>
      <c r="C103"/>
      <c r="D103"/>
      <c r="E103"/>
      <c r="F103" s="4"/>
      <c r="G103" s="4"/>
      <c r="H103" s="4"/>
      <c r="I103" s="3"/>
      <c r="J103" s="3"/>
      <c r="K103" s="2"/>
      <c r="L103" s="1"/>
      <c r="M103" s="1"/>
    </row>
    <row r="104" spans="1:13" s="5" customFormat="1" ht="44.25" customHeight="1" x14ac:dyDescent="0.2">
      <c r="A104"/>
      <c r="B104"/>
      <c r="C104"/>
      <c r="D104"/>
      <c r="E104"/>
      <c r="F104" s="4"/>
      <c r="G104" s="4"/>
      <c r="H104" s="4"/>
      <c r="I104" s="3"/>
      <c r="J104" s="3"/>
      <c r="K104" s="2"/>
      <c r="L104" s="1"/>
      <c r="M104" s="1"/>
    </row>
    <row r="105" spans="1:13" s="5" customFormat="1" ht="46.5" customHeight="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s="5" customFormat="1" ht="48" customHeight="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s="5" customFormat="1" ht="49.5" customHeight="1" x14ac:dyDescent="0.2">
      <c r="A107"/>
      <c r="B107"/>
      <c r="C107"/>
      <c r="D107"/>
      <c r="E107"/>
      <c r="F107" s="4"/>
      <c r="G107" s="4"/>
      <c r="H107" s="4"/>
      <c r="I107" s="3"/>
      <c r="J107" s="3"/>
      <c r="K107" s="2"/>
      <c r="L107" s="1"/>
      <c r="M107" s="1"/>
    </row>
    <row r="108" spans="1:13" s="5" customFormat="1" ht="35.450000000000003" customHeight="1" x14ac:dyDescent="0.2">
      <c r="A108"/>
      <c r="B108"/>
      <c r="C108"/>
      <c r="D108"/>
      <c r="E108"/>
      <c r="F108" s="4"/>
      <c r="G108" s="4"/>
      <c r="H108" s="4"/>
      <c r="I108" s="3"/>
      <c r="J108" s="3"/>
      <c r="K108" s="2"/>
      <c r="L108" s="1"/>
      <c r="M108" s="1"/>
    </row>
    <row r="109" spans="1:13" s="5" customFormat="1" ht="35.450000000000003" customHeight="1" x14ac:dyDescent="0.2">
      <c r="A109"/>
      <c r="B109"/>
      <c r="C109"/>
      <c r="D109"/>
      <c r="E109"/>
      <c r="F109" s="4"/>
      <c r="G109" s="4"/>
      <c r="H109" s="4"/>
      <c r="I109" s="3"/>
      <c r="J109" s="3"/>
      <c r="K109" s="2"/>
      <c r="L109" s="1"/>
      <c r="M109" s="1"/>
    </row>
    <row r="110" spans="1:13" s="5" customFormat="1" ht="35.450000000000003" customHeight="1" x14ac:dyDescent="0.2">
      <c r="A110"/>
      <c r="B110"/>
      <c r="C110"/>
      <c r="D110"/>
      <c r="E110"/>
      <c r="F110" s="4"/>
      <c r="G110" s="4"/>
      <c r="H110" s="4"/>
      <c r="I110" s="3"/>
      <c r="J110" s="3"/>
      <c r="K110" s="2"/>
      <c r="L110" s="1"/>
      <c r="M110" s="1"/>
    </row>
    <row r="111" spans="1:13" s="5" customFormat="1" ht="35.450000000000003" customHeight="1" x14ac:dyDescent="0.2">
      <c r="A111"/>
      <c r="B111"/>
      <c r="C111"/>
      <c r="D111"/>
      <c r="E111"/>
      <c r="F111" s="4"/>
      <c r="G111" s="4"/>
      <c r="H111" s="4"/>
      <c r="I111" s="3"/>
      <c r="J111" s="3"/>
      <c r="K111" s="2"/>
      <c r="L111" s="1"/>
      <c r="M111" s="1"/>
    </row>
    <row r="112" spans="1:13" s="5" customFormat="1" ht="44.25" customHeight="1" x14ac:dyDescent="0.2">
      <c r="A112"/>
      <c r="B112"/>
      <c r="C112"/>
      <c r="D112"/>
      <c r="E112"/>
      <c r="F112" s="4"/>
      <c r="G112" s="4"/>
      <c r="H112" s="4"/>
      <c r="I112" s="3"/>
      <c r="J112" s="3"/>
      <c r="K112" s="2"/>
      <c r="L112" s="1"/>
      <c r="M112" s="1"/>
    </row>
    <row r="113" spans="1:20" s="5" customFormat="1" ht="43.5" customHeight="1" x14ac:dyDescent="0.2">
      <c r="A113"/>
      <c r="B113"/>
      <c r="C113"/>
      <c r="D113"/>
      <c r="E113"/>
      <c r="F113" s="4"/>
      <c r="G113" s="4"/>
      <c r="H113" s="4"/>
      <c r="I113" s="3"/>
      <c r="J113" s="3"/>
      <c r="K113" s="2"/>
      <c r="L113" s="1"/>
      <c r="M113" s="1"/>
    </row>
    <row r="114" spans="1:20" s="5" customFormat="1" ht="44.25" customHeight="1" x14ac:dyDescent="0.2">
      <c r="A114"/>
      <c r="B114"/>
      <c r="C114"/>
      <c r="D114"/>
      <c r="E114"/>
      <c r="F114" s="4"/>
      <c r="G114" s="4"/>
      <c r="H114" s="4"/>
      <c r="I114" s="3"/>
      <c r="J114" s="3"/>
      <c r="K114" s="2"/>
      <c r="L114" s="1"/>
      <c r="M114" s="1"/>
    </row>
    <row r="115" spans="1:20" s="5" customFormat="1" ht="35.450000000000003" customHeight="1" x14ac:dyDescent="0.2">
      <c r="A115"/>
      <c r="B115"/>
      <c r="C115"/>
      <c r="D115"/>
      <c r="E115"/>
      <c r="F115" s="4"/>
      <c r="G115" s="4"/>
      <c r="H115" s="4"/>
      <c r="I115" s="3"/>
      <c r="J115" s="3"/>
      <c r="K115" s="2"/>
      <c r="L115" s="1"/>
      <c r="M115" s="1"/>
    </row>
    <row r="116" spans="1:20" s="5" customFormat="1" ht="37.5" customHeight="1" x14ac:dyDescent="0.2">
      <c r="A116"/>
      <c r="B116"/>
      <c r="C116"/>
      <c r="D116"/>
      <c r="E116"/>
      <c r="F116" s="4"/>
      <c r="G116" s="4"/>
      <c r="H116" s="4"/>
      <c r="I116" s="3"/>
      <c r="J116" s="3"/>
      <c r="K116" s="2"/>
      <c r="L116" s="1"/>
      <c r="M116" s="1"/>
    </row>
    <row r="117" spans="1:20" ht="31.5" customHeight="1" x14ac:dyDescent="0.2">
      <c r="A117"/>
      <c r="B117"/>
      <c r="C117"/>
      <c r="D117"/>
      <c r="E117"/>
    </row>
    <row r="118" spans="1:20" ht="46.5" customHeight="1" x14ac:dyDescent="0.2">
      <c r="A118"/>
      <c r="B118"/>
      <c r="C118"/>
      <c r="D118"/>
      <c r="E118"/>
    </row>
    <row r="119" spans="1:20" ht="29.25" customHeight="1" x14ac:dyDescent="0.2">
      <c r="A119"/>
      <c r="B119"/>
      <c r="C119"/>
      <c r="D119"/>
      <c r="E119"/>
    </row>
    <row r="120" spans="1:20" ht="33.75" customHeight="1" x14ac:dyDescent="0.2">
      <c r="A120"/>
      <c r="B120"/>
      <c r="C120"/>
      <c r="D120"/>
      <c r="E120"/>
    </row>
    <row r="121" spans="1:20" s="4" customFormat="1" ht="45" customHeight="1" x14ac:dyDescent="0.2">
      <c r="A121"/>
      <c r="B121"/>
      <c r="C121"/>
      <c r="D121"/>
      <c r="E121"/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46.5" customHeight="1" x14ac:dyDescent="0.2">
      <c r="A122"/>
      <c r="B122"/>
      <c r="C122"/>
      <c r="D122"/>
      <c r="E122"/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s="4" customFormat="1" ht="39.75" customHeight="1" x14ac:dyDescent="0.2">
      <c r="A123"/>
      <c r="B123"/>
      <c r="C123"/>
      <c r="D123"/>
      <c r="E123"/>
      <c r="I123" s="3"/>
      <c r="J123" s="3"/>
      <c r="K123" s="2"/>
      <c r="L123" s="1"/>
      <c r="M123" s="1"/>
      <c r="N123"/>
      <c r="O123"/>
      <c r="P123"/>
      <c r="Q123"/>
      <c r="R123"/>
      <c r="S123"/>
      <c r="T123"/>
    </row>
    <row r="124" spans="1:20" s="4" customFormat="1" ht="31.5" customHeight="1" x14ac:dyDescent="0.2">
      <c r="A124"/>
      <c r="B124"/>
      <c r="C124"/>
      <c r="D124"/>
      <c r="E124"/>
      <c r="I124" s="3"/>
      <c r="J124" s="3"/>
      <c r="K124" s="2"/>
      <c r="L124" s="1"/>
      <c r="M124" s="1"/>
      <c r="N124"/>
      <c r="O124"/>
      <c r="P124"/>
      <c r="Q124"/>
      <c r="R124"/>
      <c r="S124"/>
      <c r="T124"/>
    </row>
    <row r="125" spans="1:20" s="4" customFormat="1" ht="39.75" customHeight="1" x14ac:dyDescent="0.2">
      <c r="A125"/>
      <c r="B125"/>
      <c r="C125"/>
      <c r="D125"/>
      <c r="E125"/>
      <c r="I125" s="3"/>
      <c r="J125" s="3"/>
      <c r="K125" s="2"/>
      <c r="L125" s="1"/>
      <c r="M125" s="1"/>
      <c r="N125"/>
      <c r="O125"/>
      <c r="P125"/>
      <c r="Q125"/>
      <c r="R125"/>
      <c r="S125"/>
      <c r="T125"/>
    </row>
    <row r="126" spans="1:20" s="4" customFormat="1" ht="42" customHeight="1" x14ac:dyDescent="0.2">
      <c r="A126"/>
      <c r="B126"/>
      <c r="C126"/>
      <c r="D126"/>
      <c r="E126"/>
      <c r="I126" s="3"/>
      <c r="J126" s="3"/>
      <c r="K126" s="2"/>
      <c r="L126" s="1"/>
      <c r="M126" s="1"/>
      <c r="N126"/>
      <c r="O126"/>
      <c r="P126"/>
      <c r="Q126"/>
      <c r="R126"/>
      <c r="S126"/>
      <c r="T126"/>
    </row>
    <row r="127" spans="1:20" s="4" customFormat="1" ht="33" customHeight="1" x14ac:dyDescent="0.2">
      <c r="A127"/>
      <c r="B127"/>
      <c r="C127"/>
      <c r="D127"/>
      <c r="E127"/>
      <c r="I127" s="3"/>
      <c r="J127" s="3"/>
      <c r="K127" s="2"/>
      <c r="L127" s="1"/>
      <c r="M127" s="1"/>
      <c r="N127"/>
      <c r="O127"/>
      <c r="P127"/>
      <c r="Q127"/>
      <c r="R127"/>
      <c r="S127"/>
      <c r="T127"/>
    </row>
    <row r="128" spans="1:20" s="4" customFormat="1" ht="40.5" customHeight="1" x14ac:dyDescent="0.2">
      <c r="A128"/>
      <c r="B128"/>
      <c r="C128"/>
      <c r="D128"/>
      <c r="E128"/>
      <c r="I128" s="3"/>
      <c r="J128" s="3"/>
      <c r="K128" s="2"/>
      <c r="L128" s="1"/>
      <c r="M128" s="1"/>
      <c r="N128"/>
      <c r="O128"/>
      <c r="P128"/>
      <c r="Q128"/>
      <c r="R128"/>
      <c r="S128"/>
      <c r="T128"/>
    </row>
    <row r="129" spans="1:20" s="4" customFormat="1" ht="42" customHeight="1" x14ac:dyDescent="0.2">
      <c r="A129"/>
      <c r="B129"/>
      <c r="C129"/>
      <c r="D129"/>
      <c r="E129"/>
      <c r="I129" s="3"/>
      <c r="J129" s="3"/>
      <c r="K129" s="2"/>
      <c r="L129" s="1"/>
      <c r="M129" s="1"/>
      <c r="N129"/>
      <c r="O129"/>
      <c r="P129"/>
      <c r="Q129"/>
      <c r="R129"/>
      <c r="S129"/>
      <c r="T129"/>
    </row>
    <row r="130" spans="1:20" s="4" customFormat="1" ht="51" customHeight="1" x14ac:dyDescent="0.2">
      <c r="A130"/>
      <c r="B130"/>
      <c r="C130"/>
      <c r="D130"/>
      <c r="E130"/>
      <c r="I130" s="3"/>
      <c r="J130" s="3"/>
      <c r="K130" s="2"/>
      <c r="L130" s="1"/>
      <c r="M130" s="1"/>
      <c r="N130"/>
      <c r="O130"/>
      <c r="P130"/>
      <c r="Q130"/>
      <c r="R130"/>
      <c r="S130"/>
      <c r="T130"/>
    </row>
    <row r="131" spans="1:20" s="4" customFormat="1" x14ac:dyDescent="0.2">
      <c r="A131"/>
      <c r="B131"/>
      <c r="C131"/>
      <c r="D131"/>
      <c r="E131"/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  <row r="132" spans="1:20" s="4" customFormat="1" x14ac:dyDescent="0.2">
      <c r="A132"/>
      <c r="B132"/>
      <c r="C132"/>
      <c r="D132"/>
      <c r="E132"/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  <row r="133" spans="1:20" s="4" customFormat="1" x14ac:dyDescent="0.2">
      <c r="A133"/>
      <c r="B133"/>
      <c r="C133"/>
      <c r="D133"/>
      <c r="E133"/>
      <c r="I133" s="3"/>
      <c r="J133" s="3"/>
      <c r="K133" s="2"/>
      <c r="L133" s="1"/>
      <c r="M133" s="1"/>
      <c r="N133"/>
      <c r="O133"/>
      <c r="P133"/>
      <c r="Q133"/>
      <c r="R133"/>
      <c r="S133"/>
      <c r="T133"/>
    </row>
    <row r="134" spans="1:20" s="4" customFormat="1" x14ac:dyDescent="0.2">
      <c r="A134"/>
      <c r="B134"/>
      <c r="C134"/>
      <c r="D134"/>
      <c r="E134"/>
      <c r="I134" s="3"/>
      <c r="J134" s="3"/>
      <c r="K134" s="2"/>
      <c r="L134" s="1"/>
      <c r="M134" s="1"/>
      <c r="N134"/>
      <c r="O134"/>
      <c r="P134"/>
      <c r="Q134"/>
      <c r="R134"/>
      <c r="S134"/>
      <c r="T134"/>
    </row>
    <row r="135" spans="1:20" s="4" customFormat="1" x14ac:dyDescent="0.2">
      <c r="A135"/>
      <c r="B135"/>
      <c r="C135"/>
      <c r="D135"/>
      <c r="E135"/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  <row r="136" spans="1:20" s="4" customFormat="1" x14ac:dyDescent="0.2">
      <c r="A136"/>
      <c r="B136"/>
      <c r="C136"/>
      <c r="D136"/>
      <c r="E136"/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  <row r="137" spans="1:20" x14ac:dyDescent="0.2">
      <c r="A137"/>
      <c r="B137"/>
      <c r="C137"/>
      <c r="D137"/>
      <c r="E137"/>
    </row>
    <row r="138" spans="1:20" x14ac:dyDescent="0.2">
      <c r="A138"/>
      <c r="B138"/>
      <c r="C138"/>
      <c r="D138"/>
      <c r="E138"/>
    </row>
    <row r="139" spans="1:20" x14ac:dyDescent="0.2">
      <c r="A139"/>
      <c r="B139"/>
      <c r="C139"/>
      <c r="D139"/>
      <c r="E139"/>
    </row>
    <row r="140" spans="1:20" x14ac:dyDescent="0.2">
      <c r="A140"/>
      <c r="B140"/>
      <c r="C140"/>
      <c r="D140"/>
      <c r="E140"/>
    </row>
    <row r="141" spans="1:20" x14ac:dyDescent="0.2">
      <c r="A141"/>
      <c r="B141"/>
      <c r="C141"/>
      <c r="D141"/>
      <c r="E141"/>
    </row>
    <row r="142" spans="1:20" x14ac:dyDescent="0.2">
      <c r="A142"/>
      <c r="B142"/>
      <c r="C142"/>
      <c r="D142"/>
      <c r="E142"/>
    </row>
    <row r="143" spans="1:20" x14ac:dyDescent="0.2">
      <c r="A143"/>
      <c r="B143"/>
      <c r="C143"/>
      <c r="D143"/>
      <c r="E143"/>
    </row>
    <row r="144" spans="1:20" x14ac:dyDescent="0.2">
      <c r="A144"/>
      <c r="B144"/>
      <c r="C144"/>
      <c r="D144"/>
      <c r="E144"/>
    </row>
    <row r="145" spans="1:20" s="4" customFormat="1" ht="30" customHeight="1" x14ac:dyDescent="0.2">
      <c r="A145"/>
      <c r="B145"/>
      <c r="C145"/>
      <c r="D145"/>
      <c r="E145"/>
      <c r="I145" s="3"/>
      <c r="J145" s="3"/>
      <c r="K145" s="2"/>
      <c r="L145" s="1"/>
      <c r="M145" s="1"/>
      <c r="N145"/>
      <c r="O145"/>
      <c r="P145"/>
      <c r="Q145"/>
      <c r="R145"/>
      <c r="S145"/>
      <c r="T145"/>
    </row>
    <row r="146" spans="1:20" s="4" customFormat="1" ht="23.25" customHeight="1" x14ac:dyDescent="0.2">
      <c r="A146"/>
      <c r="B146"/>
      <c r="C146"/>
      <c r="D146"/>
      <c r="E146"/>
      <c r="I146" s="3"/>
      <c r="J146" s="3"/>
      <c r="K146" s="2"/>
      <c r="L146" s="1"/>
      <c r="M146" s="1"/>
      <c r="N146"/>
      <c r="O146"/>
      <c r="P146"/>
      <c r="Q146"/>
      <c r="R146"/>
      <c r="S146"/>
      <c r="T146"/>
    </row>
    <row r="147" spans="1:20" x14ac:dyDescent="0.2">
      <c r="A147"/>
      <c r="B147"/>
      <c r="C147"/>
      <c r="D147"/>
      <c r="E147"/>
    </row>
    <row r="148" spans="1:20" x14ac:dyDescent="0.2">
      <c r="A148"/>
      <c r="B148"/>
      <c r="C148"/>
      <c r="D148"/>
      <c r="E148"/>
    </row>
    <row r="149" spans="1:20" x14ac:dyDescent="0.2">
      <c r="A149"/>
      <c r="B149"/>
      <c r="C149"/>
      <c r="D149"/>
      <c r="E149"/>
    </row>
    <row r="150" spans="1:20" x14ac:dyDescent="0.2">
      <c r="A150"/>
      <c r="B150"/>
      <c r="C150"/>
      <c r="D150"/>
      <c r="E150"/>
    </row>
    <row r="151" spans="1:20" x14ac:dyDescent="0.2">
      <c r="A151"/>
      <c r="B151"/>
      <c r="C151"/>
      <c r="D151"/>
      <c r="E151"/>
    </row>
    <row r="152" spans="1:20" x14ac:dyDescent="0.2">
      <c r="A152"/>
      <c r="B152"/>
      <c r="C152"/>
      <c r="D152"/>
      <c r="E152"/>
    </row>
    <row r="153" spans="1:20" s="5" customFormat="1" ht="12" customHeight="1" x14ac:dyDescent="0.2">
      <c r="A153"/>
      <c r="B153"/>
      <c r="C153"/>
      <c r="D153"/>
      <c r="E153"/>
      <c r="F153" s="4"/>
      <c r="G153" s="4"/>
      <c r="H153" s="4"/>
      <c r="I153" s="3"/>
      <c r="J153" s="3"/>
      <c r="K153" s="2"/>
      <c r="L153" s="1"/>
      <c r="M153" s="1"/>
    </row>
    <row r="154" spans="1:20" x14ac:dyDescent="0.2">
      <c r="A154"/>
      <c r="B154"/>
      <c r="C154"/>
      <c r="D154"/>
      <c r="E154"/>
    </row>
    <row r="155" spans="1:20" x14ac:dyDescent="0.2">
      <c r="A155"/>
      <c r="B155"/>
      <c r="C155"/>
      <c r="D155"/>
      <c r="E155"/>
    </row>
    <row r="156" spans="1:20" x14ac:dyDescent="0.2">
      <c r="A156"/>
      <c r="B156"/>
      <c r="C156"/>
      <c r="D156"/>
      <c r="E156"/>
    </row>
    <row r="157" spans="1:20" x14ac:dyDescent="0.2">
      <c r="A157"/>
      <c r="B157"/>
      <c r="C157"/>
      <c r="D157"/>
      <c r="E157"/>
      <c r="Q157" s="42" t="e">
        <f>SUM(#REF!)</f>
        <v>#REF!</v>
      </c>
      <c r="R157" s="42" t="e">
        <f>SUM(#REF!)</f>
        <v>#REF!</v>
      </c>
      <c r="S157" s="42" t="e">
        <f>SUM(#REF!)</f>
        <v>#REF!</v>
      </c>
      <c r="T157" s="42" t="e">
        <f>SUM(#REF!)</f>
        <v>#REF!</v>
      </c>
    </row>
    <row r="158" spans="1:20" ht="35.25" customHeight="1" x14ac:dyDescent="0.2">
      <c r="A158"/>
      <c r="B158"/>
      <c r="C158"/>
      <c r="D158"/>
      <c r="E158"/>
    </row>
    <row r="159" spans="1:20" ht="36.75" customHeight="1" x14ac:dyDescent="0.2">
      <c r="A159"/>
      <c r="B159"/>
      <c r="C159"/>
      <c r="D159"/>
      <c r="E159"/>
    </row>
    <row r="160" spans="1:20" ht="33.75" customHeight="1" x14ac:dyDescent="0.2">
      <c r="A160"/>
      <c r="B160"/>
      <c r="C160"/>
      <c r="D160"/>
      <c r="E160"/>
    </row>
    <row r="161" spans="1:20" ht="26.25" customHeight="1" x14ac:dyDescent="0.2">
      <c r="A161"/>
      <c r="B161"/>
      <c r="C161"/>
      <c r="D161"/>
      <c r="E161"/>
    </row>
    <row r="162" spans="1:20" ht="27.75" customHeight="1" x14ac:dyDescent="0.2">
      <c r="A162"/>
      <c r="B162"/>
      <c r="C162"/>
      <c r="D162"/>
      <c r="E162"/>
    </row>
    <row r="163" spans="1:20" s="4" customFormat="1" ht="40.5" customHeight="1" x14ac:dyDescent="0.2">
      <c r="A163"/>
      <c r="B163"/>
      <c r="C163"/>
      <c r="D163"/>
      <c r="E163"/>
      <c r="I163" s="3"/>
      <c r="J163" s="3"/>
      <c r="K163" s="2"/>
      <c r="L163" s="1"/>
      <c r="M163" s="1"/>
      <c r="N163"/>
      <c r="O163"/>
      <c r="P163"/>
      <c r="Q163"/>
      <c r="R163"/>
      <c r="S163"/>
      <c r="T163"/>
    </row>
    <row r="164" spans="1:20" x14ac:dyDescent="0.2">
      <c r="A164"/>
      <c r="B164"/>
      <c r="C164"/>
      <c r="D164"/>
      <c r="E164"/>
    </row>
    <row r="165" spans="1:20" x14ac:dyDescent="0.2">
      <c r="A165"/>
      <c r="B165"/>
      <c r="C165"/>
      <c r="D165"/>
      <c r="E165"/>
    </row>
    <row r="166" spans="1:20" x14ac:dyDescent="0.2">
      <c r="A166"/>
      <c r="B166"/>
      <c r="C166"/>
      <c r="D166"/>
      <c r="E166"/>
    </row>
    <row r="167" spans="1:20" x14ac:dyDescent="0.2">
      <c r="A167"/>
      <c r="B167"/>
      <c r="C167"/>
      <c r="D167"/>
      <c r="E167"/>
    </row>
    <row r="168" spans="1:20" x14ac:dyDescent="0.2">
      <c r="A168"/>
      <c r="B168"/>
      <c r="C168"/>
      <c r="D168"/>
      <c r="E168"/>
    </row>
    <row r="169" spans="1:20" s="4" customFormat="1" x14ac:dyDescent="0.2">
      <c r="A169"/>
      <c r="B169"/>
      <c r="C169"/>
      <c r="D169"/>
      <c r="E169"/>
      <c r="I169" s="3"/>
      <c r="J169" s="3"/>
      <c r="K169" s="2"/>
      <c r="L169" s="1"/>
      <c r="M169" s="1"/>
      <c r="N169"/>
      <c r="O169"/>
      <c r="P169"/>
      <c r="Q169"/>
      <c r="R169"/>
      <c r="S169"/>
      <c r="T169"/>
    </row>
    <row r="170" spans="1:20" s="4" customFormat="1" x14ac:dyDescent="0.2">
      <c r="A170"/>
      <c r="B170"/>
      <c r="C170"/>
      <c r="D170"/>
      <c r="E170"/>
      <c r="I170" s="3"/>
      <c r="J170" s="3"/>
      <c r="K170" s="2"/>
      <c r="L170" s="1"/>
      <c r="M170" s="1"/>
      <c r="N170"/>
      <c r="O170"/>
      <c r="P170"/>
      <c r="Q170"/>
      <c r="R170"/>
      <c r="S170"/>
      <c r="T170"/>
    </row>
    <row r="171" spans="1:20" s="4" customFormat="1" x14ac:dyDescent="0.2">
      <c r="A171"/>
      <c r="B171"/>
      <c r="C171"/>
      <c r="D171"/>
      <c r="E171"/>
      <c r="I171" s="3"/>
      <c r="J171" s="3"/>
      <c r="K171" s="2"/>
      <c r="L171" s="1"/>
      <c r="M171" s="1"/>
      <c r="N171"/>
      <c r="O171"/>
      <c r="P171"/>
      <c r="Q171"/>
      <c r="R171"/>
      <c r="S171"/>
      <c r="T171"/>
    </row>
    <row r="172" spans="1:20" s="4" customFormat="1" x14ac:dyDescent="0.2">
      <c r="A172"/>
      <c r="B172"/>
      <c r="C172"/>
      <c r="D172"/>
      <c r="E172"/>
      <c r="I172" s="3"/>
      <c r="J172" s="3"/>
      <c r="K172" s="2"/>
      <c r="L172" s="1"/>
      <c r="M172" s="1"/>
      <c r="N172"/>
      <c r="O172"/>
      <c r="P172"/>
      <c r="Q172"/>
      <c r="R172"/>
      <c r="S172"/>
      <c r="T172"/>
    </row>
    <row r="173" spans="1:20" s="4" customFormat="1" x14ac:dyDescent="0.2">
      <c r="A173"/>
      <c r="B173"/>
      <c r="C173"/>
      <c r="D173"/>
      <c r="E173"/>
      <c r="I173" s="3"/>
      <c r="J173" s="3"/>
      <c r="K173" s="2"/>
      <c r="L173" s="1"/>
      <c r="M173" s="1"/>
      <c r="N173"/>
      <c r="O173"/>
      <c r="P173"/>
      <c r="Q173"/>
      <c r="R173"/>
      <c r="S173"/>
      <c r="T173"/>
    </row>
    <row r="174" spans="1:20" s="4" customFormat="1" x14ac:dyDescent="0.2">
      <c r="A174"/>
      <c r="B174"/>
      <c r="C174"/>
      <c r="D174"/>
      <c r="E174"/>
      <c r="I174" s="3"/>
      <c r="J174" s="3"/>
      <c r="K174" s="2"/>
      <c r="L174" s="1"/>
      <c r="M174" s="1"/>
      <c r="N174"/>
      <c r="O174"/>
      <c r="P174"/>
      <c r="Q174"/>
      <c r="R174"/>
      <c r="S174"/>
      <c r="T174"/>
    </row>
    <row r="175" spans="1:20" s="4" customFormat="1" x14ac:dyDescent="0.2">
      <c r="A175"/>
      <c r="B175"/>
      <c r="C175"/>
      <c r="D175"/>
      <c r="E175"/>
      <c r="I175" s="3"/>
      <c r="J175" s="3"/>
      <c r="K175" s="2"/>
      <c r="L175" s="1"/>
      <c r="M175" s="1"/>
      <c r="N175"/>
      <c r="O175"/>
      <c r="P175"/>
      <c r="Q175"/>
      <c r="R175"/>
      <c r="S175"/>
      <c r="T175"/>
    </row>
    <row r="176" spans="1:20" s="4" customFormat="1" x14ac:dyDescent="0.2">
      <c r="A176"/>
      <c r="B176"/>
      <c r="C176"/>
      <c r="D176"/>
      <c r="E176"/>
      <c r="I176" s="3"/>
      <c r="J176" s="3"/>
      <c r="K176" s="2"/>
      <c r="L176" s="1"/>
      <c r="M176" s="1"/>
      <c r="N176"/>
      <c r="O176"/>
      <c r="P176"/>
      <c r="Q176"/>
      <c r="R176"/>
      <c r="S176"/>
      <c r="T176"/>
    </row>
    <row r="177" spans="1:20" s="4" customFormat="1" x14ac:dyDescent="0.2">
      <c r="A177"/>
      <c r="B177"/>
      <c r="C177"/>
      <c r="D177"/>
      <c r="E177"/>
      <c r="I177" s="3"/>
      <c r="J177" s="3"/>
      <c r="K177" s="2"/>
      <c r="L177" s="1"/>
      <c r="M177" s="1"/>
      <c r="N177"/>
      <c r="O177"/>
      <c r="P177"/>
      <c r="Q177"/>
      <c r="R177"/>
      <c r="S177"/>
      <c r="T177"/>
    </row>
    <row r="178" spans="1:20" s="4" customFormat="1" x14ac:dyDescent="0.2">
      <c r="A178"/>
      <c r="B178"/>
      <c r="C178"/>
      <c r="D178"/>
      <c r="E178"/>
      <c r="I178" s="3"/>
      <c r="J178" s="3"/>
      <c r="K178" s="2"/>
      <c r="L178" s="1"/>
      <c r="M178" s="1"/>
      <c r="N178"/>
      <c r="O178"/>
      <c r="P178"/>
      <c r="Q178"/>
      <c r="R178"/>
      <c r="S178"/>
      <c r="T178"/>
    </row>
    <row r="179" spans="1:20" s="4" customFormat="1" x14ac:dyDescent="0.2">
      <c r="A179"/>
      <c r="B179"/>
      <c r="C179"/>
      <c r="D179"/>
      <c r="E179"/>
      <c r="I179" s="3"/>
      <c r="J179" s="3"/>
      <c r="K179" s="2"/>
      <c r="L179" s="1"/>
      <c r="M179" s="1"/>
      <c r="N179"/>
      <c r="O179"/>
      <c r="P179"/>
      <c r="Q179"/>
      <c r="R179"/>
      <c r="S179"/>
      <c r="T179"/>
    </row>
    <row r="180" spans="1:20" s="4" customFormat="1" x14ac:dyDescent="0.2">
      <c r="A180"/>
      <c r="B180"/>
      <c r="C180"/>
      <c r="D180"/>
      <c r="E180"/>
      <c r="I180" s="3"/>
      <c r="J180" s="3"/>
      <c r="K180" s="2"/>
      <c r="L180" s="1"/>
      <c r="M180" s="1"/>
      <c r="N180"/>
      <c r="O180"/>
      <c r="P180"/>
      <c r="Q180"/>
      <c r="R180"/>
      <c r="S180"/>
      <c r="T180"/>
    </row>
    <row r="181" spans="1:20" s="4" customFormat="1" x14ac:dyDescent="0.2">
      <c r="A181"/>
      <c r="B181"/>
      <c r="C181"/>
      <c r="D181"/>
      <c r="E181"/>
      <c r="I181" s="3"/>
      <c r="J181" s="3"/>
      <c r="K181" s="2"/>
      <c r="L181" s="1"/>
      <c r="M181" s="1"/>
      <c r="N181"/>
      <c r="O181"/>
      <c r="P181"/>
      <c r="Q181"/>
      <c r="R181"/>
      <c r="S181"/>
      <c r="T181"/>
    </row>
    <row r="182" spans="1:20" s="4" customFormat="1" x14ac:dyDescent="0.2">
      <c r="A182"/>
      <c r="B182"/>
      <c r="C182"/>
      <c r="D182"/>
      <c r="E182"/>
      <c r="I182" s="3"/>
      <c r="J182" s="3"/>
      <c r="K182" s="2"/>
      <c r="L182" s="1"/>
      <c r="M182" s="1"/>
      <c r="N182"/>
      <c r="O182"/>
      <c r="P182"/>
      <c r="Q182"/>
      <c r="R182"/>
      <c r="S182"/>
      <c r="T182"/>
    </row>
    <row r="183" spans="1:20" s="4" customFormat="1" x14ac:dyDescent="0.2">
      <c r="A183"/>
      <c r="B183"/>
      <c r="C183"/>
      <c r="D183"/>
      <c r="E183"/>
      <c r="I183" s="3"/>
      <c r="J183" s="3"/>
      <c r="K183" s="2"/>
      <c r="L183" s="1"/>
      <c r="M183" s="1"/>
      <c r="N183"/>
      <c r="O183"/>
      <c r="P183"/>
      <c r="Q183"/>
      <c r="R183"/>
      <c r="S183"/>
      <c r="T183"/>
    </row>
    <row r="184" spans="1:20" s="4" customFormat="1" x14ac:dyDescent="0.2">
      <c r="A184"/>
      <c r="B184"/>
      <c r="C184"/>
      <c r="D184"/>
      <c r="E184"/>
      <c r="I184" s="3"/>
      <c r="J184" s="3"/>
      <c r="K184" s="2"/>
      <c r="L184" s="1"/>
      <c r="M184" s="1"/>
      <c r="N184"/>
      <c r="O184"/>
      <c r="P184"/>
      <c r="Q184"/>
      <c r="R184"/>
      <c r="S184"/>
      <c r="T184"/>
    </row>
    <row r="185" spans="1:20" s="4" customFormat="1" x14ac:dyDescent="0.2">
      <c r="A185"/>
      <c r="B185"/>
      <c r="C185"/>
      <c r="D185"/>
      <c r="E185"/>
      <c r="I185" s="3"/>
      <c r="J185" s="3"/>
      <c r="K185" s="2"/>
      <c r="L185" s="1"/>
      <c r="M185" s="1"/>
      <c r="N185"/>
      <c r="O185"/>
      <c r="P185"/>
      <c r="Q185"/>
      <c r="R185"/>
      <c r="S185"/>
      <c r="T185"/>
    </row>
    <row r="186" spans="1:20" s="4" customFormat="1" x14ac:dyDescent="0.2">
      <c r="A186"/>
      <c r="B186"/>
      <c r="C186"/>
      <c r="D186"/>
      <c r="E186"/>
      <c r="I186" s="3"/>
      <c r="J186" s="3"/>
      <c r="K186" s="2"/>
      <c r="L186" s="1"/>
      <c r="M186" s="1"/>
      <c r="N186"/>
      <c r="O186"/>
      <c r="P186"/>
      <c r="Q186"/>
      <c r="R186"/>
      <c r="S186"/>
      <c r="T186"/>
    </row>
    <row r="187" spans="1:20" s="4" customFormat="1" x14ac:dyDescent="0.2">
      <c r="A187"/>
      <c r="B187"/>
      <c r="C187"/>
      <c r="D187"/>
      <c r="E187"/>
      <c r="I187" s="3"/>
      <c r="J187" s="3"/>
      <c r="K187" s="2"/>
      <c r="L187" s="1"/>
      <c r="M187" s="1"/>
      <c r="N187"/>
      <c r="O187"/>
      <c r="P187"/>
      <c r="Q187"/>
      <c r="R187"/>
      <c r="S187"/>
      <c r="T187"/>
    </row>
    <row r="188" spans="1:20" s="4" customFormat="1" x14ac:dyDescent="0.2">
      <c r="A188"/>
      <c r="B188"/>
      <c r="C188"/>
      <c r="D188"/>
      <c r="E188"/>
      <c r="I188" s="3"/>
      <c r="J188" s="3"/>
      <c r="K188" s="2"/>
      <c r="L188" s="1"/>
      <c r="M188" s="1"/>
      <c r="N188"/>
      <c r="O188"/>
      <c r="P188"/>
      <c r="Q188"/>
      <c r="R188"/>
      <c r="S188"/>
      <c r="T188"/>
    </row>
    <row r="189" spans="1:20" s="4" customFormat="1" x14ac:dyDescent="0.2">
      <c r="A189"/>
      <c r="B189"/>
      <c r="C189"/>
      <c r="D189"/>
      <c r="E189"/>
      <c r="I189" s="3"/>
      <c r="J189" s="3"/>
      <c r="K189" s="2"/>
      <c r="L189" s="1"/>
      <c r="M189" s="1"/>
      <c r="N189"/>
      <c r="O189"/>
      <c r="P189"/>
      <c r="Q189"/>
      <c r="R189"/>
      <c r="S189"/>
      <c r="T189"/>
    </row>
    <row r="190" spans="1:20" s="4" customFormat="1" x14ac:dyDescent="0.2">
      <c r="A190"/>
      <c r="B190"/>
      <c r="C190"/>
      <c r="D190"/>
      <c r="E190"/>
      <c r="I190" s="3"/>
      <c r="J190" s="3"/>
      <c r="K190" s="2"/>
      <c r="L190" s="1"/>
      <c r="M190" s="1"/>
      <c r="N190"/>
      <c r="O190"/>
      <c r="P190"/>
      <c r="Q190"/>
      <c r="R190"/>
      <c r="S190"/>
      <c r="T190"/>
    </row>
    <row r="191" spans="1:20" s="4" customFormat="1" x14ac:dyDescent="0.2">
      <c r="A191"/>
      <c r="B191"/>
      <c r="C191"/>
      <c r="D191"/>
      <c r="E191"/>
      <c r="I191" s="3"/>
      <c r="J191" s="3"/>
      <c r="K191" s="2"/>
      <c r="L191" s="1"/>
      <c r="M191" s="1"/>
      <c r="N191"/>
      <c r="O191"/>
      <c r="P191"/>
      <c r="Q191"/>
      <c r="R191"/>
      <c r="S191"/>
      <c r="T191"/>
    </row>
    <row r="192" spans="1:20" s="4" customFormat="1" x14ac:dyDescent="0.2">
      <c r="A192"/>
      <c r="B192"/>
      <c r="C192"/>
      <c r="D192"/>
      <c r="E192"/>
      <c r="I192" s="3"/>
      <c r="J192" s="3"/>
      <c r="K192" s="2"/>
      <c r="L192" s="1"/>
      <c r="M192" s="1"/>
      <c r="N192"/>
      <c r="O192"/>
      <c r="P192"/>
      <c r="Q192"/>
      <c r="R192"/>
      <c r="S192"/>
      <c r="T192"/>
    </row>
    <row r="193" spans="1:20" s="4" customFormat="1" x14ac:dyDescent="0.2">
      <c r="A193"/>
      <c r="B193"/>
      <c r="C193"/>
      <c r="D193"/>
      <c r="E193"/>
      <c r="I193" s="3"/>
      <c r="J193" s="3"/>
      <c r="K193" s="2"/>
      <c r="L193" s="1"/>
      <c r="M193" s="1"/>
      <c r="N193"/>
      <c r="O193"/>
      <c r="P193"/>
      <c r="Q193"/>
      <c r="R193"/>
      <c r="S193"/>
      <c r="T193"/>
    </row>
    <row r="194" spans="1:20" s="4" customFormat="1" x14ac:dyDescent="0.2">
      <c r="A194"/>
      <c r="B194"/>
      <c r="C194"/>
      <c r="D194"/>
      <c r="E194"/>
      <c r="I194" s="3"/>
      <c r="J194" s="3"/>
      <c r="K194" s="2"/>
      <c r="L194" s="1"/>
      <c r="M194" s="1"/>
      <c r="N194"/>
      <c r="O194"/>
      <c r="P194"/>
      <c r="Q194"/>
      <c r="R194"/>
      <c r="S194"/>
      <c r="T194"/>
    </row>
    <row r="195" spans="1:20" s="4" customFormat="1" x14ac:dyDescent="0.2">
      <c r="A195"/>
      <c r="B195"/>
      <c r="C195"/>
      <c r="D195"/>
      <c r="E195"/>
      <c r="I195" s="3"/>
      <c r="J195" s="3"/>
      <c r="K195" s="2"/>
      <c r="L195" s="1"/>
      <c r="M195" s="1"/>
      <c r="N195"/>
      <c r="O195"/>
      <c r="P195"/>
      <c r="Q195"/>
      <c r="R195"/>
      <c r="S195"/>
      <c r="T195"/>
    </row>
    <row r="196" spans="1:20" s="4" customFormat="1" x14ac:dyDescent="0.2">
      <c r="A196"/>
      <c r="B196"/>
      <c r="C196"/>
      <c r="D196"/>
      <c r="E196"/>
      <c r="I196" s="3"/>
      <c r="J196" s="3"/>
      <c r="K196" s="2"/>
      <c r="L196" s="1"/>
      <c r="M196" s="1"/>
      <c r="N196"/>
      <c r="O196"/>
      <c r="P196"/>
      <c r="Q196"/>
      <c r="R196"/>
      <c r="S196"/>
      <c r="T196"/>
    </row>
    <row r="197" spans="1:20" s="4" customFormat="1" x14ac:dyDescent="0.2">
      <c r="A197"/>
      <c r="B197"/>
      <c r="C197"/>
      <c r="D197"/>
      <c r="E197"/>
      <c r="I197" s="3"/>
      <c r="J197" s="3"/>
      <c r="K197" s="2"/>
      <c r="L197" s="1"/>
      <c r="M197" s="1"/>
      <c r="N197"/>
      <c r="O197"/>
      <c r="P197"/>
      <c r="Q197"/>
      <c r="R197"/>
      <c r="S197"/>
      <c r="T197"/>
    </row>
    <row r="198" spans="1:20" s="4" customFormat="1" x14ac:dyDescent="0.2">
      <c r="A198"/>
      <c r="B198"/>
      <c r="C198"/>
      <c r="D198"/>
      <c r="E198"/>
      <c r="I198" s="3"/>
      <c r="J198" s="3"/>
      <c r="K198" s="2"/>
      <c r="L198" s="1"/>
      <c r="M198" s="1"/>
      <c r="N198"/>
      <c r="O198"/>
      <c r="P198"/>
      <c r="Q198"/>
      <c r="R198"/>
      <c r="S198"/>
      <c r="T198"/>
    </row>
    <row r="199" spans="1:20" s="4" customFormat="1" x14ac:dyDescent="0.2">
      <c r="A199"/>
      <c r="B199"/>
      <c r="C199"/>
      <c r="D199"/>
      <c r="E199"/>
      <c r="I199" s="3"/>
      <c r="J199" s="3"/>
      <c r="K199" s="2"/>
      <c r="L199" s="1"/>
      <c r="M199" s="1"/>
      <c r="N199"/>
      <c r="O199"/>
      <c r="P199"/>
      <c r="Q199"/>
      <c r="R199"/>
      <c r="S199"/>
      <c r="T199"/>
    </row>
    <row r="200" spans="1:20" s="4" customFormat="1" x14ac:dyDescent="0.2">
      <c r="A200"/>
      <c r="B200"/>
      <c r="C200"/>
      <c r="D200"/>
      <c r="E200"/>
      <c r="I200" s="3"/>
      <c r="J200" s="3"/>
      <c r="K200" s="2"/>
      <c r="L200" s="1"/>
      <c r="M200" s="1"/>
      <c r="N200"/>
      <c r="O200"/>
      <c r="P200"/>
      <c r="Q200"/>
      <c r="R200"/>
      <c r="S200"/>
      <c r="T200"/>
    </row>
    <row r="201" spans="1:20" s="4" customFormat="1" x14ac:dyDescent="0.2">
      <c r="A201"/>
      <c r="B201"/>
      <c r="C201"/>
      <c r="D201"/>
      <c r="E201"/>
      <c r="I201" s="3"/>
      <c r="J201" s="3"/>
      <c r="K201" s="2"/>
      <c r="L201" s="1"/>
      <c r="M201" s="1"/>
      <c r="N201"/>
      <c r="O201"/>
      <c r="P201"/>
      <c r="Q201"/>
      <c r="R201"/>
      <c r="S201"/>
      <c r="T201"/>
    </row>
    <row r="202" spans="1:20" s="4" customFormat="1" x14ac:dyDescent="0.2">
      <c r="A202"/>
      <c r="B202"/>
      <c r="C202"/>
      <c r="D202"/>
      <c r="E202"/>
      <c r="I202" s="3"/>
      <c r="J202" s="3"/>
      <c r="K202" s="2"/>
      <c r="L202" s="1"/>
      <c r="M202" s="1"/>
      <c r="N202"/>
      <c r="O202"/>
      <c r="P202"/>
      <c r="Q202"/>
      <c r="R202"/>
      <c r="S202"/>
      <c r="T202"/>
    </row>
    <row r="203" spans="1:20" s="4" customFormat="1" x14ac:dyDescent="0.2">
      <c r="A203"/>
      <c r="B203"/>
      <c r="C203"/>
      <c r="D203"/>
      <c r="E203"/>
      <c r="I203" s="3"/>
      <c r="J203" s="3"/>
      <c r="K203" s="2"/>
      <c r="L203" s="1"/>
      <c r="M203" s="1"/>
      <c r="N203"/>
      <c r="O203"/>
      <c r="P203"/>
      <c r="Q203"/>
      <c r="R203"/>
      <c r="S203"/>
      <c r="T203"/>
    </row>
    <row r="204" spans="1:20" s="4" customFormat="1" x14ac:dyDescent="0.2">
      <c r="A204"/>
      <c r="B204"/>
      <c r="C204"/>
      <c r="D204"/>
      <c r="E204"/>
      <c r="I204" s="3"/>
      <c r="J204" s="3"/>
      <c r="K204" s="2"/>
      <c r="L204" s="1"/>
      <c r="M204" s="1"/>
      <c r="N204"/>
      <c r="O204"/>
      <c r="P204"/>
      <c r="Q204"/>
      <c r="R204"/>
      <c r="S204"/>
      <c r="T204"/>
    </row>
    <row r="205" spans="1:20" s="4" customFormat="1" x14ac:dyDescent="0.2">
      <c r="A205"/>
      <c r="B205"/>
      <c r="C205"/>
      <c r="D205"/>
      <c r="E205"/>
      <c r="I205" s="3"/>
      <c r="J205" s="3"/>
      <c r="K205" s="2"/>
      <c r="L205" s="1"/>
      <c r="M205" s="1"/>
      <c r="N205"/>
      <c r="O205"/>
      <c r="P205"/>
      <c r="Q205"/>
      <c r="R205"/>
      <c r="S205"/>
      <c r="T205"/>
    </row>
    <row r="206" spans="1:20" s="4" customFormat="1" x14ac:dyDescent="0.2">
      <c r="A206"/>
      <c r="B206"/>
      <c r="C206"/>
      <c r="D206"/>
      <c r="E206"/>
      <c r="I206" s="3"/>
      <c r="J206" s="3"/>
      <c r="K206" s="2"/>
      <c r="L206" s="1"/>
      <c r="M206" s="1"/>
      <c r="N206"/>
      <c r="O206"/>
      <c r="P206"/>
      <c r="Q206"/>
      <c r="R206"/>
      <c r="S206"/>
      <c r="T206"/>
    </row>
    <row r="207" spans="1:20" s="4" customFormat="1" x14ac:dyDescent="0.2">
      <c r="A207"/>
      <c r="B207"/>
      <c r="C207"/>
      <c r="D207"/>
      <c r="E207"/>
      <c r="I207" s="3"/>
      <c r="J207" s="3"/>
      <c r="K207" s="2"/>
      <c r="L207" s="1"/>
      <c r="M207" s="1"/>
      <c r="N207"/>
      <c r="O207"/>
      <c r="P207"/>
      <c r="Q207"/>
      <c r="R207"/>
      <c r="S207"/>
      <c r="T207"/>
    </row>
    <row r="208" spans="1:20" s="4" customFormat="1" x14ac:dyDescent="0.2">
      <c r="A208"/>
      <c r="B208"/>
      <c r="C208"/>
      <c r="D208"/>
      <c r="E208"/>
      <c r="I208" s="3"/>
      <c r="J208" s="3"/>
      <c r="K208" s="2"/>
      <c r="L208" s="1"/>
      <c r="M208" s="1"/>
      <c r="N208"/>
      <c r="O208"/>
      <c r="P208"/>
      <c r="Q208"/>
      <c r="R208"/>
      <c r="S208"/>
      <c r="T208"/>
    </row>
    <row r="209" spans="1:20" s="4" customFormat="1" x14ac:dyDescent="0.2">
      <c r="A209"/>
      <c r="B209"/>
      <c r="C209"/>
      <c r="D209"/>
      <c r="E209"/>
      <c r="I209" s="3"/>
      <c r="J209" s="3"/>
      <c r="K209" s="2"/>
      <c r="L209" s="1"/>
      <c r="M209" s="1"/>
      <c r="N209"/>
      <c r="O209"/>
      <c r="P209"/>
      <c r="Q209"/>
      <c r="R209"/>
      <c r="S209"/>
      <c r="T209"/>
    </row>
    <row r="210" spans="1:20" s="4" customFormat="1" x14ac:dyDescent="0.2">
      <c r="A210"/>
      <c r="B210"/>
      <c r="C210"/>
      <c r="D210"/>
      <c r="E210"/>
      <c r="I210" s="3"/>
      <c r="J210" s="3"/>
      <c r="K210" s="2"/>
      <c r="L210" s="1"/>
      <c r="M210" s="1"/>
      <c r="N210"/>
      <c r="O210"/>
      <c r="P210"/>
      <c r="Q210"/>
      <c r="R210"/>
      <c r="S210"/>
      <c r="T210"/>
    </row>
    <row r="211" spans="1:20" s="4" customFormat="1" x14ac:dyDescent="0.2">
      <c r="A211"/>
      <c r="B211"/>
      <c r="C211"/>
      <c r="D211"/>
      <c r="E211"/>
      <c r="I211" s="3"/>
      <c r="J211" s="3"/>
      <c r="K211" s="2"/>
      <c r="L211" s="1"/>
      <c r="M211" s="1"/>
      <c r="N211"/>
      <c r="O211"/>
      <c r="P211"/>
      <c r="Q211"/>
      <c r="R211"/>
      <c r="S211"/>
      <c r="T211"/>
    </row>
    <row r="212" spans="1:20" s="4" customFormat="1" x14ac:dyDescent="0.2">
      <c r="A212"/>
      <c r="B212"/>
      <c r="C212"/>
      <c r="D212"/>
      <c r="E212"/>
      <c r="I212" s="3"/>
      <c r="J212" s="3"/>
      <c r="K212" s="2"/>
      <c r="L212" s="1"/>
      <c r="M212" s="1"/>
      <c r="N212"/>
      <c r="O212"/>
      <c r="P212"/>
      <c r="Q212"/>
      <c r="R212"/>
      <c r="S212"/>
      <c r="T212"/>
    </row>
    <row r="213" spans="1:20" s="4" customFormat="1" x14ac:dyDescent="0.2">
      <c r="A213"/>
      <c r="B213"/>
      <c r="C213"/>
      <c r="D213"/>
      <c r="E213"/>
      <c r="I213" s="3"/>
      <c r="J213" s="3"/>
      <c r="K213" s="2"/>
      <c r="L213" s="1"/>
      <c r="M213" s="1"/>
      <c r="N213"/>
      <c r="O213"/>
      <c r="P213"/>
      <c r="Q213"/>
      <c r="R213"/>
      <c r="S213"/>
      <c r="T213"/>
    </row>
    <row r="214" spans="1:20" s="4" customFormat="1" x14ac:dyDescent="0.2">
      <c r="A214"/>
      <c r="B214"/>
      <c r="C214"/>
      <c r="D214"/>
      <c r="E214"/>
      <c r="I214" s="3"/>
      <c r="J214" s="3"/>
      <c r="K214" s="2"/>
      <c r="L214" s="1"/>
      <c r="M214" s="1"/>
      <c r="N214"/>
      <c r="O214"/>
      <c r="P214"/>
      <c r="Q214"/>
      <c r="R214"/>
      <c r="S214"/>
      <c r="T214"/>
    </row>
    <row r="215" spans="1:20" s="4" customFormat="1" x14ac:dyDescent="0.2">
      <c r="A215"/>
      <c r="B215"/>
      <c r="C215"/>
      <c r="D215"/>
      <c r="E215"/>
      <c r="I215" s="3"/>
      <c r="J215" s="3"/>
      <c r="K215" s="2"/>
      <c r="L215" s="1"/>
      <c r="M215" s="1"/>
      <c r="N215"/>
      <c r="O215"/>
      <c r="P215"/>
      <c r="Q215"/>
      <c r="R215"/>
      <c r="S215"/>
      <c r="T215"/>
    </row>
    <row r="216" spans="1:20" s="4" customFormat="1" x14ac:dyDescent="0.2">
      <c r="A216"/>
      <c r="B216"/>
      <c r="C216"/>
      <c r="D216"/>
      <c r="E216"/>
      <c r="I216" s="3"/>
      <c r="J216" s="3"/>
      <c r="K216" s="2"/>
      <c r="L216" s="1"/>
      <c r="M216" s="1"/>
      <c r="N216"/>
      <c r="O216"/>
      <c r="P216"/>
      <c r="Q216"/>
      <c r="R216"/>
      <c r="S216"/>
      <c r="T216"/>
    </row>
    <row r="217" spans="1:20" s="4" customFormat="1" x14ac:dyDescent="0.2">
      <c r="A217"/>
      <c r="B217"/>
      <c r="C217"/>
      <c r="D217"/>
      <c r="E217"/>
      <c r="I217" s="3"/>
      <c r="J217" s="3"/>
      <c r="K217" s="2"/>
      <c r="L217" s="1"/>
      <c r="M217" s="1"/>
      <c r="N217"/>
      <c r="O217"/>
      <c r="P217"/>
      <c r="Q217"/>
      <c r="R217"/>
      <c r="S217"/>
      <c r="T217"/>
    </row>
    <row r="218" spans="1:20" s="4" customFormat="1" x14ac:dyDescent="0.2">
      <c r="A218"/>
      <c r="B218"/>
      <c r="C218"/>
      <c r="D218"/>
      <c r="E218"/>
      <c r="I218" s="3"/>
      <c r="J218" s="3"/>
      <c r="K218" s="2"/>
      <c r="L218" s="1"/>
      <c r="M218" s="1"/>
      <c r="N218"/>
      <c r="O218"/>
      <c r="P218"/>
      <c r="Q218"/>
      <c r="R218"/>
      <c r="S218"/>
      <c r="T218"/>
    </row>
    <row r="219" spans="1:20" s="4" customFormat="1" x14ac:dyDescent="0.2">
      <c r="A219"/>
      <c r="B219"/>
      <c r="C219"/>
      <c r="D219"/>
      <c r="E219"/>
      <c r="I219" s="3"/>
      <c r="J219" s="3"/>
      <c r="K219" s="2"/>
      <c r="L219" s="1"/>
      <c r="M219" s="1"/>
      <c r="N219"/>
      <c r="O219"/>
      <c r="P219"/>
      <c r="Q219"/>
      <c r="R219"/>
      <c r="S219"/>
      <c r="T219"/>
    </row>
    <row r="220" spans="1:20" s="4" customFormat="1" x14ac:dyDescent="0.2">
      <c r="A220"/>
      <c r="B220"/>
      <c r="C220"/>
      <c r="D220"/>
      <c r="E220"/>
      <c r="I220" s="3"/>
      <c r="J220" s="3"/>
      <c r="K220" s="2"/>
      <c r="L220" s="1"/>
      <c r="M220" s="1"/>
      <c r="N220"/>
      <c r="O220"/>
      <c r="P220"/>
      <c r="Q220"/>
      <c r="R220"/>
      <c r="S220"/>
      <c r="T220"/>
    </row>
    <row r="221" spans="1:20" s="4" customFormat="1" x14ac:dyDescent="0.2">
      <c r="A221"/>
      <c r="B221"/>
      <c r="C221"/>
      <c r="D221"/>
      <c r="E221"/>
      <c r="I221" s="3"/>
      <c r="J221" s="3"/>
      <c r="K221" s="2"/>
      <c r="L221" s="1"/>
      <c r="M221" s="1"/>
      <c r="N221"/>
      <c r="O221"/>
      <c r="P221"/>
      <c r="Q221"/>
      <c r="R221"/>
      <c r="S221"/>
      <c r="T221"/>
    </row>
    <row r="222" spans="1:20" s="4" customFormat="1" x14ac:dyDescent="0.2">
      <c r="A222"/>
      <c r="B222"/>
      <c r="C222"/>
      <c r="D222"/>
      <c r="E222"/>
      <c r="I222" s="3"/>
      <c r="J222" s="3"/>
      <c r="K222" s="2"/>
      <c r="L222" s="1"/>
      <c r="M222" s="1"/>
      <c r="N222"/>
      <c r="O222"/>
      <c r="P222"/>
      <c r="Q222"/>
      <c r="R222"/>
      <c r="S222"/>
      <c r="T22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SEMANA 9</vt:lpstr>
      <vt:lpstr>DATOS 1</vt:lpstr>
      <vt:lpstr>DATOS 2</vt:lpstr>
      <vt:lpstr>DATOS 3</vt:lpstr>
      <vt:lpstr>DATOS 4</vt:lpstr>
      <vt:lpstr>DATOS 5</vt:lpstr>
      <vt:lpstr>DATOS 6 y 7 </vt:lpstr>
      <vt:lpstr>DATOS 8</vt:lpstr>
      <vt:lpstr>DATOS 9</vt:lpstr>
      <vt:lpstr>EDTs</vt:lpstr>
      <vt:lpstr>DATOS 1 (CICLO 2)</vt:lpstr>
      <vt:lpstr>DATOS 2 (CICLO 2) </vt:lpstr>
      <vt:lpstr>DATOS 3 (CICLO 2) </vt:lpstr>
      <vt:lpstr>DATOS 4 (CICLO 2)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2025-11-18T06:04:35Z</dcterms:modified>
  <cp:category/>
  <cp:contentStatus/>
</cp:coreProperties>
</file>