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y\Downloads\"/>
    </mc:Choice>
  </mc:AlternateContent>
  <xr:revisionPtr revIDLastSave="0" documentId="13_ncr:1_{16ED11FA-08E8-4A0D-AFE9-DCCB520B3608}" xr6:coauthVersionLast="47" xr6:coauthVersionMax="47" xr10:uidLastSave="{00000000-0000-0000-0000-000000000000}"/>
  <bookViews>
    <workbookView xWindow="-108" yWindow="-108" windowWidth="23256" windowHeight="12456" activeTab="4" xr2:uid="{4D1DD574-7F1F-4146-AE2C-394B6D3BE9E0}"/>
  </bookViews>
  <sheets>
    <sheet name="DashKPI" sheetId="1" r:id="rId1"/>
    <sheet name="KPI" sheetId="2" r:id="rId2"/>
    <sheet name="Projects" sheetId="3" r:id="rId3"/>
    <sheet name="Notifications" sheetId="4" r:id="rId4"/>
    <sheet name="accou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5" l="1"/>
  <c r="F5" i="5" s="1"/>
  <c r="C6" i="4"/>
  <c r="F5" i="4" s="1"/>
  <c r="C6" i="3"/>
  <c r="F5" i="3" s="1"/>
  <c r="C6" i="2"/>
  <c r="F5" i="2" s="1"/>
  <c r="E13" i="1"/>
  <c r="E12" i="1"/>
  <c r="E11" i="1"/>
  <c r="E10" i="1"/>
  <c r="F7" i="1"/>
  <c r="F6" i="1"/>
  <c r="F5" i="1"/>
  <c r="C12" i="1"/>
  <c r="C11" i="1"/>
  <c r="F6" i="5" l="1"/>
  <c r="E12" i="5" s="1"/>
  <c r="E13" i="5" s="1"/>
  <c r="E10" i="5"/>
  <c r="E11" i="5" s="1"/>
  <c r="E10" i="4"/>
  <c r="E11" i="4" s="1"/>
  <c r="F6" i="4"/>
  <c r="E12" i="4" s="1"/>
  <c r="E13" i="4" s="1"/>
  <c r="E10" i="3"/>
  <c r="E11" i="3" s="1"/>
  <c r="F6" i="3"/>
  <c r="E12" i="3" s="1"/>
  <c r="E13" i="3" s="1"/>
  <c r="F6" i="2"/>
  <c r="E12" i="2" s="1"/>
  <c r="E13" i="2" s="1"/>
  <c r="F7" i="2"/>
  <c r="E10" i="2"/>
  <c r="E11" i="2" s="1"/>
  <c r="F7" i="5" l="1"/>
  <c r="F7" i="4"/>
  <c r="F7" i="3"/>
</calcChain>
</file>

<file path=xl/sharedStrings.xml><?xml version="1.0" encoding="utf-8"?>
<sst xmlns="http://schemas.openxmlformats.org/spreadsheetml/2006/main" count="106" uniqueCount="26">
  <si>
    <t>ANALISIS COCOMO ESTIMACION</t>
  </si>
  <si>
    <t>TOTAL LOC</t>
  </si>
  <si>
    <t>.py</t>
  </si>
  <si>
    <t>.tsx</t>
  </si>
  <si>
    <t>.ts</t>
  </si>
  <si>
    <t>.css</t>
  </si>
  <si>
    <t>.js</t>
  </si>
  <si>
    <t>.html</t>
  </si>
  <si>
    <t>ARCHIVOS</t>
  </si>
  <si>
    <t>CANTIDAD</t>
  </si>
  <si>
    <t>CoCoMo</t>
  </si>
  <si>
    <t>Formula</t>
  </si>
  <si>
    <t>Esfuerzo</t>
  </si>
  <si>
    <t>Duración</t>
  </si>
  <si>
    <t>Equipo medio</t>
  </si>
  <si>
    <t>Organico</t>
  </si>
  <si>
    <t>a</t>
  </si>
  <si>
    <t>b</t>
  </si>
  <si>
    <t>c</t>
  </si>
  <si>
    <t>d</t>
  </si>
  <si>
    <t>KLOC</t>
  </si>
  <si>
    <t>Equivalencia</t>
  </si>
  <si>
    <t>Persona-mes</t>
  </si>
  <si>
    <t>meses</t>
  </si>
  <si>
    <t>días-hombre</t>
  </si>
  <si>
    <t>Semanas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</si>
</sst>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/>
    <xf numFmtId="0" fontId="0" fillId="0" borderId="4" xfId="0" applyBorder="1"/>
    <xf numFmtId="0" fontId="0" fillId="3" borderId="4" xfId="0" applyFill="1" applyBorder="1"/>
    <xf numFmtId="0" fontId="0" fillId="3" borderId="5" xfId="0" applyFill="1" applyBorder="1"/>
    <xf numFmtId="0" fontId="0" fillId="0" borderId="5" xfId="0" applyBorder="1"/>
    <xf numFmtId="0" fontId="0" fillId="2" borderId="3" xfId="0" applyFill="1" applyBorder="1"/>
    <xf numFmtId="2" fontId="0" fillId="0" borderId="4" xfId="0" applyNumberFormat="1" applyBorder="1"/>
    <xf numFmtId="2" fontId="0" fillId="0" borderId="5" xfId="0" applyNumberFormat="1" applyBorder="1"/>
    <xf numFmtId="2" fontId="0" fillId="3" borderId="5" xfId="0" applyNumberFormat="1" applyFill="1" applyBorder="1"/>
    <xf numFmtId="2" fontId="0" fillId="3" borderId="4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2FAB6FC-603A-4D3A-8C93-AAD898F32220}" name="Tabla4" displayName="Tabla4" ref="B4:C12" totalsRowShown="0">
  <autoFilter ref="B4:C12" xr:uid="{A2FAB6FC-603A-4D3A-8C93-AAD898F32220}"/>
  <tableColumns count="2">
    <tableColumn id="1" xr3:uid="{EEA23554-0A57-49EE-80D0-BF85A171268E}" name="ARCHIVOS"/>
    <tableColumn id="2" xr3:uid="{0C54BA62-49B3-43E2-8FB5-DE2A6C3F704A}" name="CANT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2CB77F-BA08-4B0E-B0A0-6799E00734BC}" name="Tabla43" displayName="Tabla43" ref="B4:C6" totalsRowShown="0">
  <autoFilter ref="B4:C6" xr:uid="{072CB77F-BA08-4B0E-B0A0-6799E00734BC}"/>
  <tableColumns count="2">
    <tableColumn id="1" xr3:uid="{1F229BA6-DC8B-4BE3-985D-5878A9AAF1A1}" name="ARCHIVOS"/>
    <tableColumn id="2" xr3:uid="{1662BE3B-C0D9-4DF6-94F3-97B901B9197E}" name="CANTID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1ADF6B-22A4-4D22-9F0C-E9CC8435837D}" name="Tabla434" displayName="Tabla434" ref="B4:C6" totalsRowShown="0">
  <autoFilter ref="B4:C6" xr:uid="{D51ADF6B-22A4-4D22-9F0C-E9CC8435837D}"/>
  <tableColumns count="2">
    <tableColumn id="1" xr3:uid="{08C8155C-CF53-4B5A-9233-51E7AD4200A2}" name="ARCHIVOS"/>
    <tableColumn id="2" xr3:uid="{68E32059-6B40-462E-91A1-E27D15D60FA5}" name="CANT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40E8A6-F114-432E-B57D-A82A82B6A5BD}" name="Tabla436" displayName="Tabla436" ref="B4:C6" totalsRowShown="0">
  <autoFilter ref="B4:C6" xr:uid="{1540E8A6-F114-432E-B57D-A82A82B6A5BD}"/>
  <tableColumns count="2">
    <tableColumn id="1" xr3:uid="{E19C8E9B-747F-4DD5-869C-DBF8F68DF5BD}" name="ARCHIVOS"/>
    <tableColumn id="2" xr3:uid="{C1F144EC-3EC7-4DA8-A76C-0389C9C6242D}" name="CANTI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1C4E347-4DD7-4D98-83F6-756B40143366}" name="Tabla4367" displayName="Tabla4367" ref="B4:C6" totalsRowShown="0">
  <autoFilter ref="B4:C6" xr:uid="{C1C4E347-4DD7-4D98-83F6-756B40143366}"/>
  <tableColumns count="2">
    <tableColumn id="1" xr3:uid="{8FC8CCCF-E40B-4523-9B1C-8C5A65A869B2}" name="ARCHIVOS"/>
    <tableColumn id="2" xr3:uid="{2EEEBF2B-17C3-43B5-BCA5-C1AD881F5E1D}" name="CANT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F610-A656-497B-B080-A8FABE5021D0}">
  <dimension ref="B1:K13"/>
  <sheetViews>
    <sheetView workbookViewId="0">
      <selection activeCell="B2" sqref="B2:K13"/>
    </sheetView>
  </sheetViews>
  <sheetFormatPr baseColWidth="10" defaultRowHeight="14.4" x14ac:dyDescent="0.3"/>
  <cols>
    <col min="2" max="2" width="12.109375" bestFit="1" customWidth="1"/>
    <col min="3" max="3" width="11.88671875" bestFit="1" customWidth="1"/>
    <col min="5" max="5" width="12.5546875" bestFit="1" customWidth="1"/>
    <col min="6" max="6" width="12.6640625" customWidth="1"/>
  </cols>
  <sheetData>
    <row r="1" spans="2:11" ht="15" thickBot="1" x14ac:dyDescent="0.35"/>
    <row r="2" spans="2:11" ht="30" customHeight="1" thickBot="1" x14ac:dyDescent="0.35">
      <c r="B2" s="11" t="s">
        <v>0</v>
      </c>
      <c r="C2" s="12"/>
      <c r="D2" s="12"/>
      <c r="E2" s="12"/>
      <c r="F2" s="12"/>
      <c r="G2" s="13"/>
    </row>
    <row r="3" spans="2:11" ht="15" thickBot="1" x14ac:dyDescent="0.35">
      <c r="J3" s="14" t="s">
        <v>15</v>
      </c>
      <c r="K3" s="15"/>
    </row>
    <row r="4" spans="2:11" ht="15" thickBot="1" x14ac:dyDescent="0.35">
      <c r="B4" t="s">
        <v>8</v>
      </c>
      <c r="C4" t="s">
        <v>9</v>
      </c>
      <c r="E4" s="1" t="s">
        <v>10</v>
      </c>
      <c r="F4" s="6" t="s">
        <v>11</v>
      </c>
      <c r="J4" s="4" t="s">
        <v>16</v>
      </c>
      <c r="K4" s="5">
        <v>2.4</v>
      </c>
    </row>
    <row r="5" spans="2:11" x14ac:dyDescent="0.3">
      <c r="B5" t="s">
        <v>2</v>
      </c>
      <c r="C5">
        <v>1120</v>
      </c>
      <c r="E5" s="4" t="s">
        <v>12</v>
      </c>
      <c r="F5" s="8">
        <f>K4*(C12^K5)</f>
        <v>15.498901963256301</v>
      </c>
      <c r="J5" s="3" t="s">
        <v>17</v>
      </c>
      <c r="K5" s="2">
        <v>1.05</v>
      </c>
    </row>
    <row r="6" spans="2:11" x14ac:dyDescent="0.3">
      <c r="B6" t="s">
        <v>3</v>
      </c>
      <c r="C6">
        <v>4392</v>
      </c>
      <c r="E6" s="3" t="s">
        <v>13</v>
      </c>
      <c r="F6" s="7">
        <f>K6*(F5)^K7</f>
        <v>7.0836054355967484</v>
      </c>
      <c r="J6" s="3" t="s">
        <v>18</v>
      </c>
      <c r="K6" s="2">
        <v>2.5</v>
      </c>
    </row>
    <row r="7" spans="2:11" x14ac:dyDescent="0.3">
      <c r="B7" t="s">
        <v>4</v>
      </c>
      <c r="C7">
        <v>309</v>
      </c>
      <c r="E7" s="3" t="s">
        <v>14</v>
      </c>
      <c r="F7" s="7">
        <f>F5/F6</f>
        <v>2.1879962265219843</v>
      </c>
      <c r="J7" s="3" t="s">
        <v>19</v>
      </c>
      <c r="K7" s="2">
        <v>0.38</v>
      </c>
    </row>
    <row r="8" spans="2:11" ht="15" thickBot="1" x14ac:dyDescent="0.35">
      <c r="B8" t="s">
        <v>5</v>
      </c>
      <c r="C8">
        <v>48</v>
      </c>
    </row>
    <row r="9" spans="2:11" ht="15" thickBot="1" x14ac:dyDescent="0.35">
      <c r="B9" t="s">
        <v>6</v>
      </c>
      <c r="C9">
        <v>27</v>
      </c>
      <c r="E9" s="16" t="s">
        <v>21</v>
      </c>
      <c r="F9" s="17"/>
    </row>
    <row r="10" spans="2:11" x14ac:dyDescent="0.3">
      <c r="B10" t="s">
        <v>7</v>
      </c>
      <c r="C10">
        <v>13</v>
      </c>
      <c r="E10" s="9">
        <f>F5</f>
        <v>15.498901963256301</v>
      </c>
      <c r="F10" s="5" t="s">
        <v>22</v>
      </c>
    </row>
    <row r="11" spans="2:11" x14ac:dyDescent="0.3">
      <c r="B11" t="s">
        <v>1</v>
      </c>
      <c r="C11">
        <f>SUM(C5:C10)</f>
        <v>5909</v>
      </c>
      <c r="E11" s="10">
        <f>E10*20</f>
        <v>309.97803926512603</v>
      </c>
      <c r="F11" s="2" t="s">
        <v>24</v>
      </c>
    </row>
    <row r="12" spans="2:11" x14ac:dyDescent="0.3">
      <c r="B12" t="s">
        <v>20</v>
      </c>
      <c r="C12">
        <f>C11/1000</f>
        <v>5.9089999999999998</v>
      </c>
      <c r="E12" s="10">
        <f>F6</f>
        <v>7.0836054355967484</v>
      </c>
      <c r="F12" s="2" t="s">
        <v>23</v>
      </c>
    </row>
    <row r="13" spans="2:11" x14ac:dyDescent="0.3">
      <c r="E13" s="10">
        <f>E12*4.4</f>
        <v>31.167863916625695</v>
      </c>
      <c r="F13" s="2" t="s">
        <v>25</v>
      </c>
    </row>
  </sheetData>
  <mergeCells count="3">
    <mergeCell ref="B2:G2"/>
    <mergeCell ref="J3:K3"/>
    <mergeCell ref="E9:F9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AB00D-00D0-4C2C-9D66-5F1F70CB4E05}">
  <dimension ref="B1:K13"/>
  <sheetViews>
    <sheetView workbookViewId="0">
      <selection activeCell="C23" sqref="C23"/>
    </sheetView>
  </sheetViews>
  <sheetFormatPr baseColWidth="10" defaultRowHeight="14.4" x14ac:dyDescent="0.3"/>
  <cols>
    <col min="2" max="2" width="12.109375" bestFit="1" customWidth="1"/>
    <col min="3" max="3" width="11.88671875" bestFit="1" customWidth="1"/>
  </cols>
  <sheetData>
    <row r="1" spans="2:11" ht="15" thickBot="1" x14ac:dyDescent="0.35"/>
    <row r="2" spans="2:11" ht="15" thickBot="1" x14ac:dyDescent="0.35">
      <c r="B2" s="11" t="s">
        <v>0</v>
      </c>
      <c r="C2" s="12"/>
      <c r="D2" s="12"/>
      <c r="E2" s="12"/>
      <c r="F2" s="12"/>
      <c r="G2" s="13"/>
    </row>
    <row r="3" spans="2:11" ht="15" thickBot="1" x14ac:dyDescent="0.35">
      <c r="J3" s="14" t="s">
        <v>15</v>
      </c>
      <c r="K3" s="15"/>
    </row>
    <row r="4" spans="2:11" ht="15" thickBot="1" x14ac:dyDescent="0.35">
      <c r="B4" t="s">
        <v>8</v>
      </c>
      <c r="C4" t="s">
        <v>9</v>
      </c>
      <c r="E4" s="1" t="s">
        <v>10</v>
      </c>
      <c r="F4" s="6" t="s">
        <v>11</v>
      </c>
      <c r="J4" s="4" t="s">
        <v>16</v>
      </c>
      <c r="K4" s="5">
        <v>2.4</v>
      </c>
    </row>
    <row r="5" spans="2:11" x14ac:dyDescent="0.3">
      <c r="B5" t="s">
        <v>1</v>
      </c>
      <c r="C5">
        <v>203</v>
      </c>
      <c r="E5" s="4" t="s">
        <v>12</v>
      </c>
      <c r="F5" s="8">
        <f>K4*(C6^K5)</f>
        <v>0.44986487117816437</v>
      </c>
      <c r="J5" s="3" t="s">
        <v>17</v>
      </c>
      <c r="K5" s="2">
        <v>1.05</v>
      </c>
    </row>
    <row r="6" spans="2:11" x14ac:dyDescent="0.3">
      <c r="B6" t="s">
        <v>20</v>
      </c>
      <c r="C6">
        <f>C5/1000</f>
        <v>0.20300000000000001</v>
      </c>
      <c r="E6" s="3" t="s">
        <v>13</v>
      </c>
      <c r="F6" s="7">
        <f>K6*(F5)^K7</f>
        <v>1.8454878896925284</v>
      </c>
      <c r="J6" s="3" t="s">
        <v>18</v>
      </c>
      <c r="K6" s="2">
        <v>2.5</v>
      </c>
    </row>
    <row r="7" spans="2:11" x14ac:dyDescent="0.3">
      <c r="E7" s="3" t="s">
        <v>14</v>
      </c>
      <c r="F7" s="7">
        <f>F5/F6</f>
        <v>0.24376473760178133</v>
      </c>
      <c r="J7" s="3" t="s">
        <v>19</v>
      </c>
      <c r="K7" s="2">
        <v>0.38</v>
      </c>
    </row>
    <row r="8" spans="2:11" ht="15" thickBot="1" x14ac:dyDescent="0.35"/>
    <row r="9" spans="2:11" ht="15" thickBot="1" x14ac:dyDescent="0.35">
      <c r="E9" s="16" t="s">
        <v>21</v>
      </c>
      <c r="F9" s="17"/>
    </row>
    <row r="10" spans="2:11" x14ac:dyDescent="0.3">
      <c r="E10" s="9">
        <f>F5</f>
        <v>0.44986487117816437</v>
      </c>
      <c r="F10" s="5" t="s">
        <v>22</v>
      </c>
    </row>
    <row r="11" spans="2:11" x14ac:dyDescent="0.3">
      <c r="E11" s="10">
        <f>E10*20</f>
        <v>8.9972974235632872</v>
      </c>
      <c r="F11" s="2" t="s">
        <v>24</v>
      </c>
    </row>
    <row r="12" spans="2:11" x14ac:dyDescent="0.3">
      <c r="E12" s="10">
        <f>F6</f>
        <v>1.8454878896925284</v>
      </c>
      <c r="F12" s="2" t="s">
        <v>23</v>
      </c>
    </row>
    <row r="13" spans="2:11" x14ac:dyDescent="0.3">
      <c r="E13" s="10">
        <f>E12*4.4</f>
        <v>8.1201467146471256</v>
      </c>
      <c r="F13" s="2" t="s">
        <v>25</v>
      </c>
    </row>
  </sheetData>
  <mergeCells count="3">
    <mergeCell ref="B2:G2"/>
    <mergeCell ref="J3:K3"/>
    <mergeCell ref="E9:F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70D6-59BB-41A4-8950-24FB3441338F}">
  <dimension ref="B1:K13"/>
  <sheetViews>
    <sheetView workbookViewId="0">
      <selection activeCell="D22" sqref="D22"/>
    </sheetView>
  </sheetViews>
  <sheetFormatPr baseColWidth="10" defaultRowHeight="14.4" x14ac:dyDescent="0.3"/>
  <sheetData>
    <row r="1" spans="2:11" ht="15" thickBot="1" x14ac:dyDescent="0.35"/>
    <row r="2" spans="2:11" ht="15" thickBot="1" x14ac:dyDescent="0.35">
      <c r="B2" s="11" t="s">
        <v>0</v>
      </c>
      <c r="C2" s="12"/>
      <c r="D2" s="12"/>
      <c r="E2" s="12"/>
      <c r="F2" s="12"/>
      <c r="G2" s="13"/>
    </row>
    <row r="3" spans="2:11" ht="15" thickBot="1" x14ac:dyDescent="0.35">
      <c r="J3" s="14" t="s">
        <v>15</v>
      </c>
      <c r="K3" s="15"/>
    </row>
    <row r="4" spans="2:11" ht="15" thickBot="1" x14ac:dyDescent="0.35">
      <c r="B4" t="s">
        <v>8</v>
      </c>
      <c r="C4" t="s">
        <v>9</v>
      </c>
      <c r="E4" s="1" t="s">
        <v>10</v>
      </c>
      <c r="F4" s="6" t="s">
        <v>11</v>
      </c>
      <c r="J4" s="4" t="s">
        <v>16</v>
      </c>
      <c r="K4" s="5">
        <v>2.4</v>
      </c>
    </row>
    <row r="5" spans="2:11" x14ac:dyDescent="0.3">
      <c r="B5" t="s">
        <v>1</v>
      </c>
      <c r="C5">
        <v>477</v>
      </c>
      <c r="E5" s="4" t="s">
        <v>12</v>
      </c>
      <c r="F5" s="8">
        <f>K4*(C6^K5)</f>
        <v>1.1032032680786927</v>
      </c>
      <c r="J5" s="3" t="s">
        <v>17</v>
      </c>
      <c r="K5" s="2">
        <v>1.05</v>
      </c>
    </row>
    <row r="6" spans="2:11" x14ac:dyDescent="0.3">
      <c r="B6" t="s">
        <v>20</v>
      </c>
      <c r="C6">
        <f>C5/1000</f>
        <v>0.47699999999999998</v>
      </c>
      <c r="E6" s="3" t="s">
        <v>13</v>
      </c>
      <c r="F6" s="7">
        <f>K6*(F5)^K7</f>
        <v>2.5950702190585551</v>
      </c>
      <c r="J6" s="3" t="s">
        <v>18</v>
      </c>
      <c r="K6" s="2">
        <v>2.5</v>
      </c>
    </row>
    <row r="7" spans="2:11" x14ac:dyDescent="0.3">
      <c r="E7" s="3" t="s">
        <v>14</v>
      </c>
      <c r="F7" s="7">
        <f>F5/F6</f>
        <v>0.42511499688009025</v>
      </c>
      <c r="J7" s="3" t="s">
        <v>19</v>
      </c>
      <c r="K7" s="2">
        <v>0.38</v>
      </c>
    </row>
    <row r="8" spans="2:11" ht="15" thickBot="1" x14ac:dyDescent="0.35"/>
    <row r="9" spans="2:11" ht="15" thickBot="1" x14ac:dyDescent="0.35">
      <c r="E9" s="16" t="s">
        <v>21</v>
      </c>
      <c r="F9" s="17"/>
    </row>
    <row r="10" spans="2:11" x14ac:dyDescent="0.3">
      <c r="E10" s="9">
        <f>F5</f>
        <v>1.1032032680786927</v>
      </c>
      <c r="F10" s="5" t="s">
        <v>22</v>
      </c>
    </row>
    <row r="11" spans="2:11" x14ac:dyDescent="0.3">
      <c r="E11" s="10">
        <f>E10*20</f>
        <v>22.064065361573853</v>
      </c>
      <c r="F11" s="2" t="s">
        <v>24</v>
      </c>
    </row>
    <row r="12" spans="2:11" x14ac:dyDescent="0.3">
      <c r="E12" s="10">
        <f>F6</f>
        <v>2.5950702190585551</v>
      </c>
      <c r="F12" s="2" t="s">
        <v>23</v>
      </c>
    </row>
    <row r="13" spans="2:11" x14ac:dyDescent="0.3">
      <c r="E13" s="10">
        <f>E12*4.4</f>
        <v>11.418308963857644</v>
      </c>
      <c r="F13" s="2" t="s">
        <v>25</v>
      </c>
    </row>
  </sheetData>
  <mergeCells count="3">
    <mergeCell ref="B2:G2"/>
    <mergeCell ref="J3:K3"/>
    <mergeCell ref="E9:F9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587FE-975F-47DB-975C-B6BC5B746ABC}">
  <dimension ref="B1:K13"/>
  <sheetViews>
    <sheetView workbookViewId="0">
      <selection activeCell="B2" sqref="B2:K13"/>
    </sheetView>
  </sheetViews>
  <sheetFormatPr baseColWidth="10" defaultRowHeight="14.4" x14ac:dyDescent="0.3"/>
  <sheetData>
    <row r="1" spans="2:11" ht="15" thickBot="1" x14ac:dyDescent="0.35"/>
    <row r="2" spans="2:11" ht="15" thickBot="1" x14ac:dyDescent="0.35">
      <c r="B2" s="11" t="s">
        <v>0</v>
      </c>
      <c r="C2" s="12"/>
      <c r="D2" s="12"/>
      <c r="E2" s="12"/>
      <c r="F2" s="12"/>
      <c r="G2" s="13"/>
    </row>
    <row r="3" spans="2:11" ht="15" thickBot="1" x14ac:dyDescent="0.35">
      <c r="J3" s="14" t="s">
        <v>15</v>
      </c>
      <c r="K3" s="15"/>
    </row>
    <row r="4" spans="2:11" ht="15" thickBot="1" x14ac:dyDescent="0.35">
      <c r="B4" t="s">
        <v>8</v>
      </c>
      <c r="C4" t="s">
        <v>9</v>
      </c>
      <c r="E4" s="1" t="s">
        <v>10</v>
      </c>
      <c r="F4" s="6" t="s">
        <v>11</v>
      </c>
      <c r="J4" s="4" t="s">
        <v>16</v>
      </c>
      <c r="K4" s="5">
        <v>2.4</v>
      </c>
    </row>
    <row r="5" spans="2:11" x14ac:dyDescent="0.3">
      <c r="B5" t="s">
        <v>1</v>
      </c>
      <c r="C5">
        <v>216</v>
      </c>
      <c r="E5" s="4" t="s">
        <v>12</v>
      </c>
      <c r="F5" s="8">
        <f>K4*(C6^K5)</f>
        <v>0.48016188212578609</v>
      </c>
      <c r="J5" s="3" t="s">
        <v>17</v>
      </c>
      <c r="K5" s="2">
        <v>1.05</v>
      </c>
    </row>
    <row r="6" spans="2:11" x14ac:dyDescent="0.3">
      <c r="B6" t="s">
        <v>20</v>
      </c>
      <c r="C6">
        <f>C5/1000</f>
        <v>0.216</v>
      </c>
      <c r="E6" s="3" t="s">
        <v>13</v>
      </c>
      <c r="F6" s="7">
        <f>K6*(F5)^K7</f>
        <v>1.8917656142440344</v>
      </c>
      <c r="J6" s="3" t="s">
        <v>18</v>
      </c>
      <c r="K6" s="2">
        <v>2.5</v>
      </c>
    </row>
    <row r="7" spans="2:11" x14ac:dyDescent="0.3">
      <c r="E7" s="3" t="s">
        <v>14</v>
      </c>
      <c r="F7" s="7">
        <f>F5/F6</f>
        <v>0.25381679342853625</v>
      </c>
      <c r="J7" s="3" t="s">
        <v>19</v>
      </c>
      <c r="K7" s="2">
        <v>0.38</v>
      </c>
    </row>
    <row r="8" spans="2:11" ht="15" thickBot="1" x14ac:dyDescent="0.35"/>
    <row r="9" spans="2:11" ht="15" thickBot="1" x14ac:dyDescent="0.35">
      <c r="E9" s="16" t="s">
        <v>21</v>
      </c>
      <c r="F9" s="17"/>
    </row>
    <row r="10" spans="2:11" x14ac:dyDescent="0.3">
      <c r="E10" s="9">
        <f>F5</f>
        <v>0.48016188212578609</v>
      </c>
      <c r="F10" s="5" t="s">
        <v>22</v>
      </c>
    </row>
    <row r="11" spans="2:11" x14ac:dyDescent="0.3">
      <c r="E11" s="10">
        <f>E10*20</f>
        <v>9.6032376425157224</v>
      </c>
      <c r="F11" s="2" t="s">
        <v>24</v>
      </c>
    </row>
    <row r="12" spans="2:11" x14ac:dyDescent="0.3">
      <c r="E12" s="10">
        <f>F6</f>
        <v>1.8917656142440344</v>
      </c>
      <c r="F12" s="2" t="s">
        <v>23</v>
      </c>
    </row>
    <row r="13" spans="2:11" x14ac:dyDescent="0.3">
      <c r="E13" s="10">
        <f>E12*4.4</f>
        <v>8.3237687026737515</v>
      </c>
      <c r="F13" s="2" t="s">
        <v>25</v>
      </c>
    </row>
  </sheetData>
  <mergeCells count="3">
    <mergeCell ref="B2:G2"/>
    <mergeCell ref="J3:K3"/>
    <mergeCell ref="E9:F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A8332-943D-4018-A627-9D57EC316674}">
  <dimension ref="B1:K13"/>
  <sheetViews>
    <sheetView tabSelected="1" workbookViewId="0">
      <selection activeCell="G20" sqref="G20"/>
    </sheetView>
  </sheetViews>
  <sheetFormatPr baseColWidth="10" defaultRowHeight="14.4" x14ac:dyDescent="0.3"/>
  <sheetData>
    <row r="1" spans="2:11" ht="15" thickBot="1" x14ac:dyDescent="0.35"/>
    <row r="2" spans="2:11" ht="15" thickBot="1" x14ac:dyDescent="0.35">
      <c r="B2" s="11" t="s">
        <v>0</v>
      </c>
      <c r="C2" s="12"/>
      <c r="D2" s="12"/>
      <c r="E2" s="12"/>
      <c r="F2" s="12"/>
      <c r="G2" s="13"/>
    </row>
    <row r="3" spans="2:11" ht="15" thickBot="1" x14ac:dyDescent="0.35">
      <c r="J3" s="14" t="s">
        <v>15</v>
      </c>
      <c r="K3" s="15"/>
    </row>
    <row r="4" spans="2:11" ht="15" thickBot="1" x14ac:dyDescent="0.35">
      <c r="B4" t="s">
        <v>8</v>
      </c>
      <c r="C4" t="s">
        <v>9</v>
      </c>
      <c r="E4" s="1" t="s">
        <v>10</v>
      </c>
      <c r="F4" s="6" t="s">
        <v>11</v>
      </c>
      <c r="J4" s="4" t="s">
        <v>16</v>
      </c>
      <c r="K4" s="5">
        <v>2.4</v>
      </c>
    </row>
    <row r="5" spans="2:11" x14ac:dyDescent="0.3">
      <c r="B5" t="s">
        <v>1</v>
      </c>
      <c r="C5">
        <v>101</v>
      </c>
      <c r="E5" s="4" t="s">
        <v>12</v>
      </c>
      <c r="F5" s="8">
        <f>K4*(C6^K5)</f>
        <v>0.2161467372348585</v>
      </c>
      <c r="J5" s="3" t="s">
        <v>17</v>
      </c>
      <c r="K5" s="2">
        <v>1.05</v>
      </c>
    </row>
    <row r="6" spans="2:11" x14ac:dyDescent="0.3">
      <c r="B6" t="s">
        <v>20</v>
      </c>
      <c r="C6">
        <f>C5/1000</f>
        <v>0.10100000000000001</v>
      </c>
      <c r="E6" s="3" t="s">
        <v>13</v>
      </c>
      <c r="F6" s="7">
        <f>K6*(F5)^K7</f>
        <v>1.3968330708484176</v>
      </c>
      <c r="J6" s="3" t="s">
        <v>18</v>
      </c>
      <c r="K6" s="2">
        <v>2.5</v>
      </c>
    </row>
    <row r="7" spans="2:11" x14ac:dyDescent="0.3">
      <c r="E7" s="3" t="s">
        <v>14</v>
      </c>
      <c r="F7" s="7">
        <f>F5/F6</f>
        <v>0.15474056402714884</v>
      </c>
      <c r="J7" s="3" t="s">
        <v>19</v>
      </c>
      <c r="K7" s="2">
        <v>0.38</v>
      </c>
    </row>
    <row r="8" spans="2:11" ht="15" thickBot="1" x14ac:dyDescent="0.35"/>
    <row r="9" spans="2:11" ht="15" thickBot="1" x14ac:dyDescent="0.35">
      <c r="E9" s="16" t="s">
        <v>21</v>
      </c>
      <c r="F9" s="17"/>
    </row>
    <row r="10" spans="2:11" x14ac:dyDescent="0.3">
      <c r="E10" s="9">
        <f>F5</f>
        <v>0.2161467372348585</v>
      </c>
      <c r="F10" s="5" t="s">
        <v>22</v>
      </c>
    </row>
    <row r="11" spans="2:11" x14ac:dyDescent="0.3">
      <c r="E11" s="10">
        <f>E10*20</f>
        <v>4.3229347446971698</v>
      </c>
      <c r="F11" s="2" t="s">
        <v>24</v>
      </c>
    </row>
    <row r="12" spans="2:11" x14ac:dyDescent="0.3">
      <c r="E12" s="10">
        <f>F6</f>
        <v>1.3968330708484176</v>
      </c>
      <c r="F12" s="2" t="s">
        <v>23</v>
      </c>
    </row>
    <row r="13" spans="2:11" x14ac:dyDescent="0.3">
      <c r="E13" s="10">
        <f>E12*4.4</f>
        <v>6.1460655117330374</v>
      </c>
      <c r="F13" s="2" t="s">
        <v>25</v>
      </c>
    </row>
  </sheetData>
  <mergeCells count="3">
    <mergeCell ref="B2:G2"/>
    <mergeCell ref="J3:K3"/>
    <mergeCell ref="E9:F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DashKPI</vt:lpstr>
      <vt:lpstr>KPI</vt:lpstr>
      <vt:lpstr>Projects</vt:lpstr>
      <vt:lpstr>Notifications</vt:lpstr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KERLON ANDREY SANCHEZ GUTIERREZ</dc:creator>
  <cp:lastModifiedBy>KERLON ANDREY SANCHEZ GUTIERREZ</cp:lastModifiedBy>
  <dcterms:created xsi:type="dcterms:W3CDTF">2025-10-28T21:25:10Z</dcterms:created>
  <dcterms:modified xsi:type="dcterms:W3CDTF">2025-10-29T14:47:16Z</dcterms:modified>
</cp:coreProperties>
</file>