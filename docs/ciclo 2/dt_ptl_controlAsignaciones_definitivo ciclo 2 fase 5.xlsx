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2.xml" ContentType="application/vnd.openxmlformats-officedocument.spreadsheetml.pivotTab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ivotTables/pivotTable3.xml" ContentType="application/vnd.openxmlformats-officedocument.spreadsheetml.pivotTable+xml"/>
  <Override PartName="/xl/drawings/drawing11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ivotTables/pivotTable4.xml" ContentType="application/vnd.openxmlformats-officedocument.spreadsheetml.pivotTable+xml"/>
  <Override PartName="/xl/drawings/drawing12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3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4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pivotTables/pivotTable9.xml" ContentType="application/vnd.openxmlformats-officedocument.spreadsheetml.pivotTable+xml"/>
  <Override PartName="/xl/drawings/drawing15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pivotTables/pivotTable10.xml" ContentType="application/vnd.openxmlformats-officedocument.spreadsheetml.pivotTable+xml"/>
  <Override PartName="/xl/drawings/drawing16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pivotTables/pivotTable11.xml" ContentType="application/vnd.openxmlformats-officedocument.spreadsheetml.pivotTable+xml"/>
  <Override PartName="/xl/drawings/drawing17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pivotTables/pivotTable12.xml" ContentType="application/vnd.openxmlformats-officedocument.spreadsheetml.pivotTable+xml"/>
  <Override PartName="/xl/drawings/drawing18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pivotTables/pivotTable13.xml" ContentType="application/vnd.openxmlformats-officedocument.spreadsheetml.pivotTable+xml"/>
  <Override PartName="/xl/drawings/drawing19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pivotTables/pivotTable14.xml" ContentType="application/vnd.openxmlformats-officedocument.spreadsheetml.pivotTable+xml"/>
  <Override PartName="/xl/drawings/drawing20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pivotTables/pivotTable15.xml" ContentType="application/vnd.openxmlformats-officedocument.spreadsheetml.pivotTable+xml"/>
  <Override PartName="/xl/drawings/drawing21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Santi\Downloads\"/>
    </mc:Choice>
  </mc:AlternateContent>
  <xr:revisionPtr revIDLastSave="0" documentId="8_{1A9B801D-095E-4559-87F8-9937C78574FB}" xr6:coauthVersionLast="47" xr6:coauthVersionMax="47" xr10:uidLastSave="{00000000-0000-0000-0000-000000000000}"/>
  <bookViews>
    <workbookView xWindow="-120" yWindow="-120" windowWidth="20730" windowHeight="11040" firstSheet="16" activeTab="20" xr2:uid="{00000000-000D-0000-FFFF-FFFF00000000}"/>
  </bookViews>
  <sheets>
    <sheet name="SEMANAS" sheetId="6" r:id="rId1"/>
    <sheet name="SEMANA 1" sheetId="1" r:id="rId2"/>
    <sheet name="SEMANA 2" sheetId="5" r:id="rId3"/>
    <sheet name="SEMANA 3" sheetId="4" r:id="rId4"/>
    <sheet name="SEMANA 4" sheetId="15" r:id="rId5"/>
    <sheet name="SEMANA 5" sheetId="20" r:id="rId6"/>
    <sheet name="SEMANA 6 y 7" sheetId="22" r:id="rId7"/>
    <sheet name="SEMANA 8" sheetId="24" r:id="rId8"/>
    <sheet name="SEMANA 9" sheetId="27" r:id="rId9"/>
    <sheet name="DATOS 1" sheetId="9" r:id="rId10"/>
    <sheet name="DATOS 2" sheetId="8" r:id="rId11"/>
    <sheet name="DATOS 3" sheetId="7" r:id="rId12"/>
    <sheet name="DATOS 4" sheetId="14" r:id="rId13"/>
    <sheet name="DATOS 5" sheetId="21" r:id="rId14"/>
    <sheet name="DATOS 6 y 7 " sheetId="23" r:id="rId15"/>
    <sheet name="DATOS 8" sheetId="25" r:id="rId16"/>
    <sheet name="DATOS 9" sheetId="26" r:id="rId17"/>
    <sheet name="EDTs" sheetId="19" r:id="rId18"/>
    <sheet name="DATOS 1 (CICLO 2)" sheetId="28" r:id="rId19"/>
    <sheet name="DATOS 2 (CICLO 2) " sheetId="29" r:id="rId20"/>
    <sheet name="DATOS 3 (CICLO 2) " sheetId="30" r:id="rId21"/>
  </sheets>
  <definedNames>
    <definedName name="_xlnm._FilterDatabase" localSheetId="9" hidden="1">'DATOS 1'!$A$7:$L$50</definedName>
    <definedName name="_xlnm._FilterDatabase" localSheetId="18" hidden="1">'DATOS 1 (CICLO 2)'!$A$7:$M$112</definedName>
    <definedName name="_xlnm._FilterDatabase" localSheetId="10" hidden="1">'DATOS 2'!$A$7:$L$66</definedName>
    <definedName name="_xlnm._FilterDatabase" localSheetId="19" hidden="1">'DATOS 2 (CICLO 2) '!$A$7:$M$131</definedName>
    <definedName name="_xlnm._FilterDatabase" localSheetId="11" hidden="1">'DATOS 3'!$A$7:$M$61</definedName>
    <definedName name="_xlnm._FilterDatabase" localSheetId="20" hidden="1">'DATOS 3 (CICLO 2) '!$A$7:$M$64</definedName>
    <definedName name="_xlnm._FilterDatabase" localSheetId="12" hidden="1">'DATOS 4'!$A$7:$M$97</definedName>
    <definedName name="_xlnm._FilterDatabase" localSheetId="13" hidden="1">'DATOS 5'!$A$7:$M$56</definedName>
    <definedName name="_xlnm._FilterDatabase" localSheetId="14" hidden="1">'DATOS 6 y 7 '!$A$7:$M$65</definedName>
    <definedName name="_xlnm._FilterDatabase" localSheetId="15" hidden="1">'DATOS 8'!$A$7:$M$87</definedName>
    <definedName name="_xlnm._FilterDatabase" localSheetId="16" hidden="1">'DATOS 9'!$A$7:$M$90</definedName>
    <definedName name="_xlnm._FilterDatabase" localSheetId="17" hidden="1">EDTs!$A$7:$B$108</definedName>
    <definedName name="_xlnm._FilterDatabase" localSheetId="1" hidden="1">'SEMANA 1'!$A$7:$B$49</definedName>
    <definedName name="_xlnm._FilterDatabase" localSheetId="2" hidden="1">'SEMANA 2'!$A$7:$B$66</definedName>
    <definedName name="_xlnm._FilterDatabase" localSheetId="3" hidden="1">'SEMANA 3'!$A$7:$M$60</definedName>
    <definedName name="_xlnm._FilterDatabase" localSheetId="4" hidden="1">'SEMANA 4'!$A$7:$M$96</definedName>
    <definedName name="_xlnm._FilterDatabase" localSheetId="5" hidden="1">'SEMANA 5'!$A$7:$M$55</definedName>
    <definedName name="_xlnm._FilterDatabase" localSheetId="6" hidden="1">'SEMANA 6 y 7'!$A$7:$M$63</definedName>
    <definedName name="_xlnm._FilterDatabase" localSheetId="7" hidden="1">'SEMANA 8'!$A$7:$M$86</definedName>
    <definedName name="_xlnm._FilterDatabase" localSheetId="8" hidden="1">'SEMANA 9'!$A$7:$M$90</definedName>
    <definedName name="_xlnm._FilterDatabase" localSheetId="0" hidden="1">SEMANAS!$A$7:$B$108</definedName>
  </definedNames>
  <calcPr calcId="191028"/>
  <pivotCaches>
    <pivotCache cacheId="7" r:id="rId22"/>
    <pivotCache cacheId="8" r:id="rId23"/>
    <pivotCache cacheId="9" r:id="rId24"/>
    <pivotCache cacheId="10" r:id="rId25"/>
    <pivotCache cacheId="11" r:id="rId26"/>
    <pivotCache cacheId="12" r:id="rId27"/>
    <pivotCache cacheId="13" r:id="rId28"/>
    <pivotCache cacheId="14" r:id="rId29"/>
    <pivotCache cacheId="15" r:id="rId30"/>
    <pivotCache cacheId="16" r:id="rId31"/>
    <pivotCache cacheId="17" r:id="rId32"/>
    <pivotCache cacheId="21" r:id="rId33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30" l="1"/>
  <c r="J11" i="30"/>
  <c r="J12" i="30"/>
  <c r="J13" i="30"/>
  <c r="J14" i="30"/>
  <c r="J15" i="30"/>
  <c r="J16" i="30"/>
  <c r="J17" i="30"/>
  <c r="J18" i="30"/>
  <c r="J19" i="30"/>
  <c r="J20" i="30"/>
  <c r="J21" i="30"/>
  <c r="J22" i="30"/>
  <c r="J23" i="30"/>
  <c r="J24" i="30"/>
  <c r="J25" i="30"/>
  <c r="J26" i="30"/>
  <c r="J27" i="30"/>
  <c r="J28" i="30"/>
  <c r="J29" i="30"/>
  <c r="J30" i="30"/>
  <c r="J31" i="30"/>
  <c r="J32" i="30"/>
  <c r="J33" i="30"/>
  <c r="J34" i="30"/>
  <c r="J35" i="30"/>
  <c r="J36" i="30"/>
  <c r="J37" i="30"/>
  <c r="J38" i="30"/>
  <c r="J39" i="30"/>
  <c r="T133" i="30"/>
  <c r="S133" i="30"/>
  <c r="R133" i="30"/>
  <c r="Q133" i="30"/>
  <c r="J64" i="30"/>
  <c r="J63" i="30"/>
  <c r="J62" i="30"/>
  <c r="J61" i="30"/>
  <c r="J60" i="30"/>
  <c r="J59" i="30"/>
  <c r="J58" i="30"/>
  <c r="J57" i="30"/>
  <c r="J56" i="30"/>
  <c r="J55" i="30"/>
  <c r="J54" i="30"/>
  <c r="J53" i="30"/>
  <c r="J52" i="30"/>
  <c r="J51" i="30"/>
  <c r="J50" i="30"/>
  <c r="J49" i="30"/>
  <c r="J48" i="30"/>
  <c r="J47" i="30"/>
  <c r="J46" i="30"/>
  <c r="J45" i="30"/>
  <c r="J44" i="30"/>
  <c r="J43" i="30"/>
  <c r="J42" i="30"/>
  <c r="J41" i="30"/>
  <c r="J40" i="30"/>
  <c r="J9" i="30"/>
  <c r="J8" i="30"/>
  <c r="J98" i="29"/>
  <c r="J97" i="29"/>
  <c r="J100" i="29"/>
  <c r="J99" i="29"/>
  <c r="J102" i="29"/>
  <c r="J101" i="29"/>
  <c r="J104" i="29"/>
  <c r="J103" i="29"/>
  <c r="J89" i="29"/>
  <c r="J90" i="29"/>
  <c r="J91" i="29"/>
  <c r="J92" i="29"/>
  <c r="J93" i="29"/>
  <c r="J94" i="29"/>
  <c r="J95" i="29"/>
  <c r="J96" i="29"/>
  <c r="J87" i="29"/>
  <c r="J88" i="29"/>
  <c r="J105" i="29"/>
  <c r="J12" i="29"/>
  <c r="J13" i="29"/>
  <c r="J14" i="29"/>
  <c r="J15" i="29"/>
  <c r="J16" i="29"/>
  <c r="J17" i="29"/>
  <c r="J18" i="29"/>
  <c r="J19" i="29"/>
  <c r="J20" i="29"/>
  <c r="J21" i="29"/>
  <c r="J22" i="29"/>
  <c r="J23" i="29"/>
  <c r="J24" i="29"/>
  <c r="J25" i="29"/>
  <c r="J26" i="29"/>
  <c r="J27" i="29"/>
  <c r="J28" i="29"/>
  <c r="J29" i="29"/>
  <c r="J30" i="29"/>
  <c r="J31" i="29"/>
  <c r="J32" i="29"/>
  <c r="J33" i="29"/>
  <c r="J34" i="29"/>
  <c r="J35" i="29"/>
  <c r="J36" i="29"/>
  <c r="J37" i="29"/>
  <c r="J38" i="29"/>
  <c r="J39" i="29"/>
  <c r="J40" i="29"/>
  <c r="J41" i="29"/>
  <c r="J42" i="29"/>
  <c r="J43" i="29"/>
  <c r="J44" i="29"/>
  <c r="J45" i="29"/>
  <c r="J46" i="29"/>
  <c r="J47" i="29"/>
  <c r="J48" i="29"/>
  <c r="J49" i="29"/>
  <c r="J50" i="29"/>
  <c r="J51" i="29"/>
  <c r="J52" i="29"/>
  <c r="J53" i="29"/>
  <c r="J54" i="29"/>
  <c r="J55" i="29"/>
  <c r="J56" i="29"/>
  <c r="J57" i="29"/>
  <c r="J58" i="29"/>
  <c r="J59" i="29"/>
  <c r="J60" i="29"/>
  <c r="J61" i="29"/>
  <c r="J62" i="29"/>
  <c r="J63" i="29"/>
  <c r="J64" i="29"/>
  <c r="J65" i="29"/>
  <c r="J66" i="29"/>
  <c r="J67" i="29"/>
  <c r="J68" i="29"/>
  <c r="J69" i="29"/>
  <c r="J70" i="29"/>
  <c r="J71" i="29"/>
  <c r="J72" i="29"/>
  <c r="J73" i="29"/>
  <c r="J74" i="29"/>
  <c r="J75" i="29"/>
  <c r="J76" i="29"/>
  <c r="J77" i="29"/>
  <c r="J78" i="29"/>
  <c r="J79" i="29"/>
  <c r="J80" i="29"/>
  <c r="J81" i="29"/>
  <c r="J82" i="29"/>
  <c r="J83" i="29"/>
  <c r="J84" i="29"/>
  <c r="J85" i="29"/>
  <c r="J86" i="29"/>
  <c r="J106" i="29"/>
  <c r="T133" i="29"/>
  <c r="S133" i="29"/>
  <c r="R133" i="29"/>
  <c r="Q133" i="29"/>
  <c r="J131" i="29"/>
  <c r="J130" i="29"/>
  <c r="J129" i="29"/>
  <c r="J128" i="29"/>
  <c r="J127" i="29"/>
  <c r="J126" i="29"/>
  <c r="J125" i="29"/>
  <c r="J124" i="29"/>
  <c r="J123" i="29"/>
  <c r="J122" i="29"/>
  <c r="J121" i="29"/>
  <c r="J120" i="29"/>
  <c r="J119" i="29"/>
  <c r="J118" i="29"/>
  <c r="J117" i="29"/>
  <c r="J116" i="29"/>
  <c r="J115" i="29"/>
  <c r="J114" i="29"/>
  <c r="J113" i="29"/>
  <c r="J112" i="29"/>
  <c r="J111" i="29"/>
  <c r="J110" i="29"/>
  <c r="J109" i="29"/>
  <c r="J108" i="29"/>
  <c r="J107" i="29"/>
  <c r="J11" i="29"/>
  <c r="J10" i="29"/>
  <c r="J9" i="29"/>
  <c r="J8" i="29"/>
  <c r="J80" i="28"/>
  <c r="J81" i="28"/>
  <c r="J82" i="28"/>
  <c r="J83" i="28"/>
  <c r="J84" i="28"/>
  <c r="J85" i="28"/>
  <c r="J86" i="28"/>
  <c r="J87" i="28"/>
  <c r="J88" i="28"/>
  <c r="J71" i="28"/>
  <c r="J72" i="28"/>
  <c r="J73" i="28"/>
  <c r="J74" i="28"/>
  <c r="J75" i="28"/>
  <c r="J76" i="28"/>
  <c r="J77" i="28"/>
  <c r="J78" i="28"/>
  <c r="J79" i="28"/>
  <c r="J67" i="28"/>
  <c r="J68" i="28"/>
  <c r="J69" i="28"/>
  <c r="J70" i="28"/>
  <c r="J8" i="28"/>
  <c r="J9" i="28"/>
  <c r="J10" i="28"/>
  <c r="J11" i="28"/>
  <c r="J12" i="28"/>
  <c r="J13" i="28"/>
  <c r="J14" i="28"/>
  <c r="J15" i="28"/>
  <c r="J16" i="28"/>
  <c r="J17" i="28"/>
  <c r="J18" i="28"/>
  <c r="J19" i="28"/>
  <c r="J20" i="28"/>
  <c r="J21" i="28"/>
  <c r="J22" i="28"/>
  <c r="J23" i="28"/>
  <c r="J24" i="28"/>
  <c r="J25" i="28"/>
  <c r="J26" i="28"/>
  <c r="J27" i="28"/>
  <c r="J28" i="28"/>
  <c r="J29" i="28"/>
  <c r="J30" i="28"/>
  <c r="J31" i="28"/>
  <c r="J32" i="28"/>
  <c r="J33" i="28"/>
  <c r="J34" i="28"/>
  <c r="J35" i="28"/>
  <c r="J36" i="28"/>
  <c r="J37" i="28"/>
  <c r="J38" i="28"/>
  <c r="J39" i="28"/>
  <c r="J40" i="28"/>
  <c r="J41" i="28"/>
  <c r="J42" i="28"/>
  <c r="J43" i="28"/>
  <c r="J44" i="28"/>
  <c r="J45" i="28"/>
  <c r="J46" i="28"/>
  <c r="J47" i="28"/>
  <c r="J48" i="28"/>
  <c r="J49" i="28"/>
  <c r="J50" i="28"/>
  <c r="J51" i="28"/>
  <c r="J52" i="28"/>
  <c r="J53" i="28"/>
  <c r="J54" i="28"/>
  <c r="J55" i="28"/>
  <c r="J56" i="28"/>
  <c r="J57" i="28"/>
  <c r="J58" i="28"/>
  <c r="J59" i="28"/>
  <c r="J60" i="28"/>
  <c r="J61" i="28"/>
  <c r="J62" i="28"/>
  <c r="J63" i="28"/>
  <c r="J64" i="28"/>
  <c r="J65" i="28"/>
  <c r="J66" i="28"/>
  <c r="J89" i="28"/>
  <c r="T133" i="28"/>
  <c r="S133" i="28"/>
  <c r="R133" i="28"/>
  <c r="Q133" i="28"/>
  <c r="J112" i="28"/>
  <c r="J111" i="28"/>
  <c r="J110" i="28"/>
  <c r="J109" i="28"/>
  <c r="J108" i="28"/>
  <c r="J107" i="28"/>
  <c r="J106" i="28"/>
  <c r="J105" i="28"/>
  <c r="J104" i="28"/>
  <c r="J103" i="28"/>
  <c r="J102" i="28"/>
  <c r="J101" i="28"/>
  <c r="J100" i="28"/>
  <c r="J99" i="28"/>
  <c r="J98" i="28"/>
  <c r="J97" i="28"/>
  <c r="J96" i="28"/>
  <c r="J95" i="28"/>
  <c r="J94" i="28"/>
  <c r="J93" i="28"/>
  <c r="J92" i="28"/>
  <c r="J91" i="28"/>
  <c r="J90" i="28"/>
  <c r="T133" i="27"/>
  <c r="S133" i="27"/>
  <c r="R133" i="27"/>
  <c r="Q133" i="27"/>
  <c r="J90" i="27"/>
  <c r="J89" i="27"/>
  <c r="J88" i="27"/>
  <c r="J87" i="27"/>
  <c r="J86" i="27"/>
  <c r="J85" i="27"/>
  <c r="J84" i="27"/>
  <c r="J83" i="27"/>
  <c r="J82" i="27"/>
  <c r="J81" i="27"/>
  <c r="J80" i="27"/>
  <c r="J79" i="27"/>
  <c r="J78" i="27"/>
  <c r="J77" i="27"/>
  <c r="J76" i="27"/>
  <c r="J75" i="27"/>
  <c r="J74" i="27"/>
  <c r="J73" i="27"/>
  <c r="J72" i="27"/>
  <c r="J71" i="27"/>
  <c r="J70" i="27"/>
  <c r="J69" i="27"/>
  <c r="J68" i="27"/>
  <c r="J67" i="27"/>
  <c r="J66" i="27"/>
  <c r="J65" i="27"/>
  <c r="J64" i="27"/>
  <c r="J63" i="27"/>
  <c r="J62" i="27"/>
  <c r="J61" i="27"/>
  <c r="J60" i="27"/>
  <c r="J59" i="27"/>
  <c r="J58" i="27"/>
  <c r="J57" i="27"/>
  <c r="J56" i="27"/>
  <c r="J55" i="27"/>
  <c r="J54" i="27"/>
  <c r="J53" i="27"/>
  <c r="J52" i="27"/>
  <c r="J51" i="27"/>
  <c r="J50" i="27"/>
  <c r="J49" i="27"/>
  <c r="J48" i="27"/>
  <c r="J47" i="27"/>
  <c r="J46" i="27"/>
  <c r="J45" i="27"/>
  <c r="J44" i="27"/>
  <c r="J43" i="27"/>
  <c r="J42" i="27"/>
  <c r="J41" i="27"/>
  <c r="J40" i="27"/>
  <c r="J39" i="27"/>
  <c r="J38" i="27"/>
  <c r="J37" i="27"/>
  <c r="J36" i="27"/>
  <c r="J35" i="27"/>
  <c r="J34" i="27"/>
  <c r="J33" i="27"/>
  <c r="J32" i="27"/>
  <c r="J31" i="27"/>
  <c r="J30" i="27"/>
  <c r="J29" i="27"/>
  <c r="J28" i="27"/>
  <c r="J27" i="27"/>
  <c r="J26" i="27"/>
  <c r="J25" i="27"/>
  <c r="J24" i="27"/>
  <c r="J23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66" i="26"/>
  <c r="J65" i="26"/>
  <c r="J64" i="26"/>
  <c r="J63" i="26"/>
  <c r="J62" i="26"/>
  <c r="J61" i="26"/>
  <c r="J60" i="26"/>
  <c r="J59" i="26"/>
  <c r="J58" i="26"/>
  <c r="J57" i="26"/>
  <c r="J56" i="26"/>
  <c r="J55" i="26"/>
  <c r="J54" i="26"/>
  <c r="J53" i="26"/>
  <c r="J52" i="26"/>
  <c r="J51" i="26"/>
  <c r="J50" i="26"/>
  <c r="J49" i="26"/>
  <c r="J48" i="26"/>
  <c r="J47" i="26"/>
  <c r="J46" i="26"/>
  <c r="J45" i="26"/>
  <c r="J44" i="26"/>
  <c r="J43" i="26"/>
  <c r="J42" i="26"/>
  <c r="J41" i="26"/>
  <c r="J40" i="26"/>
  <c r="J39" i="26"/>
  <c r="J38" i="26"/>
  <c r="J37" i="26"/>
  <c r="J36" i="26"/>
  <c r="J35" i="26"/>
  <c r="J34" i="26"/>
  <c r="J33" i="26"/>
  <c r="J32" i="26"/>
  <c r="J31" i="26"/>
  <c r="J30" i="26"/>
  <c r="J29" i="26"/>
  <c r="J28" i="26"/>
  <c r="J27" i="26"/>
  <c r="J26" i="26"/>
  <c r="J25" i="26"/>
  <c r="J24" i="26"/>
  <c r="J23" i="26"/>
  <c r="J22" i="26"/>
  <c r="J21" i="26"/>
  <c r="J20" i="26"/>
  <c r="J12" i="26"/>
  <c r="J13" i="26"/>
  <c r="J14" i="26"/>
  <c r="J15" i="26"/>
  <c r="J16" i="26"/>
  <c r="J17" i="26"/>
  <c r="J18" i="26"/>
  <c r="J19" i="26"/>
  <c r="J10" i="26"/>
  <c r="J11" i="26"/>
  <c r="T133" i="26"/>
  <c r="S133" i="26"/>
  <c r="R133" i="26"/>
  <c r="Q133" i="26"/>
  <c r="J90" i="26"/>
  <c r="J89" i="26"/>
  <c r="J88" i="26"/>
  <c r="J87" i="26"/>
  <c r="J86" i="26"/>
  <c r="J85" i="26"/>
  <c r="J84" i="26"/>
  <c r="J83" i="26"/>
  <c r="J82" i="26"/>
  <c r="J81" i="26"/>
  <c r="J80" i="26"/>
  <c r="J79" i="26"/>
  <c r="J78" i="26"/>
  <c r="J77" i="26"/>
  <c r="J76" i="26"/>
  <c r="J75" i="26"/>
  <c r="J74" i="26"/>
  <c r="J73" i="26"/>
  <c r="J72" i="26"/>
  <c r="J71" i="26"/>
  <c r="J70" i="26"/>
  <c r="J69" i="26"/>
  <c r="J68" i="26"/>
  <c r="J67" i="26"/>
  <c r="J9" i="26"/>
  <c r="J8" i="26"/>
  <c r="J29" i="9"/>
  <c r="J49" i="8"/>
  <c r="J42" i="7"/>
  <c r="J74" i="14"/>
  <c r="J32" i="21"/>
  <c r="J42" i="23"/>
  <c r="J43" i="23"/>
  <c r="J40" i="23"/>
  <c r="J63" i="25"/>
  <c r="T130" i="25"/>
  <c r="S130" i="25"/>
  <c r="R130" i="25"/>
  <c r="Q130" i="25"/>
  <c r="J87" i="25"/>
  <c r="J86" i="25"/>
  <c r="J85" i="25"/>
  <c r="J84" i="25"/>
  <c r="J83" i="25"/>
  <c r="J82" i="25"/>
  <c r="J81" i="25"/>
  <c r="J80" i="25"/>
  <c r="J79" i="25"/>
  <c r="J78" i="25"/>
  <c r="J77" i="25"/>
  <c r="J76" i="25"/>
  <c r="J75" i="25"/>
  <c r="J74" i="25"/>
  <c r="J73" i="25"/>
  <c r="J72" i="25"/>
  <c r="J71" i="25"/>
  <c r="J70" i="25"/>
  <c r="J69" i="25"/>
  <c r="J68" i="25"/>
  <c r="J67" i="25"/>
  <c r="J66" i="25"/>
  <c r="J65" i="25"/>
  <c r="J64" i="25"/>
  <c r="J62" i="25"/>
  <c r="J61" i="25"/>
  <c r="J60" i="25"/>
  <c r="J59" i="25"/>
  <c r="J58" i="25"/>
  <c r="J57" i="25"/>
  <c r="J56" i="25"/>
  <c r="J55" i="25"/>
  <c r="J54" i="25"/>
  <c r="J53" i="25"/>
  <c r="J52" i="25"/>
  <c r="J51" i="25"/>
  <c r="J50" i="25"/>
  <c r="J49" i="25"/>
  <c r="J48" i="25"/>
  <c r="J47" i="25"/>
  <c r="J46" i="25"/>
  <c r="J45" i="25"/>
  <c r="J44" i="25"/>
  <c r="J43" i="25"/>
  <c r="J42" i="25"/>
  <c r="J41" i="25"/>
  <c r="J40" i="25"/>
  <c r="J39" i="25"/>
  <c r="J38" i="25"/>
  <c r="J37" i="25"/>
  <c r="J36" i="25"/>
  <c r="J35" i="25"/>
  <c r="J34" i="25"/>
  <c r="J33" i="25"/>
  <c r="J32" i="25"/>
  <c r="J31" i="25"/>
  <c r="J30" i="25"/>
  <c r="J29" i="25"/>
  <c r="J28" i="25"/>
  <c r="J27" i="25"/>
  <c r="J26" i="25"/>
  <c r="J25" i="25"/>
  <c r="J24" i="25"/>
  <c r="J23" i="25"/>
  <c r="J22" i="25"/>
  <c r="J21" i="25"/>
  <c r="J20" i="25"/>
  <c r="J19" i="25"/>
  <c r="J18" i="25"/>
  <c r="J17" i="25"/>
  <c r="J16" i="25"/>
  <c r="J15" i="25"/>
  <c r="J14" i="25"/>
  <c r="J13" i="25"/>
  <c r="J12" i="25"/>
  <c r="J11" i="25"/>
  <c r="J10" i="25"/>
  <c r="J9" i="25"/>
  <c r="J8" i="25"/>
  <c r="J56" i="24"/>
  <c r="J57" i="24"/>
  <c r="J58" i="24"/>
  <c r="J59" i="24"/>
  <c r="J60" i="24"/>
  <c r="J50" i="24"/>
  <c r="J51" i="24"/>
  <c r="J52" i="24"/>
  <c r="J53" i="24"/>
  <c r="J54" i="24"/>
  <c r="J49" i="24"/>
  <c r="J55" i="24"/>
  <c r="J61" i="24"/>
  <c r="J62" i="24"/>
  <c r="J63" i="24"/>
  <c r="J39" i="24"/>
  <c r="J40" i="24"/>
  <c r="J38" i="24"/>
  <c r="J41" i="24"/>
  <c r="J42" i="24"/>
  <c r="J43" i="24"/>
  <c r="J44" i="24"/>
  <c r="J45" i="24"/>
  <c r="J46" i="24"/>
  <c r="J10" i="24"/>
  <c r="J11" i="24"/>
  <c r="J12" i="24"/>
  <c r="J13" i="24"/>
  <c r="J14" i="24"/>
  <c r="J15" i="24"/>
  <c r="J16" i="24"/>
  <c r="J17" i="24"/>
  <c r="J18" i="24"/>
  <c r="J19" i="24"/>
  <c r="J20" i="24"/>
  <c r="J21" i="24"/>
  <c r="J22" i="24"/>
  <c r="J23" i="24"/>
  <c r="J24" i="24"/>
  <c r="J25" i="24"/>
  <c r="J26" i="24"/>
  <c r="J27" i="24"/>
  <c r="J28" i="24"/>
  <c r="J29" i="24"/>
  <c r="J30" i="24"/>
  <c r="J31" i="24"/>
  <c r="J32" i="24"/>
  <c r="J33" i="24"/>
  <c r="J34" i="24"/>
  <c r="J35" i="24"/>
  <c r="J36" i="24"/>
  <c r="J37" i="24"/>
  <c r="J47" i="24"/>
  <c r="J48" i="24"/>
  <c r="J9" i="24"/>
  <c r="T129" i="24"/>
  <c r="S129" i="24"/>
  <c r="R129" i="24"/>
  <c r="Q129" i="24"/>
  <c r="J86" i="24"/>
  <c r="J85" i="24"/>
  <c r="J84" i="24"/>
  <c r="J83" i="24"/>
  <c r="J82" i="24"/>
  <c r="J81" i="24"/>
  <c r="J80" i="24"/>
  <c r="J79" i="24"/>
  <c r="J78" i="24"/>
  <c r="J77" i="24"/>
  <c r="J76" i="24"/>
  <c r="J75" i="24"/>
  <c r="J74" i="24"/>
  <c r="J73" i="24"/>
  <c r="J72" i="24"/>
  <c r="J71" i="24"/>
  <c r="J70" i="24"/>
  <c r="J69" i="24"/>
  <c r="J68" i="24"/>
  <c r="J67" i="24"/>
  <c r="J66" i="24"/>
  <c r="J65" i="24"/>
  <c r="J64" i="24"/>
  <c r="J8" i="24"/>
  <c r="J17" i="23"/>
  <c r="T126" i="23"/>
  <c r="S126" i="23"/>
  <c r="R126" i="23"/>
  <c r="Q126" i="23"/>
  <c r="J65" i="23"/>
  <c r="J64" i="23"/>
  <c r="J63" i="23"/>
  <c r="J62" i="23"/>
  <c r="J61" i="23"/>
  <c r="J60" i="23"/>
  <c r="J59" i="23"/>
  <c r="J58" i="23"/>
  <c r="J57" i="23"/>
  <c r="J56" i="23"/>
  <c r="J55" i="23"/>
  <c r="J54" i="23"/>
  <c r="J53" i="23"/>
  <c r="J52" i="23"/>
  <c r="J51" i="23"/>
  <c r="J50" i="23"/>
  <c r="J49" i="23"/>
  <c r="J48" i="23"/>
  <c r="J47" i="23"/>
  <c r="J46" i="23"/>
  <c r="J45" i="23"/>
  <c r="J44" i="23"/>
  <c r="J41" i="23"/>
  <c r="J39" i="23"/>
  <c r="J38" i="23"/>
  <c r="J37" i="23"/>
  <c r="J36" i="23"/>
  <c r="J35" i="23"/>
  <c r="J34" i="23"/>
  <c r="J33" i="23"/>
  <c r="J32" i="23"/>
  <c r="J31" i="23"/>
  <c r="J30" i="23"/>
  <c r="J29" i="23"/>
  <c r="J28" i="23"/>
  <c r="J27" i="23"/>
  <c r="J26" i="23"/>
  <c r="J25" i="23"/>
  <c r="J24" i="23"/>
  <c r="J23" i="23"/>
  <c r="J22" i="23"/>
  <c r="J21" i="23"/>
  <c r="J20" i="23"/>
  <c r="J19" i="23"/>
  <c r="J18" i="23"/>
  <c r="J16" i="23"/>
  <c r="J15" i="23"/>
  <c r="J14" i="23"/>
  <c r="J13" i="23"/>
  <c r="J12" i="23"/>
  <c r="J11" i="23"/>
  <c r="J10" i="23"/>
  <c r="J9" i="23"/>
  <c r="J8" i="23"/>
  <c r="J34" i="22"/>
  <c r="J35" i="22"/>
  <c r="J36" i="22"/>
  <c r="J37" i="22"/>
  <c r="J38" i="22"/>
  <c r="J32" i="22"/>
  <c r="J33" i="22"/>
  <c r="J39" i="22"/>
  <c r="J16" i="22"/>
  <c r="J17" i="22"/>
  <c r="J18" i="22"/>
  <c r="J19" i="22"/>
  <c r="J20" i="22"/>
  <c r="J21" i="22"/>
  <c r="J22" i="22"/>
  <c r="J23" i="22"/>
  <c r="J24" i="22"/>
  <c r="J25" i="22"/>
  <c r="J26" i="22"/>
  <c r="J27" i="22"/>
  <c r="J28" i="22"/>
  <c r="J29" i="22"/>
  <c r="J30" i="22"/>
  <c r="J31" i="22"/>
  <c r="J40" i="22"/>
  <c r="J12" i="22"/>
  <c r="J13" i="22"/>
  <c r="J14" i="22"/>
  <c r="J15" i="22"/>
  <c r="J10" i="22"/>
  <c r="J11" i="22"/>
  <c r="J9" i="22"/>
  <c r="T125" i="22"/>
  <c r="S125" i="22"/>
  <c r="R125" i="22"/>
  <c r="Q125" i="22"/>
  <c r="J80" i="22"/>
  <c r="J63" i="22"/>
  <c r="J62" i="22"/>
  <c r="J61" i="22"/>
  <c r="J60" i="22"/>
  <c r="J59" i="22"/>
  <c r="J58" i="22"/>
  <c r="J57" i="22"/>
  <c r="J56" i="22"/>
  <c r="J55" i="22"/>
  <c r="J54" i="22"/>
  <c r="J53" i="22"/>
  <c r="J52" i="22"/>
  <c r="J51" i="22"/>
  <c r="J50" i="22"/>
  <c r="J49" i="22"/>
  <c r="J48" i="22"/>
  <c r="J47" i="22"/>
  <c r="J46" i="22"/>
  <c r="J45" i="22"/>
  <c r="J44" i="22"/>
  <c r="J43" i="22"/>
  <c r="J42" i="22"/>
  <c r="J41" i="22"/>
  <c r="J8" i="22"/>
  <c r="T123" i="21"/>
  <c r="S123" i="21"/>
  <c r="R123" i="21"/>
  <c r="Q123" i="21"/>
  <c r="J56" i="21"/>
  <c r="J55" i="21"/>
  <c r="J54" i="21"/>
  <c r="J53" i="21"/>
  <c r="J52" i="21"/>
  <c r="J51" i="21"/>
  <c r="J50" i="21"/>
  <c r="J49" i="21"/>
  <c r="J48" i="21"/>
  <c r="J47" i="21"/>
  <c r="J46" i="21"/>
  <c r="J45" i="21"/>
  <c r="J44" i="21"/>
  <c r="J43" i="21"/>
  <c r="J42" i="21"/>
  <c r="J41" i="21"/>
  <c r="J40" i="21"/>
  <c r="J39" i="21"/>
  <c r="J38" i="21"/>
  <c r="J37" i="21"/>
  <c r="J36" i="21"/>
  <c r="J35" i="21"/>
  <c r="J34" i="21"/>
  <c r="J33" i="21"/>
  <c r="J31" i="21"/>
  <c r="J30" i="21"/>
  <c r="J29" i="21"/>
  <c r="J28" i="21"/>
  <c r="J27" i="21"/>
  <c r="J26" i="21"/>
  <c r="J25" i="21"/>
  <c r="J24" i="21"/>
  <c r="J23" i="21"/>
  <c r="J22" i="21"/>
  <c r="J21" i="21"/>
  <c r="J20" i="21"/>
  <c r="J19" i="21"/>
  <c r="J18" i="21"/>
  <c r="J17" i="21"/>
  <c r="J16" i="21"/>
  <c r="J15" i="21"/>
  <c r="J14" i="21"/>
  <c r="J13" i="21"/>
  <c r="J12" i="21"/>
  <c r="J11" i="21"/>
  <c r="J10" i="21"/>
  <c r="J9" i="21"/>
  <c r="J8" i="21"/>
  <c r="J10" i="20"/>
  <c r="J11" i="20"/>
  <c r="J12" i="20"/>
  <c r="J13" i="20"/>
  <c r="J14" i="20"/>
  <c r="J15" i="20"/>
  <c r="J16" i="20"/>
  <c r="J17" i="20"/>
  <c r="J18" i="20"/>
  <c r="J19" i="20"/>
  <c r="J20" i="20"/>
  <c r="J21" i="20"/>
  <c r="J22" i="20"/>
  <c r="J23" i="20"/>
  <c r="J24" i="20"/>
  <c r="J25" i="20"/>
  <c r="J26" i="20"/>
  <c r="J27" i="20"/>
  <c r="J28" i="20"/>
  <c r="J29" i="20"/>
  <c r="J30" i="20"/>
  <c r="J31" i="20"/>
  <c r="J32" i="20"/>
  <c r="J8" i="20"/>
  <c r="J9" i="20"/>
  <c r="T123" i="20"/>
  <c r="S123" i="20"/>
  <c r="R123" i="20"/>
  <c r="Q123" i="20"/>
  <c r="J72" i="20"/>
  <c r="J55" i="20"/>
  <c r="J54" i="20"/>
  <c r="J53" i="20"/>
  <c r="J52" i="20"/>
  <c r="J51" i="20"/>
  <c r="J50" i="20"/>
  <c r="J49" i="20"/>
  <c r="J48" i="20"/>
  <c r="J47" i="20"/>
  <c r="J46" i="20"/>
  <c r="J45" i="20"/>
  <c r="J44" i="20"/>
  <c r="J43" i="20"/>
  <c r="J42" i="20"/>
  <c r="J41" i="20"/>
  <c r="J40" i="20"/>
  <c r="J39" i="20"/>
  <c r="J38" i="20"/>
  <c r="J37" i="20"/>
  <c r="J36" i="20"/>
  <c r="J35" i="20"/>
  <c r="J34" i="20"/>
  <c r="J33" i="20"/>
  <c r="J249" i="19"/>
  <c r="J248" i="19"/>
  <c r="J247" i="19"/>
  <c r="J246" i="19"/>
  <c r="J245" i="19"/>
  <c r="J244" i="19"/>
  <c r="J243" i="19"/>
  <c r="J242" i="19"/>
  <c r="J241" i="19"/>
  <c r="J240" i="19"/>
  <c r="J239" i="19"/>
  <c r="J238" i="19"/>
  <c r="J237" i="19"/>
  <c r="J236" i="19"/>
  <c r="J235" i="19"/>
  <c r="J234" i="19"/>
  <c r="J233" i="19"/>
  <c r="J232" i="19"/>
  <c r="J231" i="19"/>
  <c r="J230" i="19"/>
  <c r="J229" i="19"/>
  <c r="J228" i="19"/>
  <c r="J227" i="19"/>
  <c r="J226" i="19"/>
  <c r="J225" i="19"/>
  <c r="J224" i="19"/>
  <c r="J223" i="19"/>
  <c r="J222" i="19"/>
  <c r="J221" i="19"/>
  <c r="J220" i="19"/>
  <c r="J219" i="19"/>
  <c r="J218" i="19"/>
  <c r="J217" i="19"/>
  <c r="J216" i="19"/>
  <c r="J215" i="19"/>
  <c r="J214" i="19"/>
  <c r="J213" i="19"/>
  <c r="J212" i="19"/>
  <c r="J211" i="19"/>
  <c r="J210" i="19"/>
  <c r="J209" i="19"/>
  <c r="J208" i="19"/>
  <c r="J207" i="19"/>
  <c r="J206" i="19"/>
  <c r="J205" i="19"/>
  <c r="J204" i="19"/>
  <c r="J203" i="19"/>
  <c r="J202" i="19"/>
  <c r="J201" i="19"/>
  <c r="J200" i="19"/>
  <c r="J199" i="19"/>
  <c r="J198" i="19"/>
  <c r="J197" i="19"/>
  <c r="J196" i="19"/>
  <c r="J195" i="19"/>
  <c r="J194" i="19"/>
  <c r="J193" i="19"/>
  <c r="J192" i="19"/>
  <c r="J191" i="19"/>
  <c r="J190" i="19"/>
  <c r="J189" i="19"/>
  <c r="J188" i="19"/>
  <c r="J187" i="19"/>
  <c r="J186" i="19"/>
  <c r="J185" i="19"/>
  <c r="J184" i="19"/>
  <c r="J183" i="19"/>
  <c r="J182" i="19"/>
  <c r="J181" i="19"/>
  <c r="J180" i="19"/>
  <c r="J179" i="19"/>
  <c r="J178" i="19"/>
  <c r="J177" i="19"/>
  <c r="J176" i="19"/>
  <c r="J175" i="19"/>
  <c r="J174" i="19"/>
  <c r="J173" i="19"/>
  <c r="J172" i="19"/>
  <c r="J171" i="19"/>
  <c r="J170" i="19"/>
  <c r="J169" i="19"/>
  <c r="J168" i="19"/>
  <c r="J167" i="19"/>
  <c r="J166" i="19"/>
  <c r="J165" i="19"/>
  <c r="J164" i="19"/>
  <c r="J163" i="19"/>
  <c r="J162" i="19"/>
  <c r="J161" i="19"/>
  <c r="J160" i="19"/>
  <c r="J159" i="19"/>
  <c r="J158" i="19"/>
  <c r="J157" i="19"/>
  <c r="J156" i="19"/>
  <c r="J155" i="19"/>
  <c r="J154" i="19"/>
  <c r="J153" i="19"/>
  <c r="J152" i="19"/>
  <c r="J151" i="19"/>
  <c r="J150" i="19"/>
  <c r="J149" i="19"/>
  <c r="J148" i="19"/>
  <c r="J147" i="19"/>
  <c r="J146" i="19"/>
  <c r="J145" i="19"/>
  <c r="J144" i="19"/>
  <c r="J143" i="19"/>
  <c r="J142" i="19"/>
  <c r="J141" i="19"/>
  <c r="J140" i="19"/>
  <c r="J139" i="19"/>
  <c r="J138" i="19"/>
  <c r="J137" i="19"/>
  <c r="J136" i="19"/>
  <c r="J135" i="19"/>
  <c r="J134" i="19"/>
  <c r="J133" i="19"/>
  <c r="J132" i="19"/>
  <c r="J131" i="19"/>
  <c r="J130" i="19"/>
  <c r="J129" i="19"/>
  <c r="J128" i="19"/>
  <c r="J127" i="19"/>
  <c r="J126" i="19"/>
  <c r="J125" i="19"/>
  <c r="J124" i="19"/>
  <c r="J123" i="19"/>
  <c r="J122" i="19"/>
  <c r="J121" i="19"/>
  <c r="J120" i="19"/>
  <c r="J119" i="19"/>
  <c r="J118" i="19"/>
  <c r="J117" i="19"/>
  <c r="J116" i="19"/>
  <c r="J115" i="19"/>
  <c r="J114" i="19"/>
  <c r="J113" i="19"/>
  <c r="J112" i="19"/>
  <c r="J111" i="19"/>
  <c r="J110" i="19"/>
  <c r="T109" i="19"/>
  <c r="S109" i="19"/>
  <c r="R109" i="19"/>
  <c r="Q109" i="19"/>
  <c r="J109" i="19"/>
  <c r="J108" i="19"/>
  <c r="J107" i="19"/>
  <c r="J106" i="19"/>
  <c r="J105" i="19"/>
  <c r="J104" i="19"/>
  <c r="J103" i="19"/>
  <c r="J102" i="19"/>
  <c r="J101" i="19"/>
  <c r="J100" i="19"/>
  <c r="J99" i="19"/>
  <c r="J98" i="19"/>
  <c r="J97" i="19"/>
  <c r="J96" i="19"/>
  <c r="J95" i="19"/>
  <c r="J94" i="19"/>
  <c r="J93" i="19"/>
  <c r="J92" i="19"/>
  <c r="J91" i="19"/>
  <c r="J90" i="19"/>
  <c r="J89" i="19"/>
  <c r="J88" i="19"/>
  <c r="J87" i="19"/>
  <c r="J86" i="19"/>
  <c r="J85" i="19"/>
  <c r="J84" i="19"/>
  <c r="J83" i="19"/>
  <c r="J82" i="19"/>
  <c r="J81" i="19"/>
  <c r="J80" i="19"/>
  <c r="J79" i="19"/>
  <c r="J78" i="19"/>
  <c r="J77" i="19"/>
  <c r="J76" i="19"/>
  <c r="J75" i="19"/>
  <c r="J74" i="19"/>
  <c r="J73" i="19"/>
  <c r="J72" i="19"/>
  <c r="J71" i="19"/>
  <c r="J70" i="19"/>
  <c r="J69" i="19"/>
  <c r="J68" i="19"/>
  <c r="J67" i="19"/>
  <c r="J66" i="19"/>
  <c r="J65" i="19"/>
  <c r="J64" i="19"/>
  <c r="J63" i="19"/>
  <c r="J62" i="19"/>
  <c r="J61" i="19"/>
  <c r="J60" i="19"/>
  <c r="J59" i="19"/>
  <c r="J58" i="19"/>
  <c r="J57" i="19"/>
  <c r="J56" i="19"/>
  <c r="J55" i="19"/>
  <c r="J54" i="19"/>
  <c r="J53" i="19"/>
  <c r="J52" i="19"/>
  <c r="J51" i="19"/>
  <c r="J50" i="19"/>
  <c r="J49" i="19"/>
  <c r="J48" i="19"/>
  <c r="J47" i="19"/>
  <c r="J46" i="19"/>
  <c r="J45" i="19"/>
  <c r="J44" i="19"/>
  <c r="J43" i="19"/>
  <c r="J42" i="19"/>
  <c r="J41" i="19"/>
  <c r="J40" i="19"/>
  <c r="J39" i="19"/>
  <c r="J38" i="19"/>
  <c r="J37" i="19"/>
  <c r="J36" i="19"/>
  <c r="J35" i="19"/>
  <c r="J34" i="19"/>
  <c r="J33" i="19"/>
  <c r="J32" i="19"/>
  <c r="J31" i="19"/>
  <c r="J30" i="19"/>
  <c r="J29" i="19"/>
  <c r="J28" i="19"/>
  <c r="J27" i="19"/>
  <c r="J26" i="19"/>
  <c r="J25" i="19"/>
  <c r="J24" i="19"/>
  <c r="J23" i="19"/>
  <c r="J22" i="19"/>
  <c r="J21" i="19"/>
  <c r="J20" i="19"/>
  <c r="J19" i="19"/>
  <c r="J18" i="19"/>
  <c r="J17" i="19"/>
  <c r="J16" i="19"/>
  <c r="J15" i="19"/>
  <c r="J14" i="19"/>
  <c r="J13" i="19"/>
  <c r="J12" i="19"/>
  <c r="J11" i="19"/>
  <c r="J10" i="19"/>
  <c r="J9" i="19"/>
  <c r="J8" i="19"/>
  <c r="J249" i="6"/>
  <c r="J248" i="6"/>
  <c r="J247" i="6"/>
  <c r="J246" i="6"/>
  <c r="J245" i="6"/>
  <c r="J244" i="6"/>
  <c r="J243" i="6"/>
  <c r="J242" i="6"/>
  <c r="J241" i="6"/>
  <c r="J240" i="6"/>
  <c r="J239" i="6"/>
  <c r="J238" i="6"/>
  <c r="J237" i="6"/>
  <c r="J236" i="6"/>
  <c r="J235" i="6"/>
  <c r="J234" i="6"/>
  <c r="J233" i="6"/>
  <c r="J232" i="6"/>
  <c r="J231" i="6"/>
  <c r="J230" i="6"/>
  <c r="J229" i="6"/>
  <c r="J228" i="6"/>
  <c r="J227" i="6"/>
  <c r="J226" i="6"/>
  <c r="J225" i="6"/>
  <c r="J224" i="6"/>
  <c r="J223" i="6"/>
  <c r="J222" i="6"/>
  <c r="J221" i="6"/>
  <c r="J220" i="6"/>
  <c r="J219" i="6"/>
  <c r="J218" i="6"/>
  <c r="J217" i="6"/>
  <c r="J216" i="6"/>
  <c r="J215" i="6"/>
  <c r="J214" i="6"/>
  <c r="J213" i="6"/>
  <c r="J212" i="6"/>
  <c r="J211" i="6"/>
  <c r="J210" i="6"/>
  <c r="J209" i="6"/>
  <c r="J208" i="6"/>
  <c r="J207" i="6"/>
  <c r="J206" i="6"/>
  <c r="J205" i="6"/>
  <c r="J204" i="6"/>
  <c r="J203" i="6"/>
  <c r="J202" i="6"/>
  <c r="J201" i="6"/>
  <c r="J200" i="6"/>
  <c r="J199" i="6"/>
  <c r="J198" i="6"/>
  <c r="J197" i="6"/>
  <c r="J196" i="6"/>
  <c r="J195" i="6"/>
  <c r="J194" i="6"/>
  <c r="J193" i="6"/>
  <c r="J192" i="6"/>
  <c r="J191" i="6"/>
  <c r="J190" i="6"/>
  <c r="J189" i="6"/>
  <c r="J188" i="6"/>
  <c r="J187" i="6"/>
  <c r="J186" i="6"/>
  <c r="J185" i="6"/>
  <c r="J184" i="6"/>
  <c r="J183" i="6"/>
  <c r="J182" i="6"/>
  <c r="J181" i="6"/>
  <c r="J180" i="6"/>
  <c r="J179" i="6"/>
  <c r="J178" i="6"/>
  <c r="J177" i="6"/>
  <c r="J176" i="6"/>
  <c r="J175" i="6"/>
  <c r="J174" i="6"/>
  <c r="J173" i="6"/>
  <c r="J172" i="6"/>
  <c r="J171" i="6"/>
  <c r="J170" i="6"/>
  <c r="J169" i="6"/>
  <c r="J168" i="6"/>
  <c r="J167" i="6"/>
  <c r="J166" i="6"/>
  <c r="J165" i="6"/>
  <c r="J164" i="6"/>
  <c r="J163" i="6"/>
  <c r="J162" i="6"/>
  <c r="J161" i="6"/>
  <c r="T123" i="15"/>
  <c r="S123" i="15"/>
  <c r="R123" i="15"/>
  <c r="Q123" i="15"/>
  <c r="J113" i="15"/>
  <c r="J96" i="15"/>
  <c r="J95" i="15"/>
  <c r="J94" i="15"/>
  <c r="J93" i="15"/>
  <c r="J92" i="15"/>
  <c r="J91" i="15"/>
  <c r="J90" i="15"/>
  <c r="J89" i="15"/>
  <c r="J88" i="15"/>
  <c r="J87" i="15"/>
  <c r="J86" i="15"/>
  <c r="J85" i="15"/>
  <c r="J84" i="15"/>
  <c r="J83" i="15"/>
  <c r="J82" i="15"/>
  <c r="J81" i="15"/>
  <c r="J80" i="15"/>
  <c r="J79" i="15"/>
  <c r="J78" i="15"/>
  <c r="J77" i="15"/>
  <c r="J76" i="15"/>
  <c r="J75" i="15"/>
  <c r="J74" i="15"/>
  <c r="J73" i="15"/>
  <c r="J72" i="15"/>
  <c r="J71" i="15"/>
  <c r="J70" i="15"/>
  <c r="J69" i="15"/>
  <c r="J68" i="15"/>
  <c r="J67" i="15"/>
  <c r="J66" i="15"/>
  <c r="J65" i="15"/>
  <c r="J64" i="15"/>
  <c r="J63" i="15"/>
  <c r="J62" i="15"/>
  <c r="J61" i="15"/>
  <c r="J60" i="15"/>
  <c r="J59" i="15"/>
  <c r="J58" i="15"/>
  <c r="J57" i="15"/>
  <c r="J56" i="15"/>
  <c r="J55" i="15"/>
  <c r="J54" i="15"/>
  <c r="J53" i="15"/>
  <c r="J52" i="15"/>
  <c r="J51" i="15"/>
  <c r="J50" i="15"/>
  <c r="J49" i="15"/>
  <c r="J48" i="15"/>
  <c r="J47" i="15"/>
  <c r="J46" i="15"/>
  <c r="J45" i="15"/>
  <c r="J44" i="15"/>
  <c r="J43" i="15"/>
  <c r="J42" i="15"/>
  <c r="J41" i="15"/>
  <c r="J40" i="15"/>
  <c r="J39" i="15"/>
  <c r="J38" i="15"/>
  <c r="J37" i="15"/>
  <c r="J36" i="15"/>
  <c r="J35" i="15"/>
  <c r="J34" i="15"/>
  <c r="J33" i="15"/>
  <c r="J32" i="15"/>
  <c r="J31" i="15"/>
  <c r="J30" i="15"/>
  <c r="J29" i="15"/>
  <c r="J28" i="15"/>
  <c r="J27" i="15"/>
  <c r="J26" i="15"/>
  <c r="J25" i="15"/>
  <c r="J24" i="15"/>
  <c r="J23" i="15"/>
  <c r="J22" i="15"/>
  <c r="J21" i="15"/>
  <c r="J20" i="15"/>
  <c r="J19" i="15"/>
  <c r="J18" i="15"/>
  <c r="J17" i="15"/>
  <c r="J16" i="15"/>
  <c r="J15" i="15"/>
  <c r="J14" i="15"/>
  <c r="J13" i="15"/>
  <c r="J12" i="15"/>
  <c r="J11" i="15"/>
  <c r="J10" i="15"/>
  <c r="J9" i="15"/>
  <c r="J8" i="15"/>
  <c r="J56" i="14"/>
  <c r="J57" i="14"/>
  <c r="J58" i="14"/>
  <c r="J59" i="14"/>
  <c r="J60" i="14"/>
  <c r="J61" i="14"/>
  <c r="J62" i="14"/>
  <c r="J63" i="14"/>
  <c r="J64" i="14"/>
  <c r="J65" i="14"/>
  <c r="J66" i="14"/>
  <c r="J67" i="14"/>
  <c r="J68" i="14"/>
  <c r="J69" i="14"/>
  <c r="J70" i="14"/>
  <c r="J71" i="14"/>
  <c r="J72" i="14"/>
  <c r="J73" i="14"/>
  <c r="J55" i="14"/>
  <c r="J54" i="14"/>
  <c r="J53" i="14"/>
  <c r="J52" i="14"/>
  <c r="J51" i="14"/>
  <c r="J50" i="14"/>
  <c r="J49" i="14"/>
  <c r="J48" i="14"/>
  <c r="J47" i="14"/>
  <c r="J46" i="14"/>
  <c r="J45" i="14"/>
  <c r="J44" i="14"/>
  <c r="J43" i="14"/>
  <c r="J42" i="14"/>
  <c r="J41" i="14"/>
  <c r="J40" i="14"/>
  <c r="J39" i="14"/>
  <c r="J38" i="14"/>
  <c r="J37" i="14"/>
  <c r="J36" i="14"/>
  <c r="J35" i="14"/>
  <c r="J34" i="14"/>
  <c r="J33" i="14"/>
  <c r="J32" i="14"/>
  <c r="J31" i="14"/>
  <c r="J30" i="14"/>
  <c r="J29" i="14"/>
  <c r="J28" i="14"/>
  <c r="J27" i="14"/>
  <c r="J26" i="14"/>
  <c r="J25" i="14"/>
  <c r="J24" i="14"/>
  <c r="J23" i="14"/>
  <c r="J22" i="14"/>
  <c r="J21" i="14"/>
  <c r="J20" i="14"/>
  <c r="J19" i="14"/>
  <c r="J18" i="14"/>
  <c r="J17" i="14"/>
  <c r="J16" i="14"/>
  <c r="J15" i="14"/>
  <c r="J14" i="14"/>
  <c r="J10" i="14"/>
  <c r="J11" i="14"/>
  <c r="J12" i="14"/>
  <c r="J13" i="14"/>
  <c r="J9" i="14"/>
  <c r="T123" i="14"/>
  <c r="S123" i="14"/>
  <c r="R123" i="14"/>
  <c r="Q123" i="14"/>
  <c r="J97" i="14"/>
  <c r="J96" i="14"/>
  <c r="J95" i="14"/>
  <c r="J94" i="14"/>
  <c r="J93" i="14"/>
  <c r="J92" i="14"/>
  <c r="J91" i="14"/>
  <c r="J90" i="14"/>
  <c r="J89" i="14"/>
  <c r="J88" i="14"/>
  <c r="J87" i="14"/>
  <c r="J86" i="14"/>
  <c r="J85" i="14"/>
  <c r="J84" i="14"/>
  <c r="J83" i="14"/>
  <c r="J82" i="14"/>
  <c r="J81" i="14"/>
  <c r="J80" i="14"/>
  <c r="J79" i="14"/>
  <c r="J78" i="14"/>
  <c r="J77" i="14"/>
  <c r="J76" i="14"/>
  <c r="J75" i="14"/>
  <c r="J8" i="14"/>
  <c r="T109" i="9"/>
  <c r="S109" i="9"/>
  <c r="R109" i="9"/>
  <c r="Q109" i="9"/>
  <c r="J50" i="9"/>
  <c r="J49" i="9"/>
  <c r="J48" i="9"/>
  <c r="J47" i="9"/>
  <c r="J46" i="9"/>
  <c r="J45" i="9"/>
  <c r="J44" i="9"/>
  <c r="J43" i="9"/>
  <c r="J42" i="9"/>
  <c r="J41" i="9"/>
  <c r="J40" i="9"/>
  <c r="J39" i="9"/>
  <c r="J38" i="9"/>
  <c r="J37" i="9"/>
  <c r="J36" i="9"/>
  <c r="J35" i="9"/>
  <c r="J34" i="9"/>
  <c r="J33" i="9"/>
  <c r="J32" i="9"/>
  <c r="J31" i="9"/>
  <c r="J30" i="9"/>
  <c r="J28" i="9"/>
  <c r="J27" i="9"/>
  <c r="J26" i="9"/>
  <c r="J25" i="9"/>
  <c r="J24" i="9"/>
  <c r="J23" i="9"/>
  <c r="J22" i="9"/>
  <c r="J21" i="9"/>
  <c r="J20" i="9"/>
  <c r="J19" i="9"/>
  <c r="J18" i="9"/>
  <c r="J17" i="9"/>
  <c r="J16" i="9"/>
  <c r="J15" i="9"/>
  <c r="J14" i="9"/>
  <c r="J13" i="9"/>
  <c r="J12" i="9"/>
  <c r="J11" i="9"/>
  <c r="J10" i="9"/>
  <c r="J9" i="9"/>
  <c r="J8" i="9"/>
  <c r="J66" i="8"/>
  <c r="J65" i="8"/>
  <c r="J64" i="8"/>
  <c r="J63" i="8"/>
  <c r="J62" i="8"/>
  <c r="J61" i="8"/>
  <c r="J60" i="8"/>
  <c r="J59" i="8"/>
  <c r="J58" i="8"/>
  <c r="J57" i="8"/>
  <c r="J56" i="8"/>
  <c r="J55" i="8"/>
  <c r="J54" i="8"/>
  <c r="J53" i="8"/>
  <c r="J52" i="8"/>
  <c r="J51" i="8"/>
  <c r="J50" i="8"/>
  <c r="W49" i="8"/>
  <c r="J48" i="8"/>
  <c r="J47" i="8"/>
  <c r="J46" i="8"/>
  <c r="J45" i="8"/>
  <c r="J44" i="8"/>
  <c r="J43" i="8"/>
  <c r="J42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J8" i="8"/>
  <c r="T105" i="7"/>
  <c r="S105" i="7"/>
  <c r="R105" i="7"/>
  <c r="Q105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15" i="4"/>
  <c r="J160" i="6"/>
  <c r="J159" i="6"/>
  <c r="J158" i="6"/>
  <c r="J157" i="6"/>
  <c r="J156" i="6"/>
  <c r="J155" i="6"/>
  <c r="J154" i="6"/>
  <c r="J153" i="6"/>
  <c r="J152" i="6"/>
  <c r="J151" i="6"/>
  <c r="J150" i="6"/>
  <c r="J149" i="6"/>
  <c r="J148" i="6"/>
  <c r="J147" i="6"/>
  <c r="J146" i="6"/>
  <c r="J145" i="6"/>
  <c r="J144" i="6"/>
  <c r="J143" i="6"/>
  <c r="J142" i="6"/>
  <c r="J141" i="6"/>
  <c r="J140" i="6"/>
  <c r="J139" i="6"/>
  <c r="J138" i="6"/>
  <c r="J137" i="6"/>
  <c r="J136" i="6"/>
  <c r="J135" i="6"/>
  <c r="J134" i="6"/>
  <c r="J133" i="6"/>
  <c r="J132" i="6"/>
  <c r="J131" i="6"/>
  <c r="J130" i="6"/>
  <c r="J129" i="6"/>
  <c r="J128" i="6"/>
  <c r="J127" i="6"/>
  <c r="J126" i="6"/>
  <c r="J125" i="6"/>
  <c r="J124" i="6"/>
  <c r="J123" i="6"/>
  <c r="J122" i="6"/>
  <c r="J121" i="6"/>
  <c r="J120" i="6"/>
  <c r="J119" i="6"/>
  <c r="J118" i="6"/>
  <c r="J117" i="6"/>
  <c r="J116" i="6"/>
  <c r="J115" i="6"/>
  <c r="J114" i="6"/>
  <c r="J113" i="6"/>
  <c r="J112" i="6"/>
  <c r="J111" i="6"/>
  <c r="J110" i="6"/>
  <c r="J109" i="6"/>
  <c r="T109" i="6"/>
  <c r="S109" i="6"/>
  <c r="R109" i="6"/>
  <c r="Q109" i="6"/>
  <c r="J108" i="6"/>
  <c r="J107" i="6"/>
  <c r="J106" i="6"/>
  <c r="J105" i="6"/>
  <c r="J104" i="6"/>
  <c r="J103" i="6"/>
  <c r="J102" i="6"/>
  <c r="J101" i="6"/>
  <c r="J100" i="6"/>
  <c r="J99" i="6"/>
  <c r="J98" i="6"/>
  <c r="J97" i="6"/>
  <c r="J96" i="6"/>
  <c r="J95" i="6"/>
  <c r="J94" i="6"/>
  <c r="J93" i="6"/>
  <c r="J92" i="6"/>
  <c r="J91" i="6"/>
  <c r="J90" i="6"/>
  <c r="J89" i="6"/>
  <c r="J88" i="6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104" i="5"/>
  <c r="T109" i="5"/>
  <c r="S109" i="5"/>
  <c r="R109" i="5"/>
  <c r="Q109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77" i="4"/>
  <c r="J18" i="4"/>
  <c r="J17" i="4"/>
  <c r="J16" i="4"/>
  <c r="J14" i="4"/>
  <c r="J13" i="4"/>
  <c r="J12" i="4"/>
  <c r="J11" i="4"/>
  <c r="J10" i="4"/>
  <c r="J9" i="4"/>
  <c r="T109" i="4"/>
  <c r="S109" i="4"/>
  <c r="R109" i="4"/>
  <c r="Q109" i="4"/>
  <c r="J8" i="4"/>
  <c r="R109" i="1"/>
  <c r="S109" i="1"/>
  <c r="T109" i="1"/>
  <c r="Q109" i="1"/>
  <c r="J46" i="1"/>
  <c r="J45" i="1"/>
  <c r="J44" i="1"/>
  <c r="J43" i="1"/>
  <c r="J42" i="1"/>
  <c r="J48" i="1"/>
  <c r="J28" i="1"/>
  <c r="J13" i="1"/>
  <c r="J12" i="1"/>
  <c r="J11" i="1"/>
  <c r="J10" i="1"/>
  <c r="J9" i="1"/>
  <c r="J49" i="1"/>
  <c r="J65" i="1"/>
  <c r="J47" i="1"/>
  <c r="J41" i="1"/>
  <c r="J40" i="1"/>
  <c r="J39" i="1"/>
  <c r="J38" i="1"/>
  <c r="J37" i="1"/>
  <c r="J20" i="1"/>
  <c r="J19" i="1"/>
  <c r="J18" i="1"/>
  <c r="J17" i="1"/>
  <c r="J16" i="1"/>
  <c r="J15" i="1"/>
  <c r="J14" i="1"/>
  <c r="J8" i="1"/>
  <c r="J32" i="1"/>
  <c r="J21" i="1"/>
  <c r="J22" i="1"/>
  <c r="J23" i="1"/>
  <c r="J24" i="1"/>
  <c r="J25" i="1"/>
  <c r="J26" i="1"/>
  <c r="J27" i="1"/>
  <c r="J29" i="1"/>
  <c r="J30" i="1"/>
  <c r="J31" i="1"/>
  <c r="J33" i="1"/>
  <c r="J34" i="1"/>
  <c r="J35" i="1"/>
  <c r="J36" i="1"/>
  <c r="A7" i="26" l="1"/>
  <c r="A7" i="26" a="1"/>
  <c r="A7" i="24"/>
  <c r="A7" i="24" a="1"/>
  <c r="A7" i="9"/>
  <c r="A7" i="9" a="1"/>
  <c r="A7" i="29"/>
  <c r="A7" i="29" a="1"/>
  <c r="A7" i="15"/>
  <c r="A7" i="15" a="1"/>
  <c r="A7" i="21"/>
  <c r="A7" i="21" a="1"/>
  <c r="A7" i="27"/>
  <c r="A7" i="27" a="1"/>
  <c r="A7" i="6"/>
  <c r="A7" i="6" a="1"/>
  <c r="A7" i="5"/>
  <c r="A7" i="5" a="1"/>
  <c r="A7" i="25"/>
  <c r="A7" i="25" a="1"/>
  <c r="A7" i="8"/>
  <c r="A7" i="8" a="1"/>
  <c r="A7" i="19"/>
  <c r="A7" i="19" a="1"/>
  <c r="A7" i="23"/>
  <c r="A7" i="23" a="1"/>
  <c r="A7" i="20"/>
  <c r="A7" i="20" a="1"/>
  <c r="A7" i="22"/>
  <c r="A7" i="22" a="1"/>
  <c r="A7" i="28"/>
  <c r="A7" i="28" a="1"/>
  <c r="A7" i="7"/>
  <c r="A7" i="7" a="1"/>
  <c r="A7" i="4"/>
  <c r="A7" i="4" a="1"/>
  <c r="A7" i="14"/>
  <c r="A7" i="14" a="1"/>
  <c r="A7" i="30"/>
  <c r="A7" i="30" a="1"/>
  <c r="A7" i="1"/>
  <c r="A7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<sst xmlns="http://schemas.openxmlformats.org/spreadsheetml/2006/main" count="7903" uniqueCount="724">
  <si>
    <t>CONTROL ASIGNACIONES</t>
  </si>
  <si>
    <t>Universidad Piloto de Colombia</t>
  </si>
  <si>
    <t>PROYECTO:  KPI's by Print(Null);</t>
  </si>
  <si>
    <t>Grupo: 3</t>
  </si>
  <si>
    <t>Ciclo: 1</t>
  </si>
  <si>
    <t xml:space="preserve"> </t>
  </si>
  <si>
    <t>Planeación</t>
  </si>
  <si>
    <t>Seguimiento</t>
  </si>
  <si>
    <t>Responsable</t>
  </si>
  <si>
    <t>Rol que recibe</t>
  </si>
  <si>
    <t>Tamaño estimado (hojas, secciones)</t>
  </si>
  <si>
    <t>Tiempo estimado (minutos)</t>
  </si>
  <si>
    <t>Fecha Acordada Entrega</t>
  </si>
  <si>
    <t>Hora Acordada entrega</t>
  </si>
  <si>
    <t>Fecha Entregada</t>
  </si>
  <si>
    <t>Hora Entrega</t>
  </si>
  <si>
    <t>Diferencia</t>
  </si>
  <si>
    <t>Tamaño real</t>
  </si>
  <si>
    <t>Tiempo real</t>
  </si>
  <si>
    <t>Observaciones</t>
  </si>
  <si>
    <t>Conformación del equipo (Nombre, Logo, Integrantes)</t>
  </si>
  <si>
    <t>Leidy Giraldo</t>
  </si>
  <si>
    <t>LE</t>
  </si>
  <si>
    <t>Realizamos la la elección de los integrantes del grupo e implementamos ideas para el logo y el nombre del grupo.</t>
  </si>
  <si>
    <t>Asignación de roles</t>
  </si>
  <si>
    <t>Se escogió minusiosamente la eleción de roles para cada actividad, se realizo mediante experiencias en anteriores proyectos.</t>
  </si>
  <si>
    <t>Planificación del proyecto</t>
  </si>
  <si>
    <t xml:space="preserve">      Leidy Giraldo</t>
  </si>
  <si>
    <t xml:space="preserve">            LE</t>
  </si>
  <si>
    <t>Reunión inicial de equipo donde la lider propuso con el lider de planeación las actividades y planeación del proyecto</t>
  </si>
  <si>
    <t>Santiago Herrada</t>
  </si>
  <si>
    <t>LP</t>
  </si>
  <si>
    <t>Reunión inicial donde me correspondió el rol de planeación asigne al líder de calidad el llenado del script de definición de procesos</t>
  </si>
  <si>
    <t>Matias Marin</t>
  </si>
  <si>
    <t>LA</t>
  </si>
  <si>
    <t>Reunión Inicial donde gestionamos papeles responsabilidades, objetivos y del proyecto DashKPI.</t>
  </si>
  <si>
    <t>Esteban Prieto</t>
  </si>
  <si>
    <t>LC</t>
  </si>
  <si>
    <t>Reunión inicial de equipo para revisar roles y definir objetivos generales y específicos del proyecto KPITrack</t>
  </si>
  <si>
    <t>Kerlon Sanchez</t>
  </si>
  <si>
    <t>LD</t>
  </si>
  <si>
    <t>Reunión inicial de equipo para revisar los roles, definir los objetivos generales y específicos del proyecto</t>
  </si>
  <si>
    <t>Nicolas Cubillos</t>
  </si>
  <si>
    <t>LS</t>
  </si>
  <si>
    <t xml:space="preserve">Iniciamos la primera reunión del grupo donde distribuimos los roles </t>
  </si>
  <si>
    <t>Elaboración del acta de iniciación</t>
  </si>
  <si>
    <t>Elaboración con mi equipo el acta de iniciación, objetivos, metas y proyecciones</t>
  </si>
  <si>
    <t>Asigne a cada rol el llenado de sus bitácoras, además la planificación y elaboración del acta de iniciación</t>
  </si>
  <si>
    <t>Elaboración del alcance, metas y restricciones para el acta de iniciación del proyecto, realizando una lluvia de ideas que complementaba la participación de todos los actores en el mismo.</t>
  </si>
  <si>
    <t>elaboración del alcance metas y restricciones para el acta de iniciación del proyecto</t>
  </si>
  <si>
    <t>Elaboración del alcance, metas y restricciones para el acta de iniciación</t>
  </si>
  <si>
    <t>Empecé a crear el alcance metas y restricciones para el acta de iniciación del proyecto</t>
  </si>
  <si>
    <t>Evaluación de log de defectos</t>
  </si>
  <si>
    <t>No comentarios</t>
  </si>
  <si>
    <t>Desarrollo de la página web</t>
  </si>
  <si>
    <t xml:space="preserve">       Leidy Giraldo</t>
  </si>
  <si>
    <t>Tras la propuesta y acuerdo del grupo empezamos a realizar y a programar la pagina web junto con el lider de desarrollo</t>
  </si>
  <si>
    <t xml:space="preserve">    Kerlon Sanchez</t>
  </si>
  <si>
    <t xml:space="preserve">            LD</t>
  </si>
  <si>
    <t>Tras la propuesta general e implementación de este, supervise y colabore en la subida de la página del proyecto</t>
  </si>
  <si>
    <t>Revisión de la página web</t>
  </si>
  <si>
    <t xml:space="preserve">    Santiago Herrada</t>
  </si>
  <si>
    <t xml:space="preserve">            LP</t>
  </si>
  <si>
    <t>Planee que en este lapso se revisara la finalización y prueba de la página web</t>
  </si>
  <si>
    <t xml:space="preserve">    Matias Marin</t>
  </si>
  <si>
    <t xml:space="preserve">            LA</t>
  </si>
  <si>
    <t>Se revisaron y corrigieron pequeños Bugs que involucraban al correcto funcionamiento de la web, decoración y ajustes básicos del Front</t>
  </si>
  <si>
    <t xml:space="preserve">    Nicolas Cubillos</t>
  </si>
  <si>
    <t xml:space="preserve">            LS</t>
  </si>
  <si>
    <t>Realice la revisión y aplique en los documentos con cambios significativos y mejoras en las plantaciones anteriormente</t>
  </si>
  <si>
    <t xml:space="preserve">    Esteban Prieto</t>
  </si>
  <si>
    <t xml:space="preserve">            LC</t>
  </si>
  <si>
    <t xml:space="preserve">Revise el resultado final de la pagina que presentaremos los primeros avances al trabajo en grupo </t>
  </si>
  <si>
    <t>Script de definición de procesos</t>
  </si>
  <si>
    <t xml:space="preserve">   Esteban Prieto</t>
  </si>
  <si>
    <t>Diligenciar el formato correspondiente al script de definición de procesos</t>
  </si>
  <si>
    <t>Formas elaboradas</t>
  </si>
  <si>
    <t xml:space="preserve">           LS</t>
  </si>
  <si>
    <t>Se realizo la documentos e información que creíamos necesaria de momento para ir avanzando con el proyecto</t>
  </si>
  <si>
    <t>Acta de reunión</t>
  </si>
  <si>
    <t xml:space="preserve">           LC</t>
  </si>
  <si>
    <t>Ordenar en grupo todos los documentos asignados para la primera entrega</t>
  </si>
  <si>
    <t>Planeación de Reuniones</t>
  </si>
  <si>
    <t xml:space="preserve">           LP</t>
  </si>
  <si>
    <t>Finalizamos los documentos faltantes e asigne a cada uno la finalización del mismo, después planeamos el trabajo para la fase 2</t>
  </si>
  <si>
    <t>Elaboración de diapositivas(Informe final)</t>
  </si>
  <si>
    <t xml:space="preserve">           LE</t>
  </si>
  <si>
    <t xml:space="preserve">Diapositivas con los documentos hechos </t>
  </si>
  <si>
    <t>Maestro de documentos</t>
  </si>
  <si>
    <t xml:space="preserve">Realización de un excel con los documentos hechos </t>
  </si>
  <si>
    <t>Publicación de documentos</t>
  </si>
  <si>
    <t>subir todos los archivos a la pagina web</t>
  </si>
  <si>
    <t xml:space="preserve"> Lineamiento estratégico </t>
  </si>
  <si>
    <t xml:space="preserve">Plantear la ruta general del proyecto y principios de 
trabajo. </t>
  </si>
  <si>
    <t xml:space="preserve">Criterios de la estrategia </t>
  </si>
  <si>
    <t xml:space="preserve">Estrategia general </t>
  </si>
  <si>
    <t xml:space="preserve">Describir la orientación metodológica y técnica del proyecto. </t>
  </si>
  <si>
    <t xml:space="preserve">Diseño conceptual </t>
  </si>
  <si>
    <t xml:space="preserve">Representar la visión y estructura general de la plataforma. </t>
  </si>
  <si>
    <t xml:space="preserve">Identificación de módulos </t>
  </si>
  <si>
    <t xml:space="preserve">Determinar las áreas funcionales que compondrán el sistema. </t>
  </si>
  <si>
    <t xml:space="preserve">Funcionalidades asociadas </t>
  </si>
  <si>
    <t xml:space="preserve">Lista consolidada de funcionalidades clave vinculadas a cada módulo, con trazabilidad hacia los objetivos y KPIs definidos. </t>
  </si>
  <si>
    <t xml:space="preserve">Estimación preliminar del documento </t>
  </si>
  <si>
    <t>Estimación preliminar validada que incluye esfuerzo, cronograma tentativo, costos de recursos y supuestos de 
planificación.</t>
  </si>
  <si>
    <t xml:space="preserve">Identificación y criterios de valoración </t>
  </si>
  <si>
    <t xml:space="preserve">Definir criterios de probabilidad, impacto y costo de retiro, y aplicarlos a la identificación de riesgos. </t>
  </si>
  <si>
    <t xml:space="preserve">Clasificación de riesgos </t>
  </si>
  <si>
    <t xml:space="preserve">Registrar y categorizar riesgos en tres tipos: proyecto, producto y equipo. </t>
  </si>
  <si>
    <t xml:space="preserve">Valoración y priorización </t>
  </si>
  <si>
    <t>Evaluar cada riesgo según criterios establecidos y priorizar en función de su nivel de exposición.</t>
  </si>
  <si>
    <t>Plan de mitigación y contingencia</t>
  </si>
  <si>
    <t xml:space="preserve">Definir acciones preventivas y de contingencia para los riesgos de mayor impacto. </t>
  </si>
  <si>
    <t xml:space="preserve">Programa de seguimiento </t>
  </si>
  <si>
    <t xml:space="preserve">Establecer la periodicidad de revisión y los responsables del monitoreo de riesgos. </t>
  </si>
  <si>
    <t xml:space="preserve">Definición del objetivo </t>
  </si>
  <si>
    <t xml:space="preserve">Establecer el propósito de la administración de configuración en el proyecto. </t>
  </si>
  <si>
    <t xml:space="preserve">Organización y roles </t>
  </si>
  <si>
    <t xml:space="preserve">Definir la estructura organizativa y responsabilidades (líder de soporte, líder de proyecto, equipo).  </t>
  </si>
  <si>
    <t>Políticas y 
procedimientos</t>
  </si>
  <si>
    <t xml:space="preserve">Establecer políticas, directivas y lineamientos que regulen la 
administración de configuración. </t>
  </si>
  <si>
    <t>Identificación
de configuraciones</t>
  </si>
  <si>
    <t xml:space="preserve">Determinar y nombrar los elementos de configuración que 
serán controlados (código, BD, documentación). </t>
  </si>
  <si>
    <t xml:space="preserve">Control de 
cambios </t>
  </si>
  <si>
    <t xml:space="preserve">Gestionar solicitudes de cambios, su evaluación, aprobación/rechazo e implantación. </t>
  </si>
  <si>
    <t>Revisiones del 
estado</t>
  </si>
  <si>
    <t xml:space="preserve">Monitorear y verificar periódicamente el estado de los elementos de configuración. </t>
  </si>
  <si>
    <t>Programas y recursos</t>
  </si>
  <si>
    <t xml:space="preserve">Establecer programas de soporte (herramientas, repositorios, 
entornos) y recursos necesarios. </t>
  </si>
  <si>
    <t xml:space="preserve">Plan de 
mantenimiento </t>
  </si>
  <si>
    <t xml:space="preserve">Definir la estrategia de mantenimiento y actualización de los 
elementos de configuración. </t>
  </si>
  <si>
    <t xml:space="preserve">Revisión de 
documentos </t>
  </si>
  <si>
    <t xml:space="preserve">Se revisan los tres documentos realizados en grupo para consolidar los resultados y corregir errores </t>
  </si>
  <si>
    <t>Subir los documentos a la página web</t>
  </si>
  <si>
    <t xml:space="preserve">Todos los documentos subidos 
y actualizados en la pagina </t>
  </si>
  <si>
    <t xml:space="preserve"> Santiago Herrada</t>
  </si>
  <si>
    <t>Matias Marín</t>
  </si>
  <si>
    <t xml:space="preserve"> Esteban Prieto</t>
  </si>
  <si>
    <t xml:space="preserve"> Kerlon Sanchez</t>
  </si>
  <si>
    <t xml:space="preserve"> Matias Marín</t>
  </si>
  <si>
    <t xml:space="preserve">Leidy Giraldo </t>
  </si>
  <si>
    <t xml:space="preserve">Identificar los criterios que guiarán decisiones y prioridades. </t>
  </si>
  <si>
    <t xml:space="preserve"> LD</t>
  </si>
  <si>
    <t xml:space="preserve"> Nicolas Cubillos</t>
  </si>
  <si>
    <t>Realización del control de asignaciones</t>
  </si>
  <si>
    <t>Se realizo el llenado del control de asignaciones para asi terminar con éxito la fase 1  de iniciación y para que los demas lideres llenen sus bitácoras</t>
  </si>
  <si>
    <t>Elaboración de las bitácoras</t>
  </si>
  <si>
    <t>Revisión de las bitácoras</t>
  </si>
  <si>
    <t>Con las bitácoras ya en mi poder, empecé a Revisar que las mismasestuviesen acordes con la tabla de control de asignaciones</t>
  </si>
  <si>
    <t>Con las bitácoras llenamos cada espacio con las actividaes correspondientes según el control de asignaciones</t>
  </si>
  <si>
    <t xml:space="preserve">           LD</t>
  </si>
  <si>
    <t xml:space="preserve">           LA</t>
  </si>
  <si>
    <t>Se realizo el llenado del control de asignaciones para asi terminar con éxito la fase 2  de Estratégias y para que los demas lideres llenen sus bitácoras</t>
  </si>
  <si>
    <t>Llenado de log de defectos</t>
  </si>
  <si>
    <t>Modelo de casos de uso</t>
  </si>
  <si>
    <t>Elaborar el diagrama de casos de uso que represente los actores, límites del sistema yrelaciones principales.</t>
  </si>
  <si>
    <t>Se realizo el llenado del control de asignaciones para asi terminar con éxito la fase 3  de Requerimientos y para que los demas lideres llenen sus bitácoras</t>
  </si>
  <si>
    <t>Gestionarbacklog (historias/tareas)</t>
  </si>
  <si>
    <t>Crear, editar y priorizar historias y tareas
vinculadas al sprint.</t>
  </si>
  <si>
    <t>Gestionar autenticación multifactor (2FA)</t>
  </si>
  <si>
    <t>Definir y asegurar el inicio de sesión con
verificación en dos pasos para reforzar la
seguridad.</t>
  </si>
  <si>
    <t>Configurar y asignar roles con permisos
específicos para cada actor del sistema.</t>
  </si>
  <si>
    <t>Gestionar roles y permisos</t>
  </si>
  <si>
    <t>Crear proyecto</t>
  </si>
  <si>
    <t>Registrar nuevos proyectos en la plataforma
con datos básicos, alcance, fechas y equipo.</t>
  </si>
  <si>
    <t>Planificar sprint / iteración</t>
  </si>
  <si>
    <t>Definir duración, metas y tareas de cada
iteración para el control del avance.</t>
  </si>
  <si>
    <t>Registrar tiempo y avance</t>
  </si>
  <si>
    <t>Reportar horas invertidas y % de progreso
por tarea.</t>
  </si>
  <si>
    <t>Configurar y calcular KPIs</t>
  </si>
  <si>
    <t>Definir fórmulas, umbrales y frecuencia de cálculo de indicadores</t>
  </si>
  <si>
    <t>Visualizar dashboard (proyecto/portafolio)</t>
  </si>
  <si>
    <t>Consultar métricas y gráficos del avance de
los proyectos.</t>
  </si>
  <si>
    <t>Emitir reportes en PDF/Excel de métricas,
avances y estado de proyecto</t>
  </si>
  <si>
    <t>Generar reportes y exportaciones</t>
  </si>
  <si>
    <t>Registrar y gestionar riesgos</t>
  </si>
  <si>
    <t>Identificar, clasificar y dar seguimiento a
riesgos del proyecto.</t>
  </si>
  <si>
    <t>Log de defectos(apertura,seguimiento y cierre)</t>
  </si>
  <si>
    <t>Registrar incidencias y defectos, dar
seguimiento y cerrar tras validación.</t>
  </si>
  <si>
    <t>Bitácoras y actas</t>
  </si>
  <si>
    <t>Documentar bitácoras de tiempo y actas de
reuniones, manteniendo control de
versiones.</t>
  </si>
  <si>
    <t>Aprobación de cambios(control deconfiguración)</t>
  </si>
  <si>
    <t>Notificaciones y alertas</t>
  </si>
  <si>
    <t>Configurar y emitir avisos automáticos sobre
plazos, métricas o incidencias.</t>
  </si>
  <si>
    <t>Evaluar solicitudes de cambio y decidir su
aprobación o rechazo.</t>
  </si>
  <si>
    <t>Integración con
repositorios(GitHub/GitLab)</t>
  </si>
  <si>
    <t>Vincular commits, issues y PRs con tareas y
proyectos en la plataforma.</t>
  </si>
  <si>
    <t>Gestión de usuarios y equipo del proyecto</t>
  </si>
  <si>
    <t>Dar de alta, baja o editar miembros del
equipo y sus roles en el proyecto.</t>
  </si>
  <si>
    <t>Mantener un catálogo centralizado de
documentos y plantillas del proyecto.</t>
  </si>
  <si>
    <t>Cerrar proyecto</t>
  </si>
  <si>
    <t>Formalizar el cierre del proyecto,
consolidando entregables y métricas finales.</t>
  </si>
  <si>
    <t>Definir requisitos de tiempos de respuesta y
eficiencia en consultas y reportes</t>
  </si>
  <si>
    <t>Desempeño (atributo de calidad)</t>
  </si>
  <si>
    <t>Escalabilidad(atributo de calidad)</t>
  </si>
  <si>
    <t>Establecer estrategias para soportar el
crecimiento de usuarios y proyectos.</t>
  </si>
  <si>
    <t>Garantizar el tiempo de servicio del sistema y
planes de recuperación ante fallos</t>
  </si>
  <si>
    <t xml:space="preserve"> Usabilidad(atributo de calidad)</t>
  </si>
  <si>
    <t>Disponibilidad(atributo de calidad)</t>
  </si>
  <si>
    <t>Establecer criterios de interfaz amigable e
intuitiva para los usuarios.</t>
  </si>
  <si>
    <t>Seguridad(atributo de calidad)</t>
  </si>
  <si>
    <t>Definir políticas de seguridad, permisos y
protección de datos del sistema.</t>
  </si>
  <si>
    <t>Extensibilidad(atributode calidad)</t>
  </si>
  <si>
    <t>Asegurar que el sistema pueda incorporar
nuevos módulos o integraciones.</t>
  </si>
  <si>
    <t>Diagrama de clases (modelo de dominio)</t>
  </si>
  <si>
    <t>Elaborar el diagrama UML de clases que
represente entidades y relaciones.</t>
  </si>
  <si>
    <t>Script de definición de procesos(REQUERIMIENTOS)</t>
  </si>
  <si>
    <t xml:space="preserve"> LP</t>
  </si>
  <si>
    <t xml:space="preserve"> LC</t>
  </si>
  <si>
    <t>Tamaño estimad+B70+Q7:U64+Q7:U17+Q7:T1+Q7:T19</t>
  </si>
  <si>
    <t>Etiquetas de fila</t>
  </si>
  <si>
    <t>Total general</t>
  </si>
  <si>
    <t>Suma de Tiempo real</t>
  </si>
  <si>
    <t>Suma de Tamaño real</t>
  </si>
  <si>
    <t>Suma de Tiempo estimado (minutos)</t>
  </si>
  <si>
    <t>Suma de Tamaño estimado (hojas, secciones)</t>
  </si>
  <si>
    <t>Script de definición de procesos(PLANEACIÓN)</t>
  </si>
  <si>
    <t>Caso 10 Ver Lista de Tareas</t>
  </si>
  <si>
    <t>Caso 13 Filtrar Tareas</t>
  </si>
  <si>
    <t>Caso 1 Crear Tarea</t>
  </si>
  <si>
    <t>Caso 2 Asignar tarea a usuario</t>
  </si>
  <si>
    <t>Caso 3 Cambiar fecha límite de entrega</t>
  </si>
  <si>
    <t>Caso 14 Ver progreso de tarea</t>
  </si>
  <si>
    <t>Caso 15 ver notificaciones</t>
  </si>
  <si>
    <t>Caso 16 Marcar Notificación como leída</t>
  </si>
  <si>
    <t>Caso 4 Regsitrar tiempo a tarea</t>
  </si>
  <si>
    <t>Caso 5 Marcar tarea como completada</t>
  </si>
  <si>
    <t>Caso 6 Crear KPI</t>
  </si>
  <si>
    <t xml:space="preserve">Caso 7 Ver Dashboard del proyecto </t>
  </si>
  <si>
    <t>Caso 8 Generar reporte del progreso</t>
  </si>
  <si>
    <t>Caso 12 Editar tarea</t>
  </si>
  <si>
    <t>Caso 9 Visualizar KPI</t>
  </si>
  <si>
    <t>Caso 17 Ver detalles de tarea</t>
  </si>
  <si>
    <t>caso 11 Asignar tarea a proyecto</t>
  </si>
  <si>
    <t>Caso 18 Eliminar tarea</t>
  </si>
  <si>
    <t>Definir y asegurar la verificación del registro de tareas</t>
  </si>
  <si>
    <t>Crear tarea: Registrar una nueva tarea en el sistema.</t>
  </si>
  <si>
    <t>Asignar tarea a usuario: Designar un responsable para una tarea existente.</t>
  </si>
  <si>
    <t>Cambiar fecha límite de entrega: Modificar la fecha de vencimiento de una tarea.</t>
  </si>
  <si>
    <t>Ver progreso de tarea: Consultar el avance registrado de una tarea específica.</t>
  </si>
  <si>
    <t>Ver Dashboard del proyecto: Visualizar el tablero general del proyecto con avances.</t>
  </si>
  <si>
    <t>Registrar tiempo a tarea: Ingresar el tiempo trabajado en una tarea.</t>
  </si>
  <si>
    <t>Marcar tarea como completada: Cambiar el estado de una tarea a finalizada.</t>
  </si>
  <si>
    <t>Crear KPI: Definir un nuevo indicador de desempeño en el proyecto.</t>
  </si>
  <si>
    <t>Asignar tarea a proyecto: Asociar una tarea a un proyecto específico.</t>
  </si>
  <si>
    <t>Eliminar tarea: Borrar una tarea del sistema.</t>
  </si>
  <si>
    <t>Generar reporte del progreso: Crear un informe con el estado y evolución del proyecto.</t>
  </si>
  <si>
    <t>Visualizar KPI: Consultar los indicadores de desempeño creados en el sistema.</t>
  </si>
  <si>
    <t>Ver detalles de tarea: Mostrar información detallada de una tarea seleccionada.</t>
  </si>
  <si>
    <t>Editar tarea: Modificar datos de una tarea existente.</t>
  </si>
  <si>
    <t>Marcar notificación como leída: Cambiar el estado de una notificación a revisada.</t>
  </si>
  <si>
    <t>Ver notificaciones: Mostrar las alertas y avisos del sistema.</t>
  </si>
  <si>
    <t>Definir 
objetivo y 
alcance</t>
  </si>
  <si>
    <t>Redactar por qué existe el plan, qué cubre y
qué no, y cómo se usará en el proyecto.</t>
  </si>
  <si>
    <t>Identificar roles y recursos</t>
  </si>
  <si>
    <t>Listar responsables (PO/Analista/Calidad/Dev/LP) y herramientas (repo, tablero, plantillas).</t>
  </si>
  <si>
    <t>Configurar repositorio y URL de revisiones</t>
  </si>
  <si>
    <t>Crear/validar la carpeta oficial y su enlace
para revisiones y versiones.</t>
  </si>
  <si>
    <t>Diseñar plantilla de evaluación</t>
  </si>
  <si>
    <t>Construir el checklist con criterios:
completitud, no ambigüedad, consistencia,
trazabilidad, corrección y no redundancia.</t>
  </si>
  <si>
    <t>Capturar y normalizar requerimientos</t>
  </si>
  <si>
    <t>Recoger requerimientos (UC, reglas, calidad)
y asignar ID, nombre claro y formato estándar.</t>
  </si>
  <si>
    <t>Especificar y documentar</t>
  </si>
  <si>
    <t>Redactar cada requerimiento con
descripción, fuente, prioridad y criterios de
aceptación.</t>
  </si>
  <si>
    <t>Revisar e inspeccionar requerimientos</t>
  </si>
  <si>
    <t>Aplicar el checklist; registrar observaciones y
correcciones.</t>
  </si>
  <si>
    <t>Priorizar y aprobar</t>
  </si>
  <si>
    <t>Clasificar (p. ej., MoSCoW) y aprobar para
baseline con el equipo/líder de calidad.</t>
  </si>
  <si>
    <t>Trazabilidad</t>
  </si>
  <si>
    <t>Crear/actualizar matriz Req ↔
UC/Tarea/Prueba/KPI.</t>
  </si>
  <si>
    <t>Control de cambios
(RFC/CCB)</t>
  </si>
  <si>
    <t>Control decambios
(RFC/CCB)</t>
  </si>
  <si>
    <t>Versionado y publicación</t>
  </si>
  <si>
    <t>Definir formato RFC, flujo de aprobación y
registro de impactos.</t>
  </si>
  <si>
    <t>Versionar documentos, guardar en la carpeta
oficial y registrar enlace en maestro de
documentos.</t>
  </si>
  <si>
    <t>Seguimiento y métricas</t>
  </si>
  <si>
    <t>Definir frecuencia de revisión y métricas
mínimas (p. ej., % trazabilidad, % req
aprobados).</t>
  </si>
  <si>
    <t>Definir objetivos y alcance</t>
  </si>
  <si>
    <t>Qué calidad vamos a asegurar (defectos,
métricas, revisiones) y hasta dónde aplica
(por sprint).</t>
  </si>
  <si>
    <t>Establecer políticas de calidad</t>
  </si>
  <si>
    <t>Criterios y reglas: prevención &gt; detección,
severidades/prioridades, “cero críticos al
cierre”, uso de checklist.</t>
  </si>
  <si>
    <t>Configurar recursos y herramientas</t>
  </si>
  <si>
    <t>Repo/carpeta oficial, plantillas, tablero
DashKPI, espacios para evidencias.</t>
  </si>
  <si>
    <t>Definir roles y responsables (RACI)</t>
  </si>
  <si>
    <t>Líder de Calidad, QA, Líder de Desarrollo,
Dev, PO: quién revisa, quién aprueba, quién
corrige.</t>
  </si>
  <si>
    <t>Diseñar métricas de calidad</t>
  </si>
  <si>
    <t>Definir fórmula, umbral, frecuencia, fuente y
responsable (Densidad, DRE, MTTR,
%Revisiones, %DoD).</t>
  </si>
  <si>
    <t>Planear revisiones e inspecciones</t>
  </si>
  <si>
    <t>Calendario y alcance por artefacto; checklist
de revisión; formato de acta.</t>
  </si>
  <si>
    <t>Activar log de defectos y flujo de vida</t>
  </si>
  <si>
    <t>Estados (Abierto→Cerrado), severidades,
SLA por severidad y categorías; reglas de
cierre.</t>
  </si>
  <si>
    <t>Ejecutar revisiones/inspecciones</t>
  </si>
  <si>
    <t>Aplicar checklist en
req/diseño/código/pruebas; registrar
hallazgos y acciones.</t>
  </si>
  <si>
    <t>Recolección de
datos y evidencias</t>
  </si>
  <si>
    <t>Guardar capturas, commits, reportes;
vincular a defectos/métricas.</t>
  </si>
  <si>
    <t>Seguimiento y reportes de calidad</t>
  </si>
  <si>
    <t>Reunión semanal, tablero de KPIs, alertas y
acciones correctivas/preventivas (CAPA).</t>
  </si>
  <si>
    <t>Mejora y cierre por sprint</t>
  </si>
  <si>
    <t>Lecciones aprendidas y ajustes al
plan/métricas; baseline de cierre.</t>
  </si>
  <si>
    <t>Inventario de entregables</t>
  </si>
  <si>
    <t>Listar los entregables del sprint/fase (p. ej.,
Plan de calidad v1.0, Plan de admin de reqs
v1.0, etc.).</t>
  </si>
  <si>
    <t>Descomposición en tareas(WBS)</t>
  </si>
  <si>
    <t>Partir cada entregable en tareas concretas
con nombre y descripción.</t>
  </si>
  <si>
    <t>Secuenciación y
dependencias</t>
  </si>
  <si>
    <t>Ordenar tareas y registrar
predecesoras/sucesoras.</t>
  </si>
  <si>
    <t>Estimación de
esfuerzo</t>
  </si>
  <si>
    <t>Estimar horas por tarea (h-persona).</t>
  </si>
  <si>
    <t>Registrar productividad del recurso (h/día) o
capacidad del equipo.</t>
  </si>
  <si>
    <t>Productividad/capacidad</t>
  </si>
  <si>
    <t>Duración y calendario</t>
  </si>
  <si>
    <t>Calcular duración = esfuerzo/productividad,
fijar inicio/fin en calendario.</t>
  </si>
  <si>
    <t>Asignación de responsables</t>
  </si>
  <si>
    <t>Asignar responsable/rol y estado inicial.</t>
  </si>
  <si>
    <t>Criterios de aceptación y DoD</t>
  </si>
  <si>
    <t>Definir criterios específicos por tarea y DoD
estándar del equipo.</t>
  </si>
  <si>
    <t>Publicación y control</t>
  </si>
  <si>
    <t>Cargar todo al tablero DashKPI/hoja maestra
y versionar.</t>
  </si>
  <si>
    <t>TOTAL DE ACT</t>
  </si>
  <si>
    <t>Script de definición de procesos(DISEÑO)</t>
  </si>
  <si>
    <t>Vista funcional (UML de componentes)</t>
  </si>
  <si>
    <t>Modelar los principales componentes del
sistema.</t>
  </si>
  <si>
    <t>Definir el modelo entidad–relación y su
ciclo de vida.</t>
  </si>
  <si>
    <t>Definir objetivo
del documento</t>
  </si>
  <si>
    <t>Establecer el propósito del SDS y su
importancia para el proyecto DashKPI.</t>
  </si>
  <si>
    <t>Identificar audiencia del documento</t>
  </si>
  <si>
    <t>Determinar a quién va dirigido el SDS
(usuarios, desarrolladores, directivos).</t>
  </si>
  <si>
    <t xml:space="preserve">Definir acrónimos </t>
  </si>
  <si>
    <t>Descripción
del problema</t>
  </si>
  <si>
    <t>Establecer objetivos de la aplicación</t>
  </si>
  <si>
    <t>Documentar los objetivos que cumplirá la
plataforma DashKPI.</t>
  </si>
  <si>
    <t>Redactar el problema que resuelve
DashKPI</t>
  </si>
  <si>
    <t>Listar acrónimos y abreviaciones
utilizadas en el proyecto.</t>
  </si>
  <si>
    <t>Definir restricciones</t>
  </si>
  <si>
    <t>Identificar limitaciones técnicas, de
tiempo o recursos.</t>
  </si>
  <si>
    <t>Seleccionar estilo de arquitectura</t>
  </si>
  <si>
    <t>Definir si será cliente-servidor, multicapa,
etc.</t>
  </si>
  <si>
    <t>Vista de contexto (UML casos de uso)</t>
  </si>
  <si>
    <t>Diseñar el diagrama de casos de uso.</t>
  </si>
  <si>
    <t>Vista de información(Entidad Relación, ciclo de vida)</t>
  </si>
  <si>
    <t>Vista de despliegue (UML de despliegue)</t>
  </si>
  <si>
    <t>Representar la distribución física del
sistema.</t>
  </si>
  <si>
    <t>Vista de desarrollo(UML de paquetes)</t>
  </si>
  <si>
    <t>Organizar el sistema en paquetes o
módulos.</t>
  </si>
  <si>
    <t>Vista de concurrencia (UML de procesos)</t>
  </si>
  <si>
    <t>Modelar procesos concurrentes y flujos
de ejecución.</t>
  </si>
  <si>
    <t>Vista operacional (Ad hoc o descripciones textuales)</t>
  </si>
  <si>
    <t>Especificación de interfaz de usuario</t>
  </si>
  <si>
    <t>Definir pantallas, prototipos y flujo de
navegación.</t>
  </si>
  <si>
    <t>Documentar procesos operativos del
sistema de forma textual.</t>
  </si>
  <si>
    <t>Modelo de datos (Entidad–Relación)</t>
  </si>
  <si>
    <t>Crear el modelo de datos definitivo.</t>
  </si>
  <si>
    <t>Definir el modelo de clases UML.</t>
  </si>
  <si>
    <t>Modelo de clases</t>
  </si>
  <si>
    <t>Revisión del documento SDS</t>
  </si>
  <si>
    <t>Validar consistencia, completitud y
calidad del documento.</t>
  </si>
  <si>
    <t>Se realizo el llenado del control de asignaciones para asi terminar con éxito la fase 5  de Diseño y para que los demas lideres llenen sus bitácoras</t>
  </si>
  <si>
    <t>Script de definición de procesos(IMPLEMENTACIÓN)</t>
  </si>
  <si>
    <t>Configurar base del proyecto</t>
  </si>
  <si>
    <t>Inicializar app React, routing protegido,
manejo de estado, cliente HTTP,
variables de entorno.</t>
  </si>
  <si>
    <t>Módulo: Login</t>
  </si>
  <si>
    <t>Formulario con validaciones; consumo
de endpoint de login; manejo de
sesión/token; feedback de errores.</t>
  </si>
  <si>
    <t>Módulo: Registro</t>
  </si>
  <si>
    <t>Formulario de registro con validaciones;
consumo de endpoint de register;
confirmación visual.</t>
  </si>
  <si>
    <t>Módulo: Olvidé contraseña (UI)</t>
  </si>
  <si>
    <t>Pantallas y flujo UI (solicitud y
confirmación). Nota: backend del reset
completo se programará en fase
siguiente.</t>
  </si>
  <si>
    <t>Dashboard
inicial</t>
  </si>
  <si>
    <t>Vista con tarjetas/resumen; placeholders
para KPIs y reportes; enlaces a
Proyectos/Tareas</t>
  </si>
  <si>
    <t>Módulo:
Proyectos (UI)</t>
  </si>
  <si>
    <t>Listado, creación/edición, detalle y
eliminación; formularios con
validaciones.</t>
  </si>
  <si>
    <t>Módulo:
Tareas (UI)</t>
  </si>
  <si>
    <t>Listado filtrable, creación, asignación a
usuario, registro de tiempo, marcar
completada.</t>
  </si>
  <si>
    <t>Configuración
de usuario</t>
  </si>
  <si>
    <t>Pantalla para ver/editar datos básicos del
usuario logueado.</t>
  </si>
  <si>
    <t>Reportes
(vista inicial)</t>
  </si>
  <si>
    <t>Vista base con tablas/gráficas
placeholder conectadas a datos
disponibles.</t>
  </si>
  <si>
    <t>Modulo KPI</t>
  </si>
  <si>
    <t>Vista a base de las KPIs relacionada al
proyecto y a los usuarios</t>
  </si>
  <si>
    <t>Configurar
proyecto y
conexión a BD</t>
  </si>
  <si>
    <t>Proyecto Django; settings por entorno;
conexión a Azure SQL Server;
migraciones iniciales.</t>
  </si>
  <si>
    <t>Autenticación:
Login/Register</t>
  </si>
  <si>
    <t>Endpoints para autenticación y creación
de usuario; emisión/validación de
sesión/token</t>
  </si>
  <si>
    <t>API Proyectos
(CRUD)</t>
  </si>
  <si>
    <t>Endpoints: listar, crear, obtener,
actualizar, eliminar; permisos por
usuario; validaciones.</t>
  </si>
  <si>
    <t>API Tareas
(CRUD + flujo)</t>
  </si>
  <si>
    <t>Endpoints: listar/filtrar, crear, asignar
usuario, registrar tiempo, marcar
completada.</t>
  </si>
  <si>
    <t>Serializadores
y validaciones</t>
  </si>
  <si>
    <t>Validación de payloads; mensajes de
error consistentes; manejo de estados.</t>
  </si>
  <si>
    <t>Pruebas unitarias negocio</t>
  </si>
  <si>
    <t>Tests para servicios/validaciones de
auth, proyectos y tareas.</t>
  </si>
  <si>
    <t>Documentación API</t>
  </si>
  <si>
    <t>Auto-doc (Swagger/Redoc) o colección
Postman exportada.</t>
  </si>
  <si>
    <t>Estandarización</t>
  </si>
  <si>
    <t>Aplicar PEP8, ESLint/Prettier,
convenciones de ramas (feat/fix/chore),
mensajes tipo</t>
  </si>
  <si>
    <t>Revisiones e
inspecciones</t>
  </si>
  <si>
    <t>Pull requests con checklist (seguridad,
validación, pruebas)</t>
  </si>
  <si>
    <t>Evidencias</t>
  </si>
  <si>
    <t>Capturas/gifs de flujos, colección
Postman, scripts de BD, instructivo de
arranque local.</t>
  </si>
  <si>
    <t xml:space="preserve">Introducción </t>
  </si>
  <si>
    <t>Configurar FE/BE/BD, migraciones,
datos semilla y conectividad.</t>
  </si>
  <si>
    <t>Objetivo</t>
  </si>
  <si>
    <t>Redactar fichas PI-01…PI-18 (ID,
pasos, datos, esperado).</t>
  </si>
  <si>
    <t xml:space="preserve">Alcance </t>
  </si>
  <si>
    <t>Definiciones
y
Abreviaturas</t>
  </si>
  <si>
    <t>Definir orden, ventanas, RACI y
criterios de severidad/prioridad.</t>
  </si>
  <si>
    <t>Registrar y dar seguimiento en Log
(ID, severidad, estado).</t>
  </si>
  <si>
    <t>Plan de
pruebas</t>
  </si>
  <si>
    <t>Plan de pruebas</t>
  </si>
  <si>
    <t>Reprobar PIs afectados tras
correcciones</t>
  </si>
  <si>
    <t>Reprobar PIs afectados tras correcciones</t>
  </si>
  <si>
    <t>Ejecutar PI01 – UC-01
Crear tarea</t>
  </si>
  <si>
    <t>Ejecutar PI02 – UC-02
Asignar tarea</t>
  </si>
  <si>
    <t>Ejecutar PI03 – UC-03
Cambiar
fecha límite</t>
  </si>
  <si>
    <t>Ejecutar PI04 – UC-04
Registrar
tiempo</t>
  </si>
  <si>
    <t>Ejecutar PI05 – UC-05
Completar
tarea</t>
  </si>
  <si>
    <t>Ejecutar PI06 – UC-06
Crear KPI</t>
  </si>
  <si>
    <t>Ejecutar PI07 – UC-07
Ver
dashboard</t>
  </si>
  <si>
    <t>Ejecutar PI08 – UC-08
Generar
reporte</t>
  </si>
  <si>
    <t>Ejecutar PI09 – UC-09
Visualizar
KPI</t>
  </si>
  <si>
    <t>Ejecutar PI10 – UC-10
Ver lista de
tareas</t>
  </si>
  <si>
    <t>Ejecutar PI11 – UC-11
Tarea→Proy
ecto</t>
  </si>
  <si>
    <t>Ejecutar PI12 – UC-12
Editar tarea</t>
  </si>
  <si>
    <t>Ejecutar PI13 – UC-13
Filtrar tareas</t>
  </si>
  <si>
    <t>Ejecutar PI14 – UC-14
Ver progreso</t>
  </si>
  <si>
    <t>Ejecutar PI15 – UC-15
Ver
notificaciones</t>
  </si>
  <si>
    <t>Ejecutar PI16 – UC-16
Marcar
notificación
leída</t>
  </si>
  <si>
    <t>Ejecutar PI17 – UC-17
Detalle de
tarea</t>
  </si>
  <si>
    <t>Ejecutar PI18 – UC-18
Eliminar
tarea</t>
  </si>
  <si>
    <t>Ejecutar PI-019 Crear proyecto</t>
  </si>
  <si>
    <t>Ejecutar PI-020 Editar proyecto</t>
  </si>
  <si>
    <t>Ejecutar PI-021 Eliminar proyecto</t>
  </si>
  <si>
    <t>Ejecutar PI-022 Filtrar proyecto</t>
  </si>
  <si>
    <t>Ejecutar PI-023 Ver proyecto</t>
  </si>
  <si>
    <t>Ejecutar PI-024 Cambiar fecha proyecto</t>
  </si>
  <si>
    <t>Informe de Pruebas</t>
  </si>
  <si>
    <t>Informe
Consolidado
del Ciclo</t>
  </si>
  <si>
    <t>Revisión y
Firma del
Informe
Consolidado</t>
  </si>
  <si>
    <t>Archivo y
Distribución
de Informes</t>
  </si>
  <si>
    <t>Corrección de informe de pruebas y planes</t>
  </si>
  <si>
    <t>Corrección ortografica o lógica de los documentos de esta fase.</t>
  </si>
  <si>
    <t>Crear tarea y verificar
persistencia/visualización.</t>
  </si>
  <si>
    <t>Asignar responsable y validar en
lista/detalle.</t>
  </si>
  <si>
    <t>Modificar vencimiento y reflejo en
UI/BD.</t>
  </si>
  <si>
    <t>Registrar horas y actualizar
progreso</t>
  </si>
  <si>
    <t>Cambiar estado a “Completada” con
validaciones.</t>
  </si>
  <si>
    <t>Crear KPI (nombre/fórmula/objetivo)
para dashboard/reporte.</t>
  </si>
  <si>
    <t>Visualizar KPIs y tareas integradas.</t>
  </si>
  <si>
    <t>Descargar PDF/Excel con filtros y
validar consistencia.</t>
  </si>
  <si>
    <t>Ver valor/gráfica y contrastar con
BD.</t>
  </si>
  <si>
    <t>Listar tareas con estado y
responsable.</t>
  </si>
  <si>
    <t>Vincular tarea a proyecto y validar
relación.</t>
  </si>
  <si>
    <t>Modificar campos y verificar
integridad.</t>
  </si>
  <si>
    <t>Aplicar filtros por
fecha/estado/usuario</t>
  </si>
  <si>
    <t>Visualizar %/horas vs. registros de
tiempo.</t>
  </si>
  <si>
    <t>Listar notificaciones generadas por
eventos.</t>
  </si>
  <si>
    <t>Cambiar estado y persistir cambio</t>
  </si>
  <si>
    <t>Mostrar ficha completa (desc.,
vencimiento, responsable, horas).</t>
  </si>
  <si>
    <t>Borrar tarea y validar
integridad/ocultamiento.</t>
  </si>
  <si>
    <t>Crear un nuevo proyecto con las especificaciones dichas</t>
  </si>
  <si>
    <t>La opción despliegue el menu para ver las tareas</t>
  </si>
  <si>
    <t>Habilite la opción para Cambiar la fecha de vencimiento.</t>
  </si>
  <si>
    <t>Con la programación del filtro permita ver, lo que el usuario necesita.</t>
  </si>
  <si>
    <t>Resumen global de PIs
(aprobados/fallidos), métricas,
defectos por severidad/prioridad y
conclusión de aptitud para UAT.</t>
  </si>
  <si>
    <t xml:space="preserve">Revisión de hallazgos, aceptación y
firma del cierre de ciclo. </t>
  </si>
  <si>
    <t xml:space="preserve">Publicar informes (carpeta PI y
consolidado), notificar a interesados. </t>
  </si>
  <si>
    <t>Dentro del "PLAN DE PRUEBAS"agregamos las evidencias para incluir este informe.</t>
  </si>
  <si>
    <t>nicolas Cubillos</t>
  </si>
  <si>
    <t>Script de definición de procesos(PRUEBAS)</t>
  </si>
  <si>
    <t>Se realizo el llenado del control de asignaciones para asi terminar con éxito la fase 8 de PRUEBAS y para que los demas lideres llenen sus bitácoras</t>
  </si>
  <si>
    <t>Corrección de Código</t>
  </si>
  <si>
    <t>Corrección del codigo para mejorar escalibildad y tiempo.</t>
  </si>
  <si>
    <t>corregir Capturas/gifs de flujos, colección
Postman, scripts de BD, instructivo de
arranque local.</t>
  </si>
  <si>
    <t>Corrección de Documentos</t>
  </si>
  <si>
    <t>correción ortografica, orden y normas de los Documentos</t>
  </si>
  <si>
    <t>Recolección de
métricas
del ciclo</t>
  </si>
  <si>
    <t>Script de definición de procesos(POST-MORTEM)</t>
  </si>
  <si>
    <t>Se realizo el llenado del control de asignaciones para asi terminar con éxito la fase 9 de POST-MORTEM y para que los demas lideres llenen sus bitácoras</t>
  </si>
  <si>
    <t>Se recopilan los datos de
desempeño registrados en las
bitácoras, logs de defectos,
control de tareas y plan de
calidad. Se consolidan métricas
por equipo, integrante y rol.</t>
  </si>
  <si>
    <t>Análisis de
métricas
del
proyecto</t>
  </si>
  <si>
    <t>Se comparan los valores
estimados vs reales en tiempo,
esfuerzo y cumplimiento de
tareas. Se calcula el nivel de
desviación y porcentaje de
cumplimiento por fase y rol.</t>
  </si>
  <si>
    <t>Seguimiento de tareas no planeadas</t>
  </si>
  <si>
    <t>Se identifican las tareas que
surgieron durante la ejecución y
no estaban previstas en la planificación inicial, evaluando
su impacto en tiempo y esfuerzo.</t>
  </si>
  <si>
    <t>Evaluación
del plan de
calidad</t>
  </si>
  <si>
    <t>Se revisan los resultados de las
métricas de calidad: porcentaje
libre de defectos, efectividad de
revisiones, comparación de
tiempos de desarrollo y revisión,
y líneas de código (LOC)
analizadas.</t>
  </si>
  <si>
    <t>Gestión de
defectos e
incidencias</t>
  </si>
  <si>
    <t>Se realiza un análisis de
defectos por fase, tipo y
responsable. Se mide la
efectividad en la detección,
remoción y control de errores.</t>
  </si>
  <si>
    <t>Comparación de
tiempos y
esfuerzo</t>
  </si>
  <si>
    <t>Se contrastan los tiempos
dedicados a documentación,
revisión e implementación para
evaluar la eficiencia del equipo y
el equilibrio de carga de trabajo.</t>
  </si>
  <si>
    <t>Evaluación
de
requerimientos
implementados</t>
  </si>
  <si>
    <t>Se revisan los requerimientos
planeados en el acta de
lanzamiento versus los
efectivamente implementados y
probados.</t>
  </si>
  <si>
    <t>Consolidación de
documentos y
plantillas
revisadas</t>
  </si>
  <si>
    <t>Se verifican las plantillas
elaboradas, documentos
actualizados y revisiones
realizadas en cada fase del ciclo.</t>
  </si>
  <si>
    <t>Análisis
DOFA del
ciclo</t>
  </si>
  <si>
    <t>El equipo realiza un análisis de
fortalezas, oportunidades,
debilidades y amenazas
(DOFA), respondiendo: qué
funcionó bien, qué no, causas y
oportunidades de mejora.</t>
  </si>
  <si>
    <t>Elaboración del
Informe
Postmortem</t>
  </si>
  <si>
    <t>Se redacta el documento final
con los resultados de métricas,
análisis DOFA, aspectos
positivos y negativos, y
propuesta de mejora para el ciclo
2.</t>
  </si>
  <si>
    <t>Preparación de
informe
individual
por rol</t>
  </si>
  <si>
    <t>Cada integrante elabora su parte
de la presentación, detallando lo
realizado durante el ciclo,
sustentado en métricas y
entregas.</t>
  </si>
  <si>
    <t>Identificación de
aspectos
positivos y
negativos</t>
  </si>
  <si>
    <t>Cada integrante presenta los
logros obtenidos y las
dificultades enfrentadas durante
el ciclo, justificándolos con datos
reales.</t>
  </si>
  <si>
    <t>Formulación de
propuestas de
mejora
(problema solución)</t>
  </si>
  <si>
    <t>Se plantean las mejoras a
implementar para el siguiente
ciclo, partiendo de los problemas
detectados. Se define una acción
concreta por propuesta.</t>
  </si>
  <si>
    <t>Reporte de
ciclo
(análisis de proceso,
esfuerzo y
producto)</t>
  </si>
  <si>
    <t>Se consolidan los resultados del
equipo respecto al proceso
seguido, el esfuerzo invertido y la
calidad del producto entregado.</t>
  </si>
  <si>
    <t>Diseño y
consolidación de la
presentación final</t>
  </si>
  <si>
    <t>Se unifican todas las diapositivas
en una presentación coherente,
clara y visualmente organizada,
incluyendo las métricas
generales y las conclusiones.</t>
  </si>
  <si>
    <t>Corrección de DOCUMENTOS POSTMORTEM</t>
  </si>
  <si>
    <t>Revisión y
validación
final de
entregables</t>
  </si>
  <si>
    <t>Se revisan el documento y la
presentación verificando
consistencia entre datos,
conclusiones y métricas. Se
obtiene la aprobación del equipo.</t>
  </si>
  <si>
    <t>Entrega y
exposición
del
Postmortem</t>
  </si>
  <si>
    <t>Se entrega el documento final y
se realiza la exposición ante el
docente. Cada integrante
sustenta sus resultados y la
propuesta de mejora.</t>
  </si>
  <si>
    <t>Kerlon Gutierrez</t>
  </si>
  <si>
    <t>Control de asignaciones</t>
  </si>
  <si>
    <t>Se realizo el llenado del control de asignaciones para asi terminar con éxito la fase 1 del ciclo 2 y para que los demas lideres llenen sus bitácoras</t>
  </si>
  <si>
    <t>27/20/2025</t>
  </si>
  <si>
    <t>Verificar asistencia y compromiso de todos
los integrantes para el desarrollo del
proyecto.</t>
  </si>
  <si>
    <t>Verificar asistencia y compromiso de todos los integrantes para el desarrollo del proyecto.</t>
  </si>
  <si>
    <t>Designar oficialmente los roles (Líder de
equipo, planeación, calidad, soporte,
desarrollo, arquitectura)</t>
  </si>
  <si>
    <t>Definición
de reglas
de trabajo</t>
  </si>
  <si>
    <t>Acordar normas de comunicación,
reuniones, ciclo de entregas y solución de
conflictos.</t>
  </si>
  <si>
    <t>Establecimiento de
objetivos</t>
  </si>
  <si>
    <t>Determinar objetivos del equipo,
individuales y por rol alineados con el
problema definido y con la visión general
del proyecto.</t>
  </si>
  <si>
    <t>Registro
de
disponibilidad</t>
  </si>
  <si>
    <t>Documentar horarios y tiempo disponible
de cada miembro para coordinar
actividades</t>
  </si>
  <si>
    <t>Firma del
acta de
iniciación</t>
  </si>
  <si>
    <t>Consolidar toda la información y oficializar
el inicio del proyecto incluyendo la
definición del problema con la firma de
todos</t>
  </si>
  <si>
    <t>Lineamiento
estratégico</t>
  </si>
  <si>
    <t>Plantear la ruta general del proyecto y
principios de trabajo.</t>
  </si>
  <si>
    <t>Criterios
de la
estrategia</t>
  </si>
  <si>
    <t>Identificar los criterios que guiarán
decisiones y prioridades.</t>
  </si>
  <si>
    <t>Estrategia
general</t>
  </si>
  <si>
    <t>Describir la orientación metodológica y
técnica del proyecto.</t>
  </si>
  <si>
    <t>Diseño
conceptual</t>
  </si>
  <si>
    <t>Representar la visión y estructura general
de la plataforma.</t>
  </si>
  <si>
    <t>Identificación de
módulos</t>
  </si>
  <si>
    <t>Determinar las áreas funcionales que
compondrán el sistema.</t>
  </si>
  <si>
    <t>Funcionali
dades
asociadas</t>
  </si>
  <si>
    <t>Asociar funcionalidades principales a cada
módulo.</t>
  </si>
  <si>
    <t>Estimació
n de
tamaño
basada en
LOC y
CoCoMo</t>
  </si>
  <si>
    <t>Usa LOC para el tamaño y CoCoMo para
estimar el esfuerzo</t>
  </si>
  <si>
    <t>Estimació
n de
tamaño
basada en
LOC y
datos
históricos</t>
  </si>
  <si>
    <t>Usa LOC para el tamaño y datos históricos
para esfuerzo</t>
  </si>
  <si>
    <t>Estimació
n de
tamaño
basada en
puntos de
función y
CoCoMo</t>
  </si>
  <si>
    <t>Usa puntos de función para el tamaño y
modelo empírico CoCoMo para esfuerzo</t>
  </si>
  <si>
    <t>Estimació
n de
tamaño
basada en
puntos de
función y
datos
históricos</t>
  </si>
  <si>
    <t>Usa puntos de función para el tamaño y
datos históricos para esfuerzo</t>
  </si>
  <si>
    <t>Estimació
n de
tamaño y
esfuerzo
basada en
puntos de
caso de
uso</t>
  </si>
  <si>
    <t>Usa puntos de caso de uso para el tamaño
y esfuerzo basado en estos puntos</t>
  </si>
  <si>
    <t>dentificaci
ón y
criterios de
valoración</t>
  </si>
  <si>
    <t>Definir criterios de probabilidad, impacto y
costo de retiro, y aplicarlos a la
identificación de riesgos.</t>
  </si>
  <si>
    <t>Clasificaci
ón de
riesgos</t>
  </si>
  <si>
    <t>Registrar y categorizar riesgos en tres tipos:
proyecto, producto y equipo.</t>
  </si>
  <si>
    <t>Valoración
y
priorización</t>
  </si>
  <si>
    <t>Evaluar cada riesgo según criterios
establecidos y priorizar en función de su
nivel de exposición.</t>
  </si>
  <si>
    <t>Plan de
mitigación
y
contingencia</t>
  </si>
  <si>
    <t>Definir acciones preventivas y de
contingencia para los riesgos de mayor
impacto.</t>
  </si>
  <si>
    <t>Programa
de
seguimiento</t>
  </si>
  <si>
    <t>Establecer la periodicidad de revisión y los
responsables del monitoreo de riesgos.</t>
  </si>
  <si>
    <t>Definición
del
objetivo</t>
  </si>
  <si>
    <t>Establecer el propósito de la administración
de configuración en el proyecto.</t>
  </si>
  <si>
    <t>Organización y roles</t>
  </si>
  <si>
    <t>Definir la estructura organizativa y
responsabilidades (líder de soporte, líder de
proyecto, equipo).</t>
  </si>
  <si>
    <t>Políticas y
procedimientos</t>
  </si>
  <si>
    <t>Establecer políticas, directivas y
lineamientos que regulen la administración
de configuración.</t>
  </si>
  <si>
    <t>Identificación de
configuraciones</t>
  </si>
  <si>
    <t>Determinar y nombrar los elementos de
configuración que serán controlados
(código, BD, documentación).</t>
  </si>
  <si>
    <t>Control de
cambios</t>
  </si>
  <si>
    <t>Revisiones del
estado</t>
  </si>
  <si>
    <t>Programas y
recursos</t>
  </si>
  <si>
    <t>Plan de
mantenimiento</t>
  </si>
  <si>
    <t>Gestionar solicitudes de cambios, su
evaluación, aprobación/rechazo e
implantación.</t>
  </si>
  <si>
    <t>Monitorear y verificar periódicamente el
estado de los elementos de configuración.</t>
  </si>
  <si>
    <t>Definir la estrategia de mantenimiento y
actualización de los elementos de
configuración.</t>
  </si>
  <si>
    <t>Establecer programas de soporte
(herramientas, repositorios, entornos) y
recursos necesarios.</t>
  </si>
  <si>
    <t>Modelo de
casos de uso</t>
  </si>
  <si>
    <t>Elaborar el diagrama de casos de
uso que
represente los actores, límites del
sistema y relaciones principales.</t>
  </si>
  <si>
    <t>Editar perfil de
usuario</t>
  </si>
  <si>
    <t>Descripción: Permite al usuario modificar
su información personal registrada en el
sistema.</t>
  </si>
  <si>
    <t>Cambiar
imagen de
perfil</t>
  </si>
  <si>
    <t>El usuario puede actualizar su fotografía
de perfil para personalizar su cuenta.</t>
  </si>
  <si>
    <t>Configurar
tema de color
del sistema</t>
  </si>
  <si>
    <t>Brinda al usuario la opción de cambiar la
paleta de colores o el modo visual
(claro/oscuro).</t>
  </si>
  <si>
    <t>Configurar
disposición de
paneles en la
vista principal</t>
  </si>
  <si>
    <t>Permite reorganizar los paneles del
tablero principal según las preferencias
del usuario.</t>
  </si>
  <si>
    <t>Configurar
formato de
fechas y
moneda</t>
  </si>
  <si>
    <t>El usuario puede definir cómo se
mostrarán las fechas y monedas en el
sistema.</t>
  </si>
  <si>
    <t>Configurar
notificaciones
preferidas</t>
  </si>
  <si>
    <t>Permite seleccionar qué tipos de
notificaciones se desean recibir o
visualizar.</t>
  </si>
  <si>
    <t>Ver
notificaciones</t>
  </si>
  <si>
    <t>Permite consultar las alertas generadas
por el sistema.</t>
  </si>
  <si>
    <t>Marcar
notificación
como leída</t>
  </si>
  <si>
    <t>El usuario puede cambiar el estado de
una notificación a “leída”</t>
  </si>
  <si>
    <t>Eliminar
notificación</t>
  </si>
  <si>
    <t>Permite eliminar notificaciones
innecesarias o antiguas.</t>
  </si>
  <si>
    <t>Filtrar
notificaciones</t>
  </si>
  <si>
    <t>Permite aplicar filtros para buscar
notificaciones específicas.</t>
  </si>
  <si>
    <t>Generar
reporte
general</t>
  </si>
  <si>
    <t>Consolida la información de diferentes
módulos en un reporte general</t>
  </si>
  <si>
    <t>Exportar
reporte en
PDF</t>
  </si>
  <si>
    <t>Permite descargar un reporte generado
en formato PDF.</t>
  </si>
  <si>
    <t>Exportar
reporte en
Excel</t>
  </si>
  <si>
    <t>Brinda la opción de descargar los datos
del reporte en formato Excel.</t>
  </si>
  <si>
    <t>Aplicar filtros
en reportes</t>
  </si>
  <si>
    <t>Permite seleccionar criterios específicos
para visualizar datos relevantes.</t>
  </si>
  <si>
    <t>Configurar
formato de
reportes</t>
  </si>
  <si>
    <t>El usuario puede personalizar el diseño y
estilo de los reportes</t>
  </si>
  <si>
    <t>Añadir pie de
página
institucional a
reportes</t>
  </si>
  <si>
    <t>Permite incluir información institucional
en los reportes generados.</t>
  </si>
  <si>
    <t>Cambiar
tamaño de
letra en
reportes</t>
  </si>
  <si>
    <t>Permite ajustar el tamaño de fuente para
mejorar la legibilidad.</t>
  </si>
  <si>
    <t>Personalizar
fondo de
pantalla del
usuario</t>
  </si>
  <si>
    <t>Permite cambiar la imagen o color de
fondo del entorno de trabajo.</t>
  </si>
  <si>
    <t>Desempeñ o
(atributo de
calidad)</t>
  </si>
  <si>
    <t>Definir requisitos de tiempos de
respuesta y eficiencia en consultas y
reportes</t>
  </si>
  <si>
    <t>Escalabilid ad
(atributo de
calidad</t>
  </si>
  <si>
    <t>Establecer estrategias para soportar
el crecimiento de usuarios y proyectos</t>
  </si>
  <si>
    <t>Disponibili dad
(atributo de
calidad)</t>
  </si>
  <si>
    <t>Garantizar el tiempo de servicio del
sistema y planes de recuperación ante
fallos</t>
  </si>
  <si>
    <t>Usabilidad
(atributo de
calidad)</t>
  </si>
  <si>
    <t>Establecer criterios de interfaz amigable
e intuitiva para los usuarios.</t>
  </si>
  <si>
    <t>Seguridad
(atributo
de calidad)</t>
  </si>
  <si>
    <t>Definir políticas de seguridad, permisos
y protección de datos del sistema.</t>
  </si>
  <si>
    <t>Extensibilidad
(atributo de
calidad)</t>
  </si>
  <si>
    <t>Asegurar que el sistema pueda
incorporar nuevos módulos o
integraciones.</t>
  </si>
  <si>
    <t>Diagrama
de clases
(modelo
de dominio)</t>
  </si>
  <si>
    <t>Elaborar el diagrama UML de clases
que represente entidades y relaciones.</t>
  </si>
  <si>
    <t>Definir objetivo
y alcance</t>
  </si>
  <si>
    <t>Redactar por qué existe el plan, qué
cubre y qué no, y cómo se usará en el
proyecto.</t>
  </si>
  <si>
    <t>dentificar
roles y
recursos</t>
  </si>
  <si>
    <t>Listar responsables
(PO/Analista/Calidad/Dev/LP) y
herramientas (repo, tablero, plantillas)</t>
  </si>
  <si>
    <t>Configurar
repositorio y
URL de
revisiones</t>
  </si>
  <si>
    <t>Crear/validar la carpeta oficial y su
enlace para revisiones y versiones.</t>
  </si>
  <si>
    <t>Diseñar
plantilla de
evaluación</t>
  </si>
  <si>
    <t xml:space="preserve">LC </t>
  </si>
  <si>
    <t>Construir el checklist con criterios:
completitud, no ambigüedad,
consistencia, trazabilidad, corrección y
no redundancia</t>
  </si>
  <si>
    <t>Capturar y
normalizar
requerimientos</t>
  </si>
  <si>
    <t>Recoger requerimientos (UC, reglas,
calidad) y asignar ID, nombre claro y
formato estándar.</t>
  </si>
  <si>
    <t>Especificar y
documentar</t>
  </si>
  <si>
    <t>Redactar cada requerimiento con
descripción, fuente, prioridad y criterios
de aceptación.</t>
  </si>
  <si>
    <t>Revisar e
inspeccionar
requerimientos</t>
  </si>
  <si>
    <t>Aplicar el checklist; registrar
observaciones y correcciones</t>
  </si>
  <si>
    <t>Priorizar y
aprobar</t>
  </si>
  <si>
    <t>Clasificar (p. ej., MoSCoW) y aprobar
para baseline con el equipo/líder de
calidad.</t>
  </si>
  <si>
    <t xml:space="preserve">Trazabilidad </t>
  </si>
  <si>
    <t>Crear/actualizar matriz Req ↔
UC/Tarea/Prueba/KPI</t>
  </si>
  <si>
    <t>Control de
cambios
(RFC/CCB)</t>
  </si>
  <si>
    <t>Definir formato RFC, flujo de aprobación
y registro de impactos.</t>
  </si>
  <si>
    <t>Versionado y
publicación</t>
  </si>
  <si>
    <t>Versionar documentos, guardar en la
carpeta oficial y registrar enlace en
maestro de documentos.</t>
  </si>
  <si>
    <t>Seguimiento y
métricas</t>
  </si>
  <si>
    <t>Definir
objetivos y
alcance</t>
  </si>
  <si>
    <t>Qué calidad vamos a asegurar (defectos,
métricas, revisiones) y hasta dónde
aplica (por sprint).</t>
  </si>
  <si>
    <t>Establecer
políticas de
calidad</t>
  </si>
  <si>
    <t>Criterios y reglas: prevención &gt;
detección, severidades/prioridades,
“cero críticos al cierre”, uso de checklist.</t>
  </si>
  <si>
    <t>Configurar
recursos y
herramientas</t>
  </si>
  <si>
    <t>Definir roles y
responsables
(RACI)</t>
  </si>
  <si>
    <t>Líder de Calidad, QA, Líder de
Desarrollo, Dev, PO: quién revisa, quién
aprueba, quién corrige.</t>
  </si>
  <si>
    <t>Diseñar
métricas de
calidad</t>
  </si>
  <si>
    <t>Definir fórmula, umbral, frecuencia,
fuente y responsable (Densidad, DRE,
MTTR, %Revisiones, %DoD).</t>
  </si>
  <si>
    <t>Planear
revisiones e
inspecciones</t>
  </si>
  <si>
    <t>Calendario y alcance por artefacto;
checklist de revisión; formato de acta.</t>
  </si>
  <si>
    <t>Activar log de
defectos y flujo
de vida</t>
  </si>
  <si>
    <t>Estados (Abierto→Cerrado),
severidades, SLA por severidad y
categorías; reglas de cierre.</t>
  </si>
  <si>
    <t>Ejecutar
revisiones/insp
ecciones</t>
  </si>
  <si>
    <t>Recolección
de datos y
evidencias</t>
  </si>
  <si>
    <t>Seguimiento y
reportes de
calidad</t>
  </si>
  <si>
    <t>Reunión semanal, tablero de KPIs,
alertas y acciones
correctivas/preventivas (CAPA).</t>
  </si>
  <si>
    <t>Mejora y cierre
por sprint</t>
  </si>
  <si>
    <t>nventario de
entregables</t>
  </si>
  <si>
    <t>Listar los entregables del sprint/fase (p.
ej., Plan de calidad v1.0, Plan de admin
de reqs v1.0, etc.).</t>
  </si>
  <si>
    <t>Descomposici
ón en tareas
(WBS)</t>
  </si>
  <si>
    <t>Partir cada entregable en tareas
concretas con nombre y descripción.</t>
  </si>
  <si>
    <t>Secuenciación
y
dependencia</t>
  </si>
  <si>
    <t>Estimar horas por tarea (h-persona)</t>
  </si>
  <si>
    <t>Productividad/
capacidad</t>
  </si>
  <si>
    <t>Registrar productividad del recurso
(h/día) o capacidad del equipo.</t>
  </si>
  <si>
    <t>Duración y
calendario</t>
  </si>
  <si>
    <t>Calcular duración =
esfuerzo/productividad, fijar inicio/fin en
calendario</t>
  </si>
  <si>
    <t>Asignación de
responsables</t>
  </si>
  <si>
    <t>Criterios de
aceptación y
DoD</t>
  </si>
  <si>
    <t>Definir criterios específicos por tarea y
DoD estándar del equipo.</t>
  </si>
  <si>
    <t>Publicación y
control</t>
  </si>
  <si>
    <t>Cargar todo al tablero DashKPI/hoja
maestra y versiona</t>
  </si>
  <si>
    <t>Identificar
audiencia del
documento</t>
  </si>
  <si>
    <t xml:space="preserve">Definir
acrónimos </t>
  </si>
  <si>
    <t>Establecer
objetivos de la
aplicación</t>
  </si>
  <si>
    <t xml:space="preserve">Definir
restricciones </t>
  </si>
  <si>
    <t>Seleccionar
estilo de
arquitectura</t>
  </si>
  <si>
    <t>Vista de
contexto (UML
casos de uso)</t>
  </si>
  <si>
    <t>Vista funcional
(UML de
componentes)</t>
  </si>
  <si>
    <t>Vista de
información
(EntidadRelación, ciclo
de vida</t>
  </si>
  <si>
    <t>Vista de
despliegue
(UML de
despliegue)</t>
  </si>
  <si>
    <t>Vista de
desarrollo
(UML de
paquetes)</t>
  </si>
  <si>
    <t>Vista de
concurrencia
(UML de
procesos)</t>
  </si>
  <si>
    <t>Vista
operacional
(Ad hoc o
descripciones
textuales)</t>
  </si>
  <si>
    <t>Especificación
de interfaz de
usuario</t>
  </si>
  <si>
    <t>Modelo de
datos
(Entidad–
Relación)</t>
  </si>
  <si>
    <t>Modelo de
clases</t>
  </si>
  <si>
    <t>Decisión 1
vista de
contexto</t>
  </si>
  <si>
    <t>Decisión 2
vista de
contexto</t>
  </si>
  <si>
    <t>Decisión 1
vista funcional</t>
  </si>
  <si>
    <t>Decisión 2
vista funcional</t>
  </si>
  <si>
    <t>Decisión 1
vista
despliegue</t>
  </si>
  <si>
    <t>Decisión 2
vista
despliegue</t>
  </si>
  <si>
    <t>Decisión 1
vista de
desarrollo</t>
  </si>
  <si>
    <t>Decisión 2
vista de
desarrollo</t>
  </si>
  <si>
    <t>Decisión 1
vista de
concurrencia</t>
  </si>
  <si>
    <t>Decisión 2
vista de
concurrencia</t>
  </si>
  <si>
    <t>Decisión 1
vista de
información</t>
  </si>
  <si>
    <t>Decisión 2
vista de
información</t>
  </si>
  <si>
    <t>Revisión del
documento
SDS</t>
  </si>
  <si>
    <t>Definir si será cliente-servidor, multicapa,
etc</t>
  </si>
  <si>
    <t xml:space="preserve">Definir el modelo de clases UML. </t>
  </si>
  <si>
    <t xml:space="preserve">Definir decisión 1 de la vista de contexto </t>
  </si>
  <si>
    <t>Definir decisión 2 de la vista de contexto</t>
  </si>
  <si>
    <t>Definir decisión 1 de la vista funcional</t>
  </si>
  <si>
    <t xml:space="preserve">Definir decisión 2 de la vista funcional </t>
  </si>
  <si>
    <t>Definir decisión 1 de la vista de
despliegue</t>
  </si>
  <si>
    <t>Definir decisión 2 de la vista de
despliegue</t>
  </si>
  <si>
    <t>Definir decisión 1 de la vista de desarrollo</t>
  </si>
  <si>
    <t xml:space="preserve">Definir decisión 2 de la vista de desarrollo </t>
  </si>
  <si>
    <t>Definir decisión 1 de la vista de
concurrencia</t>
  </si>
  <si>
    <t>Definir decisión 2 de la vista de
concurrencia</t>
  </si>
  <si>
    <t>Definir decisión 1 de la vista de
información</t>
  </si>
  <si>
    <t>Definir decisión 2 de la vista de
información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</si>
</sst>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h:mm:ss;@"/>
    <numFmt numFmtId="165" formatCode="dd/mm/yyyy;@"/>
    <numFmt numFmtId="166" formatCode="_ [$€-2]\ * #,##0.00_ ;_ [$€-2]\ * \-#,##0.00_ ;_ [$€-2]\ * &quot;-&quot;??_ "/>
  </numFmts>
  <fonts count="9" x14ac:knownFonts="1">
    <font>
      <sz val="10"/>
      <name val="Arial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41">
    <xf numFmtId="0" fontId="0" fillId="0" borderId="0" xfId="0"/>
    <xf numFmtId="1" fontId="0" fillId="0" borderId="0" xfId="0" applyNumberFormat="1" applyAlignment="1">
      <alignment horizontal="center"/>
    </xf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1" fontId="2" fillId="0" borderId="1" xfId="0" applyNumberFormat="1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/>
    <xf numFmtId="1" fontId="2" fillId="0" borderId="1" xfId="0" applyNumberFormat="1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165" fontId="2" fillId="0" borderId="1" xfId="0" applyNumberFormat="1" applyFont="1" applyBorder="1" applyAlignment="1">
      <alignment vertical="top" wrapText="1"/>
    </xf>
    <xf numFmtId="164" fontId="0" fillId="0" borderId="1" xfId="0" applyNumberFormat="1" applyBorder="1"/>
    <xf numFmtId="165" fontId="0" fillId="0" borderId="1" xfId="0" applyNumberFormat="1" applyBorder="1"/>
    <xf numFmtId="0" fontId="3" fillId="0" borderId="0" xfId="0" applyFont="1" applyAlignment="1">
      <alignment vertical="center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5" fontId="2" fillId="0" borderId="1" xfId="0" applyNumberFormat="1" applyFont="1" applyBorder="1" applyAlignment="1">
      <alignment horizontal="center" vertical="top" wrapText="1"/>
    </xf>
    <xf numFmtId="1" fontId="5" fillId="0" borderId="2" xfId="0" applyNumberFormat="1" applyFont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left" vertical="center" wrapText="1"/>
    </xf>
    <xf numFmtId="41" fontId="2" fillId="0" borderId="1" xfId="2" applyFont="1" applyFill="1" applyBorder="1" applyAlignment="1">
      <alignment vertical="top" wrapText="1"/>
    </xf>
    <xf numFmtId="165" fontId="2" fillId="0" borderId="1" xfId="0" applyNumberFormat="1" applyFont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justify"/>
    </xf>
    <xf numFmtId="165" fontId="8" fillId="2" borderId="5" xfId="0" applyNumberFormat="1" applyFont="1" applyFill="1" applyBorder="1"/>
    <xf numFmtId="165" fontId="8" fillId="2" borderId="3" xfId="0" applyNumberFormat="1" applyFont="1" applyFill="1" applyBorder="1"/>
    <xf numFmtId="165" fontId="2" fillId="0" borderId="0" xfId="0" applyNumberFormat="1" applyFont="1"/>
    <xf numFmtId="14" fontId="2" fillId="0" borderId="0" xfId="0" applyNumberFormat="1" applyFont="1"/>
    <xf numFmtId="0" fontId="2" fillId="0" borderId="1" xfId="2" applyNumberFormat="1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" fontId="0" fillId="0" borderId="1" xfId="0" applyNumberFormat="1" applyBorder="1" applyAlignment="1">
      <alignment horizontal="right" wrapText="1"/>
    </xf>
    <xf numFmtId="1" fontId="0" fillId="0" borderId="1" xfId="0" applyNumberFormat="1" applyBorder="1" applyAlignment="1">
      <alignment horizontal="left" vertical="top" wrapText="1"/>
    </xf>
    <xf numFmtId="0" fontId="2" fillId="3" borderId="1" xfId="0" applyFont="1" applyFill="1" applyBorder="1" applyAlignment="1">
      <alignment horizontal="justify"/>
    </xf>
    <xf numFmtId="0" fontId="2" fillId="0" borderId="1" xfId="0" applyFont="1" applyBorder="1" applyAlignment="1">
      <alignment horizontal="justify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left" vertical="top" wrapText="1"/>
    </xf>
    <xf numFmtId="0" fontId="2" fillId="5" borderId="1" xfId="0" applyFont="1" applyFill="1" applyBorder="1" applyAlignment="1">
      <alignment horizontal="justify"/>
    </xf>
    <xf numFmtId="0" fontId="2" fillId="0" borderId="14" xfId="0" applyFont="1" applyBorder="1" applyAlignment="1">
      <alignment wrapText="1"/>
    </xf>
    <xf numFmtId="0" fontId="0" fillId="0" borderId="14" xfId="0" applyBorder="1"/>
    <xf numFmtId="0" fontId="2" fillId="0" borderId="1" xfId="0" applyFont="1" applyBorder="1" applyAlignment="1">
      <alignment vertical="top"/>
    </xf>
    <xf numFmtId="0" fontId="2" fillId="0" borderId="14" xfId="0" applyFont="1" applyBorder="1"/>
    <xf numFmtId="41" fontId="0" fillId="0" borderId="1" xfId="0" applyNumberFormat="1" applyBorder="1"/>
    <xf numFmtId="0" fontId="2" fillId="6" borderId="1" xfId="0" applyFont="1" applyFill="1" applyBorder="1" applyAlignment="1">
      <alignment horizontal="justify" wrapText="1"/>
    </xf>
    <xf numFmtId="165" fontId="2" fillId="0" borderId="0" xfId="0" applyNumberFormat="1" applyFont="1" applyAlignment="1">
      <alignment vertical="top" wrapText="1"/>
    </xf>
    <xf numFmtId="164" fontId="2" fillId="0" borderId="0" xfId="0" applyNumberFormat="1" applyFont="1" applyAlignment="1">
      <alignment vertical="top" wrapText="1"/>
    </xf>
    <xf numFmtId="1" fontId="2" fillId="0" borderId="0" xfId="0" applyNumberFormat="1" applyFont="1" applyAlignment="1">
      <alignment vertical="top" wrapText="1"/>
    </xf>
    <xf numFmtId="1" fontId="2" fillId="0" borderId="0" xfId="0" applyNumberFormat="1" applyFont="1" applyAlignment="1">
      <alignment horizontal="right" vertical="top" wrapText="1"/>
    </xf>
    <xf numFmtId="1" fontId="2" fillId="0" borderId="0" xfId="0" applyNumberFormat="1" applyFont="1" applyAlignment="1">
      <alignment horizontal="left" vertical="top" wrapText="1"/>
    </xf>
    <xf numFmtId="0" fontId="2" fillId="0" borderId="1" xfId="0" applyFont="1" applyBorder="1" applyAlignment="1">
      <alignment wrapText="1"/>
    </xf>
    <xf numFmtId="1" fontId="0" fillId="0" borderId="1" xfId="0" applyNumberFormat="1" applyBorder="1"/>
    <xf numFmtId="1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left" wrapText="1"/>
    </xf>
    <xf numFmtId="0" fontId="0" fillId="0" borderId="1" xfId="0" applyBorder="1"/>
    <xf numFmtId="165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65" fontId="1" fillId="0" borderId="1" xfId="0" applyNumberFormat="1" applyFont="1" applyBorder="1" applyAlignment="1">
      <alignment vertical="top"/>
    </xf>
    <xf numFmtId="164" fontId="0" fillId="0" borderId="1" xfId="0" applyNumberFormat="1" applyBorder="1" applyAlignment="1">
      <alignment vertical="top"/>
    </xf>
    <xf numFmtId="1" fontId="0" fillId="0" borderId="1" xfId="0" applyNumberFormat="1" applyBorder="1" applyAlignment="1">
      <alignment vertical="top"/>
    </xf>
    <xf numFmtId="1" fontId="0" fillId="0" borderId="1" xfId="0" applyNumberFormat="1" applyBorder="1" applyAlignment="1">
      <alignment horizontal="center" vertical="top"/>
    </xf>
    <xf numFmtId="165" fontId="1" fillId="0" borderId="1" xfId="0" applyNumberFormat="1" applyFont="1" applyBorder="1" applyAlignment="1">
      <alignment wrapText="1"/>
    </xf>
    <xf numFmtId="165" fontId="0" fillId="0" borderId="1" xfId="0" applyNumberFormat="1" applyBorder="1" applyAlignment="1">
      <alignment wrapText="1"/>
    </xf>
    <xf numFmtId="165" fontId="2" fillId="0" borderId="1" xfId="0" applyNumberFormat="1" applyFont="1" applyBorder="1" applyAlignment="1">
      <alignment horizontal="left" vertical="top" wrapText="1"/>
    </xf>
    <xf numFmtId="165" fontId="2" fillId="0" borderId="1" xfId="0" applyNumberFormat="1" applyFont="1" applyBorder="1" applyAlignment="1">
      <alignment horizontal="left" vertical="center" wrapText="1"/>
    </xf>
    <xf numFmtId="1" fontId="2" fillId="0" borderId="0" xfId="0" applyNumberFormat="1" applyFont="1"/>
    <xf numFmtId="1" fontId="2" fillId="0" borderId="1" xfId="0" applyNumberFormat="1" applyFont="1" applyBorder="1"/>
    <xf numFmtId="1" fontId="2" fillId="0" borderId="1" xfId="2" applyNumberFormat="1" applyFont="1" applyFill="1" applyBorder="1" applyAlignment="1">
      <alignment vertical="top" wrapText="1"/>
    </xf>
    <xf numFmtId="1" fontId="2" fillId="0" borderId="1" xfId="0" applyNumberFormat="1" applyFont="1" applyBorder="1" applyAlignment="1">
      <alignment vertical="top"/>
    </xf>
    <xf numFmtId="1" fontId="0" fillId="0" borderId="1" xfId="0" applyNumberFormat="1" applyBorder="1" applyAlignment="1">
      <alignment horizontal="right"/>
    </xf>
    <xf numFmtId="1" fontId="2" fillId="0" borderId="1" xfId="0" applyNumberFormat="1" applyFont="1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165" fontId="0" fillId="5" borderId="0" xfId="0" applyNumberFormat="1" applyFill="1" applyAlignment="1">
      <alignment horizontal="center" vertical="center"/>
    </xf>
    <xf numFmtId="165" fontId="0" fillId="5" borderId="0" xfId="0" applyNumberFormat="1" applyFill="1" applyAlignment="1">
      <alignment vertical="top" wrapText="1"/>
    </xf>
    <xf numFmtId="165" fontId="0" fillId="5" borderId="0" xfId="0" applyNumberFormat="1" applyFill="1" applyAlignment="1">
      <alignment vertical="top"/>
    </xf>
    <xf numFmtId="1" fontId="0" fillId="5" borderId="0" xfId="0" applyNumberFormat="1" applyFill="1"/>
    <xf numFmtId="0" fontId="0" fillId="5" borderId="0" xfId="0" applyFill="1"/>
    <xf numFmtId="1" fontId="5" fillId="5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0" fillId="0" borderId="1" xfId="0" applyBorder="1" applyAlignment="1">
      <alignment wrapText="1"/>
    </xf>
    <xf numFmtId="14" fontId="0" fillId="0" borderId="1" xfId="0" applyNumberFormat="1" applyBorder="1"/>
    <xf numFmtId="21" fontId="0" fillId="0" borderId="1" xfId="0" applyNumberFormat="1" applyBorder="1"/>
    <xf numFmtId="0" fontId="3" fillId="5" borderId="0" xfId="0" applyFont="1" applyFill="1" applyAlignment="1">
      <alignment vertical="center" wrapText="1"/>
    </xf>
    <xf numFmtId="1" fontId="5" fillId="5" borderId="0" xfId="0" applyNumberFormat="1" applyFont="1" applyFill="1" applyAlignment="1">
      <alignment horizontal="center" vertical="center" wrapText="1"/>
    </xf>
    <xf numFmtId="41" fontId="2" fillId="0" borderId="1" xfId="2" applyFont="1" applyFill="1" applyBorder="1" applyAlignment="1">
      <alignment wrapText="1"/>
    </xf>
    <xf numFmtId="165" fontId="2" fillId="0" borderId="1" xfId="0" applyNumberFormat="1" applyFont="1" applyBorder="1" applyAlignment="1">
      <alignment wrapText="1"/>
    </xf>
    <xf numFmtId="164" fontId="2" fillId="0" borderId="1" xfId="0" applyNumberFormat="1" applyFont="1" applyBorder="1" applyAlignment="1">
      <alignment wrapText="1"/>
    </xf>
    <xf numFmtId="1" fontId="2" fillId="0" borderId="1" xfId="0" applyNumberFormat="1" applyFont="1" applyBorder="1" applyAlignment="1">
      <alignment wrapText="1"/>
    </xf>
    <xf numFmtId="1" fontId="2" fillId="0" borderId="1" xfId="0" applyNumberFormat="1" applyFont="1" applyBorder="1" applyAlignment="1">
      <alignment horizontal="right" wrapText="1"/>
    </xf>
    <xf numFmtId="165" fontId="2" fillId="0" borderId="1" xfId="0" applyNumberFormat="1" applyFont="1" applyBorder="1" applyAlignment="1">
      <alignment horizontal="center" wrapText="1"/>
    </xf>
    <xf numFmtId="165" fontId="2" fillId="0" borderId="1" xfId="0" applyNumberFormat="1" applyFont="1" applyBorder="1" applyAlignment="1">
      <alignment horizontal="left" wrapText="1"/>
    </xf>
    <xf numFmtId="1" fontId="2" fillId="0" borderId="1" xfId="0" applyNumberFormat="1" applyFont="1" applyBorder="1" applyAlignment="1">
      <alignment horizontal="left" wrapText="1"/>
    </xf>
    <xf numFmtId="0" fontId="2" fillId="7" borderId="14" xfId="0" applyFont="1" applyFill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2" fillId="7" borderId="1" xfId="0" applyFont="1" applyFill="1" applyBorder="1" applyAlignment="1">
      <alignment horizontal="justify"/>
    </xf>
    <xf numFmtId="0" fontId="0" fillId="0" borderId="1" xfId="0" applyBorder="1" applyAlignment="1">
      <alignment horizontal="left"/>
    </xf>
    <xf numFmtId="165" fontId="0" fillId="0" borderId="1" xfId="0" applyNumberFormat="1" applyBorder="1" applyAlignment="1">
      <alignment horizontal="left"/>
    </xf>
    <xf numFmtId="0" fontId="2" fillId="0" borderId="1" xfId="2" applyNumberFormat="1" applyFont="1" applyFill="1" applyBorder="1" applyAlignment="1">
      <alignment wrapText="1"/>
    </xf>
    <xf numFmtId="165" fontId="1" fillId="0" borderId="1" xfId="0" applyNumberFormat="1" applyFont="1" applyBorder="1"/>
    <xf numFmtId="1" fontId="5" fillId="0" borderId="2" xfId="0" applyNumberFormat="1" applyFont="1" applyBorder="1" applyAlignment="1">
      <alignment wrapText="1"/>
    </xf>
    <xf numFmtId="1" fontId="5" fillId="3" borderId="2" xfId="0" applyNumberFormat="1" applyFont="1" applyFill="1" applyBorder="1" applyAlignment="1">
      <alignment wrapText="1"/>
    </xf>
    <xf numFmtId="1" fontId="0" fillId="0" borderId="1" xfId="0" applyNumberFormat="1" applyBorder="1" applyAlignment="1">
      <alignment wrapText="1"/>
    </xf>
    <xf numFmtId="0" fontId="2" fillId="3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 applyAlignment="1">
      <alignment wrapText="1"/>
    </xf>
    <xf numFmtId="0" fontId="2" fillId="7" borderId="1" xfId="0" applyFont="1" applyFill="1" applyBorder="1"/>
    <xf numFmtId="0" fontId="2" fillId="8" borderId="14" xfId="0" applyFont="1" applyFill="1" applyBorder="1" applyAlignment="1">
      <alignment wrapText="1"/>
    </xf>
    <xf numFmtId="0" fontId="0" fillId="0" borderId="14" xfId="0" applyBorder="1" applyAlignment="1">
      <alignment wrapText="1"/>
    </xf>
    <xf numFmtId="14" fontId="0" fillId="0" borderId="1" xfId="0" applyNumberFormat="1" applyBorder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14" fontId="2" fillId="0" borderId="1" xfId="0" applyNumberFormat="1" applyFont="1" applyBorder="1"/>
    <xf numFmtId="21" fontId="2" fillId="0" borderId="1" xfId="0" applyNumberFormat="1" applyFont="1" applyBorder="1"/>
    <xf numFmtId="14" fontId="2" fillId="0" borderId="1" xfId="0" applyNumberFormat="1" applyFont="1" applyBorder="1" applyAlignment="1">
      <alignment wrapText="1"/>
    </xf>
    <xf numFmtId="165" fontId="2" fillId="0" borderId="1" xfId="0" applyNumberFormat="1" applyFont="1" applyBorder="1"/>
    <xf numFmtId="20" fontId="2" fillId="0" borderId="0" xfId="0" applyNumberFormat="1" applyFont="1"/>
    <xf numFmtId="1" fontId="4" fillId="0" borderId="2" xfId="0" applyNumberFormat="1" applyFont="1" applyBorder="1" applyAlignment="1">
      <alignment horizontal="center" vertical="center" wrapText="1"/>
    </xf>
    <xf numFmtId="1" fontId="4" fillId="3" borderId="2" xfId="0" applyNumberFormat="1" applyFont="1" applyFill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left" vertical="center" wrapText="1"/>
    </xf>
    <xf numFmtId="20" fontId="2" fillId="0" borderId="1" xfId="0" applyNumberFormat="1" applyFont="1" applyBorder="1"/>
    <xf numFmtId="164" fontId="2" fillId="0" borderId="1" xfId="0" applyNumberFormat="1" applyFont="1" applyBorder="1"/>
    <xf numFmtId="165" fontId="8" fillId="2" borderId="4" xfId="0" applyNumberFormat="1" applyFont="1" applyFill="1" applyBorder="1" applyAlignment="1">
      <alignment horizontal="center"/>
    </xf>
    <xf numFmtId="165" fontId="8" fillId="4" borderId="5" xfId="0" applyNumberFormat="1" applyFont="1" applyFill="1" applyBorder="1" applyAlignment="1">
      <alignment horizontal="center"/>
    </xf>
    <xf numFmtId="165" fontId="8" fillId="4" borderId="4" xfId="0" applyNumberFormat="1" applyFont="1" applyFill="1" applyBorder="1" applyAlignment="1">
      <alignment horizontal="center"/>
    </xf>
    <xf numFmtId="165" fontId="8" fillId="4" borderId="3" xfId="0" applyNumberFormat="1" applyFont="1" applyFill="1" applyBorder="1" applyAlignment="1">
      <alignment horizontal="center"/>
    </xf>
    <xf numFmtId="0" fontId="7" fillId="0" borderId="13" xfId="0" applyFont="1" applyBorder="1" applyAlignment="1">
      <alignment horizontal="center" vertical="top" wrapText="1"/>
    </xf>
    <xf numFmtId="0" fontId="7" fillId="0" borderId="10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0" fillId="0" borderId="0" xfId="0" applyNumberFormat="1"/>
  </cellXfs>
  <cellStyles count="3">
    <cellStyle name="Euro" xfId="1" xr:uid="{00000000-0005-0000-0000-000000000000}"/>
    <cellStyle name="Millares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5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4.xml"/><Relationship Id="rId33" Type="http://schemas.openxmlformats.org/officeDocument/2006/relationships/pivotCacheDefinition" Target="pivotCache/pivotCacheDefinition12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3.xml"/><Relationship Id="rId32" Type="http://schemas.openxmlformats.org/officeDocument/2006/relationships/pivotCacheDefinition" Target="pivotCache/pivotCacheDefinition11.xml"/><Relationship Id="rId37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2.xml"/><Relationship Id="rId28" Type="http://schemas.openxmlformats.org/officeDocument/2006/relationships/pivotCacheDefinition" Target="pivotCache/pivotCacheDefinition7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openxmlformats.org/officeDocument/2006/relationships/pivotCacheDefinition" Target="pivotCache/pivotCacheDefinition6.xml"/><Relationship Id="rId30" Type="http://schemas.openxmlformats.org/officeDocument/2006/relationships/pivotCacheDefinition" Target="pivotCache/pivotCacheDefinition9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SEMANAS!$Q$109:$T$109</c:f>
              <c:numCache>
                <c:formatCode>_(* #,##0_);_(* \(#,##0\);_(* "-"_);_(@_)</c:formatCode>
                <c:ptCount val="4"/>
                <c:pt idx="0">
                  <c:v>107</c:v>
                </c:pt>
                <c:pt idx="1">
                  <c:v>4265</c:v>
                </c:pt>
                <c:pt idx="2">
                  <c:v>107</c:v>
                </c:pt>
                <c:pt idx="3">
                  <c:v>4101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45-4326-B5DA-E05477B9A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1'!$Q$109:$T$109</c:f>
              <c:numCache>
                <c:formatCode>_(* #,##0_);_(* \(#,##0\);_(* "-"_);_(@_)</c:formatCode>
                <c:ptCount val="4"/>
                <c:pt idx="0">
                  <c:v>107</c:v>
                </c:pt>
                <c:pt idx="1">
                  <c:v>4265</c:v>
                </c:pt>
                <c:pt idx="2">
                  <c:v>107</c:v>
                </c:pt>
                <c:pt idx="3">
                  <c:v>4101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68-4317-8860-5A03B95B8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2'!$Q$109:$T$109</c:f>
              <c:numCache>
                <c:formatCode>_(* #,##0_);_(* \(#,##0\);_(* "-"_);_(@_)</c:formatCode>
                <c:ptCount val="4"/>
                <c:pt idx="0">
                  <c:v>85</c:v>
                </c:pt>
                <c:pt idx="1">
                  <c:v>3665</c:v>
                </c:pt>
                <c:pt idx="2">
                  <c:v>85</c:v>
                </c:pt>
                <c:pt idx="3">
                  <c:v>3559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6A-44CD-B56A-584B24C22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3'!$Q$109:$T$109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41-404C-B602-18D5973BB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4'!$Q$123:$T$123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35-4382-A09D-1597EC579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5'!$Q$123:$T$123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99-4AAC-A8B8-8F8FD1304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6 y 7'!$Q$125:$T$125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73-4C34-BFCE-B60221523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8'!$Q$129:$T$129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5-4D78-A211-A41D73196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9'!$Q$133:$T$133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53-4D0D-A789-8CAC510E5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(CICLO2) (version definitiva) (FASE 5) .xlsx]SEMANA 9!TablaDinámica1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'SEMANA 9'!$B$93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'SEMANA 9'!$A$94:$A$100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'SEMANA 9'!$B$94:$B$100</c:f>
              <c:numCache>
                <c:formatCode>General</c:formatCode>
                <c:ptCount val="6"/>
                <c:pt idx="0">
                  <c:v>19</c:v>
                </c:pt>
                <c:pt idx="1">
                  <c:v>16</c:v>
                </c:pt>
                <c:pt idx="2">
                  <c:v>18</c:v>
                </c:pt>
                <c:pt idx="3">
                  <c:v>11</c:v>
                </c:pt>
                <c:pt idx="4">
                  <c:v>13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38-46F6-A124-8C8A52875669}"/>
            </c:ext>
          </c:extLst>
        </c:ser>
        <c:ser>
          <c:idx val="1"/>
          <c:order val="1"/>
          <c:tx>
            <c:strRef>
              <c:f>'SEMANA 9'!$C$93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'SEMANA 9'!$A$94:$A$100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'SEMANA 9'!$C$94:$C$100</c:f>
              <c:numCache>
                <c:formatCode>General</c:formatCode>
                <c:ptCount val="6"/>
                <c:pt idx="0">
                  <c:v>605</c:v>
                </c:pt>
                <c:pt idx="1">
                  <c:v>410</c:v>
                </c:pt>
                <c:pt idx="2">
                  <c:v>555</c:v>
                </c:pt>
                <c:pt idx="3">
                  <c:v>360</c:v>
                </c:pt>
                <c:pt idx="4">
                  <c:v>420</c:v>
                </c:pt>
                <c:pt idx="5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38-46F6-A124-8C8A52875669}"/>
            </c:ext>
          </c:extLst>
        </c:ser>
        <c:ser>
          <c:idx val="2"/>
          <c:order val="2"/>
          <c:tx>
            <c:strRef>
              <c:f>'SEMANA 9'!$D$93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'SEMANA 9'!$A$94:$A$100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'SEMANA 9'!$D$94:$D$100</c:f>
              <c:numCache>
                <c:formatCode>General</c:formatCode>
                <c:ptCount val="6"/>
                <c:pt idx="0">
                  <c:v>566</c:v>
                </c:pt>
                <c:pt idx="1">
                  <c:v>340</c:v>
                </c:pt>
                <c:pt idx="2">
                  <c:v>480</c:v>
                </c:pt>
                <c:pt idx="3">
                  <c:v>300</c:v>
                </c:pt>
                <c:pt idx="4">
                  <c:v>352</c:v>
                </c:pt>
                <c:pt idx="5">
                  <c:v>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38-46F6-A124-8C8A52875669}"/>
            </c:ext>
          </c:extLst>
        </c:ser>
        <c:ser>
          <c:idx val="3"/>
          <c:order val="3"/>
          <c:tx>
            <c:strRef>
              <c:f>'SEMANA 9'!$E$93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'SEMANA 9'!$A$94:$A$100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'SEMANA 9'!$E$94:$E$100</c:f>
              <c:numCache>
                <c:formatCode>General</c:formatCode>
                <c:ptCount val="6"/>
                <c:pt idx="0">
                  <c:v>21</c:v>
                </c:pt>
                <c:pt idx="1">
                  <c:v>19</c:v>
                </c:pt>
                <c:pt idx="2">
                  <c:v>27</c:v>
                </c:pt>
                <c:pt idx="3">
                  <c:v>14</c:v>
                </c:pt>
                <c:pt idx="4">
                  <c:v>15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38-46F6-A124-8C8A528756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9151455"/>
        <c:axId val="1149168255"/>
      </c:barChart>
      <c:catAx>
        <c:axId val="1149151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9168255"/>
        <c:crosses val="autoZero"/>
        <c:auto val="1"/>
        <c:lblAlgn val="ctr"/>
        <c:lblOffset val="100"/>
        <c:noMultiLvlLbl val="0"/>
      </c:catAx>
      <c:valAx>
        <c:axId val="114916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9151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1'!$Q$109:$T$109</c:f>
              <c:numCache>
                <c:formatCode>_(* #,##0_);_(* \(#,##0\);_(* "-"_);_(@_)</c:formatCode>
                <c:ptCount val="4"/>
                <c:pt idx="0">
                  <c:v>107</c:v>
                </c:pt>
                <c:pt idx="1">
                  <c:v>4265</c:v>
                </c:pt>
                <c:pt idx="2">
                  <c:v>107</c:v>
                </c:pt>
                <c:pt idx="3">
                  <c:v>4101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B0-4558-8520-0D1A505EE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</a:t>
            </a:r>
            <a:r>
              <a:rPr lang="es-CO" baseline="0"/>
              <a:t> y tamaño de Kerlon Sanchez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2696032"/>
        <c:axId val="1422699392"/>
      </c:barChart>
      <c:catAx>
        <c:axId val="142269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2699392"/>
        <c:crosses val="autoZero"/>
        <c:auto val="1"/>
        <c:lblAlgn val="ctr"/>
        <c:lblOffset val="100"/>
        <c:noMultiLvlLbl val="0"/>
      </c:catAx>
      <c:valAx>
        <c:axId val="142269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2696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</a:t>
            </a:r>
            <a:r>
              <a:rPr lang="es-CO" baseline="0"/>
              <a:t> y tamaño de Esteban Prieto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'DATOS 3'!#REF!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26E-4923-8AE9-36AEF8816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2957696"/>
        <c:axId val="1482958656"/>
      </c:barChart>
      <c:catAx>
        <c:axId val="148295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82958656"/>
        <c:crosses val="autoZero"/>
        <c:auto val="1"/>
        <c:lblAlgn val="ctr"/>
        <c:lblOffset val="100"/>
        <c:noMultiLvlLbl val="0"/>
      </c:catAx>
      <c:valAx>
        <c:axId val="148295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8295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</a:t>
            </a:r>
            <a:r>
              <a:rPr lang="es-CO" baseline="0"/>
              <a:t> y tamaño de Matias Marín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'DATOS 3'!#REF!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2C65-41C7-A6E0-AE92DF524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1481616"/>
        <c:axId val="1411014400"/>
      </c:barChart>
      <c:catAx>
        <c:axId val="142148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11014400"/>
        <c:crosses val="autoZero"/>
        <c:auto val="1"/>
        <c:lblAlgn val="ctr"/>
        <c:lblOffset val="100"/>
        <c:noMultiLvlLbl val="0"/>
      </c:catAx>
      <c:valAx>
        <c:axId val="141101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1481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 y tamaño</a:t>
            </a:r>
            <a:r>
              <a:rPr lang="es-CO" baseline="0"/>
              <a:t> de Nicolas Cubillos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'DATOS 3'!#REF!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657-4EF7-9408-6A30B92FB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4202608"/>
        <c:axId val="1550800128"/>
      </c:barChart>
      <c:catAx>
        <c:axId val="119420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50800128"/>
        <c:crosses val="autoZero"/>
        <c:auto val="1"/>
        <c:lblAlgn val="ctr"/>
        <c:lblOffset val="100"/>
        <c:noMultiLvlLbl val="0"/>
      </c:catAx>
      <c:valAx>
        <c:axId val="155080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94202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1'!$A$122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1'!$A$123:$A$134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07A0-460B-BA41-B4D407CBBED3}"/>
            </c:ext>
          </c:extLst>
        </c:ser>
        <c:ser>
          <c:idx val="1"/>
          <c:order val="1"/>
          <c:tx>
            <c:strRef>
              <c:f>'DATOS 1'!$B$122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'DATOS 1'!$B$123:$B$134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07A0-460B-BA41-B4D407CBBED3}"/>
            </c:ext>
          </c:extLst>
        </c:ser>
        <c:ser>
          <c:idx val="2"/>
          <c:order val="2"/>
          <c:tx>
            <c:strRef>
              <c:f>'DATOS 1'!$C$122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'DATOS 1'!$C$123:$C$134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2-07A0-460B-BA41-B4D407CBBED3}"/>
            </c:ext>
          </c:extLst>
        </c:ser>
        <c:ser>
          <c:idx val="3"/>
          <c:order val="3"/>
          <c:tx>
            <c:strRef>
              <c:f>'DATOS 1'!$D$122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'DATOS 1'!$D$123:$D$134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3-07A0-460B-BA41-B4D407CBBED3}"/>
            </c:ext>
          </c:extLst>
        </c:ser>
        <c:ser>
          <c:idx val="4"/>
          <c:order val="4"/>
          <c:tx>
            <c:strRef>
              <c:f>'DATOS 1'!$E$122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'DATOS 1'!$E$123:$E$134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4-07A0-460B-BA41-B4D407CBB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1811584"/>
        <c:axId val="1541810624"/>
      </c:barChart>
      <c:catAx>
        <c:axId val="1541811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41810624"/>
        <c:crosses val="autoZero"/>
        <c:auto val="1"/>
        <c:lblAlgn val="ctr"/>
        <c:lblOffset val="100"/>
        <c:noMultiLvlLbl val="0"/>
      </c:catAx>
      <c:valAx>
        <c:axId val="154181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41811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(CICLO2) (version definitiva) (FASE 5) .xlsx]DATOS 1!TablaDinámica4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1'!$B$52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'DATOS 1'!$A$53:$A$59</c:f>
              <c:strCache>
                <c:ptCount val="6"/>
                <c:pt idx="0">
                  <c:v>       Leidy Giraldo</c:v>
                </c:pt>
                <c:pt idx="1">
                  <c:v>    Esteban Prieto</c:v>
                </c:pt>
                <c:pt idx="2">
                  <c:v>    Kerlon Sanchez</c:v>
                </c:pt>
                <c:pt idx="3">
                  <c:v>    Matias Marin</c:v>
                </c:pt>
                <c:pt idx="4">
                  <c:v>    Nicolas Cubillos</c:v>
                </c:pt>
                <c:pt idx="5">
                  <c:v>    Santiago Herrada</c:v>
                </c:pt>
              </c:strCache>
            </c:strRef>
          </c:cat>
          <c:val>
            <c:numRef>
              <c:f>'DATOS 1'!$B$53:$B$59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FE-4071-9EB9-24C65C6AC1E1}"/>
            </c:ext>
          </c:extLst>
        </c:ser>
        <c:ser>
          <c:idx val="1"/>
          <c:order val="1"/>
          <c:tx>
            <c:strRef>
              <c:f>'DATOS 1'!$C$52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'DATOS 1'!$A$53:$A$59</c:f>
              <c:strCache>
                <c:ptCount val="6"/>
                <c:pt idx="0">
                  <c:v>       Leidy Giraldo</c:v>
                </c:pt>
                <c:pt idx="1">
                  <c:v>    Esteban Prieto</c:v>
                </c:pt>
                <c:pt idx="2">
                  <c:v>    Kerlon Sanchez</c:v>
                </c:pt>
                <c:pt idx="3">
                  <c:v>    Matias Marin</c:v>
                </c:pt>
                <c:pt idx="4">
                  <c:v>    Nicolas Cubillos</c:v>
                </c:pt>
                <c:pt idx="5">
                  <c:v>    Santiago Herrada</c:v>
                </c:pt>
              </c:strCache>
            </c:strRef>
          </c:cat>
          <c:val>
            <c:numRef>
              <c:f>'DATOS 1'!$C$53:$C$59</c:f>
              <c:numCache>
                <c:formatCode>General</c:formatCode>
                <c:ptCount val="6"/>
                <c:pt idx="0">
                  <c:v>120</c:v>
                </c:pt>
                <c:pt idx="1">
                  <c:v>30</c:v>
                </c:pt>
                <c:pt idx="2">
                  <c:v>120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FE-4071-9EB9-24C65C6AC1E1}"/>
            </c:ext>
          </c:extLst>
        </c:ser>
        <c:ser>
          <c:idx val="2"/>
          <c:order val="2"/>
          <c:tx>
            <c:strRef>
              <c:f>'DATOS 1'!$D$52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'DATOS 1'!$A$53:$A$59</c:f>
              <c:strCache>
                <c:ptCount val="6"/>
                <c:pt idx="0">
                  <c:v>       Leidy Giraldo</c:v>
                </c:pt>
                <c:pt idx="1">
                  <c:v>    Esteban Prieto</c:v>
                </c:pt>
                <c:pt idx="2">
                  <c:v>    Kerlon Sanchez</c:v>
                </c:pt>
                <c:pt idx="3">
                  <c:v>    Matias Marin</c:v>
                </c:pt>
                <c:pt idx="4">
                  <c:v>    Nicolas Cubillos</c:v>
                </c:pt>
                <c:pt idx="5">
                  <c:v>    Santiago Herrada</c:v>
                </c:pt>
              </c:strCache>
            </c:strRef>
          </c:cat>
          <c:val>
            <c:numRef>
              <c:f>'DATOS 1'!$D$53:$D$59</c:f>
              <c:numCache>
                <c:formatCode>0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FE-4071-9EB9-24C65C6AC1E1}"/>
            </c:ext>
          </c:extLst>
        </c:ser>
        <c:ser>
          <c:idx val="3"/>
          <c:order val="3"/>
          <c:tx>
            <c:strRef>
              <c:f>'DATOS 1'!$E$52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'DATOS 1'!$A$53:$A$59</c:f>
              <c:strCache>
                <c:ptCount val="6"/>
                <c:pt idx="0">
                  <c:v>       Leidy Giraldo</c:v>
                </c:pt>
                <c:pt idx="1">
                  <c:v>    Esteban Prieto</c:v>
                </c:pt>
                <c:pt idx="2">
                  <c:v>    Kerlon Sanchez</c:v>
                </c:pt>
                <c:pt idx="3">
                  <c:v>    Matias Marin</c:v>
                </c:pt>
                <c:pt idx="4">
                  <c:v>    Nicolas Cubillos</c:v>
                </c:pt>
                <c:pt idx="5">
                  <c:v>    Santiago Herrada</c:v>
                </c:pt>
              </c:strCache>
            </c:strRef>
          </c:cat>
          <c:val>
            <c:numRef>
              <c:f>'DATOS 1'!$E$53:$E$59</c:f>
              <c:numCache>
                <c:formatCode>0</c:formatCode>
                <c:ptCount val="6"/>
                <c:pt idx="0">
                  <c:v>60</c:v>
                </c:pt>
                <c:pt idx="1">
                  <c:v>25</c:v>
                </c:pt>
                <c:pt idx="2">
                  <c:v>60</c:v>
                </c:pt>
                <c:pt idx="3">
                  <c:v>60</c:v>
                </c:pt>
                <c:pt idx="4">
                  <c:v>120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FE-4071-9EB9-24C65C6AC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8833312"/>
        <c:axId val="1048824672"/>
      </c:barChart>
      <c:catAx>
        <c:axId val="104883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8824672"/>
        <c:crosses val="autoZero"/>
        <c:auto val="1"/>
        <c:lblAlgn val="ctr"/>
        <c:lblOffset val="100"/>
        <c:noMultiLvlLbl val="0"/>
      </c:catAx>
      <c:valAx>
        <c:axId val="10488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8833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(CICLO2) (version definitiva) (FASE 5) .xlsx]DATOS 2!TablaDinámica3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2'!$B$69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2'!$A$70:$A$76</c:f>
              <c:strCache>
                <c:ptCount val="6"/>
                <c:pt idx="0">
                  <c:v> Matias Marín</c:v>
                </c:pt>
                <c:pt idx="1">
                  <c:v> Nicolas Cubillos</c:v>
                </c:pt>
                <c:pt idx="2">
                  <c:v>Esteban Prieto</c:v>
                </c:pt>
                <c:pt idx="3">
                  <c:v>Kerlon Sanchez</c:v>
                </c:pt>
                <c:pt idx="4">
                  <c:v>Leidy Giraldo</c:v>
                </c:pt>
                <c:pt idx="5">
                  <c:v>Santiago Herrada</c:v>
                </c:pt>
              </c:strCache>
            </c:strRef>
          </c:cat>
          <c:val>
            <c:numRef>
              <c:f>'DATOS 2'!$B$70:$B$76</c:f>
              <c:numCache>
                <c:formatCode>General</c:formatCode>
                <c:ptCount val="6"/>
                <c:pt idx="0">
                  <c:v>7</c:v>
                </c:pt>
                <c:pt idx="1">
                  <c:v>1</c:v>
                </c:pt>
                <c:pt idx="2">
                  <c:v>12</c:v>
                </c:pt>
                <c:pt idx="3">
                  <c:v>7</c:v>
                </c:pt>
                <c:pt idx="4">
                  <c:v>16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DC-478A-B804-04E1750DBAB4}"/>
            </c:ext>
          </c:extLst>
        </c:ser>
        <c:ser>
          <c:idx val="1"/>
          <c:order val="1"/>
          <c:tx>
            <c:strRef>
              <c:f>'DATOS 2'!$C$69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2'!$A$70:$A$76</c:f>
              <c:strCache>
                <c:ptCount val="6"/>
                <c:pt idx="0">
                  <c:v> Matias Marín</c:v>
                </c:pt>
                <c:pt idx="1">
                  <c:v> Nicolas Cubillos</c:v>
                </c:pt>
                <c:pt idx="2">
                  <c:v>Esteban Prieto</c:v>
                </c:pt>
                <c:pt idx="3">
                  <c:v>Kerlon Sanchez</c:v>
                </c:pt>
                <c:pt idx="4">
                  <c:v>Leidy Giraldo</c:v>
                </c:pt>
                <c:pt idx="5">
                  <c:v>Santiago Herrada</c:v>
                </c:pt>
              </c:strCache>
            </c:strRef>
          </c:cat>
          <c:val>
            <c:numRef>
              <c:f>'DATOS 2'!$C$70:$C$76</c:f>
              <c:numCache>
                <c:formatCode>General</c:formatCode>
                <c:ptCount val="6"/>
                <c:pt idx="0">
                  <c:v>160</c:v>
                </c:pt>
                <c:pt idx="1">
                  <c:v>20</c:v>
                </c:pt>
                <c:pt idx="2">
                  <c:v>345</c:v>
                </c:pt>
                <c:pt idx="3">
                  <c:v>270</c:v>
                </c:pt>
                <c:pt idx="4">
                  <c:v>435</c:v>
                </c:pt>
                <c:pt idx="5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DC-478A-B804-04E1750DBAB4}"/>
            </c:ext>
          </c:extLst>
        </c:ser>
        <c:ser>
          <c:idx val="2"/>
          <c:order val="2"/>
          <c:tx>
            <c:strRef>
              <c:f>'DATOS 2'!$D$69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2'!$A$70:$A$76</c:f>
              <c:strCache>
                <c:ptCount val="6"/>
                <c:pt idx="0">
                  <c:v> Matias Marín</c:v>
                </c:pt>
                <c:pt idx="1">
                  <c:v> Nicolas Cubillos</c:v>
                </c:pt>
                <c:pt idx="2">
                  <c:v>Esteban Prieto</c:v>
                </c:pt>
                <c:pt idx="3">
                  <c:v>Kerlon Sanchez</c:v>
                </c:pt>
                <c:pt idx="4">
                  <c:v>Leidy Giraldo</c:v>
                </c:pt>
                <c:pt idx="5">
                  <c:v>Santiago Herrada</c:v>
                </c:pt>
              </c:strCache>
            </c:strRef>
          </c:cat>
          <c:val>
            <c:numRef>
              <c:f>'DATOS 2'!$D$70:$D$76</c:f>
              <c:numCache>
                <c:formatCode>0</c:formatCode>
                <c:ptCount val="6"/>
                <c:pt idx="0">
                  <c:v>153</c:v>
                </c:pt>
                <c:pt idx="1">
                  <c:v>20</c:v>
                </c:pt>
                <c:pt idx="2">
                  <c:v>316</c:v>
                </c:pt>
                <c:pt idx="3">
                  <c:v>193</c:v>
                </c:pt>
                <c:pt idx="4">
                  <c:v>364</c:v>
                </c:pt>
                <c:pt idx="5">
                  <c:v>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DC-478A-B804-04E1750DBAB4}"/>
            </c:ext>
          </c:extLst>
        </c:ser>
        <c:ser>
          <c:idx val="3"/>
          <c:order val="3"/>
          <c:tx>
            <c:strRef>
              <c:f>'DATOS 2'!$E$69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2'!$A$70:$A$76</c:f>
              <c:strCache>
                <c:ptCount val="6"/>
                <c:pt idx="0">
                  <c:v> Matias Marín</c:v>
                </c:pt>
                <c:pt idx="1">
                  <c:v> Nicolas Cubillos</c:v>
                </c:pt>
                <c:pt idx="2">
                  <c:v>Esteban Prieto</c:v>
                </c:pt>
                <c:pt idx="3">
                  <c:v>Kerlon Sanchez</c:v>
                </c:pt>
                <c:pt idx="4">
                  <c:v>Leidy Giraldo</c:v>
                </c:pt>
                <c:pt idx="5">
                  <c:v>Santiago Herrada</c:v>
                </c:pt>
              </c:strCache>
            </c:strRef>
          </c:cat>
          <c:val>
            <c:numRef>
              <c:f>'DATOS 2'!$E$70:$E$76</c:f>
              <c:numCache>
                <c:formatCode>General</c:formatCode>
                <c:ptCount val="6"/>
                <c:pt idx="0">
                  <c:v>7</c:v>
                </c:pt>
                <c:pt idx="1">
                  <c:v>1</c:v>
                </c:pt>
                <c:pt idx="2">
                  <c:v>15</c:v>
                </c:pt>
                <c:pt idx="3">
                  <c:v>7</c:v>
                </c:pt>
                <c:pt idx="4">
                  <c:v>16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DC-478A-B804-04E1750DBA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33078656"/>
        <c:axId val="1534883904"/>
      </c:barChart>
      <c:catAx>
        <c:axId val="153307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34883904"/>
        <c:crosses val="autoZero"/>
        <c:auto val="1"/>
        <c:lblAlgn val="ctr"/>
        <c:lblOffset val="100"/>
        <c:noMultiLvlLbl val="0"/>
      </c:catAx>
      <c:valAx>
        <c:axId val="153488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33078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3'!$Q$105:$T$105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46-41F1-939B-B4EE3BECF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(CICLO2) (version definitiva) (FASE 5) .xlsx]DATOS 3!TablaDinámica1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 y Tamaño de Líderes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3'!$I$63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3'!$H$64:$H$70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3'!$I$64:$I$70</c:f>
              <c:numCache>
                <c:formatCode>0</c:formatCode>
                <c:ptCount val="6"/>
                <c:pt idx="0">
                  <c:v>329</c:v>
                </c:pt>
                <c:pt idx="1">
                  <c:v>283</c:v>
                </c:pt>
                <c:pt idx="2">
                  <c:v>350</c:v>
                </c:pt>
                <c:pt idx="3">
                  <c:v>183</c:v>
                </c:pt>
                <c:pt idx="4">
                  <c:v>187</c:v>
                </c:pt>
                <c:pt idx="5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D2-47CF-AD5C-DB4183B0D4B5}"/>
            </c:ext>
          </c:extLst>
        </c:ser>
        <c:ser>
          <c:idx val="1"/>
          <c:order val="1"/>
          <c:tx>
            <c:strRef>
              <c:f>'DATOS 3'!$J$63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3'!$H$64:$H$70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3'!$J$64:$J$70</c:f>
              <c:numCache>
                <c:formatCode>0</c:formatCode>
                <c:ptCount val="6"/>
                <c:pt idx="0">
                  <c:v>10</c:v>
                </c:pt>
                <c:pt idx="1">
                  <c:v>13</c:v>
                </c:pt>
                <c:pt idx="2">
                  <c:v>15</c:v>
                </c:pt>
                <c:pt idx="3">
                  <c:v>8</c:v>
                </c:pt>
                <c:pt idx="4">
                  <c:v>8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D2-47CF-AD5C-DB4183B0D4B5}"/>
            </c:ext>
          </c:extLst>
        </c:ser>
        <c:ser>
          <c:idx val="2"/>
          <c:order val="2"/>
          <c:tx>
            <c:strRef>
              <c:f>'DATOS 3'!$K$63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3'!$H$64:$H$70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3'!$K$64:$K$70</c:f>
              <c:numCache>
                <c:formatCode>0</c:formatCode>
                <c:ptCount val="6"/>
                <c:pt idx="0">
                  <c:v>355</c:v>
                </c:pt>
                <c:pt idx="1">
                  <c:v>340</c:v>
                </c:pt>
                <c:pt idx="2">
                  <c:v>435</c:v>
                </c:pt>
                <c:pt idx="3">
                  <c:v>255</c:v>
                </c:pt>
                <c:pt idx="4">
                  <c:v>240</c:v>
                </c:pt>
                <c:pt idx="5">
                  <c:v>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D2-47CF-AD5C-DB4183B0D4B5}"/>
            </c:ext>
          </c:extLst>
        </c:ser>
        <c:ser>
          <c:idx val="3"/>
          <c:order val="3"/>
          <c:tx>
            <c:strRef>
              <c:f>'DATOS 3'!$L$63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3'!$H$64:$H$70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3'!$L$64:$L$70</c:f>
              <c:numCache>
                <c:formatCode>0</c:formatCode>
                <c:ptCount val="6"/>
                <c:pt idx="0">
                  <c:v>11</c:v>
                </c:pt>
                <c:pt idx="1">
                  <c:v>13</c:v>
                </c:pt>
                <c:pt idx="2">
                  <c:v>14</c:v>
                </c:pt>
                <c:pt idx="3">
                  <c:v>8</c:v>
                </c:pt>
                <c:pt idx="4">
                  <c:v>8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D2-47CF-AD5C-DB4183B0D4B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17130544"/>
        <c:axId val="1417135344"/>
      </c:barChart>
      <c:catAx>
        <c:axId val="141713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17135344"/>
        <c:crosses val="autoZero"/>
        <c:auto val="1"/>
        <c:lblAlgn val="ctr"/>
        <c:lblOffset val="100"/>
        <c:noMultiLvlLbl val="0"/>
      </c:catAx>
      <c:valAx>
        <c:axId val="141713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1713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4'!$Q$123:$T$123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60-4425-AEFF-5CED5AB07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(CICLO2) (version definitiva) (FASE 5) .xlsx]DATOS 4!TablaDinámica4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4'!$B$99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4'!$A$100:$A$106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4'!$B$100:$B$106</c:f>
              <c:numCache>
                <c:formatCode>General</c:formatCode>
                <c:ptCount val="6"/>
                <c:pt idx="0">
                  <c:v>22</c:v>
                </c:pt>
                <c:pt idx="1">
                  <c:v>18</c:v>
                </c:pt>
                <c:pt idx="2">
                  <c:v>22</c:v>
                </c:pt>
                <c:pt idx="3">
                  <c:v>16</c:v>
                </c:pt>
                <c:pt idx="4">
                  <c:v>17</c:v>
                </c:pt>
                <c:pt idx="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33-4511-99AF-C6334A112A11}"/>
            </c:ext>
          </c:extLst>
        </c:ser>
        <c:ser>
          <c:idx val="1"/>
          <c:order val="1"/>
          <c:tx>
            <c:strRef>
              <c:f>'DATOS 4'!$C$99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4'!$A$100:$A$106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4'!$C$100:$C$106</c:f>
              <c:numCache>
                <c:formatCode>General</c:formatCode>
                <c:ptCount val="6"/>
                <c:pt idx="0">
                  <c:v>550</c:v>
                </c:pt>
                <c:pt idx="1">
                  <c:v>370</c:v>
                </c:pt>
                <c:pt idx="2">
                  <c:v>730</c:v>
                </c:pt>
                <c:pt idx="3">
                  <c:v>565</c:v>
                </c:pt>
                <c:pt idx="4">
                  <c:v>395</c:v>
                </c:pt>
                <c:pt idx="5">
                  <c:v>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33-4511-99AF-C6334A112A11}"/>
            </c:ext>
          </c:extLst>
        </c:ser>
        <c:ser>
          <c:idx val="2"/>
          <c:order val="2"/>
          <c:tx>
            <c:strRef>
              <c:f>'DATOS 4'!$D$99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4'!$A$100:$A$106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4'!$D$100:$D$106</c:f>
              <c:numCache>
                <c:formatCode>General</c:formatCode>
                <c:ptCount val="6"/>
                <c:pt idx="0">
                  <c:v>535</c:v>
                </c:pt>
                <c:pt idx="1">
                  <c:v>296</c:v>
                </c:pt>
                <c:pt idx="2">
                  <c:v>555</c:v>
                </c:pt>
                <c:pt idx="3">
                  <c:v>402</c:v>
                </c:pt>
                <c:pt idx="4">
                  <c:v>342</c:v>
                </c:pt>
                <c:pt idx="5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33-4511-99AF-C6334A112A11}"/>
            </c:ext>
          </c:extLst>
        </c:ser>
        <c:ser>
          <c:idx val="3"/>
          <c:order val="3"/>
          <c:tx>
            <c:strRef>
              <c:f>'DATOS 4'!$E$99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4'!$A$100:$A$106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4'!$E$100:$E$106</c:f>
              <c:numCache>
                <c:formatCode>General</c:formatCode>
                <c:ptCount val="6"/>
                <c:pt idx="0">
                  <c:v>25</c:v>
                </c:pt>
                <c:pt idx="1">
                  <c:v>18</c:v>
                </c:pt>
                <c:pt idx="2">
                  <c:v>23</c:v>
                </c:pt>
                <c:pt idx="3">
                  <c:v>15</c:v>
                </c:pt>
                <c:pt idx="4">
                  <c:v>19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33-4511-99AF-C6334A112A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2349039"/>
        <c:axId val="272356239"/>
      </c:barChart>
      <c:catAx>
        <c:axId val="272349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72356239"/>
        <c:crosses val="autoZero"/>
        <c:auto val="1"/>
        <c:lblAlgn val="ctr"/>
        <c:lblOffset val="100"/>
        <c:noMultiLvlLbl val="0"/>
      </c:catAx>
      <c:valAx>
        <c:axId val="27235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72349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(CICLO2) (version definitiva) (FASE 5) .xlsx]DATOS 4!TablaDinámica5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4'!$B$125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4'!$A$126:$A$132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4'!$B$126:$B$132</c:f>
              <c:numCache>
                <c:formatCode>General</c:formatCode>
                <c:ptCount val="6"/>
                <c:pt idx="0">
                  <c:v>25</c:v>
                </c:pt>
                <c:pt idx="1">
                  <c:v>18</c:v>
                </c:pt>
                <c:pt idx="2">
                  <c:v>23</c:v>
                </c:pt>
                <c:pt idx="3">
                  <c:v>15</c:v>
                </c:pt>
                <c:pt idx="4">
                  <c:v>19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46-456F-BD02-B90AD0152CD2}"/>
            </c:ext>
          </c:extLst>
        </c:ser>
        <c:ser>
          <c:idx val="1"/>
          <c:order val="1"/>
          <c:tx>
            <c:strRef>
              <c:f>'DATOS 4'!$C$125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4'!$A$126:$A$132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4'!$C$126:$C$132</c:f>
              <c:numCache>
                <c:formatCode>General</c:formatCode>
                <c:ptCount val="6"/>
                <c:pt idx="0">
                  <c:v>22</c:v>
                </c:pt>
                <c:pt idx="1">
                  <c:v>18</c:v>
                </c:pt>
                <c:pt idx="2">
                  <c:v>22</c:v>
                </c:pt>
                <c:pt idx="3">
                  <c:v>16</c:v>
                </c:pt>
                <c:pt idx="4">
                  <c:v>17</c:v>
                </c:pt>
                <c:pt idx="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46-456F-BD02-B90AD0152C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42263455"/>
        <c:axId val="542262495"/>
      </c:barChart>
      <c:catAx>
        <c:axId val="54226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2262495"/>
        <c:crosses val="autoZero"/>
        <c:auto val="1"/>
        <c:lblAlgn val="ctr"/>
        <c:lblOffset val="100"/>
        <c:noMultiLvlLbl val="0"/>
      </c:catAx>
      <c:valAx>
        <c:axId val="54226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2263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5'!$Q$123:$T$123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57-4614-93FE-1F5F170FD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(CICLO2) (version definitiva) (FASE 5) .xlsx]DATOS 5!TablaDinámica3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5'!$B$58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5'!$A$59:$A$65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5'!$B$59:$B$65</c:f>
              <c:numCache>
                <c:formatCode>General</c:formatCod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9</c:v>
                </c:pt>
                <c:pt idx="4">
                  <c:v>6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64-4337-85B0-2C1D5D99D79B}"/>
            </c:ext>
          </c:extLst>
        </c:ser>
        <c:ser>
          <c:idx val="1"/>
          <c:order val="1"/>
          <c:tx>
            <c:strRef>
              <c:f>'DATOS 5'!$C$58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5'!$A$59:$A$65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5'!$C$59:$C$65</c:f>
              <c:numCache>
                <c:formatCode>General</c:formatCode>
                <c:ptCount val="6"/>
                <c:pt idx="0">
                  <c:v>395</c:v>
                </c:pt>
                <c:pt idx="1">
                  <c:v>320</c:v>
                </c:pt>
                <c:pt idx="2">
                  <c:v>465</c:v>
                </c:pt>
                <c:pt idx="3">
                  <c:v>270</c:v>
                </c:pt>
                <c:pt idx="4">
                  <c:v>240</c:v>
                </c:pt>
                <c:pt idx="5">
                  <c:v>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64-4337-85B0-2C1D5D99D79B}"/>
            </c:ext>
          </c:extLst>
        </c:ser>
        <c:ser>
          <c:idx val="2"/>
          <c:order val="2"/>
          <c:tx>
            <c:strRef>
              <c:f>'DATOS 5'!$D$58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5'!$A$59:$A$65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5'!$D$59:$D$65</c:f>
              <c:numCache>
                <c:formatCode>General</c:formatCode>
                <c:ptCount val="6"/>
                <c:pt idx="0">
                  <c:v>372</c:v>
                </c:pt>
                <c:pt idx="1">
                  <c:v>259</c:v>
                </c:pt>
                <c:pt idx="2">
                  <c:v>387</c:v>
                </c:pt>
                <c:pt idx="3">
                  <c:v>210</c:v>
                </c:pt>
                <c:pt idx="4">
                  <c:v>181</c:v>
                </c:pt>
                <c:pt idx="5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64-4337-85B0-2C1D5D99D79B}"/>
            </c:ext>
          </c:extLst>
        </c:ser>
        <c:ser>
          <c:idx val="3"/>
          <c:order val="3"/>
          <c:tx>
            <c:strRef>
              <c:f>'DATOS 5'!$E$58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5'!$A$59:$A$65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5'!$E$59:$E$65</c:f>
              <c:numCache>
                <c:formatCode>General</c:formatCode>
                <c:ptCount val="6"/>
                <c:pt idx="0">
                  <c:v>10</c:v>
                </c:pt>
                <c:pt idx="1">
                  <c:v>11</c:v>
                </c:pt>
                <c:pt idx="2">
                  <c:v>14</c:v>
                </c:pt>
                <c:pt idx="3">
                  <c:v>8</c:v>
                </c:pt>
                <c:pt idx="4">
                  <c:v>5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64-4337-85B0-2C1D5D99D7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73437632"/>
        <c:axId val="573438592"/>
      </c:barChart>
      <c:catAx>
        <c:axId val="57343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73438592"/>
        <c:crosses val="autoZero"/>
        <c:auto val="1"/>
        <c:lblAlgn val="ctr"/>
        <c:lblOffset val="100"/>
        <c:noMultiLvlLbl val="0"/>
      </c:catAx>
      <c:valAx>
        <c:axId val="57343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7343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(CICLO2) (version definitiva) (FASE 5) .xlsx]DATOS 5!TablaDinámica5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5'!$B$79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5'!$A$80:$A$86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5'!$B$80:$B$86</c:f>
              <c:numCache>
                <c:formatCode>General</c:formatCod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9</c:v>
                </c:pt>
                <c:pt idx="4">
                  <c:v>6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1C-49A6-9158-DE8DEC9A454E}"/>
            </c:ext>
          </c:extLst>
        </c:ser>
        <c:ser>
          <c:idx val="1"/>
          <c:order val="1"/>
          <c:tx>
            <c:strRef>
              <c:f>'DATOS 5'!$C$79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5'!$A$80:$A$86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5'!$C$80:$C$86</c:f>
              <c:numCache>
                <c:formatCode>General</c:formatCode>
                <c:ptCount val="6"/>
                <c:pt idx="0">
                  <c:v>10</c:v>
                </c:pt>
                <c:pt idx="1">
                  <c:v>11</c:v>
                </c:pt>
                <c:pt idx="2">
                  <c:v>14</c:v>
                </c:pt>
                <c:pt idx="3">
                  <c:v>8</c:v>
                </c:pt>
                <c:pt idx="4">
                  <c:v>5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1C-49A6-9158-DE8DEC9A45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91054384"/>
        <c:axId val="591055344"/>
      </c:barChart>
      <c:catAx>
        <c:axId val="59105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91055344"/>
        <c:crosses val="autoZero"/>
        <c:auto val="1"/>
        <c:lblAlgn val="ctr"/>
        <c:lblOffset val="100"/>
        <c:noMultiLvlLbl val="0"/>
      </c:catAx>
      <c:valAx>
        <c:axId val="59105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9105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6 y 7 '!$Q$126:$T$126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20-4600-9AD7-CA70AFD0D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(CICLO2) (version definitiva) (FASE 5) .xlsx]DATOS 6 y 7 !TablaDinámica1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6 y 7 '!$B$67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6 y 7 '!$A$68:$A$74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6 y 7 '!$B$68:$B$74</c:f>
              <c:numCache>
                <c:formatCode>General</c:formatCode>
                <c:ptCount val="6"/>
                <c:pt idx="0">
                  <c:v>9</c:v>
                </c:pt>
                <c:pt idx="1">
                  <c:v>23</c:v>
                </c:pt>
                <c:pt idx="2">
                  <c:v>25</c:v>
                </c:pt>
                <c:pt idx="3">
                  <c:v>5</c:v>
                </c:pt>
                <c:pt idx="4">
                  <c:v>9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83-4871-A6D3-DBE4E102B2FD}"/>
            </c:ext>
          </c:extLst>
        </c:ser>
        <c:ser>
          <c:idx val="1"/>
          <c:order val="1"/>
          <c:tx>
            <c:strRef>
              <c:f>'DATOS 6 y 7 '!$C$67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6 y 7 '!$A$68:$A$74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6 y 7 '!$C$68:$C$74</c:f>
              <c:numCache>
                <c:formatCode>General</c:formatCode>
                <c:ptCount val="6"/>
                <c:pt idx="0">
                  <c:v>365</c:v>
                </c:pt>
                <c:pt idx="1">
                  <c:v>620</c:v>
                </c:pt>
                <c:pt idx="2">
                  <c:v>795</c:v>
                </c:pt>
                <c:pt idx="3">
                  <c:v>210</c:v>
                </c:pt>
                <c:pt idx="4">
                  <c:v>330</c:v>
                </c:pt>
                <c:pt idx="5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83-4871-A6D3-DBE4E102B2FD}"/>
            </c:ext>
          </c:extLst>
        </c:ser>
        <c:ser>
          <c:idx val="2"/>
          <c:order val="2"/>
          <c:tx>
            <c:strRef>
              <c:f>'DATOS 6 y 7 '!$D$67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6 y 7 '!$A$68:$A$74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6 y 7 '!$D$68:$D$74</c:f>
              <c:numCache>
                <c:formatCode>General</c:formatCode>
                <c:ptCount val="6"/>
                <c:pt idx="0">
                  <c:v>9</c:v>
                </c:pt>
                <c:pt idx="1">
                  <c:v>27</c:v>
                </c:pt>
                <c:pt idx="2">
                  <c:v>30</c:v>
                </c:pt>
                <c:pt idx="3">
                  <c:v>4</c:v>
                </c:pt>
                <c:pt idx="4">
                  <c:v>9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83-4871-A6D3-DBE4E102B2FD}"/>
            </c:ext>
          </c:extLst>
        </c:ser>
        <c:ser>
          <c:idx val="3"/>
          <c:order val="3"/>
          <c:tx>
            <c:strRef>
              <c:f>'DATOS 6 y 7 '!$E$67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6 y 7 '!$A$68:$A$74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6 y 7 '!$E$68:$E$74</c:f>
              <c:numCache>
                <c:formatCode>General</c:formatCode>
                <c:ptCount val="6"/>
                <c:pt idx="0">
                  <c:v>341</c:v>
                </c:pt>
                <c:pt idx="1">
                  <c:v>561</c:v>
                </c:pt>
                <c:pt idx="2">
                  <c:v>721</c:v>
                </c:pt>
                <c:pt idx="3">
                  <c:v>157</c:v>
                </c:pt>
                <c:pt idx="4">
                  <c:v>267</c:v>
                </c:pt>
                <c:pt idx="5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83-4871-A6D3-DBE4E102B2F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86366655"/>
        <c:axId val="2086367135"/>
      </c:barChart>
      <c:catAx>
        <c:axId val="2086366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86367135"/>
        <c:crosses val="autoZero"/>
        <c:auto val="1"/>
        <c:lblAlgn val="ctr"/>
        <c:lblOffset val="100"/>
        <c:noMultiLvlLbl val="0"/>
      </c:catAx>
      <c:valAx>
        <c:axId val="208636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86366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8'!$Q$130:$T$130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DB-467A-A87F-74FDAC333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(CICLO2) (version definitiva) (FASE 5) .xlsx]DATOS 8!TablaDinámica1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8'!$B$90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8'!$A$91:$A$97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8'!$B$91:$B$97</c:f>
              <c:numCache>
                <c:formatCode>General</c:formatCode>
                <c:ptCount val="6"/>
                <c:pt idx="0">
                  <c:v>18</c:v>
                </c:pt>
                <c:pt idx="1">
                  <c:v>16</c:v>
                </c:pt>
                <c:pt idx="2">
                  <c:v>17</c:v>
                </c:pt>
                <c:pt idx="3">
                  <c:v>10</c:v>
                </c:pt>
                <c:pt idx="4">
                  <c:v>14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9A-401C-BA7B-8DE0ABD2253D}"/>
            </c:ext>
          </c:extLst>
        </c:ser>
        <c:ser>
          <c:idx val="1"/>
          <c:order val="1"/>
          <c:tx>
            <c:strRef>
              <c:f>'DATOS 8'!$C$90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8'!$A$91:$A$97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8'!$C$91:$C$97</c:f>
              <c:numCache>
                <c:formatCode>General</c:formatCode>
                <c:ptCount val="6"/>
                <c:pt idx="0">
                  <c:v>515</c:v>
                </c:pt>
                <c:pt idx="1">
                  <c:v>410</c:v>
                </c:pt>
                <c:pt idx="2">
                  <c:v>525</c:v>
                </c:pt>
                <c:pt idx="3">
                  <c:v>330</c:v>
                </c:pt>
                <c:pt idx="4">
                  <c:v>450</c:v>
                </c:pt>
                <c:pt idx="5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9A-401C-BA7B-8DE0ABD2253D}"/>
            </c:ext>
          </c:extLst>
        </c:ser>
        <c:ser>
          <c:idx val="2"/>
          <c:order val="2"/>
          <c:tx>
            <c:strRef>
              <c:f>'DATOS 8'!$D$90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8'!$A$91:$A$97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8'!$D$91:$D$97</c:f>
              <c:numCache>
                <c:formatCode>General</c:formatCode>
                <c:ptCount val="6"/>
                <c:pt idx="0">
                  <c:v>17</c:v>
                </c:pt>
                <c:pt idx="1">
                  <c:v>17</c:v>
                </c:pt>
                <c:pt idx="2">
                  <c:v>18</c:v>
                </c:pt>
                <c:pt idx="3">
                  <c:v>11</c:v>
                </c:pt>
                <c:pt idx="4">
                  <c:v>16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9A-401C-BA7B-8DE0ABD2253D}"/>
            </c:ext>
          </c:extLst>
        </c:ser>
        <c:ser>
          <c:idx val="3"/>
          <c:order val="3"/>
          <c:tx>
            <c:strRef>
              <c:f>'DATOS 8'!$E$90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8'!$A$91:$A$97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8'!$E$91:$E$97</c:f>
              <c:numCache>
                <c:formatCode>General</c:formatCode>
                <c:ptCount val="6"/>
                <c:pt idx="0">
                  <c:v>477</c:v>
                </c:pt>
                <c:pt idx="1">
                  <c:v>352</c:v>
                </c:pt>
                <c:pt idx="2">
                  <c:v>456</c:v>
                </c:pt>
                <c:pt idx="3">
                  <c:v>260</c:v>
                </c:pt>
                <c:pt idx="4">
                  <c:v>395</c:v>
                </c:pt>
                <c:pt idx="5">
                  <c:v>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9A-401C-BA7B-8DE0ABD2253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35729360"/>
        <c:axId val="1135737040"/>
      </c:barChart>
      <c:catAx>
        <c:axId val="113572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35737040"/>
        <c:crosses val="autoZero"/>
        <c:auto val="1"/>
        <c:lblAlgn val="ctr"/>
        <c:lblOffset val="100"/>
        <c:noMultiLvlLbl val="0"/>
      </c:catAx>
      <c:valAx>
        <c:axId val="113573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3572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9'!$Q$133:$T$133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0F-4357-AD42-DCA3D3B68D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(CICLO2) (version definitiva) (FASE 5) .xlsx]DATOS 9!TablaDinámica1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9'!$B$93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9'!$A$94:$A$100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9'!$B$94:$B$100</c:f>
              <c:numCache>
                <c:formatCode>General</c:formatCode>
                <c:ptCount val="6"/>
                <c:pt idx="0">
                  <c:v>19</c:v>
                </c:pt>
                <c:pt idx="1">
                  <c:v>16</c:v>
                </c:pt>
                <c:pt idx="2">
                  <c:v>18</c:v>
                </c:pt>
                <c:pt idx="3">
                  <c:v>11</c:v>
                </c:pt>
                <c:pt idx="4">
                  <c:v>13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AB-4A1D-9FA2-837E083FBB52}"/>
            </c:ext>
          </c:extLst>
        </c:ser>
        <c:ser>
          <c:idx val="1"/>
          <c:order val="1"/>
          <c:tx>
            <c:strRef>
              <c:f>'DATOS 9'!$C$93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9'!$A$94:$A$100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9'!$C$94:$C$100</c:f>
              <c:numCache>
                <c:formatCode>General</c:formatCode>
                <c:ptCount val="6"/>
                <c:pt idx="0">
                  <c:v>605</c:v>
                </c:pt>
                <c:pt idx="1">
                  <c:v>410</c:v>
                </c:pt>
                <c:pt idx="2">
                  <c:v>555</c:v>
                </c:pt>
                <c:pt idx="3">
                  <c:v>360</c:v>
                </c:pt>
                <c:pt idx="4">
                  <c:v>420</c:v>
                </c:pt>
                <c:pt idx="5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AB-4A1D-9FA2-837E083FBB52}"/>
            </c:ext>
          </c:extLst>
        </c:ser>
        <c:ser>
          <c:idx val="2"/>
          <c:order val="2"/>
          <c:tx>
            <c:strRef>
              <c:f>'DATOS 9'!$D$93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9'!$A$94:$A$100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9'!$D$94:$D$100</c:f>
              <c:numCache>
                <c:formatCode>General</c:formatCode>
                <c:ptCount val="6"/>
                <c:pt idx="0">
                  <c:v>566</c:v>
                </c:pt>
                <c:pt idx="1">
                  <c:v>340</c:v>
                </c:pt>
                <c:pt idx="2">
                  <c:v>480</c:v>
                </c:pt>
                <c:pt idx="3">
                  <c:v>300</c:v>
                </c:pt>
                <c:pt idx="4">
                  <c:v>352</c:v>
                </c:pt>
                <c:pt idx="5">
                  <c:v>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AB-4A1D-9FA2-837E083FBB52}"/>
            </c:ext>
          </c:extLst>
        </c:ser>
        <c:ser>
          <c:idx val="3"/>
          <c:order val="3"/>
          <c:tx>
            <c:strRef>
              <c:f>'DATOS 9'!$E$93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9'!$A$94:$A$100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9'!$E$94:$E$100</c:f>
              <c:numCache>
                <c:formatCode>General</c:formatCode>
                <c:ptCount val="6"/>
                <c:pt idx="0">
                  <c:v>21</c:v>
                </c:pt>
                <c:pt idx="1">
                  <c:v>19</c:v>
                </c:pt>
                <c:pt idx="2">
                  <c:v>27</c:v>
                </c:pt>
                <c:pt idx="3">
                  <c:v>14</c:v>
                </c:pt>
                <c:pt idx="4">
                  <c:v>15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AB-4A1D-9FA2-837E083FBB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9151455"/>
        <c:axId val="1149168255"/>
      </c:barChart>
      <c:catAx>
        <c:axId val="1149151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9168255"/>
        <c:crosses val="autoZero"/>
        <c:auto val="1"/>
        <c:lblAlgn val="ctr"/>
        <c:lblOffset val="100"/>
        <c:noMultiLvlLbl val="0"/>
      </c:catAx>
      <c:valAx>
        <c:axId val="114916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9151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EDTs!$Q$109:$T$109</c:f>
              <c:numCache>
                <c:formatCode>_(* #,##0_);_(* \(#,##0\);_(* "-"_);_(@_)</c:formatCode>
                <c:ptCount val="4"/>
                <c:pt idx="0">
                  <c:v>107</c:v>
                </c:pt>
                <c:pt idx="1">
                  <c:v>4265</c:v>
                </c:pt>
                <c:pt idx="2">
                  <c:v>107</c:v>
                </c:pt>
                <c:pt idx="3">
                  <c:v>4101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4B-44BE-8FEE-3F5FC0F50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(CICLO2) (version definitiva) (FASE 5) .xlsx]EDTs!TablaDinámica10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EDTs!$B$252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EDTs!$A$253:$A$259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EDTs!$B$253:$B$259</c:f>
              <c:numCache>
                <c:formatCode>General</c:formatCode>
                <c:ptCount val="6"/>
                <c:pt idx="0">
                  <c:v>51</c:v>
                </c:pt>
                <c:pt idx="1">
                  <c:v>42</c:v>
                </c:pt>
                <c:pt idx="2">
                  <c:v>60</c:v>
                </c:pt>
                <c:pt idx="3">
                  <c:v>30</c:v>
                </c:pt>
                <c:pt idx="4">
                  <c:v>41</c:v>
                </c:pt>
                <c:pt idx="5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79-4D35-B7E2-C00176936B1F}"/>
            </c:ext>
          </c:extLst>
        </c:ser>
        <c:ser>
          <c:idx val="1"/>
          <c:order val="1"/>
          <c:tx>
            <c:strRef>
              <c:f>EDTs!$C$252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EDTs!$A$253:$A$259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EDTs!$C$253:$C$259</c:f>
              <c:numCache>
                <c:formatCode>General</c:formatCode>
                <c:ptCount val="6"/>
                <c:pt idx="0">
                  <c:v>1535</c:v>
                </c:pt>
                <c:pt idx="1">
                  <c:v>1280</c:v>
                </c:pt>
                <c:pt idx="2">
                  <c:v>2100</c:v>
                </c:pt>
                <c:pt idx="3">
                  <c:v>1080</c:v>
                </c:pt>
                <c:pt idx="4">
                  <c:v>1225</c:v>
                </c:pt>
                <c:pt idx="5">
                  <c:v>1230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79-4D35-B7E2-C00176936B1F}"/>
            </c:ext>
          </c:extLst>
        </c:ser>
        <c:ser>
          <c:idx val="2"/>
          <c:order val="2"/>
          <c:tx>
            <c:strRef>
              <c:f>EDTs!$D$252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EDTs!$A$253:$A$259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EDTs!$D$253:$D$259</c:f>
              <c:numCache>
                <c:formatCode>General</c:formatCode>
                <c:ptCount val="6"/>
                <c:pt idx="0">
                  <c:v>1501</c:v>
                </c:pt>
                <c:pt idx="1">
                  <c:v>1018</c:v>
                </c:pt>
                <c:pt idx="2">
                  <c:v>1710</c:v>
                </c:pt>
                <c:pt idx="3">
                  <c:v>797</c:v>
                </c:pt>
                <c:pt idx="4">
                  <c:v>1221</c:v>
                </c:pt>
                <c:pt idx="5">
                  <c:v>1062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79-4D35-B7E2-C00176936B1F}"/>
            </c:ext>
          </c:extLst>
        </c:ser>
        <c:ser>
          <c:idx val="3"/>
          <c:order val="3"/>
          <c:tx>
            <c:strRef>
              <c:f>EDTs!$E$252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EDTs!$A$253:$A$259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EDTs!$E$253:$E$259</c:f>
              <c:numCache>
                <c:formatCode>General</c:formatCode>
                <c:ptCount val="6"/>
                <c:pt idx="0">
                  <c:v>53</c:v>
                </c:pt>
                <c:pt idx="1">
                  <c:v>42</c:v>
                </c:pt>
                <c:pt idx="2">
                  <c:v>62</c:v>
                </c:pt>
                <c:pt idx="3">
                  <c:v>29</c:v>
                </c:pt>
                <c:pt idx="4">
                  <c:v>43</c:v>
                </c:pt>
                <c:pt idx="5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79-4D35-B7E2-C00176936B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2688111"/>
        <c:axId val="272687631"/>
      </c:barChart>
      <c:catAx>
        <c:axId val="27268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72687631"/>
        <c:crosses val="autoZero"/>
        <c:auto val="1"/>
        <c:lblAlgn val="ctr"/>
        <c:lblOffset val="100"/>
        <c:noMultiLvlLbl val="0"/>
      </c:catAx>
      <c:valAx>
        <c:axId val="27268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72688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1 (CICLO 2)'!$Q$133:$T$133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B7-4558-B07E-7DD88658C9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(CICLO2) (version definitiva) (FASE 5) .xlsx]DATOS 1 (CICLO 2)!TablaDinámica1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1 (CICLO 2)'!$B$116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1 (CICLO 2)'!$A$117:$A$123</c:f>
              <c:strCache>
                <c:ptCount val="6"/>
                <c:pt idx="0">
                  <c:v>Esteban Prieto</c:v>
                </c:pt>
                <c:pt idx="1">
                  <c:v>Kerlon Gutierrez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1 (CICLO 2)'!$B$117:$B$123</c:f>
              <c:numCache>
                <c:formatCode>General</c:formatCode>
                <c:ptCount val="6"/>
                <c:pt idx="0">
                  <c:v>16</c:v>
                </c:pt>
                <c:pt idx="1">
                  <c:v>18</c:v>
                </c:pt>
                <c:pt idx="2">
                  <c:v>18</c:v>
                </c:pt>
                <c:pt idx="3">
                  <c:v>24</c:v>
                </c:pt>
                <c:pt idx="4">
                  <c:v>21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F3-4F8A-AC4D-F557D30A1511}"/>
            </c:ext>
          </c:extLst>
        </c:ser>
        <c:ser>
          <c:idx val="1"/>
          <c:order val="1"/>
          <c:tx>
            <c:strRef>
              <c:f>'DATOS 1 (CICLO 2)'!$C$116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1 (CICLO 2)'!$A$117:$A$123</c:f>
              <c:strCache>
                <c:ptCount val="6"/>
                <c:pt idx="0">
                  <c:v>Esteban Prieto</c:v>
                </c:pt>
                <c:pt idx="1">
                  <c:v>Kerlon Gutierrez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1 (CICLO 2)'!$C$117:$C$123</c:f>
              <c:numCache>
                <c:formatCode>General</c:formatCode>
                <c:ptCount val="6"/>
                <c:pt idx="0">
                  <c:v>475</c:v>
                </c:pt>
                <c:pt idx="1">
                  <c:v>575</c:v>
                </c:pt>
                <c:pt idx="2">
                  <c:v>535</c:v>
                </c:pt>
                <c:pt idx="3">
                  <c:v>700</c:v>
                </c:pt>
                <c:pt idx="4">
                  <c:v>640</c:v>
                </c:pt>
                <c:pt idx="5">
                  <c:v>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F3-4F8A-AC4D-F557D30A1511}"/>
            </c:ext>
          </c:extLst>
        </c:ser>
        <c:ser>
          <c:idx val="2"/>
          <c:order val="2"/>
          <c:tx>
            <c:strRef>
              <c:f>'DATOS 1 (CICLO 2)'!$D$116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1 (CICLO 2)'!$A$117:$A$123</c:f>
              <c:strCache>
                <c:ptCount val="6"/>
                <c:pt idx="0">
                  <c:v>Esteban Prieto</c:v>
                </c:pt>
                <c:pt idx="1">
                  <c:v>Kerlon Gutierrez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1 (CICLO 2)'!$D$117:$D$123</c:f>
              <c:numCache>
                <c:formatCode>General</c:formatCode>
                <c:ptCount val="6"/>
                <c:pt idx="0">
                  <c:v>20</c:v>
                </c:pt>
                <c:pt idx="1">
                  <c:v>23</c:v>
                </c:pt>
                <c:pt idx="2">
                  <c:v>20</c:v>
                </c:pt>
                <c:pt idx="3">
                  <c:v>27</c:v>
                </c:pt>
                <c:pt idx="4">
                  <c:v>25</c:v>
                </c:pt>
                <c:pt idx="5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F3-4F8A-AC4D-F557D30A1511}"/>
            </c:ext>
          </c:extLst>
        </c:ser>
        <c:ser>
          <c:idx val="3"/>
          <c:order val="3"/>
          <c:tx>
            <c:strRef>
              <c:f>'DATOS 1 (CICLO 2)'!$E$116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1 (CICLO 2)'!$A$117:$A$123</c:f>
              <c:strCache>
                <c:ptCount val="6"/>
                <c:pt idx="0">
                  <c:v>Esteban Prieto</c:v>
                </c:pt>
                <c:pt idx="1">
                  <c:v>Kerlon Gutierrez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1 (CICLO 2)'!$E$117:$E$123</c:f>
              <c:numCache>
                <c:formatCode>General</c:formatCode>
                <c:ptCount val="6"/>
                <c:pt idx="0">
                  <c:v>389</c:v>
                </c:pt>
                <c:pt idx="1">
                  <c:v>437</c:v>
                </c:pt>
                <c:pt idx="2">
                  <c:v>448</c:v>
                </c:pt>
                <c:pt idx="3">
                  <c:v>593</c:v>
                </c:pt>
                <c:pt idx="4">
                  <c:v>575</c:v>
                </c:pt>
                <c:pt idx="5">
                  <c:v>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F3-4F8A-AC4D-F557D30A15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20756959"/>
        <c:axId val="620758399"/>
      </c:barChart>
      <c:catAx>
        <c:axId val="6207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20758399"/>
        <c:crosses val="autoZero"/>
        <c:auto val="1"/>
        <c:lblAlgn val="ctr"/>
        <c:lblOffset val="100"/>
        <c:noMultiLvlLbl val="0"/>
      </c:catAx>
      <c:valAx>
        <c:axId val="62075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20756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2 (CICLO 2) '!$Q$133:$T$133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F8-4447-9045-856B6CD9C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(CICLO2) (version definitiva) (FASE 5) .xlsx]DATOS 2 (CICLO 2) !TablaDinámica6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2 (CICLO 2) '!$B$135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2 (CICLO 2) '!$A$136:$A$142</c:f>
              <c:strCache>
                <c:ptCount val="6"/>
                <c:pt idx="0">
                  <c:v>Esteban Prieto</c:v>
                </c:pt>
                <c:pt idx="1">
                  <c:v>Kerlon Gutierrez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2 (CICLO 2) '!$B$136:$B$142</c:f>
              <c:numCache>
                <c:formatCode>General</c:formatCode>
                <c:ptCount val="6"/>
                <c:pt idx="0">
                  <c:v>21</c:v>
                </c:pt>
                <c:pt idx="1">
                  <c:v>18</c:v>
                </c:pt>
                <c:pt idx="2">
                  <c:v>19</c:v>
                </c:pt>
                <c:pt idx="3">
                  <c:v>25</c:v>
                </c:pt>
                <c:pt idx="4">
                  <c:v>25</c:v>
                </c:pt>
                <c:pt idx="5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1F-46FB-B56D-BC72C58AB34A}"/>
            </c:ext>
          </c:extLst>
        </c:ser>
        <c:ser>
          <c:idx val="1"/>
          <c:order val="1"/>
          <c:tx>
            <c:strRef>
              <c:f>'DATOS 2 (CICLO 2) '!$C$135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2 (CICLO 2) '!$A$136:$A$142</c:f>
              <c:strCache>
                <c:ptCount val="6"/>
                <c:pt idx="0">
                  <c:v>Esteban Prieto</c:v>
                </c:pt>
                <c:pt idx="1">
                  <c:v>Kerlon Gutierrez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2 (CICLO 2) '!$C$136:$C$142</c:f>
              <c:numCache>
                <c:formatCode>General</c:formatCode>
                <c:ptCount val="6"/>
                <c:pt idx="0">
                  <c:v>650</c:v>
                </c:pt>
                <c:pt idx="1">
                  <c:v>600</c:v>
                </c:pt>
                <c:pt idx="2">
                  <c:v>590</c:v>
                </c:pt>
                <c:pt idx="3">
                  <c:v>755</c:v>
                </c:pt>
                <c:pt idx="4">
                  <c:v>785</c:v>
                </c:pt>
                <c:pt idx="5">
                  <c:v>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1F-46FB-B56D-BC72C58AB34A}"/>
            </c:ext>
          </c:extLst>
        </c:ser>
        <c:ser>
          <c:idx val="2"/>
          <c:order val="2"/>
          <c:tx>
            <c:strRef>
              <c:f>'DATOS 2 (CICLO 2) '!$D$135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2 (CICLO 2) '!$A$136:$A$142</c:f>
              <c:strCache>
                <c:ptCount val="6"/>
                <c:pt idx="0">
                  <c:v>Esteban Prieto</c:v>
                </c:pt>
                <c:pt idx="1">
                  <c:v>Kerlon Gutierrez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2 (CICLO 2) '!$D$136:$D$142</c:f>
              <c:numCache>
                <c:formatCode>General</c:formatCode>
                <c:ptCount val="6"/>
                <c:pt idx="0">
                  <c:v>554</c:v>
                </c:pt>
                <c:pt idx="1">
                  <c:v>476</c:v>
                </c:pt>
                <c:pt idx="2">
                  <c:v>502</c:v>
                </c:pt>
                <c:pt idx="3">
                  <c:v>651</c:v>
                </c:pt>
                <c:pt idx="4">
                  <c:v>712</c:v>
                </c:pt>
                <c:pt idx="5">
                  <c:v>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1F-46FB-B56D-BC72C58AB34A}"/>
            </c:ext>
          </c:extLst>
        </c:ser>
        <c:ser>
          <c:idx val="3"/>
          <c:order val="3"/>
          <c:tx>
            <c:strRef>
              <c:f>'DATOS 2 (CICLO 2) '!$E$135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2 (CICLO 2) '!$A$136:$A$142</c:f>
              <c:strCache>
                <c:ptCount val="6"/>
                <c:pt idx="0">
                  <c:v>Esteban Prieto</c:v>
                </c:pt>
                <c:pt idx="1">
                  <c:v>Kerlon Gutierrez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2 (CICLO 2) '!$E$136:$E$142</c:f>
              <c:numCache>
                <c:formatCode>General</c:formatCode>
                <c:ptCount val="6"/>
                <c:pt idx="0">
                  <c:v>23</c:v>
                </c:pt>
                <c:pt idx="1">
                  <c:v>21</c:v>
                </c:pt>
                <c:pt idx="2">
                  <c:v>21</c:v>
                </c:pt>
                <c:pt idx="3">
                  <c:v>28</c:v>
                </c:pt>
                <c:pt idx="4">
                  <c:v>27</c:v>
                </c:pt>
                <c:pt idx="5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1F-46FB-B56D-BC72C58AB3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4671"/>
        <c:axId val="555151"/>
      </c:barChart>
      <c:catAx>
        <c:axId val="554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55151"/>
        <c:crosses val="autoZero"/>
        <c:auto val="1"/>
        <c:lblAlgn val="ctr"/>
        <c:lblOffset val="100"/>
        <c:noMultiLvlLbl val="0"/>
      </c:catAx>
      <c:valAx>
        <c:axId val="55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54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3 (CICLO 2) '!$Q$133:$T$133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7F-467A-92C7-D4C3813E8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(CICLO2) (version definitiva) (FASE 5) .xlsx]DATOS 3 (CICLO 2) !TablaDinámica1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3 (CICLO 2) '!$B$66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3 (CICLO 2) '!$A$67:$A$73</c:f>
              <c:strCache>
                <c:ptCount val="6"/>
                <c:pt idx="0">
                  <c:v>Esteban Prieto</c:v>
                </c:pt>
                <c:pt idx="1">
                  <c:v>Kerlon Gutierrez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3 (CICLO 2) '!$B$67:$B$73</c:f>
              <c:numCache>
                <c:formatCode>General</c:formatCode>
                <c:ptCount val="6"/>
                <c:pt idx="0">
                  <c:v>7</c:v>
                </c:pt>
                <c:pt idx="1">
                  <c:v>10</c:v>
                </c:pt>
                <c:pt idx="2">
                  <c:v>10</c:v>
                </c:pt>
                <c:pt idx="3">
                  <c:v>14</c:v>
                </c:pt>
                <c:pt idx="4">
                  <c:v>11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4B-4145-87D1-825CE73B1EE1}"/>
            </c:ext>
          </c:extLst>
        </c:ser>
        <c:ser>
          <c:idx val="1"/>
          <c:order val="1"/>
          <c:tx>
            <c:strRef>
              <c:f>'DATOS 3 (CICLO 2) '!$C$66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3 (CICLO 2) '!$A$67:$A$73</c:f>
              <c:strCache>
                <c:ptCount val="6"/>
                <c:pt idx="0">
                  <c:v>Esteban Prieto</c:v>
                </c:pt>
                <c:pt idx="1">
                  <c:v>Kerlon Gutierrez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3 (CICLO 2) '!$C$67:$C$73</c:f>
              <c:numCache>
                <c:formatCode>General</c:formatCode>
                <c:ptCount val="6"/>
                <c:pt idx="0">
                  <c:v>230</c:v>
                </c:pt>
                <c:pt idx="1">
                  <c:v>360</c:v>
                </c:pt>
                <c:pt idx="2">
                  <c:v>320</c:v>
                </c:pt>
                <c:pt idx="3">
                  <c:v>425</c:v>
                </c:pt>
                <c:pt idx="4">
                  <c:v>365</c:v>
                </c:pt>
                <c:pt idx="5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4B-4145-87D1-825CE73B1EE1}"/>
            </c:ext>
          </c:extLst>
        </c:ser>
        <c:ser>
          <c:idx val="2"/>
          <c:order val="2"/>
          <c:tx>
            <c:strRef>
              <c:f>'DATOS 3 (CICLO 2) '!$D$66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3 (CICLO 2) '!$A$67:$A$73</c:f>
              <c:strCache>
                <c:ptCount val="6"/>
                <c:pt idx="0">
                  <c:v>Esteban Prieto</c:v>
                </c:pt>
                <c:pt idx="1">
                  <c:v>Kerlon Gutierrez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3 (CICLO 2) '!$D$67:$D$73</c:f>
              <c:numCache>
                <c:formatCode>General</c:formatCode>
                <c:ptCount val="6"/>
                <c:pt idx="0">
                  <c:v>162</c:v>
                </c:pt>
                <c:pt idx="1">
                  <c:v>227</c:v>
                </c:pt>
                <c:pt idx="2">
                  <c:v>235</c:v>
                </c:pt>
                <c:pt idx="3">
                  <c:v>333</c:v>
                </c:pt>
                <c:pt idx="4">
                  <c:v>321</c:v>
                </c:pt>
                <c:pt idx="5">
                  <c:v>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4B-4145-87D1-825CE73B1EE1}"/>
            </c:ext>
          </c:extLst>
        </c:ser>
        <c:ser>
          <c:idx val="3"/>
          <c:order val="3"/>
          <c:tx>
            <c:strRef>
              <c:f>'DATOS 3 (CICLO 2) '!$E$66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3 (CICLO 2) '!$A$67:$A$73</c:f>
              <c:strCache>
                <c:ptCount val="6"/>
                <c:pt idx="0">
                  <c:v>Esteban Prieto</c:v>
                </c:pt>
                <c:pt idx="1">
                  <c:v>Kerlon Gutierrez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3 (CICLO 2) '!$E$67:$E$73</c:f>
              <c:numCache>
                <c:formatCode>General</c:formatCode>
                <c:ptCount val="6"/>
                <c:pt idx="0">
                  <c:v>8</c:v>
                </c:pt>
                <c:pt idx="1">
                  <c:v>10</c:v>
                </c:pt>
                <c:pt idx="2">
                  <c:v>10</c:v>
                </c:pt>
                <c:pt idx="3">
                  <c:v>15</c:v>
                </c:pt>
                <c:pt idx="4">
                  <c:v>12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4B-4145-87D1-825CE73B1E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4282144"/>
        <c:axId val="94283584"/>
      </c:barChart>
      <c:catAx>
        <c:axId val="9428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4283584"/>
        <c:crosses val="autoZero"/>
        <c:auto val="1"/>
        <c:lblAlgn val="ctr"/>
        <c:lblOffset val="100"/>
        <c:noMultiLvlLbl val="0"/>
      </c:catAx>
      <c:valAx>
        <c:axId val="9428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4282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image" Target="../media/image1.jpeg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image" Target="../media/image1.jpeg"/><Relationship Id="rId4" Type="http://schemas.openxmlformats.org/officeDocument/2006/relationships/chart" Target="../charts/chart23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image" Target="../media/image1.jpeg"/><Relationship Id="rId4" Type="http://schemas.openxmlformats.org/officeDocument/2006/relationships/chart" Target="../charts/chart26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.xml"/><Relationship Id="rId2" Type="http://schemas.openxmlformats.org/officeDocument/2006/relationships/chart" Target="../charts/chart31.xml"/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0.xml"/><Relationship Id="rId2" Type="http://schemas.openxmlformats.org/officeDocument/2006/relationships/chart" Target="../charts/chart39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B380723C-8E38-4A18-BFEF-B1A7A5B8265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103</xdr:row>
      <xdr:rowOff>249918</xdr:rowOff>
    </xdr:from>
    <xdr:to>
      <xdr:col>26</xdr:col>
      <xdr:colOff>534080</xdr:colOff>
      <xdr:row>120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8A72D84-72B7-400F-9B18-A88C24B90C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103</xdr:row>
      <xdr:rowOff>249918</xdr:rowOff>
    </xdr:from>
    <xdr:to>
      <xdr:col>26</xdr:col>
      <xdr:colOff>534080</xdr:colOff>
      <xdr:row>120</xdr:row>
      <xdr:rowOff>33565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552D9D9-1541-D8A9-6FEA-964D468C44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F5E726DE-64E1-4271-BFEA-0DF7536E5E7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103</xdr:row>
      <xdr:rowOff>249918</xdr:rowOff>
    </xdr:from>
    <xdr:to>
      <xdr:col>26</xdr:col>
      <xdr:colOff>534080</xdr:colOff>
      <xdr:row>120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E9E1211-E47C-4EF3-8AC9-C71524CA61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D3D7A647-0E31-4862-9148-3A7632F3996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103</xdr:row>
      <xdr:rowOff>249918</xdr:rowOff>
    </xdr:from>
    <xdr:to>
      <xdr:col>26</xdr:col>
      <xdr:colOff>534080</xdr:colOff>
      <xdr:row>120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01459AD-24EA-47C1-A526-F1E218B9E6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100A50FC-FF30-4E1A-8477-6EA6EEC6C0B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117</xdr:row>
      <xdr:rowOff>249918</xdr:rowOff>
    </xdr:from>
    <xdr:to>
      <xdr:col>26</xdr:col>
      <xdr:colOff>534080</xdr:colOff>
      <xdr:row>134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F97510A-0C36-4215-9B7F-63D10053AF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C6DC0B09-48EC-4C4E-A18F-502106C2DDE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117</xdr:row>
      <xdr:rowOff>249918</xdr:rowOff>
    </xdr:from>
    <xdr:to>
      <xdr:col>26</xdr:col>
      <xdr:colOff>534080</xdr:colOff>
      <xdr:row>134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539E4F3-9CF2-439A-9248-A55C97FF92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EDC65EED-8AF7-4C5F-B659-FA84D3C8B6B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119</xdr:row>
      <xdr:rowOff>249918</xdr:rowOff>
    </xdr:from>
    <xdr:to>
      <xdr:col>26</xdr:col>
      <xdr:colOff>534080</xdr:colOff>
      <xdr:row>136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6FE5142-8C1D-4865-9A99-0B4BA6DF37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E68092A1-84B4-4EF6-8D27-6A0BE7A37EC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123</xdr:row>
      <xdr:rowOff>249918</xdr:rowOff>
    </xdr:from>
    <xdr:to>
      <xdr:col>26</xdr:col>
      <xdr:colOff>534080</xdr:colOff>
      <xdr:row>140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1E539DE-1250-457C-8AFC-81F72B481D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BA505E84-9C86-4DE3-8BC5-36E1114EE90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127</xdr:row>
      <xdr:rowOff>249918</xdr:rowOff>
    </xdr:from>
    <xdr:to>
      <xdr:col>26</xdr:col>
      <xdr:colOff>534080</xdr:colOff>
      <xdr:row>144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9B66D9A-E785-411A-A6D4-A331243710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248329</xdr:colOff>
      <xdr:row>102</xdr:row>
      <xdr:rowOff>68489</xdr:rowOff>
    </xdr:from>
    <xdr:to>
      <xdr:col>4</xdr:col>
      <xdr:colOff>351517</xdr:colOff>
      <xdr:row>128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712811B-AFA6-412D-B0A5-1722C37415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3EEC0AB9-4A43-4687-B462-50FF92D76F7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103</xdr:row>
      <xdr:rowOff>249918</xdr:rowOff>
    </xdr:from>
    <xdr:to>
      <xdr:col>26</xdr:col>
      <xdr:colOff>534080</xdr:colOff>
      <xdr:row>120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3828721-AC36-43F1-922A-ABEA2F981E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1801813</xdr:colOff>
      <xdr:row>79</xdr:row>
      <xdr:rowOff>147865</xdr:rowOff>
    </xdr:from>
    <xdr:to>
      <xdr:col>4</xdr:col>
      <xdr:colOff>1134</xdr:colOff>
      <xdr:row>81</xdr:row>
      <xdr:rowOff>101600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4595EF8-5951-4B78-A9D1-9E750281AF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2017258</xdr:colOff>
      <xdr:row>88</xdr:row>
      <xdr:rowOff>34018</xdr:rowOff>
    </xdr:from>
    <xdr:to>
      <xdr:col>4</xdr:col>
      <xdr:colOff>-1</xdr:colOff>
      <xdr:row>90</xdr:row>
      <xdr:rowOff>112940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3670ACF-72D8-4B8E-B8CB-0D53F47C71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1387929</xdr:colOff>
      <xdr:row>95</xdr:row>
      <xdr:rowOff>147863</xdr:rowOff>
    </xdr:from>
    <xdr:to>
      <xdr:col>3</xdr:col>
      <xdr:colOff>771071</xdr:colOff>
      <xdr:row>96</xdr:row>
      <xdr:rowOff>3106964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D75BD966-E47E-4E69-AC30-3571F67C4B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2147661</xdr:colOff>
      <xdr:row>102</xdr:row>
      <xdr:rowOff>91167</xdr:rowOff>
    </xdr:from>
    <xdr:to>
      <xdr:col>4</xdr:col>
      <xdr:colOff>278947</xdr:colOff>
      <xdr:row>116</xdr:row>
      <xdr:rowOff>67581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090198E-215F-4C50-ABCF-1221B0F04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44222</xdr:colOff>
      <xdr:row>135</xdr:row>
      <xdr:rowOff>34471</xdr:rowOff>
    </xdr:from>
    <xdr:to>
      <xdr:col>6</xdr:col>
      <xdr:colOff>34017</xdr:colOff>
      <xdr:row>161</xdr:row>
      <xdr:rowOff>45357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F030EB65-651F-51C5-2959-191489CD66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59</xdr:row>
      <xdr:rowOff>113846</xdr:rowOff>
    </xdr:from>
    <xdr:to>
      <xdr:col>5</xdr:col>
      <xdr:colOff>11340</xdr:colOff>
      <xdr:row>72</xdr:row>
      <xdr:rowOff>68034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843460AA-7BC1-DC6F-5638-4CA057F3C6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CB0DBF80-8570-4A35-9893-E3EBE4087FC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0</xdr:col>
      <xdr:colOff>55562</xdr:colOff>
      <xdr:row>77</xdr:row>
      <xdr:rowOff>68489</xdr:rowOff>
    </xdr:from>
    <xdr:to>
      <xdr:col>4</xdr:col>
      <xdr:colOff>238125</xdr:colOff>
      <xdr:row>103</xdr:row>
      <xdr:rowOff>113393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AB7386A-F77D-2E52-108B-BAB4931962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0B508607-8B46-409E-A94D-EB3E30EF12F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99</xdr:row>
      <xdr:rowOff>249918</xdr:rowOff>
    </xdr:from>
    <xdr:to>
      <xdr:col>26</xdr:col>
      <xdr:colOff>534080</xdr:colOff>
      <xdr:row>116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6C5A79B-33B7-44D6-AB1A-690418EA0A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418418</xdr:colOff>
      <xdr:row>62</xdr:row>
      <xdr:rowOff>0</xdr:rowOff>
    </xdr:from>
    <xdr:to>
      <xdr:col>6</xdr:col>
      <xdr:colOff>158750</xdr:colOff>
      <xdr:row>71</xdr:row>
      <xdr:rowOff>317500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33B99611-312A-A0F5-12F9-F1D3F05227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79C0D65F-0144-494D-9DCB-CE914D1AE05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117</xdr:row>
      <xdr:rowOff>249918</xdr:rowOff>
    </xdr:from>
    <xdr:to>
      <xdr:col>26</xdr:col>
      <xdr:colOff>534080</xdr:colOff>
      <xdr:row>134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D3B1637-58D7-4103-8624-18E50F401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238127</xdr:colOff>
      <xdr:row>98</xdr:row>
      <xdr:rowOff>79827</xdr:rowOff>
    </xdr:from>
    <xdr:to>
      <xdr:col>12</xdr:col>
      <xdr:colOff>2313215</xdr:colOff>
      <xdr:row>119</xdr:row>
      <xdr:rowOff>68035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88122BF-9B9A-FFCA-AF2C-DEB0B43311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293688</xdr:colOff>
      <xdr:row>124</xdr:row>
      <xdr:rowOff>57150</xdr:rowOff>
    </xdr:from>
    <xdr:to>
      <xdr:col>7</xdr:col>
      <xdr:colOff>579438</xdr:colOff>
      <xdr:row>131</xdr:row>
      <xdr:rowOff>112939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84E10F4-C070-86DA-2BAA-04ADFEF2C1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C7CFE36D-8425-4C19-AAE0-9F7F2955063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117</xdr:row>
      <xdr:rowOff>249918</xdr:rowOff>
    </xdr:from>
    <xdr:to>
      <xdr:col>26</xdr:col>
      <xdr:colOff>534080</xdr:colOff>
      <xdr:row>134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7F5FACE-3C24-44D2-BD8B-013F9E7393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66</xdr:row>
      <xdr:rowOff>23130</xdr:rowOff>
    </xdr:from>
    <xdr:to>
      <xdr:col>4</xdr:col>
      <xdr:colOff>1428749</xdr:colOff>
      <xdr:row>77</xdr:row>
      <xdr:rowOff>170090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2DF852F-1949-19DD-75B1-B15F589500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87</xdr:row>
      <xdr:rowOff>454</xdr:rowOff>
    </xdr:from>
    <xdr:to>
      <xdr:col>2</xdr:col>
      <xdr:colOff>1428749</xdr:colOff>
      <xdr:row>107</xdr:row>
      <xdr:rowOff>124732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9008B1A-1F82-A451-53F3-F37B375C3C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89F72A72-BD5C-436F-91C5-CB4E57F0420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120</xdr:row>
      <xdr:rowOff>249918</xdr:rowOff>
    </xdr:from>
    <xdr:to>
      <xdr:col>26</xdr:col>
      <xdr:colOff>534080</xdr:colOff>
      <xdr:row>137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0925FA6-862A-4186-90EF-5A1A53C59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66901</xdr:colOff>
      <xdr:row>75</xdr:row>
      <xdr:rowOff>23132</xdr:rowOff>
    </xdr:from>
    <xdr:to>
      <xdr:col>3</xdr:col>
      <xdr:colOff>147411</xdr:colOff>
      <xdr:row>84</xdr:row>
      <xdr:rowOff>68036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01D222D-34F2-C9CB-D3DA-DA392975C0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7672B910-AA87-4662-AD2C-414CD0A0A78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124</xdr:row>
      <xdr:rowOff>249918</xdr:rowOff>
    </xdr:from>
    <xdr:to>
      <xdr:col>26</xdr:col>
      <xdr:colOff>534080</xdr:colOff>
      <xdr:row>141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B3B1DCF-1141-44DC-B2BC-B53D948455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89580</xdr:colOff>
      <xdr:row>98</xdr:row>
      <xdr:rowOff>79828</xdr:rowOff>
    </xdr:from>
    <xdr:to>
      <xdr:col>3</xdr:col>
      <xdr:colOff>476250</xdr:colOff>
      <xdr:row>119</xdr:row>
      <xdr:rowOff>147409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36D74FC-7BE7-B27E-6D48-20C02EF31A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00B9CA4A-5F9F-43F4-A855-D0A68B04655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127</xdr:row>
      <xdr:rowOff>249918</xdr:rowOff>
    </xdr:from>
    <xdr:to>
      <xdr:col>26</xdr:col>
      <xdr:colOff>534080</xdr:colOff>
      <xdr:row>144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3652175-7C21-4731-A024-C65802CDA4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248329</xdr:colOff>
      <xdr:row>102</xdr:row>
      <xdr:rowOff>68489</xdr:rowOff>
    </xdr:from>
    <xdr:to>
      <xdr:col>4</xdr:col>
      <xdr:colOff>351517</xdr:colOff>
      <xdr:row>128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A8B43FE-6838-5A59-1F6D-C6EC23FB60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33AED270-D993-456D-9B5B-52DF30A70F7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103</xdr:row>
      <xdr:rowOff>249918</xdr:rowOff>
    </xdr:from>
    <xdr:to>
      <xdr:col>26</xdr:col>
      <xdr:colOff>534080</xdr:colOff>
      <xdr:row>120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44F9DD7-C4A2-48D4-88E1-CB63A98C81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66901</xdr:colOff>
      <xdr:row>260</xdr:row>
      <xdr:rowOff>11793</xdr:rowOff>
    </xdr:from>
    <xdr:to>
      <xdr:col>3</xdr:col>
      <xdr:colOff>1349374</xdr:colOff>
      <xdr:row>284</xdr:row>
      <xdr:rowOff>136071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A4DC25A-84DF-8F08-1F9C-B7802CE8F3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734FE929-6FB9-4825-B30D-F80532F1751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127</xdr:row>
      <xdr:rowOff>249918</xdr:rowOff>
    </xdr:from>
    <xdr:to>
      <xdr:col>26</xdr:col>
      <xdr:colOff>534080</xdr:colOff>
      <xdr:row>144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EBE686C-B595-40FE-8011-DC1B5D4D94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32883</xdr:colOff>
      <xdr:row>124</xdr:row>
      <xdr:rowOff>102507</xdr:rowOff>
    </xdr:from>
    <xdr:to>
      <xdr:col>4</xdr:col>
      <xdr:colOff>1179284</xdr:colOff>
      <xdr:row>141</xdr:row>
      <xdr:rowOff>79375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8183430-E700-9F08-74C4-DA7AF04FA1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ABEF5A34-84F5-4B28-A8E4-4C48354ABA8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127</xdr:row>
      <xdr:rowOff>249918</xdr:rowOff>
    </xdr:from>
    <xdr:to>
      <xdr:col>26</xdr:col>
      <xdr:colOff>534080</xdr:colOff>
      <xdr:row>144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B8CF689-82B9-4E3A-939F-111C55E25E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382304</xdr:colOff>
      <xdr:row>144</xdr:row>
      <xdr:rowOff>24529</xdr:rowOff>
    </xdr:from>
    <xdr:to>
      <xdr:col>4</xdr:col>
      <xdr:colOff>1226507</xdr:colOff>
      <xdr:row>172</xdr:row>
      <xdr:rowOff>13047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AD169D5-10A9-B40D-E5A9-659E7438EB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4EE3B0A6-35C6-45CE-BE82-CB7A8671364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127</xdr:row>
      <xdr:rowOff>249918</xdr:rowOff>
    </xdr:from>
    <xdr:to>
      <xdr:col>26</xdr:col>
      <xdr:colOff>534080</xdr:colOff>
      <xdr:row>144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D5D76DD-674E-44CB-B57E-5712A30935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584916</xdr:colOff>
      <xdr:row>74</xdr:row>
      <xdr:rowOff>110810</xdr:rowOff>
    </xdr:from>
    <xdr:to>
      <xdr:col>4</xdr:col>
      <xdr:colOff>1341549</xdr:colOff>
      <xdr:row>83</xdr:row>
      <xdr:rowOff>120739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9C86580-79D8-83B3-F4E8-BE694496B9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02.619524305555" createdVersion="8" refreshedVersion="8" minRefreshableVersion="3" recordCount="53" xr:uid="{B798989F-2A3D-4E7D-A6A2-CD813201DA9B}">
  <cacheSource type="worksheet">
    <worksheetSource ref="B7:L61" sheet="DATOS 3"/>
  </cacheSource>
  <cacheFields count="11">
    <cacheField name="Responsable" numFmtId="165">
      <sharedItems count="8">
        <s v="Santiago Herrada"/>
        <s v="Kerlon Sanchez"/>
        <s v="Leidy Giraldo"/>
        <s v="Matias Marín"/>
        <s v="Esteban Prieto"/>
        <s v="Nicolas Cubillos"/>
        <s v="   Esteban Prieto"/>
        <s v=" Nicolas Cubillos"/>
      </sharedItems>
    </cacheField>
    <cacheField name="Rol que recibe" numFmtId="165">
      <sharedItems/>
    </cacheField>
    <cacheField name="Tamaño estimado (hojas, secciones)" numFmtId="1">
      <sharedItems containsSemiMixedTypes="0" containsString="0" containsNumber="1" containsInteger="1" minValue="1" maxValue="5"/>
    </cacheField>
    <cacheField name="Tiempo estimado (minutos)" numFmtId="1">
      <sharedItems containsSemiMixedTypes="0" containsString="0" containsNumber="1" containsInteger="1" minValue="20" maxValue="60"/>
    </cacheField>
    <cacheField name="Fecha Acordada Entrega" numFmtId="165">
      <sharedItems containsSemiMixedTypes="0" containsNonDate="0" containsDate="1" containsString="0" minDate="2025-09-03T00:00:00" maxDate="2025-09-04T00:00:00"/>
    </cacheField>
    <cacheField name="Hora Acordada entrega" numFmtId="164">
      <sharedItems containsSemiMixedTypes="0" containsNonDate="0" containsDate="1" containsString="0" minDate="1899-12-30T09:00:00" maxDate="1899-12-30T09:00:00"/>
    </cacheField>
    <cacheField name="Fecha Entregada" numFmtId="165">
      <sharedItems containsSemiMixedTypes="0" containsNonDate="0" containsDate="1" containsString="0" minDate="2025-08-30T00:00:00" maxDate="2025-09-04T00:00:00"/>
    </cacheField>
    <cacheField name="Hora Entrega" numFmtId="164">
      <sharedItems containsSemiMixedTypes="0" containsNonDate="0" containsDate="1" containsString="0" minDate="1899-12-30T09:00:00" maxDate="1899-12-30T22:30:00"/>
    </cacheField>
    <cacheField name="Diferencia" numFmtId="0">
      <sharedItems containsSemiMixedTypes="0" containsString="0" containsNumber="1" containsInteger="1" minValue="-35" maxValue="50"/>
    </cacheField>
    <cacheField name="Tamaño real" numFmtId="1">
      <sharedItems containsSemiMixedTypes="0" containsString="0" containsNumber="1" containsInteger="1" minValue="1" maxValue="5"/>
    </cacheField>
    <cacheField name="Tiempo real" numFmtId="1">
      <sharedItems containsSemiMixedTypes="0" containsString="0" containsNumber="1" containsInteger="1" minValue="10" maxValue="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02.759358101852" createdVersion="8" refreshedVersion="8" minRefreshableVersion="3" recordCount="59" xr:uid="{2988C780-3F94-4CE6-9B5B-A8A3C5C32E16}">
  <cacheSource type="worksheet">
    <worksheetSource ref="B7:L66" sheet="DATOS 2"/>
  </cacheSource>
  <cacheFields count="11">
    <cacheField name="Responsable" numFmtId="165">
      <sharedItems count="9">
        <s v="Leidy Giraldo "/>
        <s v=" Matias Marín"/>
        <s v="Santiago Herrada"/>
        <s v="Leidy Giraldo"/>
        <s v="Matias Marín"/>
        <s v="Kerlon Sanchez"/>
        <s v="Esteban Prieto"/>
        <s v="Nicolas Cubillos"/>
        <s v=" Nicolas Cubillos"/>
      </sharedItems>
    </cacheField>
    <cacheField name="Rol que recibe" numFmtId="165">
      <sharedItems/>
    </cacheField>
    <cacheField name="Tamaño estimado (hojas, secciones)" numFmtId="0">
      <sharedItems containsSemiMixedTypes="0" containsString="0" containsNumber="1" containsInteger="1" minValue="1" maxValue="3"/>
    </cacheField>
    <cacheField name="Tiempo estimado (minutos)" numFmtId="0">
      <sharedItems containsSemiMixedTypes="0" containsString="0" containsNumber="1" containsInteger="1" minValue="20" maxValue="60"/>
    </cacheField>
    <cacheField name="Fecha Acordada Entrega" numFmtId="165">
      <sharedItems containsSemiMixedTypes="0" containsNonDate="0" containsDate="1" containsString="0" minDate="2025-08-13T00:00:00" maxDate="2025-08-28T00:00:00"/>
    </cacheField>
    <cacheField name="Hora Acordada entrega" numFmtId="164">
      <sharedItems containsSemiMixedTypes="0" containsNonDate="0" containsDate="1" containsString="0" minDate="1899-12-30T09:00:00" maxDate="1899-12-30T09:00:00"/>
    </cacheField>
    <cacheField name="Fecha Entregada" numFmtId="165">
      <sharedItems containsSemiMixedTypes="0" containsNonDate="0" containsDate="1" containsString="0" minDate="2025-08-21T00:00:00" maxDate="2025-08-27T00:00:00"/>
    </cacheField>
    <cacheField name="Hora Entrega" numFmtId="164">
      <sharedItems containsSemiMixedTypes="0" containsNonDate="0" containsDate="1" containsString="0" minDate="1899-12-30T14:00:00" maxDate="1899-12-30T22:30:00"/>
    </cacheField>
    <cacheField name="Diferencia" numFmtId="1">
      <sharedItems containsSemiMixedTypes="0" containsString="0" containsNumber="1" containsInteger="1" minValue="-35" maxValue="50"/>
    </cacheField>
    <cacheField name="Tamaño real" numFmtId="0">
      <sharedItems containsSemiMixedTypes="0" containsString="0" containsNumber="1" containsInteger="1" minValue="1" maxValue="4"/>
    </cacheField>
    <cacheField name="Tiempo real" numFmtId="1">
      <sharedItems containsSemiMixedTypes="0" containsString="0" containsNumber="1" containsInteger="1" minValue="10" maxValue="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02.766130208336" createdVersion="8" refreshedVersion="8" minRefreshableVersion="3" recordCount="42" xr:uid="{D384B80A-377E-44B1-9F5A-9FEAE7E1430F}">
  <cacheSource type="worksheet">
    <worksheetSource ref="B7:L50" sheet="DATOS 1"/>
  </cacheSource>
  <cacheFields count="11">
    <cacheField name="Responsable" numFmtId="0">
      <sharedItems count="18">
        <s v="Leidy Giraldo"/>
        <s v=" Santiago Herrada"/>
        <s v="Matias Marín"/>
        <s v=" Esteban Prieto"/>
        <s v="Nicolas Cubillos"/>
        <s v=" Kerlon Sanchez"/>
        <s v="      Leidy Giraldo"/>
        <s v="Santiago Herrada"/>
        <s v="Matias Marin"/>
        <s v="Esteban Prieto"/>
        <s v="Kerlon Sanchez"/>
        <s v="       Leidy Giraldo"/>
        <s v="    Kerlon Sanchez"/>
        <s v="    Santiago Herrada"/>
        <s v="    Matias Marin"/>
        <s v="    Nicolas Cubillos"/>
        <s v="    Esteban Prieto"/>
        <s v="   Esteban Prieto"/>
      </sharedItems>
    </cacheField>
    <cacheField name="Rol que recibe" numFmtId="0">
      <sharedItems/>
    </cacheField>
    <cacheField name="Tamaño estimado (hojas, secciones)" numFmtId="0">
      <sharedItems containsSemiMixedTypes="0" containsString="0" containsNumber="1" containsInteger="1" minValue="1" maxValue="1"/>
    </cacheField>
    <cacheField name="Tiempo estimado (minutos)" numFmtId="0">
      <sharedItems containsSemiMixedTypes="0" containsString="0" containsNumber="1" containsInteger="1" minValue="20" maxValue="120"/>
    </cacheField>
    <cacheField name="Fecha Acordada Entrega" numFmtId="165">
      <sharedItems containsSemiMixedTypes="0" containsNonDate="0" containsDate="1" containsString="0" minDate="2025-08-13T00:00:00" maxDate="2025-08-14T00:00:00"/>
    </cacheField>
    <cacheField name="Hora Acordada entrega" numFmtId="164">
      <sharedItems containsSemiMixedTypes="0" containsNonDate="0" containsDate="1" containsString="0" minDate="1899-12-30T09:00:00" maxDate="1899-12-30T09:00:00"/>
    </cacheField>
    <cacheField name="Fecha Entregada" numFmtId="0">
      <sharedItems containsSemiMixedTypes="0" containsNonDate="0" containsDate="1" containsString="0" minDate="2025-08-08T00:00:00" maxDate="2025-08-12T00:00:00"/>
    </cacheField>
    <cacheField name="Hora Entrega" numFmtId="164">
      <sharedItems containsSemiMixedTypes="0" containsNonDate="0" containsDate="1" containsString="0" minDate="1899-12-30T01:00:00" maxDate="1899-12-30T23:00:00"/>
    </cacheField>
    <cacheField name="Diferencia" numFmtId="1">
      <sharedItems containsSemiMixedTypes="0" containsString="0" containsNumber="1" containsInteger="1" minValue="-90" maxValue="60"/>
    </cacheField>
    <cacheField name="Tamaño real" numFmtId="1">
      <sharedItems containsSemiMixedTypes="0" containsString="0" containsNumber="1" containsInteger="1" minValue="1" maxValue="1"/>
    </cacheField>
    <cacheField name="Tiempo real" numFmtId="1">
      <sharedItems containsSemiMixedTypes="0" containsString="0" containsNumber="1" containsInteger="1" minValue="20" maxValue="1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07.633245023149" createdVersion="8" refreshedVersion="8" minRefreshableVersion="3" recordCount="89" xr:uid="{62211EED-E4BE-4D27-B64D-D874E04FF633}">
  <cacheSource type="worksheet">
    <worksheetSource ref="B7:L97" sheet="DATOS 4"/>
  </cacheSource>
  <cacheFields count="11">
    <cacheField name="Responsable" numFmtId="0">
      <sharedItems count="7">
        <s v="Santiago Herrada"/>
        <s v="Esteban Prieto"/>
        <s v="Nicolas Cubillos"/>
        <s v="Leidy Giraldo"/>
        <s v="Matias Marín"/>
        <s v="Kerlon Sanchez"/>
        <s v=" Nicolas Cubillos"/>
      </sharedItems>
    </cacheField>
    <cacheField name="Rol que recibe" numFmtId="0">
      <sharedItems count="12">
        <s v="LP"/>
        <s v="LC"/>
        <s v="LS"/>
        <s v="LE"/>
        <s v="LA"/>
        <s v="LD"/>
        <s v=" LP"/>
        <s v="           LS"/>
        <s v="           LE"/>
        <s v="           LA"/>
        <s v="           LC"/>
        <s v="           LD"/>
      </sharedItems>
    </cacheField>
    <cacheField name="Tamaño estimado (hojas, secciones)" numFmtId="0">
      <sharedItems containsSemiMixedTypes="0" containsString="0" containsNumber="1" containsInteger="1" minValue="1" maxValue="5"/>
    </cacheField>
    <cacheField name="Tiempo estimado (minutos)" numFmtId="0">
      <sharedItems containsSemiMixedTypes="0" containsString="0" containsNumber="1" containsInteger="1" minValue="10" maxValue="60"/>
    </cacheField>
    <cacheField name="Fecha Acordada Entrega" numFmtId="0">
      <sharedItems containsSemiMixedTypes="0" containsNonDate="0" containsDate="1" containsString="0" minDate="2025-09-09T00:00:00" maxDate="2025-09-10T00:00:00"/>
    </cacheField>
    <cacheField name="Hora Acordada entrega" numFmtId="0">
      <sharedItems containsSemiMixedTypes="0" containsNonDate="0" containsDate="1" containsString="0" minDate="1899-12-30T09:00:00" maxDate="1899-12-30T09:00:00"/>
    </cacheField>
    <cacheField name="Fecha Entregada" numFmtId="0">
      <sharedItems containsSemiMixedTypes="0" containsNonDate="0" containsDate="1" containsString="0" minDate="2025-09-05T00:00:00" maxDate="2025-09-09T00:00:00"/>
    </cacheField>
    <cacheField name="Hora Entrega" numFmtId="0">
      <sharedItems containsSemiMixedTypes="0" containsNonDate="0" containsDate="1" containsString="0" minDate="1899-12-30T08:30:00" maxDate="1899-12-30T22:30:00"/>
    </cacheField>
    <cacheField name="Diferencia" numFmtId="0">
      <sharedItems containsSemiMixedTypes="0" containsString="0" containsNumber="1" containsInteger="1" minValue="-35" maxValue="50"/>
    </cacheField>
    <cacheField name="Tamaño real" numFmtId="0">
      <sharedItems containsSemiMixedTypes="0" containsString="0" containsNumber="1" containsInteger="1" minValue="1" maxValue="5"/>
    </cacheField>
    <cacheField name="Tiempo real" numFmtId="0">
      <sharedItems containsSemiMixedTypes="0" containsString="0" containsNumber="1" containsInteger="1" minValue="10" maxValue="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07.659440509262" createdVersion="8" refreshedVersion="8" minRefreshableVersion="3" recordCount="242" xr:uid="{CC926FAD-4BEB-4C19-8424-28FE7CAEF93A}">
  <cacheSource type="worksheet">
    <worksheetSource ref="B7:L249" sheet="EDTs"/>
  </cacheSource>
  <cacheFields count="11">
    <cacheField name="Responsable" numFmtId="0">
      <sharedItems count="15">
        <s v="Leidy Giraldo"/>
        <s v=" Santiago Herrada"/>
        <s v="Matias Marín"/>
        <s v=" Esteban Prieto"/>
        <s v="Nicolas Cubillos"/>
        <s v=" Kerlon Sanchez"/>
        <s v="      Leidy Giraldo"/>
        <s v="Santiago Herrada"/>
        <s v="Matias Marin"/>
        <s v="Esteban Prieto"/>
        <s v="Kerlon Sanchez"/>
        <s v="   Esteban Prieto"/>
        <s v="Leidy Giraldo "/>
        <s v=" Matias Marín"/>
        <s v=" Nicolas Cubillos"/>
      </sharedItems>
    </cacheField>
    <cacheField name="Rol que recibe" numFmtId="0">
      <sharedItems/>
    </cacheField>
    <cacheField name="Tamaño estimado (hojas, secciones)" numFmtId="0">
      <sharedItems containsSemiMixedTypes="0" containsString="0" containsNumber="1" containsInteger="1" minValue="1" maxValue="5"/>
    </cacheField>
    <cacheField name="Tiempo estimado (minutos)" numFmtId="0">
      <sharedItems containsSemiMixedTypes="0" containsString="0" containsNumber="1" containsInteger="1" minValue="10" maxValue="120"/>
    </cacheField>
    <cacheField name="Fecha Acordada Entrega" numFmtId="0">
      <sharedItems containsSemiMixedTypes="0" containsNonDate="0" containsDate="1" containsString="0" minDate="2025-08-13T00:00:00" maxDate="2025-09-10T00:00:00"/>
    </cacheField>
    <cacheField name="Hora Acordada entrega" numFmtId="0">
      <sharedItems containsSemiMixedTypes="0" containsNonDate="0" containsDate="1" containsString="0" minDate="1899-12-30T09:00:00" maxDate="1899-12-30T09:00:00"/>
    </cacheField>
    <cacheField name="Fecha Entregada" numFmtId="0">
      <sharedItems containsSemiMixedTypes="0" containsNonDate="0" containsDate="1" containsString="0" minDate="2025-08-08T00:00:00" maxDate="2025-09-09T00:00:00"/>
    </cacheField>
    <cacheField name="Hora Entrega" numFmtId="0">
      <sharedItems containsSemiMixedTypes="0" containsNonDate="0" containsDate="1" containsString="0" minDate="1899-12-30T01:00:00" maxDate="1899-12-30T23:00:00"/>
    </cacheField>
    <cacheField name="Diferencia" numFmtId="0">
      <sharedItems containsSemiMixedTypes="0" containsString="0" containsNumber="1" containsInteger="1" minValue="-90" maxValue="60"/>
    </cacheField>
    <cacheField name="Tamaño real" numFmtId="0">
      <sharedItems containsSemiMixedTypes="0" containsString="0" containsNumber="1" containsInteger="1" minValue="1" maxValue="5"/>
    </cacheField>
    <cacheField name="Tiempo real" numFmtId="0">
      <sharedItems containsSemiMixedTypes="0" containsString="0" containsNumber="1" containsInteger="1" minValue="10" maxValue="1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16.760135416669" createdVersion="8" refreshedVersion="8" minRefreshableVersion="3" recordCount="48" xr:uid="{A7C452B0-2C30-4BED-B589-9CD5F2AAF243}">
  <cacheSource type="worksheet">
    <worksheetSource ref="A7:M56" sheet="DATOS 5"/>
  </cacheSource>
  <cacheFields count="13">
    <cacheField name="0" numFmtId="0">
      <sharedItems/>
    </cacheField>
    <cacheField name="Responsable" numFmtId="0">
      <sharedItems count="7">
        <s v="Esteban Prieto"/>
        <s v="Santiago Herrada"/>
        <s v="Leidy Giraldo"/>
        <s v="Matias Marín"/>
        <s v="Nicolas Cubillos"/>
        <s v="Kerlon Sanchez"/>
        <s v=" Nicolas Cubillos"/>
      </sharedItems>
    </cacheField>
    <cacheField name="Rol que recibe" numFmtId="0">
      <sharedItems/>
    </cacheField>
    <cacheField name="Tamaño estimado (hojas, secciones)" numFmtId="0">
      <sharedItems containsSemiMixedTypes="0" containsString="0" containsNumber="1" containsInteger="1" minValue="1" maxValue="5"/>
    </cacheField>
    <cacheField name="Tiempo estimado (minutos)" numFmtId="0">
      <sharedItems containsSemiMixedTypes="0" containsString="0" containsNumber="1" containsInteger="1" minValue="20" maxValue="60"/>
    </cacheField>
    <cacheField name="Fecha Acordada Entrega" numFmtId="0">
      <sharedItems containsSemiMixedTypes="0" containsNonDate="0" containsDate="1" containsString="0" minDate="2025-09-17T00:00:00" maxDate="2025-09-18T00:00:00"/>
    </cacheField>
    <cacheField name="Hora Acordada entrega" numFmtId="0">
      <sharedItems containsSemiMixedTypes="0" containsNonDate="0" containsDate="1" containsString="0" minDate="1899-12-30T09:00:00" maxDate="1899-12-30T09:00:00"/>
    </cacheField>
    <cacheField name="Fecha Entregada" numFmtId="0">
      <sharedItems containsSemiMixedTypes="0" containsNonDate="0" containsDate="1" containsString="0" minDate="2025-09-15T00:00:00" maxDate="2025-09-18T00:00:00"/>
    </cacheField>
    <cacheField name="Hora Entrega" numFmtId="0">
      <sharedItems containsSemiMixedTypes="0" containsNonDate="0" containsDate="1" containsString="0" minDate="1899-12-30T09:00:00" maxDate="1899-12-30T22:30:00"/>
    </cacheField>
    <cacheField name="Diferencia" numFmtId="0">
      <sharedItems containsSemiMixedTypes="0" containsString="0" containsNumber="1" containsInteger="1" minValue="-35" maxValue="50"/>
    </cacheField>
    <cacheField name="Tamaño real" numFmtId="0">
      <sharedItems containsSemiMixedTypes="0" containsString="0" containsNumber="1" containsInteger="1" minValue="1" maxValue="5"/>
    </cacheField>
    <cacheField name="Tiempo real" numFmtId="0">
      <sharedItems containsSemiMixedTypes="0" containsString="0" containsNumber="1" containsInteger="1" minValue="10" maxValue="80"/>
    </cacheField>
    <cacheField name="Observacion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31.043379745373" createdVersion="8" refreshedVersion="8" minRefreshableVersion="3" recordCount="56" xr:uid="{898F8AFA-7795-4591-B12C-AE38597D3566}">
  <cacheSource type="worksheet">
    <worksheetSource ref="A7:M65" sheet="DATOS 6 y 7 "/>
  </cacheSource>
  <cacheFields count="13">
    <cacheField name="0" numFmtId="0">
      <sharedItems/>
    </cacheField>
    <cacheField name="Responsable" numFmtId="0">
      <sharedItems count="7">
        <s v="Esteban Prieto"/>
        <s v="Santiago Herrada"/>
        <s v="Leidy Giraldo"/>
        <s v="Nicolas Cubillos"/>
        <s v="Matias Marín"/>
        <s v="Kerlon Sanchez"/>
        <s v=" Nicolas Cubillos"/>
      </sharedItems>
    </cacheField>
    <cacheField name="Rol que recibe" numFmtId="0">
      <sharedItems/>
    </cacheField>
    <cacheField name="Tamaño estimado (hojas, secciones)" numFmtId="0">
      <sharedItems containsSemiMixedTypes="0" containsString="0" containsNumber="1" containsInteger="1" minValue="1" maxValue="5"/>
    </cacheField>
    <cacheField name="Tiempo estimado (minutos)" numFmtId="0">
      <sharedItems containsSemiMixedTypes="0" containsString="0" containsNumber="1" containsInteger="1" minValue="20" maxValue="60"/>
    </cacheField>
    <cacheField name="Fecha Acordada Entrega" numFmtId="0">
      <sharedItems containsSemiMixedTypes="0" containsNonDate="0" containsDate="1" containsString="0" minDate="2025-10-01T00:00:00" maxDate="2025-10-02T00:00:00"/>
    </cacheField>
    <cacheField name="Hora Acordada entrega" numFmtId="0">
      <sharedItems containsSemiMixedTypes="0" containsNonDate="0" containsDate="1" containsString="0" minDate="1899-12-30T09:00:00" maxDate="1899-12-30T09:00:00"/>
    </cacheField>
    <cacheField name="Fecha Entregada" numFmtId="0">
      <sharedItems containsSemiMixedTypes="0" containsNonDate="0" containsDate="1" containsString="0" minDate="2025-09-22T00:00:00" maxDate="2025-10-02T00:00:00"/>
    </cacheField>
    <cacheField name="Hora Entrega" numFmtId="0">
      <sharedItems containsSemiMixedTypes="0" containsNonDate="0" containsDate="1" containsString="0" minDate="1899-12-30T08:00:00" maxDate="1899-12-30T22:30:00"/>
    </cacheField>
    <cacheField name="Diferencia" numFmtId="0">
      <sharedItems containsSemiMixedTypes="0" containsString="0" containsNumber="1" containsInteger="1" minValue="-35" maxValue="50"/>
    </cacheField>
    <cacheField name="Tamaño real" numFmtId="0">
      <sharedItems containsSemiMixedTypes="0" containsString="0" containsNumber="1" containsInteger="1" minValue="1" maxValue="5"/>
    </cacheField>
    <cacheField name="Tiempo real" numFmtId="0">
      <sharedItems containsSemiMixedTypes="0" containsString="0" containsNumber="1" containsInteger="1" minValue="10" maxValue="80"/>
    </cacheField>
    <cacheField name="Observacion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37.840571759261" createdVersion="8" refreshedVersion="8" minRefreshableVersion="3" recordCount="79" xr:uid="{9590F6AB-5CC0-49FA-BD6E-D10D8245565D}">
  <cacheSource type="worksheet">
    <worksheetSource ref="A7:M87" sheet="DATOS 8"/>
  </cacheSource>
  <cacheFields count="13">
    <cacheField name="0" numFmtId="0">
      <sharedItems/>
    </cacheField>
    <cacheField name="Responsable" numFmtId="0">
      <sharedItems count="7">
        <s v="Esteban Prieto"/>
        <s v="Santiago Herrada"/>
        <s v="Nicolas Cubillos"/>
        <s v="Leidy Giraldo"/>
        <s v="Kerlon Sanchez"/>
        <s v="Matias Marín"/>
        <s v=" Nicolas Cubillos"/>
      </sharedItems>
    </cacheField>
    <cacheField name="Rol que recibe" numFmtId="0">
      <sharedItems/>
    </cacheField>
    <cacheField name="Tamaño estimado (hojas, secciones)" numFmtId="0">
      <sharedItems containsSemiMixedTypes="0" containsString="0" containsNumber="1" containsInteger="1" minValue="1" maxValue="5"/>
    </cacheField>
    <cacheField name="Tiempo estimado (minutos)" numFmtId="0">
      <sharedItems containsSemiMixedTypes="0" containsString="0" containsNumber="1" containsInteger="1" minValue="20" maxValue="60"/>
    </cacheField>
    <cacheField name="Fecha Acordada Entrega" numFmtId="0">
      <sharedItems containsSemiMixedTypes="0" containsNonDate="0" containsDate="1" containsString="0" minDate="2025-10-08T00:00:00" maxDate="2025-10-09T00:00:00"/>
    </cacheField>
    <cacheField name="Hora Acordada entrega" numFmtId="0">
      <sharedItems containsSemiMixedTypes="0" containsNonDate="0" containsDate="1" containsString="0" minDate="1899-12-30T09:00:00" maxDate="1899-12-30T09:00:00"/>
    </cacheField>
    <cacheField name="Fecha Entregada" numFmtId="0">
      <sharedItems containsSemiMixedTypes="0" containsNonDate="0" containsDate="1" containsString="0" minDate="2025-10-04T00:00:00" maxDate="2025-10-09T00:00:00"/>
    </cacheField>
    <cacheField name="Hora Entrega" numFmtId="0">
      <sharedItems containsSemiMixedTypes="0" containsNonDate="0" containsDate="1" containsString="0" minDate="1899-12-30T08:00:00" maxDate="1899-12-30T22:30:00"/>
    </cacheField>
    <cacheField name="Diferencia" numFmtId="0">
      <sharedItems containsSemiMixedTypes="0" containsString="0" containsNumber="1" containsInteger="1" minValue="-35" maxValue="50"/>
    </cacheField>
    <cacheField name="Tamaño real" numFmtId="0">
      <sharedItems containsSemiMixedTypes="0" containsString="0" containsNumber="1" containsInteger="1" minValue="1" maxValue="5"/>
    </cacheField>
    <cacheField name="Tiempo real" numFmtId="0">
      <sharedItems containsSemiMixedTypes="0" containsString="0" containsNumber="1" containsInteger="1" minValue="10" maxValue="80"/>
    </cacheField>
    <cacheField name="Observacion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43.030615856478" createdVersion="8" refreshedVersion="8" minRefreshableVersion="3" recordCount="83" xr:uid="{4E111653-FA38-4E02-9991-65F815A148D7}">
  <cacheSource type="worksheet">
    <worksheetSource ref="A7:M90" sheet="DATOS 9"/>
  </cacheSource>
  <cacheFields count="13">
    <cacheField name="0" numFmtId="0">
      <sharedItems/>
    </cacheField>
    <cacheField name="Responsable" numFmtId="0">
      <sharedItems count="7">
        <s v="Esteban Prieto"/>
        <s v="Santiago Herrada"/>
        <s v="Nicolas Cubillos"/>
        <s v="Kerlon Sanchez"/>
        <s v="Leidy Giraldo"/>
        <s v="Matias Marín"/>
        <s v=" Nicolas Cubillos"/>
      </sharedItems>
    </cacheField>
    <cacheField name="Rol que recibe" numFmtId="0">
      <sharedItems/>
    </cacheField>
    <cacheField name="Tamaño estimado (hojas, secciones)" numFmtId="0">
      <sharedItems containsSemiMixedTypes="0" containsString="0" containsNumber="1" containsInteger="1" minValue="1" maxValue="5"/>
    </cacheField>
    <cacheField name="Tiempo estimado (minutos)" numFmtId="0">
      <sharedItems containsSemiMixedTypes="0" containsString="0" containsNumber="1" containsInteger="1" minValue="20" maxValue="60"/>
    </cacheField>
    <cacheField name="Fecha Acordada Entrega" numFmtId="0">
      <sharedItems containsSemiMixedTypes="0" containsNonDate="0" containsDate="1" containsString="0" minDate="2025-10-08T00:00:00" maxDate="2025-10-16T00:00:00"/>
    </cacheField>
    <cacheField name="Hora Acordada entrega" numFmtId="0">
      <sharedItems containsSemiMixedTypes="0" containsNonDate="0" containsDate="1" containsString="0" minDate="1899-12-30T09:00:00" maxDate="1899-12-30T09:00:00"/>
    </cacheField>
    <cacheField name="Fecha Entregada" numFmtId="0">
      <sharedItems containsSemiMixedTypes="0" containsNonDate="0" containsDate="1" containsString="0" minDate="2025-10-13T00:00:00" maxDate="2025-10-16T00:00:00"/>
    </cacheField>
    <cacheField name="Hora Entrega" numFmtId="0">
      <sharedItems containsSemiMixedTypes="0" containsNonDate="0" containsDate="1" containsString="0" minDate="1899-12-30T09:00:00" maxDate="1899-12-30T22:30:00"/>
    </cacheField>
    <cacheField name="Diferencia" numFmtId="0">
      <sharedItems containsSemiMixedTypes="0" containsString="0" containsNumber="1" containsInteger="1" minValue="-35" maxValue="50"/>
    </cacheField>
    <cacheField name="Tamaño real" numFmtId="0">
      <sharedItems containsSemiMixedTypes="0" containsString="0" containsNumber="1" containsInteger="1" minValue="1" maxValue="7"/>
    </cacheField>
    <cacheField name="Tiempo real" numFmtId="0">
      <sharedItems containsSemiMixedTypes="0" containsString="0" containsNumber="1" containsInteger="1" minValue="10" maxValue="80"/>
    </cacheField>
    <cacheField name="Observacion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58.496871875002" createdVersion="8" refreshedVersion="8" minRefreshableVersion="3" recordCount="105" xr:uid="{5610DAE8-91CD-4552-BE06-FB7E5CC376AC}">
  <cacheSource type="worksheet">
    <worksheetSource ref="A7:M112" sheet="DATOS 1 (CICLO 2)"/>
  </cacheSource>
  <cacheFields count="13">
    <cacheField name="0" numFmtId="0">
      <sharedItems/>
    </cacheField>
    <cacheField name="Responsable" numFmtId="0">
      <sharedItems count="6">
        <s v="Nicolas Cubillos"/>
        <s v="Kerlon Gutierrez"/>
        <s v="Esteban Prieto"/>
        <s v="Matias Marín"/>
        <s v="Santiago Herrada"/>
        <s v="Leidy Giraldo"/>
      </sharedItems>
    </cacheField>
    <cacheField name="Rol que recibe" numFmtId="0">
      <sharedItems/>
    </cacheField>
    <cacheField name="Tamaño estimado (hojas, secciones)" numFmtId="0">
      <sharedItems containsSemiMixedTypes="0" containsString="0" containsNumber="1" containsInteger="1" minValue="1" maxValue="5"/>
    </cacheField>
    <cacheField name="Tiempo estimado (minutos)" numFmtId="0">
      <sharedItems containsSemiMixedTypes="0" containsString="0" containsNumber="1" containsInteger="1" minValue="20" maxValue="60"/>
    </cacheField>
    <cacheField name="Fecha Acordada Entrega" numFmtId="0">
      <sharedItems containsSemiMixedTypes="0" containsNonDate="0" containsDate="1" containsString="0" minDate="2025-10-29T00:00:00" maxDate="2025-10-30T00:00:00"/>
    </cacheField>
    <cacheField name="Hora Acordada entrega" numFmtId="0">
      <sharedItems containsSemiMixedTypes="0" containsNonDate="0" containsDate="1" containsString="0" minDate="1899-12-30T09:00:00" maxDate="1899-12-30T09:00:00"/>
    </cacheField>
    <cacheField name="Fecha Entregada" numFmtId="0">
      <sharedItems containsDate="1" containsMixedTypes="1" minDate="2025-10-27T00:00:00" maxDate="2025-10-30T00:00:00"/>
    </cacheField>
    <cacheField name="Hora Entrega" numFmtId="0">
      <sharedItems containsSemiMixedTypes="0" containsNonDate="0" containsDate="1" containsString="0" minDate="1899-12-30T09:00:00" maxDate="1899-12-30T22:30:00"/>
    </cacheField>
    <cacheField name="Diferencia" numFmtId="0">
      <sharedItems containsSemiMixedTypes="0" containsString="0" containsNumber="1" containsInteger="1" minValue="-35" maxValue="50"/>
    </cacheField>
    <cacheField name="Tamaño real" numFmtId="0">
      <sharedItems containsSemiMixedTypes="0" containsString="0" containsNumber="1" containsInteger="1" minValue="1" maxValue="5"/>
    </cacheField>
    <cacheField name="Tiempo real" numFmtId="0">
      <sharedItems containsSemiMixedTypes="0" containsString="0" containsNumber="1" containsInteger="1" minValue="10" maxValue="80"/>
    </cacheField>
    <cacheField name="Observacion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67.755859027777" createdVersion="8" refreshedVersion="8" minRefreshableVersion="3" recordCount="124" xr:uid="{244CFEC6-722C-4B54-9BE2-B0B3AAD2A35E}">
  <cacheSource type="worksheet">
    <worksheetSource ref="A7:M131" sheet="DATOS 2 (CICLO 2) "/>
  </cacheSource>
  <cacheFields count="13">
    <cacheField name="0" numFmtId="0">
      <sharedItems/>
    </cacheField>
    <cacheField name="Responsable" numFmtId="0">
      <sharedItems count="6">
        <s v="Nicolas Cubillos"/>
        <s v="Kerlon Gutierrez"/>
        <s v="Esteban Prieto"/>
        <s v="Matias Marín"/>
        <s v="Leidy Giraldo"/>
        <s v="Santiago Herrada"/>
      </sharedItems>
    </cacheField>
    <cacheField name="Rol que recibe" numFmtId="0">
      <sharedItems/>
    </cacheField>
    <cacheField name="Tamaño estimado (hojas, secciones)" numFmtId="0">
      <sharedItems containsSemiMixedTypes="0" containsString="0" containsNumber="1" containsInteger="1" minValue="1" maxValue="5"/>
    </cacheField>
    <cacheField name="Tiempo estimado (minutos)" numFmtId="0">
      <sharedItems containsSemiMixedTypes="0" containsString="0" containsNumber="1" containsInteger="1" minValue="20" maxValue="60"/>
    </cacheField>
    <cacheField name="Fecha Acordada Entrega" numFmtId="0">
      <sharedItems containsSemiMixedTypes="0" containsNonDate="0" containsDate="1" containsString="0" minDate="2025-11-07T00:00:00" maxDate="2025-11-08T00:00:00"/>
    </cacheField>
    <cacheField name="Hora Acordada entrega" numFmtId="0">
      <sharedItems containsSemiMixedTypes="0" containsNonDate="0" containsDate="1" containsString="0" minDate="1899-12-30T09:00:00" maxDate="1899-12-30T09:00:00"/>
    </cacheField>
    <cacheField name="Fecha Entregada" numFmtId="0">
      <sharedItems containsSemiMixedTypes="0" containsNonDate="0" containsDate="1" containsString="0" minDate="2025-11-05T00:00:00" maxDate="2025-11-08T00:00:00"/>
    </cacheField>
    <cacheField name="Hora Entrega" numFmtId="0">
      <sharedItems containsSemiMixedTypes="0" containsNonDate="0" containsDate="1" containsString="0" minDate="1899-12-30T09:00:00" maxDate="1899-12-30T22:30:00"/>
    </cacheField>
    <cacheField name="Diferencia" numFmtId="0">
      <sharedItems containsSemiMixedTypes="0" containsString="0" containsNumber="1" containsInteger="1" minValue="-35" maxValue="50"/>
    </cacheField>
    <cacheField name="Tamaño real" numFmtId="0">
      <sharedItems containsSemiMixedTypes="0" containsString="0" containsNumber="1" containsInteger="1" minValue="1" maxValue="5"/>
    </cacheField>
    <cacheField name="Tiempo real" numFmtId="0">
      <sharedItems containsSemiMixedTypes="0" containsString="0" containsNumber="1" containsInteger="1" minValue="10" maxValue="80"/>
    </cacheField>
    <cacheField name="Observaciones" numFmtId="0">
      <sharedItems count="74">
        <s v="Diligenciar el formato correspondiente al script de definición de procesos"/>
        <s v="Se realizo el llenado del control de asignaciones para asi terminar con éxito la fase 1 del ciclo 2 y para que los demas lideres llenen sus bitácoras"/>
        <s v="Verificar asistencia y compromiso de todos_x000a_los integrantes para el desarrollo del_x000a_proyecto."/>
        <s v="Verificar asistencia y compromiso de todos los integrantes para el desarrollo del proyecto."/>
        <s v="Elaborar el diagrama de casos de_x000a_uso que_x000a_represente los actores, límites del_x000a_sistema y relaciones principales."/>
        <s v="Descripción: Permite al usuario modificar_x000a_su información personal registrada en el_x000a_sistema."/>
        <s v="El usuario puede actualizar su fotografía_x000a_de perfil para personalizar su cuenta."/>
        <s v="Brinda al usuario la opción de cambiar la_x000a_paleta de colores o el modo visual_x000a_(claro/oscuro)."/>
        <s v="Permite reorganizar los paneles del_x000a_tablero principal según las preferencias_x000a_del usuario."/>
        <s v="El usuario puede definir cómo se_x000a_mostrarán las fechas y monedas en el_x000a_sistema."/>
        <s v="Permite seleccionar qué tipos de_x000a_notificaciones se desean recibir o_x000a_visualizar."/>
        <s v="Permite consultar las alertas generadas_x000a_por el sistema."/>
        <s v="El usuario puede cambiar el estado de_x000a_una notificación a “leída”"/>
        <s v="Permite eliminar notificaciones_x000a_innecesarias o antiguas."/>
        <s v="Permite aplicar filtros para buscar_x000a_notificaciones específicas."/>
        <s v="Consolida la información de diferentes_x000a_módulos en un reporte general"/>
        <s v="Permite descargar un reporte generado_x000a_en formato PDF."/>
        <s v="Brinda la opción de descargar los datos_x000a_del reporte en formato Excel."/>
        <s v="Permite seleccionar criterios específicos_x000a_para visualizar datos relevantes."/>
        <s v="El usuario puede personalizar el diseño y_x000a_estilo de los reportes"/>
        <s v="Permite incluir información institucional_x000a_en los reportes generados."/>
        <s v="Permite ajustar el tamaño de fuente para_x000a_mejorar la legibilidad."/>
        <s v="Permite cambiar la imagen o color de_x000a_fondo del entorno de trabajo."/>
        <s v="Definir requisitos de tiempos de_x000a_respuesta y eficiencia en consultas y_x000a_reportes"/>
        <s v="Establecer estrategias para soportar_x000a_el crecimiento de usuarios y proyectos"/>
        <s v="Garantizar el tiempo de servicio del_x000a_sistema y planes de recuperación ante_x000a_fallos"/>
        <s v="Establecer criterios de interfaz amigable_x000a_e intuitiva para los usuarios."/>
        <s v="Definir políticas de seguridad, permisos_x000a_y protección de datos del sistema."/>
        <s v="Asegurar que el sistema pueda_x000a_incorporar nuevos módulos o_x000a_integraciones."/>
        <s v="Elaborar el diagrama UML de clases_x000a_que represente entidades y relaciones."/>
        <s v="Redactar por qué existe el plan, qué_x000a_cubre y qué no, y cómo se usará en el_x000a_proyecto."/>
        <s v="Listar responsables_x000a_(PO/Analista/Calidad/Dev/LP) y_x000a_herramientas (repo, tablero, plantillas)"/>
        <s v="Crear/validar la carpeta oficial y su_x000a_enlace para revisiones y versiones."/>
        <s v="Construir el checklist con criterios:_x000a_completitud, no ambigüedad,_x000a_consistencia, trazabilidad, corrección y_x000a_no redundancia"/>
        <s v="Recoger requerimientos (UC, reglas,_x000a_calidad) y asignar ID, nombre claro y_x000a_formato estándar."/>
        <s v="Redactar cada requerimiento con_x000a_descripción, fuente, prioridad y criterios_x000a_de aceptación."/>
        <s v="Aplicar el checklist; registrar_x000a_observaciones y correcciones"/>
        <s v="Clasificar (p. ej., MoSCoW) y aprobar_x000a_para baseline con el equipo/líder de_x000a_calidad."/>
        <s v="Crear/actualizar matriz Req ↔_x000a_UC/Tarea/Prueba/KPI"/>
        <s v="Definir formato RFC, flujo de aprobación_x000a_y registro de impactos."/>
        <s v="Versionar documentos, guardar en la_x000a_carpeta oficial y registrar enlace en_x000a_maestro de documentos."/>
        <s v="Definir frecuencia de revisión y métricas_x000a_mínimas (p. ej., % trazabilidad, % req_x000a_aprobados)."/>
        <s v="Qué calidad vamos a asegurar (defectos,_x000a_métricas, revisiones) y hasta dónde_x000a_aplica (por sprint)."/>
        <s v="Criterios y reglas: prevención &gt;_x000a_detección, severidades/prioridades,_x000a_“cero críticos al cierre”, uso de checklist."/>
        <s v="Repo/carpeta oficial, plantillas, tablero_x000a_DashKPI, espacios para evidencias."/>
        <s v="Líder de Calidad, QA, Líder de_x000a_Desarrollo, Dev, PO: quién revisa, quién_x000a_aprueba, quién corrige."/>
        <s v="Definir fórmula, umbral, frecuencia,_x000a_fuente y responsable (Densidad, DRE,_x000a_MTTR, %Revisiones, %DoD)."/>
        <s v="Calendario y alcance por artefacto;_x000a_checklist de revisión; formato de acta."/>
        <s v="Estados (Abierto→Cerrado),_x000a_severidades, SLA por severidad y_x000a_categorías; reglas de cierre."/>
        <s v="Aplicar checklist en_x000a_req/diseño/código/pruebas; registrar_x000a_hallazgos y acciones."/>
        <s v="Guardar capturas, commits, reportes;_x000a_vincular a defectos/métricas."/>
        <s v="Reunión semanal, tablero de KPIs,_x000a_alertas y acciones_x000a_correctivas/preventivas (CAPA)."/>
        <s v="Lecciones aprendidas y ajustes al_x000a_plan/métricas; baseline de cierre."/>
        <s v="Listar los entregables del sprint/fase (p._x000a_ej., Plan de calidad v1.0, Plan de admin_x000a_de reqs v1.0, etc.)."/>
        <s v="Partir cada entregable en tareas_x000a_concretas con nombre y descripción."/>
        <s v="Ordenar tareas y registrar_x000a_predecesoras/sucesoras."/>
        <s v="Estimar horas por tarea (h-persona)"/>
        <s v="Registrar productividad del recurso_x000a_(h/día) o capacidad del equipo."/>
        <s v="Calcular duración =_x000a_esfuerzo/productividad, fijar inicio/fin en_x000a_calendario"/>
        <s v="Asignar responsable/rol y estado inicial."/>
        <s v="Definir criterios específicos por tarea y_x000a_DoD estándar del equipo."/>
        <s v="Cargar todo al tablero DashKPI/hoja_x000a_maestra y versiona"/>
        <s v="Gestionar solicitudes de cambios, su_x000a_evaluación, aprobación/rechazo e_x000a_implantación."/>
        <s v="Gestionar solicitudes de cambios, su evaluación, aprobación/rechazo e implantación. "/>
        <s v="Identificar, clasificar y dar seguimiento a_x000a_riesgos del proyecto."/>
        <s v="Registrar incidencias y defectos, dar_x000a_seguimiento y cerrar tras validación."/>
        <s v="Documentar bitácoras de tiempo y actas de_x000a_reuniones, manteniendo control de_x000a_versiones."/>
        <s v="Con las bitácoras llenamos cada espacio con las actividaes correspondientes según el control de asignaciones"/>
        <s v="No comentarios"/>
        <s v="Ordenar en grupo todos los documentos asignados para la primera entrega"/>
        <s v="Diapositivas con los documentos hechos "/>
        <s v="Realización de un excel con los documentos hechos "/>
        <s v="Se revisan los tres documentos realizados en grupo para consolidar los resultados y corregir errores "/>
        <s v="Todos los documentos subidos _x000a_y actualizados en la pagina 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72.994518981483" createdVersion="8" refreshedVersion="8" minRefreshableVersion="3" recordCount="57" xr:uid="{A05EE256-B5C7-41EE-932B-7C160E3C8822}">
  <cacheSource type="worksheet">
    <worksheetSource ref="A7:M64" sheet="DATOS 3 (CICLO 2) "/>
  </cacheSource>
  <cacheFields count="13">
    <cacheField name="0" numFmtId="0">
      <sharedItems/>
    </cacheField>
    <cacheField name="Responsable" numFmtId="0">
      <sharedItems count="6">
        <s v="Nicolas Cubillos"/>
        <s v="Kerlon Gutierrez"/>
        <s v="Leidy Giraldo"/>
        <s v="Matias Marín"/>
        <s v="Esteban Prieto"/>
        <s v="Santiago Herrada"/>
      </sharedItems>
    </cacheField>
    <cacheField name="Rol que recibe" numFmtId="0">
      <sharedItems/>
    </cacheField>
    <cacheField name="Tamaño estimado (hojas, secciones)" numFmtId="0">
      <sharedItems containsSemiMixedTypes="0" containsString="0" containsNumber="1" containsInteger="1" minValue="1" maxValue="5"/>
    </cacheField>
    <cacheField name="Tiempo estimado (minutos)" numFmtId="0">
      <sharedItems containsSemiMixedTypes="0" containsString="0" containsNumber="1" containsInteger="1" minValue="20" maxValue="60"/>
    </cacheField>
    <cacheField name="Fecha Acordada Entrega" numFmtId="0">
      <sharedItems containsSemiMixedTypes="0" containsNonDate="0" containsDate="1" containsString="0" minDate="2025-11-12T00:00:00" maxDate="2025-11-13T00:00:00"/>
    </cacheField>
    <cacheField name="Hora Acordada entrega" numFmtId="0">
      <sharedItems containsSemiMixedTypes="0" containsNonDate="0" containsDate="1" containsString="0" minDate="1899-12-30T09:00:00" maxDate="1899-12-30T09:00:00"/>
    </cacheField>
    <cacheField name="Fecha Entregada" numFmtId="0">
      <sharedItems containsSemiMixedTypes="0" containsNonDate="0" containsDate="1" containsString="0" minDate="2025-11-10T00:00:00" maxDate="2025-11-12T00:00:00"/>
    </cacheField>
    <cacheField name="Hora Entrega" numFmtId="0">
      <sharedItems containsSemiMixedTypes="0" containsNonDate="0" containsDate="1" containsString="0" minDate="1899-12-30T09:00:00" maxDate="1899-12-30T22:30:00"/>
    </cacheField>
    <cacheField name="Diferencia" numFmtId="0">
      <sharedItems containsSemiMixedTypes="0" containsString="0" containsNumber="1" containsInteger="1" minValue="-35" maxValue="50"/>
    </cacheField>
    <cacheField name="Tamaño real" numFmtId="0">
      <sharedItems containsSemiMixedTypes="0" containsString="0" containsNumber="1" containsInteger="1" minValue="1" maxValue="5"/>
    </cacheField>
    <cacheField name="Tiempo real" numFmtId="0">
      <sharedItems containsSemiMixedTypes="0" containsString="0" containsNumber="1" containsInteger="1" minValue="10" maxValue="80"/>
    </cacheField>
    <cacheField name="Observacion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x v="0"/>
    <s v="LP"/>
    <n v="2"/>
    <n v="50"/>
    <d v="2025-09-03T00:00:00"/>
    <d v="1899-12-30T09:00:00"/>
    <d v="2025-09-02T00:00:00"/>
    <d v="1899-12-30T16:00:00"/>
    <n v="0"/>
    <n v="1"/>
    <n v="50"/>
  </r>
  <r>
    <x v="1"/>
    <s v="LD"/>
    <n v="2"/>
    <n v="50"/>
    <d v="2025-09-03T00:00:00"/>
    <d v="1899-12-30T09:00:00"/>
    <d v="2025-09-02T00:00:00"/>
    <d v="1899-12-30T16:00:00"/>
    <n v="0"/>
    <n v="1"/>
    <n v="50"/>
  </r>
  <r>
    <x v="2"/>
    <s v="LE"/>
    <n v="2"/>
    <n v="50"/>
    <d v="2025-09-03T00:00:00"/>
    <d v="1899-12-30T09:00:00"/>
    <d v="2025-09-02T00:00:00"/>
    <d v="1899-12-30T16:00:00"/>
    <n v="0"/>
    <n v="1"/>
    <n v="50"/>
  </r>
  <r>
    <x v="3"/>
    <s v="LA"/>
    <n v="2"/>
    <n v="50"/>
    <d v="2025-09-03T00:00:00"/>
    <d v="1899-12-30T09:00:00"/>
    <d v="2025-09-02T00:00:00"/>
    <d v="1899-12-30T16:00:00"/>
    <n v="0"/>
    <n v="1"/>
    <n v="50"/>
  </r>
  <r>
    <x v="4"/>
    <s v="LC"/>
    <n v="2"/>
    <n v="50"/>
    <d v="2025-09-03T00:00:00"/>
    <d v="1899-12-30T09:00:00"/>
    <d v="2025-09-02T00:00:00"/>
    <d v="1899-12-30T16:00:00"/>
    <n v="0"/>
    <n v="1"/>
    <n v="50"/>
  </r>
  <r>
    <x v="5"/>
    <s v="LS"/>
    <n v="2"/>
    <n v="50"/>
    <d v="2025-09-03T00:00:00"/>
    <d v="1899-12-30T09:00:00"/>
    <d v="2025-09-02T00:00:00"/>
    <d v="1899-12-30T16:00:00"/>
    <n v="0"/>
    <n v="1"/>
    <n v="50"/>
  </r>
  <r>
    <x v="0"/>
    <s v="LP"/>
    <n v="1"/>
    <n v="30"/>
    <d v="2025-09-03T00:00:00"/>
    <d v="1899-12-30T09:00:00"/>
    <d v="2025-08-30T00:00:00"/>
    <d v="1899-12-30T19:00:00"/>
    <n v="0"/>
    <n v="1"/>
    <n v="30"/>
  </r>
  <r>
    <x v="6"/>
    <s v=" LC"/>
    <n v="1"/>
    <n v="30"/>
    <d v="2025-09-03T00:00:00"/>
    <d v="1899-12-30T09:00:00"/>
    <d v="2025-08-30T00:00:00"/>
    <d v="1899-12-30T19:00:00"/>
    <n v="0"/>
    <n v="1"/>
    <n v="30"/>
  </r>
  <r>
    <x v="4"/>
    <s v="LC"/>
    <n v="1"/>
    <n v="20"/>
    <d v="2025-09-03T00:00:00"/>
    <d v="1899-12-30T09:00:00"/>
    <d v="2025-09-02T00:00:00"/>
    <d v="1899-12-30T19:20:00"/>
    <n v="0"/>
    <n v="1"/>
    <n v="20"/>
  </r>
  <r>
    <x v="7"/>
    <s v="LS"/>
    <n v="1"/>
    <n v="20"/>
    <d v="2025-09-03T00:00:00"/>
    <d v="1899-12-30T09:00:00"/>
    <d v="2025-09-02T00:00:00"/>
    <d v="1899-12-30T19:20:00"/>
    <n v="0"/>
    <n v="1"/>
    <n v="20"/>
  </r>
  <r>
    <x v="1"/>
    <s v="LD"/>
    <n v="1"/>
    <n v="30"/>
    <d v="2025-09-03T00:00:00"/>
    <d v="1899-12-30T09:00:00"/>
    <d v="2025-09-02T00:00:00"/>
    <d v="1899-12-30T19:30:00"/>
    <n v="2"/>
    <n v="2"/>
    <n v="28"/>
  </r>
  <r>
    <x v="2"/>
    <s v="LE"/>
    <n v="1"/>
    <n v="30"/>
    <d v="2025-09-03T00:00:00"/>
    <d v="1899-12-30T09:00:00"/>
    <d v="2025-09-02T00:00:00"/>
    <d v="1899-12-30T19:30:00"/>
    <n v="0"/>
    <n v="2"/>
    <n v="30"/>
  </r>
  <r>
    <x v="0"/>
    <s v="LP"/>
    <n v="1"/>
    <n v="30"/>
    <d v="2025-09-03T00:00:00"/>
    <d v="1899-12-30T09:00:00"/>
    <d v="2025-09-02T00:00:00"/>
    <d v="1899-12-30T19:30:00"/>
    <n v="3"/>
    <n v="1"/>
    <n v="27"/>
  </r>
  <r>
    <x v="0"/>
    <s v="LP"/>
    <n v="1"/>
    <n v="30"/>
    <d v="2025-09-03T00:00:00"/>
    <d v="1899-12-30T09:00:00"/>
    <d v="2025-09-02T00:00:00"/>
    <d v="1899-12-30T20:00:00"/>
    <n v="2"/>
    <n v="1"/>
    <n v="28"/>
  </r>
  <r>
    <x v="0"/>
    <s v="LP"/>
    <n v="1"/>
    <n v="30"/>
    <d v="2025-09-03T00:00:00"/>
    <d v="1899-12-30T09:00:00"/>
    <d v="2025-09-02T00:00:00"/>
    <d v="1899-12-30T20:30:00"/>
    <n v="10"/>
    <n v="2"/>
    <n v="20"/>
  </r>
  <r>
    <x v="5"/>
    <s v="LS"/>
    <n v="1"/>
    <n v="30"/>
    <d v="2025-09-03T00:00:00"/>
    <d v="1899-12-30T09:00:00"/>
    <d v="2025-08-31T00:00:00"/>
    <d v="1899-12-30T19:00:00"/>
    <n v="5"/>
    <n v="2"/>
    <n v="25"/>
  </r>
  <r>
    <x v="3"/>
    <s v="LA"/>
    <n v="1"/>
    <n v="30"/>
    <d v="2025-09-03T00:00:00"/>
    <d v="1899-12-30T09:00:00"/>
    <d v="2025-08-31T00:00:00"/>
    <d v="1899-12-30T19:00:00"/>
    <n v="4"/>
    <n v="1"/>
    <n v="26"/>
  </r>
  <r>
    <x v="4"/>
    <s v="LC"/>
    <n v="1"/>
    <n v="30"/>
    <d v="2025-09-03T00:00:00"/>
    <d v="1899-12-30T09:00:00"/>
    <d v="2025-08-30T00:00:00"/>
    <d v="1899-12-30T19:00:00"/>
    <n v="0"/>
    <n v="1"/>
    <n v="30"/>
  </r>
  <r>
    <x v="4"/>
    <s v="LC"/>
    <n v="1"/>
    <n v="30"/>
    <d v="2025-09-03T00:00:00"/>
    <d v="1899-12-30T09:00:00"/>
    <d v="2025-08-30T00:00:00"/>
    <d v="1899-12-30T19:30:00"/>
    <n v="2"/>
    <n v="1"/>
    <n v="28"/>
  </r>
  <r>
    <x v="4"/>
    <s v="LC"/>
    <n v="1"/>
    <n v="30"/>
    <d v="2025-09-03T00:00:00"/>
    <d v="1899-12-30T09:00:00"/>
    <d v="2025-08-30T00:00:00"/>
    <d v="1899-12-30T20:00:00"/>
    <n v="6"/>
    <n v="1"/>
    <n v="24"/>
  </r>
  <r>
    <x v="1"/>
    <s v="LD"/>
    <n v="1"/>
    <n v="30"/>
    <d v="2025-09-03T00:00:00"/>
    <d v="1899-12-30T09:00:00"/>
    <d v="2025-09-02T00:00:00"/>
    <d v="1899-12-30T20:00:00"/>
    <n v="0"/>
    <n v="1"/>
    <n v="30"/>
  </r>
  <r>
    <x v="1"/>
    <s v="LD"/>
    <n v="5"/>
    <n v="50"/>
    <d v="2025-09-03T00:00:00"/>
    <d v="1899-12-30T09:00:00"/>
    <d v="2025-09-02T00:00:00"/>
    <d v="1899-12-30T20:50:00"/>
    <n v="5"/>
    <n v="5"/>
    <n v="45"/>
  </r>
  <r>
    <x v="3"/>
    <s v="LA"/>
    <n v="1"/>
    <n v="30"/>
    <d v="2025-09-03T00:00:00"/>
    <d v="1899-12-30T09:00:00"/>
    <d v="2025-08-31T00:00:00"/>
    <d v="1899-12-30T19:30:00"/>
    <n v="8"/>
    <n v="1"/>
    <n v="22"/>
  </r>
  <r>
    <x v="2"/>
    <s v="LE"/>
    <n v="1"/>
    <n v="30"/>
    <d v="2025-09-03T00:00:00"/>
    <d v="1899-12-30T09:00:00"/>
    <d v="2025-09-02T00:00:00"/>
    <d v="1899-12-30T20:00:00"/>
    <n v="7"/>
    <n v="1"/>
    <n v="23"/>
  </r>
  <r>
    <x v="2"/>
    <s v="LE"/>
    <n v="1"/>
    <n v="40"/>
    <d v="2025-09-03T00:00:00"/>
    <d v="1899-12-30T09:00:00"/>
    <d v="2025-09-02T00:00:00"/>
    <d v="1899-12-30T20:40:00"/>
    <n v="9"/>
    <n v="2"/>
    <n v="31"/>
  </r>
  <r>
    <x v="3"/>
    <s v="LA"/>
    <n v="1"/>
    <n v="25"/>
    <d v="2025-09-03T00:00:00"/>
    <d v="1899-12-30T09:00:00"/>
    <d v="2025-08-31T00:00:00"/>
    <d v="1899-12-30T19:55:00"/>
    <n v="5"/>
    <n v="2"/>
    <n v="20"/>
  </r>
  <r>
    <x v="5"/>
    <s v="LS"/>
    <n v="1"/>
    <n v="20"/>
    <d v="2025-09-03T00:00:00"/>
    <d v="1899-12-30T09:00:00"/>
    <d v="2025-08-31T00:00:00"/>
    <d v="1899-12-30T19:20:00"/>
    <n v="0"/>
    <n v="1"/>
    <n v="20"/>
  </r>
  <r>
    <x v="5"/>
    <s v="LS"/>
    <n v="1"/>
    <n v="20"/>
    <d v="2025-09-03T00:00:00"/>
    <d v="1899-12-30T09:00:00"/>
    <d v="2025-08-31T00:00:00"/>
    <d v="1899-12-30T19:40:00"/>
    <n v="0"/>
    <n v="1"/>
    <n v="20"/>
  </r>
  <r>
    <x v="0"/>
    <s v="LP"/>
    <n v="1"/>
    <n v="30"/>
    <d v="2025-09-03T00:00:00"/>
    <d v="1899-12-30T09:00:00"/>
    <d v="2025-09-02T00:00:00"/>
    <d v="1899-12-30T21:00:00"/>
    <n v="5"/>
    <n v="1"/>
    <n v="25"/>
  </r>
  <r>
    <x v="5"/>
    <s v="LS"/>
    <n v="1"/>
    <n v="30"/>
    <d v="2025-09-03T00:00:00"/>
    <d v="1899-12-30T09:00:00"/>
    <d v="2025-08-31T00:00:00"/>
    <d v="1899-12-30T20:10:00"/>
    <n v="0"/>
    <n v="1"/>
    <n v="30"/>
  </r>
  <r>
    <x v="4"/>
    <s v="LC"/>
    <n v="1"/>
    <n v="30"/>
    <d v="2025-09-03T00:00:00"/>
    <d v="1899-12-30T09:00:00"/>
    <d v="2025-08-30T00:00:00"/>
    <d v="1899-12-30T20:30:00"/>
    <n v="5"/>
    <n v="1"/>
    <n v="25"/>
  </r>
  <r>
    <x v="2"/>
    <s v="LE"/>
    <n v="1"/>
    <n v="30"/>
    <d v="2025-09-03T00:00:00"/>
    <d v="1899-12-30T09:00:00"/>
    <d v="2025-09-02T00:00:00"/>
    <d v="1899-12-30T21:10:00"/>
    <n v="6"/>
    <n v="1"/>
    <n v="24"/>
  </r>
  <r>
    <x v="3"/>
    <s v="LA"/>
    <n v="1"/>
    <n v="30"/>
    <d v="2025-09-03T00:00:00"/>
    <d v="1899-12-30T09:00:00"/>
    <d v="2025-08-31T00:00:00"/>
    <d v="1899-12-30T20:25:00"/>
    <n v="7"/>
    <n v="1"/>
    <n v="23"/>
  </r>
  <r>
    <x v="1"/>
    <s v="LD"/>
    <n v="1"/>
    <n v="30"/>
    <d v="2025-09-03T00:00:00"/>
    <d v="1899-12-30T09:00:00"/>
    <d v="2025-09-02T00:00:00"/>
    <d v="1899-12-30T21:20:00"/>
    <n v="4"/>
    <n v="1"/>
    <n v="26"/>
  </r>
  <r>
    <x v="1"/>
    <s v="LD"/>
    <n v="1"/>
    <n v="60"/>
    <d v="2025-09-03T00:00:00"/>
    <d v="1899-12-30T09:00:00"/>
    <d v="2025-09-02T00:00:00"/>
    <d v="1899-12-30T22:20:00"/>
    <n v="-2"/>
    <n v="1"/>
    <n v="62"/>
  </r>
  <r>
    <x v="0"/>
    <s v=" LP"/>
    <n v="1"/>
    <n v="60"/>
    <d v="2025-09-03T00:00:00"/>
    <d v="1899-12-30T09:00:00"/>
    <d v="2025-09-02T00:00:00"/>
    <d v="1899-12-30T22:00:00"/>
    <n v="50"/>
    <n v="1"/>
    <n v="10"/>
  </r>
  <r>
    <x v="5"/>
    <s v="           LS"/>
    <n v="1"/>
    <n v="60"/>
    <d v="2025-09-03T00:00:00"/>
    <d v="1899-12-30T09:00:00"/>
    <d v="2025-09-02T00:00:00"/>
    <d v="1899-12-30T22:00:00"/>
    <n v="50"/>
    <n v="1"/>
    <n v="10"/>
  </r>
  <r>
    <x v="2"/>
    <s v="LE"/>
    <n v="1"/>
    <n v="60"/>
    <d v="2025-09-03T00:00:00"/>
    <d v="1899-12-30T09:00:00"/>
    <d v="2025-09-02T00:00:00"/>
    <d v="1899-12-30T22:00:00"/>
    <n v="50"/>
    <n v="1"/>
    <n v="10"/>
  </r>
  <r>
    <x v="3"/>
    <s v="           LA"/>
    <n v="1"/>
    <n v="60"/>
    <d v="2025-09-03T00:00:00"/>
    <d v="1899-12-30T09:00:00"/>
    <d v="2025-09-02T00:00:00"/>
    <d v="1899-12-30T22:00:00"/>
    <n v="50"/>
    <n v="1"/>
    <n v="10"/>
  </r>
  <r>
    <x v="4"/>
    <s v="           LC"/>
    <n v="1"/>
    <n v="60"/>
    <d v="2025-09-03T00:00:00"/>
    <d v="1899-12-30T09:00:00"/>
    <d v="2025-09-02T00:00:00"/>
    <d v="1899-12-30T22:00:00"/>
    <n v="50"/>
    <n v="1"/>
    <n v="10"/>
  </r>
  <r>
    <x v="1"/>
    <s v="           LD"/>
    <n v="1"/>
    <n v="60"/>
    <d v="2025-09-03T00:00:00"/>
    <d v="1899-12-30T09:00:00"/>
    <d v="2025-09-02T00:00:00"/>
    <d v="1899-12-30T22:00:00"/>
    <n v="50"/>
    <n v="1"/>
    <n v="10"/>
  </r>
  <r>
    <x v="2"/>
    <s v="LE"/>
    <n v="1"/>
    <n v="30"/>
    <d v="2025-09-03T00:00:00"/>
    <d v="1899-12-30T09:00:00"/>
    <d v="2025-09-02T00:00:00"/>
    <d v="1899-12-30T22:00:00"/>
    <n v="0"/>
    <n v="1"/>
    <n v="30"/>
  </r>
  <r>
    <x v="4"/>
    <s v="LC"/>
    <n v="1"/>
    <n v="30"/>
    <d v="2025-09-03T00:00:00"/>
    <d v="1899-12-30T09:00:00"/>
    <d v="2025-09-02T00:00:00"/>
    <d v="1899-12-30T22:00:00"/>
    <n v="0"/>
    <n v="1"/>
    <n v="30"/>
  </r>
  <r>
    <x v="4"/>
    <s v="LC"/>
    <n v="1"/>
    <n v="45"/>
    <d v="2025-09-03T00:00:00"/>
    <d v="1899-12-30T09:00:00"/>
    <d v="2025-09-02T00:00:00"/>
    <d v="1899-12-30T22:30:00"/>
    <n v="-35"/>
    <n v="1"/>
    <n v="80"/>
  </r>
  <r>
    <x v="2"/>
    <s v="LE"/>
    <n v="1"/>
    <n v="60"/>
    <d v="2025-09-03T00:00:00"/>
    <d v="1899-12-30T09:00:00"/>
    <d v="2025-09-02T00:00:00"/>
    <d v="1899-12-30T22:30:00"/>
    <n v="10"/>
    <n v="1"/>
    <n v="50"/>
  </r>
  <r>
    <x v="2"/>
    <s v="LE"/>
    <n v="1"/>
    <n v="55"/>
    <d v="2025-09-03T00:00:00"/>
    <d v="1899-12-30T09:00:00"/>
    <d v="2025-09-02T00:00:00"/>
    <d v="1899-12-30T22:30:00"/>
    <n v="0"/>
    <n v="1"/>
    <n v="55"/>
  </r>
  <r>
    <x v="4"/>
    <s v="LC"/>
    <n v="1"/>
    <n v="30"/>
    <d v="2025-09-03T00:00:00"/>
    <d v="1899-12-30T09:00:00"/>
    <d v="2025-09-02T00:00:00"/>
    <d v="1899-12-30T22:30:00"/>
    <n v="-2"/>
    <n v="1"/>
    <n v="32"/>
  </r>
  <r>
    <x v="5"/>
    <s v="LS"/>
    <n v="1"/>
    <n v="30"/>
    <d v="2025-09-03T00:00:00"/>
    <d v="1899-12-30T09:00:00"/>
    <d v="2025-09-02T00:00:00"/>
    <d v="1899-12-30T22:30:00"/>
    <n v="-2"/>
    <n v="1"/>
    <n v="32"/>
  </r>
  <r>
    <x v="0"/>
    <s v="LP"/>
    <n v="1"/>
    <n v="30"/>
    <d v="2025-09-03T00:00:00"/>
    <d v="1899-12-30T09:00:00"/>
    <d v="2025-09-02T00:00:00"/>
    <d v="1899-12-30T22:30:00"/>
    <n v="-2"/>
    <n v="1"/>
    <n v="32"/>
  </r>
  <r>
    <x v="2"/>
    <s v="LE"/>
    <n v="1"/>
    <n v="30"/>
    <d v="2025-09-03T00:00:00"/>
    <d v="1899-12-30T09:00:00"/>
    <d v="2025-09-02T00:00:00"/>
    <d v="1899-12-30T22:30:00"/>
    <n v="-2"/>
    <n v="1"/>
    <n v="32"/>
  </r>
  <r>
    <x v="3"/>
    <s v="LA"/>
    <n v="1"/>
    <n v="30"/>
    <d v="2025-09-03T00:00:00"/>
    <d v="1899-12-30T09:00:00"/>
    <d v="2025-09-02T00:00:00"/>
    <d v="1899-12-30T22:30:00"/>
    <n v="-2"/>
    <n v="1"/>
    <n v="32"/>
  </r>
  <r>
    <x v="1"/>
    <s v="LD"/>
    <n v="1"/>
    <n v="30"/>
    <d v="2025-09-03T00:00:00"/>
    <d v="1899-12-30T09:00:00"/>
    <d v="2025-09-02T00:00:00"/>
    <d v="1899-12-30T22:30:00"/>
    <n v="-2"/>
    <n v="1"/>
    <n v="32"/>
  </r>
  <r>
    <x v="2"/>
    <s v="LE"/>
    <n v="3"/>
    <n v="20"/>
    <d v="2025-09-03T00:00:00"/>
    <d v="1899-12-30T09:00:00"/>
    <d v="2025-09-03T00:00:00"/>
    <d v="1899-12-30T09:00:00"/>
    <n v="5"/>
    <n v="3"/>
    <n v="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x v="0"/>
    <s v="LE"/>
    <n v="1"/>
    <n v="30"/>
    <d v="2025-08-27T00:00:00"/>
    <d v="1899-12-30T09:00:00"/>
    <d v="2025-08-21T00:00:00"/>
    <d v="1899-12-30T19:30:00"/>
    <n v="5"/>
    <n v="1"/>
    <n v="25"/>
  </r>
  <r>
    <x v="1"/>
    <s v="LA"/>
    <n v="1"/>
    <n v="30"/>
    <d v="2025-08-27T00:00:00"/>
    <d v="1899-12-30T09:00:00"/>
    <d v="2025-08-21T00:00:00"/>
    <d v="1899-12-30T19:30:00"/>
    <n v="5"/>
    <n v="1"/>
    <n v="25"/>
  </r>
  <r>
    <x v="2"/>
    <s v="LP"/>
    <n v="1"/>
    <n v="30"/>
    <d v="2025-08-13T00:00:00"/>
    <d v="1899-12-30T09:00:00"/>
    <d v="2025-08-21T00:00:00"/>
    <d v="1899-12-30T20:00:00"/>
    <n v="0"/>
    <n v="1"/>
    <n v="30"/>
  </r>
  <r>
    <x v="1"/>
    <s v="LA"/>
    <n v="3"/>
    <n v="60"/>
    <d v="2025-08-27T00:00:00"/>
    <d v="1899-12-30T09:00:00"/>
    <d v="2025-08-21T00:00:00"/>
    <d v="1899-12-30T20:30:00"/>
    <n v="0"/>
    <n v="3"/>
    <n v="60"/>
  </r>
  <r>
    <x v="3"/>
    <s v="LE"/>
    <n v="3"/>
    <n v="60"/>
    <d v="2025-08-27T00:00:00"/>
    <d v="1899-12-30T09:00:00"/>
    <d v="2025-08-21T00:00:00"/>
    <d v="1899-12-30T20:30:00"/>
    <n v="0"/>
    <n v="3"/>
    <n v="60"/>
  </r>
  <r>
    <x v="3"/>
    <s v="LE"/>
    <n v="1"/>
    <n v="30"/>
    <d v="2025-08-27T00:00:00"/>
    <d v="1899-12-30T09:00:00"/>
    <d v="2025-08-21T00:00:00"/>
    <d v="1899-12-30T21:00:00"/>
    <n v="0"/>
    <n v="1"/>
    <n v="30"/>
  </r>
  <r>
    <x v="1"/>
    <s v="LA"/>
    <n v="1"/>
    <n v="30"/>
    <d v="2025-08-27T00:00:00"/>
    <d v="1899-12-30T09:00:00"/>
    <d v="2025-08-21T00:00:00"/>
    <d v="1899-12-30T21:00:00"/>
    <n v="0"/>
    <n v="1"/>
    <n v="30"/>
  </r>
  <r>
    <x v="3"/>
    <s v="LE"/>
    <n v="1"/>
    <n v="20"/>
    <d v="2025-08-27T00:00:00"/>
    <d v="1899-12-30T09:00:00"/>
    <d v="2025-08-21T00:00:00"/>
    <d v="1899-12-30T21:20:00"/>
    <n v="0"/>
    <n v="1"/>
    <n v="20"/>
  </r>
  <r>
    <x v="1"/>
    <s v="LA"/>
    <n v="1"/>
    <n v="20"/>
    <d v="2025-08-27T00:00:00"/>
    <d v="1899-12-30T09:00:00"/>
    <d v="2025-08-21T00:00:00"/>
    <d v="1899-12-30T21:20:00"/>
    <n v="0"/>
    <n v="1"/>
    <n v="20"/>
  </r>
  <r>
    <x v="3"/>
    <s v="LE"/>
    <n v="1"/>
    <n v="20"/>
    <d v="2025-08-27T00:00:00"/>
    <d v="1899-12-30T09:00:00"/>
    <d v="2025-08-21T00:00:00"/>
    <d v="1899-12-30T21:40:00"/>
    <n v="2"/>
    <n v="1"/>
    <n v="18"/>
  </r>
  <r>
    <x v="1"/>
    <s v="LA"/>
    <n v="1"/>
    <n v="20"/>
    <d v="2025-08-27T00:00:00"/>
    <d v="1899-12-30T09:00:00"/>
    <d v="2025-08-21T00:00:00"/>
    <d v="1899-12-30T21:40:00"/>
    <n v="2"/>
    <n v="1"/>
    <n v="18"/>
  </r>
  <r>
    <x v="3"/>
    <s v="LE"/>
    <n v="1"/>
    <n v="20"/>
    <d v="2025-08-27T00:00:00"/>
    <d v="1899-12-30T09:00:00"/>
    <d v="2025-08-21T00:00:00"/>
    <d v="1899-12-30T22:00:00"/>
    <n v="1"/>
    <n v="1"/>
    <n v="19"/>
  </r>
  <r>
    <x v="4"/>
    <s v="LA"/>
    <n v="1"/>
    <n v="20"/>
    <d v="2025-08-27T00:00:00"/>
    <d v="1899-12-30T09:00:00"/>
    <d v="2025-08-21T00:00:00"/>
    <d v="1899-12-30T22:00:00"/>
    <n v="1"/>
    <n v="1"/>
    <n v="19"/>
  </r>
  <r>
    <x v="3"/>
    <s v="LE"/>
    <n v="1"/>
    <n v="30"/>
    <d v="2025-08-27T00:00:00"/>
    <d v="1899-12-30T09:00:00"/>
    <d v="2025-08-21T00:00:00"/>
    <d v="1899-12-30T22:30:00"/>
    <n v="5"/>
    <n v="1"/>
    <n v="25"/>
  </r>
  <r>
    <x v="4"/>
    <s v="LA"/>
    <n v="1"/>
    <n v="30"/>
    <d v="2025-08-27T00:00:00"/>
    <d v="1899-12-30T09:00:00"/>
    <d v="2025-08-21T00:00:00"/>
    <d v="1899-12-30T22:30:00"/>
    <n v="5"/>
    <n v="1"/>
    <n v="25"/>
  </r>
  <r>
    <x v="2"/>
    <s v="LP"/>
    <n v="1"/>
    <n v="30"/>
    <d v="2025-08-27T00:00:00"/>
    <d v="1899-12-30T09:00:00"/>
    <d v="2025-08-21T00:00:00"/>
    <d v="1899-12-30T19:30:00"/>
    <n v="6"/>
    <n v="1"/>
    <n v="24"/>
  </r>
  <r>
    <x v="5"/>
    <s v="LD"/>
    <n v="1"/>
    <n v="30"/>
    <d v="2025-08-27T00:00:00"/>
    <d v="1899-12-30T09:00:00"/>
    <d v="2025-08-21T00:00:00"/>
    <d v="1899-12-30T19:30:00"/>
    <n v="6"/>
    <n v="1"/>
    <n v="24"/>
  </r>
  <r>
    <x v="2"/>
    <s v="LP"/>
    <n v="1"/>
    <n v="60"/>
    <d v="2025-08-27T00:00:00"/>
    <d v="1899-12-30T09:00:00"/>
    <d v="2025-08-21T00:00:00"/>
    <d v="1899-12-30T20:30:00"/>
    <n v="15"/>
    <n v="1"/>
    <n v="45"/>
  </r>
  <r>
    <x v="5"/>
    <s v="LD"/>
    <n v="1"/>
    <n v="60"/>
    <d v="2025-08-27T00:00:00"/>
    <d v="1899-12-30T09:00:00"/>
    <d v="2025-08-21T00:00:00"/>
    <d v="1899-12-30T20:30:00"/>
    <n v="15"/>
    <n v="1"/>
    <n v="45"/>
  </r>
  <r>
    <x v="2"/>
    <s v="LP"/>
    <n v="1"/>
    <n v="30"/>
    <d v="2025-08-27T00:00:00"/>
    <d v="1899-12-30T09:00:00"/>
    <d v="2025-08-21T00:00:00"/>
    <d v="1899-12-30T21:00:00"/>
    <n v="10"/>
    <n v="1"/>
    <n v="20"/>
  </r>
  <r>
    <x v="5"/>
    <s v="LD"/>
    <n v="1"/>
    <n v="30"/>
    <d v="2025-08-27T00:00:00"/>
    <d v="1899-12-30T09:00:00"/>
    <d v="2025-08-21T00:00:00"/>
    <d v="1899-12-30T21:00:00"/>
    <n v="10"/>
    <n v="1"/>
    <n v="20"/>
  </r>
  <r>
    <x v="5"/>
    <s v=" LD"/>
    <n v="1"/>
    <n v="30"/>
    <d v="2025-08-27T00:00:00"/>
    <d v="1899-12-30T09:00:00"/>
    <d v="2025-08-21T00:00:00"/>
    <d v="1899-12-30T21:30:00"/>
    <n v="0"/>
    <n v="1"/>
    <n v="30"/>
  </r>
  <r>
    <x v="2"/>
    <s v="LP"/>
    <n v="1"/>
    <n v="30"/>
    <d v="2025-08-27T00:00:00"/>
    <d v="1899-12-30T09:00:00"/>
    <d v="2025-08-21T00:00:00"/>
    <d v="1899-12-30T21:30:00"/>
    <n v="0"/>
    <n v="1"/>
    <n v="30"/>
  </r>
  <r>
    <x v="2"/>
    <s v="LP"/>
    <n v="1"/>
    <n v="30"/>
    <d v="2025-08-27T00:00:00"/>
    <d v="1899-12-30T09:00:00"/>
    <d v="2025-08-21T00:00:00"/>
    <d v="1899-12-30T22:00:00"/>
    <n v="-2"/>
    <n v="1"/>
    <n v="32"/>
  </r>
  <r>
    <x v="5"/>
    <s v="LD"/>
    <n v="1"/>
    <n v="30"/>
    <d v="2025-08-27T00:00:00"/>
    <d v="1899-12-30T09:00:00"/>
    <d v="2025-08-21T00:00:00"/>
    <d v="1899-12-30T22:00:00"/>
    <n v="-2"/>
    <n v="1"/>
    <n v="32"/>
  </r>
  <r>
    <x v="6"/>
    <s v="LC"/>
    <n v="1"/>
    <n v="20"/>
    <d v="2025-08-27T00:00:00"/>
    <d v="1899-12-30T09:00:00"/>
    <d v="2025-08-21T00:00:00"/>
    <d v="1899-12-30T19:20:00"/>
    <n v="0"/>
    <n v="1"/>
    <n v="20"/>
  </r>
  <r>
    <x v="7"/>
    <s v="LS"/>
    <n v="1"/>
    <n v="20"/>
    <d v="2025-08-27T00:00:00"/>
    <d v="1899-12-30T09:00:00"/>
    <d v="2025-08-21T00:00:00"/>
    <d v="1899-12-30T19:20:00"/>
    <n v="0"/>
    <n v="1"/>
    <n v="20"/>
  </r>
  <r>
    <x v="6"/>
    <s v="LC"/>
    <n v="1"/>
    <n v="20"/>
    <d v="2025-08-27T00:00:00"/>
    <d v="1899-12-30T09:00:00"/>
    <d v="2025-08-21T00:00:00"/>
    <d v="1899-12-30T19:40:00"/>
    <n v="0"/>
    <n v="1"/>
    <n v="20"/>
  </r>
  <r>
    <x v="7"/>
    <s v="LS"/>
    <n v="1"/>
    <n v="20"/>
    <d v="2025-08-27T00:00:00"/>
    <d v="1899-12-30T09:00:00"/>
    <d v="2025-08-21T00:00:00"/>
    <d v="1899-12-30T19:40:00"/>
    <n v="0"/>
    <n v="1"/>
    <n v="20"/>
  </r>
  <r>
    <x v="6"/>
    <s v="LC"/>
    <n v="1"/>
    <n v="20"/>
    <d v="2025-08-27T00:00:00"/>
    <d v="1899-12-30T09:00:00"/>
    <d v="2025-08-21T00:00:00"/>
    <d v="1899-12-30T20:00:00"/>
    <n v="0"/>
    <n v="4"/>
    <n v="20"/>
  </r>
  <r>
    <x v="7"/>
    <s v="LS"/>
    <n v="1"/>
    <n v="20"/>
    <d v="2025-08-27T00:00:00"/>
    <d v="1899-12-30T09:00:00"/>
    <d v="2025-08-21T00:00:00"/>
    <d v="1899-12-30T20:00:00"/>
    <n v="0"/>
    <n v="1"/>
    <n v="20"/>
  </r>
  <r>
    <x v="6"/>
    <s v="LC"/>
    <n v="1"/>
    <n v="20"/>
    <d v="2025-08-27T00:00:00"/>
    <d v="1899-12-30T09:00:00"/>
    <d v="2025-08-21T00:00:00"/>
    <d v="1899-12-30T20:20:00"/>
    <n v="2"/>
    <n v="1"/>
    <n v="18"/>
  </r>
  <r>
    <x v="7"/>
    <s v="LS"/>
    <n v="1"/>
    <n v="20"/>
    <d v="2025-08-27T00:00:00"/>
    <d v="1899-12-30T09:00:00"/>
    <d v="2025-08-21T00:00:00"/>
    <d v="1899-12-30T20:20:00"/>
    <n v="2"/>
    <n v="1"/>
    <n v="18"/>
  </r>
  <r>
    <x v="6"/>
    <s v="LC"/>
    <n v="1"/>
    <n v="20"/>
    <d v="2025-08-27T00:00:00"/>
    <d v="1899-12-30T09:00:00"/>
    <d v="2025-08-21T00:00:00"/>
    <d v="1899-12-30T20:40:00"/>
    <n v="0"/>
    <n v="1"/>
    <n v="20"/>
  </r>
  <r>
    <x v="8"/>
    <s v="LS"/>
    <n v="1"/>
    <n v="20"/>
    <d v="2025-08-27T00:00:00"/>
    <d v="1899-12-30T09:00:00"/>
    <d v="2025-08-21T00:00:00"/>
    <d v="1899-12-30T20:40:00"/>
    <n v="0"/>
    <n v="1"/>
    <n v="20"/>
  </r>
  <r>
    <x v="6"/>
    <s v="LC"/>
    <n v="1"/>
    <n v="20"/>
    <d v="2025-08-27T00:00:00"/>
    <d v="1899-12-30T09:00:00"/>
    <d v="2025-08-21T00:00:00"/>
    <d v="1899-12-30T21:00:00"/>
    <n v="-1"/>
    <n v="1"/>
    <n v="21"/>
  </r>
  <r>
    <x v="7"/>
    <s v="LS"/>
    <n v="1"/>
    <n v="20"/>
    <d v="2025-08-27T00:00:00"/>
    <d v="1899-12-30T09:00:00"/>
    <d v="2025-08-21T00:00:00"/>
    <d v="1899-12-30T21:00:00"/>
    <n v="-1"/>
    <n v="1"/>
    <n v="21"/>
  </r>
  <r>
    <x v="6"/>
    <s v="LC"/>
    <n v="1"/>
    <n v="30"/>
    <d v="2025-08-27T00:00:00"/>
    <d v="1899-12-30T09:00:00"/>
    <d v="2025-08-21T00:00:00"/>
    <d v="1899-12-30T21:30:00"/>
    <n v="5"/>
    <n v="1"/>
    <n v="25"/>
  </r>
  <r>
    <x v="7"/>
    <s v="LS"/>
    <n v="1"/>
    <n v="30"/>
    <d v="2025-08-27T00:00:00"/>
    <d v="1899-12-30T09:00:00"/>
    <d v="2025-08-21T00:00:00"/>
    <d v="1899-12-30T21:30:00"/>
    <n v="5"/>
    <n v="1"/>
    <n v="25"/>
  </r>
  <r>
    <x v="6"/>
    <s v="LC"/>
    <n v="1"/>
    <n v="30"/>
    <d v="2025-08-27T00:00:00"/>
    <d v="1899-12-30T09:00:00"/>
    <d v="2025-08-21T00:00:00"/>
    <d v="1899-12-30T22:00:00"/>
    <n v="10"/>
    <n v="1"/>
    <n v="20"/>
  </r>
  <r>
    <x v="7"/>
    <s v="LS"/>
    <n v="1"/>
    <n v="30"/>
    <d v="2025-08-27T00:00:00"/>
    <d v="1899-12-30T09:00:00"/>
    <d v="2025-08-21T00:00:00"/>
    <d v="1899-12-30T22:00:00"/>
    <n v="10"/>
    <n v="1"/>
    <n v="20"/>
  </r>
  <r>
    <x v="2"/>
    <s v="           LP"/>
    <n v="1"/>
    <n v="60"/>
    <d v="2025-08-27T00:00:00"/>
    <d v="1899-12-30T09:00:00"/>
    <d v="2025-08-21T00:00:00"/>
    <d v="1899-12-30T22:00:00"/>
    <n v="50"/>
    <n v="1"/>
    <n v="10"/>
  </r>
  <r>
    <x v="7"/>
    <s v="           LS"/>
    <n v="1"/>
    <n v="60"/>
    <d v="2025-08-27T00:00:00"/>
    <d v="1899-12-30T09:00:00"/>
    <d v="2025-08-21T00:00:00"/>
    <d v="1899-12-30T22:00:00"/>
    <n v="50"/>
    <n v="2"/>
    <n v="10"/>
  </r>
  <r>
    <x v="3"/>
    <s v="           LE"/>
    <n v="1"/>
    <n v="60"/>
    <d v="2025-08-27T00:00:00"/>
    <d v="1899-12-30T09:00:00"/>
    <d v="2025-08-21T00:00:00"/>
    <d v="1899-12-30T22:00:00"/>
    <n v="50"/>
    <n v="1"/>
    <n v="10"/>
  </r>
  <r>
    <x v="4"/>
    <s v="           LA"/>
    <n v="1"/>
    <n v="60"/>
    <d v="2025-08-27T00:00:00"/>
    <d v="1899-12-30T09:00:00"/>
    <d v="2025-08-21T00:00:00"/>
    <d v="1899-12-30T22:00:00"/>
    <n v="50"/>
    <n v="1"/>
    <n v="10"/>
  </r>
  <r>
    <x v="6"/>
    <s v="           LC"/>
    <n v="1"/>
    <n v="60"/>
    <d v="2025-08-13T00:00:00"/>
    <d v="1899-12-30T09:00:00"/>
    <d v="2025-08-21T00:00:00"/>
    <d v="1899-12-30T22:00:00"/>
    <n v="50"/>
    <n v="1"/>
    <n v="10"/>
  </r>
  <r>
    <x v="5"/>
    <s v="           LD"/>
    <n v="1"/>
    <n v="60"/>
    <d v="2025-08-27T00:00:00"/>
    <d v="1899-12-30T09:00:00"/>
    <d v="2025-08-21T00:00:00"/>
    <d v="1899-12-30T22:00:00"/>
    <n v="50"/>
    <n v="1"/>
    <n v="10"/>
  </r>
  <r>
    <x v="3"/>
    <s v="LE"/>
    <n v="1"/>
    <n v="30"/>
    <d v="2025-08-27T00:00:00"/>
    <d v="1899-12-30T09:00:00"/>
    <d v="2025-08-21T00:00:00"/>
    <d v="1899-12-30T22:00:00"/>
    <n v="0"/>
    <n v="1"/>
    <n v="30"/>
  </r>
  <r>
    <x v="6"/>
    <s v="LC"/>
    <n v="1"/>
    <n v="30"/>
    <d v="2025-08-27T00:00:00"/>
    <d v="1899-12-30T09:00:00"/>
    <d v="2025-08-21T00:00:00"/>
    <d v="1899-12-30T22:00:00"/>
    <n v="0"/>
    <n v="1"/>
    <n v="30"/>
  </r>
  <r>
    <x v="6"/>
    <s v="           LC"/>
    <n v="1"/>
    <n v="45"/>
    <d v="2025-08-27T00:00:00"/>
    <d v="1899-12-30T09:00:00"/>
    <d v="2025-08-21T00:00:00"/>
    <d v="1899-12-30T22:30:00"/>
    <n v="-35"/>
    <n v="1"/>
    <n v="80"/>
  </r>
  <r>
    <x v="3"/>
    <s v="           LE"/>
    <n v="1"/>
    <n v="60"/>
    <d v="2025-08-27T00:00:00"/>
    <d v="1899-12-30T09:00:00"/>
    <d v="2025-08-21T00:00:00"/>
    <d v="1899-12-30T22:30:00"/>
    <n v="10"/>
    <n v="1"/>
    <n v="50"/>
  </r>
  <r>
    <x v="3"/>
    <s v="           LE"/>
    <n v="1"/>
    <n v="55"/>
    <d v="2025-08-27T00:00:00"/>
    <d v="1899-12-30T09:00:00"/>
    <d v="2025-08-21T00:00:00"/>
    <d v="1899-12-30T22:30:00"/>
    <n v="0"/>
    <n v="1"/>
    <n v="55"/>
  </r>
  <r>
    <x v="6"/>
    <s v="LC"/>
    <n v="1"/>
    <n v="30"/>
    <d v="2025-08-27T00:00:00"/>
    <d v="1899-12-30T09:00:00"/>
    <d v="2025-08-25T00:00:00"/>
    <d v="1899-12-30T22:30:00"/>
    <n v="-2"/>
    <n v="1"/>
    <n v="32"/>
  </r>
  <r>
    <x v="7"/>
    <s v="LS"/>
    <n v="1"/>
    <n v="30"/>
    <d v="2025-08-27T00:00:00"/>
    <d v="1899-12-30T09:00:00"/>
    <d v="2025-08-25T00:00:00"/>
    <d v="1899-12-30T22:30:00"/>
    <n v="-2"/>
    <n v="1"/>
    <n v="32"/>
  </r>
  <r>
    <x v="2"/>
    <s v="LP"/>
    <n v="1"/>
    <n v="30"/>
    <d v="2025-08-27T00:00:00"/>
    <d v="1899-12-30T09:00:00"/>
    <d v="2025-08-25T00:00:00"/>
    <d v="1899-12-30T22:30:00"/>
    <n v="-2"/>
    <n v="1"/>
    <n v="32"/>
  </r>
  <r>
    <x v="3"/>
    <s v="LE"/>
    <n v="1"/>
    <n v="30"/>
    <d v="2025-08-27T00:00:00"/>
    <d v="1899-12-30T09:00:00"/>
    <d v="2025-08-25T00:00:00"/>
    <d v="1899-12-30T22:30:00"/>
    <n v="-2"/>
    <n v="1"/>
    <n v="32"/>
  </r>
  <r>
    <x v="4"/>
    <s v="LA"/>
    <n v="1"/>
    <n v="30"/>
    <d v="2025-08-27T00:00:00"/>
    <d v="1899-12-30T09:00:00"/>
    <d v="2025-08-25T00:00:00"/>
    <d v="1899-12-30T22:30:00"/>
    <n v="-2"/>
    <n v="1"/>
    <n v="32"/>
  </r>
  <r>
    <x v="5"/>
    <s v="LD"/>
    <n v="1"/>
    <n v="30"/>
    <d v="2025-08-27T00:00:00"/>
    <d v="1899-12-30T09:00:00"/>
    <d v="2025-08-25T00:00:00"/>
    <d v="1899-12-30T22:30:00"/>
    <n v="-2"/>
    <n v="1"/>
    <n v="32"/>
  </r>
  <r>
    <x v="3"/>
    <s v="LE"/>
    <n v="3"/>
    <n v="20"/>
    <d v="2025-08-27T00:00:00"/>
    <d v="1899-12-30T09:00:00"/>
    <d v="2025-08-26T00:00:00"/>
    <d v="1899-12-30T14:00:00"/>
    <n v="5"/>
    <n v="3"/>
    <n v="1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x v="0"/>
    <s v="LE"/>
    <n v="1"/>
    <n v="45"/>
    <d v="2025-08-13T00:00:00"/>
    <d v="1899-12-30T09:00:00"/>
    <d v="2025-08-08T00:00:00"/>
    <d v="1899-12-30T10:30:00"/>
    <n v="-15"/>
    <n v="1"/>
    <n v="60"/>
  </r>
  <r>
    <x v="0"/>
    <s v="LE"/>
    <n v="1"/>
    <n v="60"/>
    <d v="2025-08-13T00:00:00"/>
    <d v="1899-12-30T09:00:00"/>
    <d v="2025-08-08T00:00:00"/>
    <d v="1899-12-30T10:30:00"/>
    <n v="0"/>
    <n v="1"/>
    <n v="60"/>
  </r>
  <r>
    <x v="1"/>
    <s v="LP"/>
    <n v="1"/>
    <n v="60"/>
    <d v="2025-08-13T00:00:00"/>
    <d v="1899-12-30T09:00:00"/>
    <d v="2025-08-08T00:00:00"/>
    <d v="1899-12-30T10:30:00"/>
    <n v="0"/>
    <n v="1"/>
    <n v="60"/>
  </r>
  <r>
    <x v="2"/>
    <s v="LA"/>
    <n v="1"/>
    <n v="60"/>
    <d v="2025-08-13T00:00:00"/>
    <d v="1899-12-30T09:00:00"/>
    <d v="2025-08-08T00:00:00"/>
    <d v="1899-12-30T10:30:00"/>
    <n v="0"/>
    <n v="1"/>
    <n v="60"/>
  </r>
  <r>
    <x v="3"/>
    <s v="LC"/>
    <n v="1"/>
    <n v="60"/>
    <d v="2025-08-13T00:00:00"/>
    <d v="1899-12-30T09:00:00"/>
    <d v="2025-08-08T00:00:00"/>
    <d v="1899-12-30T10:30:00"/>
    <n v="0"/>
    <n v="1"/>
    <n v="60"/>
  </r>
  <r>
    <x v="4"/>
    <s v="LS"/>
    <n v="1"/>
    <n v="60"/>
    <d v="2025-08-13T00:00:00"/>
    <d v="1899-12-30T09:00:00"/>
    <d v="2025-08-08T00:00:00"/>
    <d v="1899-12-30T10:30:00"/>
    <n v="0"/>
    <n v="1"/>
    <n v="60"/>
  </r>
  <r>
    <x v="5"/>
    <s v="LD"/>
    <n v="1"/>
    <n v="60"/>
    <d v="2025-08-13T00:00:00"/>
    <d v="1899-12-30T09:00:00"/>
    <d v="2025-08-08T00:00:00"/>
    <d v="1899-12-30T10:30:00"/>
    <n v="0"/>
    <n v="1"/>
    <n v="60"/>
  </r>
  <r>
    <x v="6"/>
    <s v="            LE"/>
    <n v="1"/>
    <n v="50"/>
    <d v="2025-08-13T00:00:00"/>
    <d v="1899-12-30T09:00:00"/>
    <d v="2025-08-08T00:00:00"/>
    <d v="1899-12-30T11:00:00"/>
    <n v="-10"/>
    <n v="1"/>
    <n v="60"/>
  </r>
  <r>
    <x v="7"/>
    <s v="LP"/>
    <n v="1"/>
    <n v="50"/>
    <d v="2025-08-13T00:00:00"/>
    <d v="1899-12-30T09:00:00"/>
    <d v="2025-08-08T00:00:00"/>
    <d v="1899-12-30T11:00:00"/>
    <n v="-10"/>
    <n v="1"/>
    <n v="60"/>
  </r>
  <r>
    <x v="8"/>
    <s v="LA"/>
    <n v="1"/>
    <n v="50"/>
    <d v="2025-08-13T00:00:00"/>
    <d v="1899-12-30T09:00:00"/>
    <d v="2025-08-08T00:00:00"/>
    <d v="1899-12-30T11:00:00"/>
    <n v="-10"/>
    <n v="1"/>
    <n v="60"/>
  </r>
  <r>
    <x v="9"/>
    <s v="LC"/>
    <n v="1"/>
    <n v="50"/>
    <d v="2025-08-13T00:00:00"/>
    <d v="1899-12-30T09:00:00"/>
    <d v="2025-08-08T00:00:00"/>
    <d v="1899-12-30T11:00:00"/>
    <n v="-10"/>
    <n v="1"/>
    <n v="60"/>
  </r>
  <r>
    <x v="10"/>
    <s v="LD"/>
    <n v="1"/>
    <n v="50"/>
    <d v="2025-08-13T00:00:00"/>
    <d v="1899-12-30T09:00:00"/>
    <d v="2025-08-08T00:00:00"/>
    <d v="1899-12-30T11:00:00"/>
    <n v="-10"/>
    <n v="1"/>
    <n v="60"/>
  </r>
  <r>
    <x v="4"/>
    <s v="LS"/>
    <n v="1"/>
    <n v="50"/>
    <d v="2025-08-13T00:00:00"/>
    <d v="1899-12-30T09:00:00"/>
    <d v="2025-08-08T00:00:00"/>
    <d v="1899-12-30T11:00:00"/>
    <n v="-10"/>
    <n v="1"/>
    <n v="60"/>
  </r>
  <r>
    <x v="0"/>
    <s v="LE"/>
    <n v="1"/>
    <n v="70"/>
    <d v="2025-08-13T00:00:00"/>
    <d v="1899-12-30T09:00:00"/>
    <d v="2025-08-08T00:00:00"/>
    <d v="1899-12-30T12:00:00"/>
    <n v="10"/>
    <n v="1"/>
    <n v="60"/>
  </r>
  <r>
    <x v="7"/>
    <s v="LP"/>
    <n v="1"/>
    <n v="70"/>
    <d v="2025-08-13T00:00:00"/>
    <d v="1899-12-30T09:00:00"/>
    <d v="2025-08-08T00:00:00"/>
    <d v="1899-12-30T12:00:00"/>
    <n v="10"/>
    <n v="1"/>
    <n v="60"/>
  </r>
  <r>
    <x v="8"/>
    <s v="LA"/>
    <n v="1"/>
    <n v="70"/>
    <d v="2025-08-13T00:00:00"/>
    <d v="1899-12-30T09:00:00"/>
    <d v="2025-08-08T00:00:00"/>
    <d v="1899-12-30T12:00:00"/>
    <n v="10"/>
    <n v="1"/>
    <n v="60"/>
  </r>
  <r>
    <x v="9"/>
    <s v="LC"/>
    <n v="1"/>
    <n v="70"/>
    <d v="2025-08-13T00:00:00"/>
    <d v="1899-12-30T09:00:00"/>
    <d v="2025-08-08T00:00:00"/>
    <d v="1899-12-30T12:00:00"/>
    <n v="10"/>
    <n v="1"/>
    <n v="60"/>
  </r>
  <r>
    <x v="10"/>
    <s v="LD"/>
    <n v="1"/>
    <n v="70"/>
    <d v="2025-08-13T00:00:00"/>
    <d v="1899-12-30T09:00:00"/>
    <d v="2025-08-08T00:00:00"/>
    <d v="1899-12-30T12:00:00"/>
    <n v="10"/>
    <n v="1"/>
    <n v="60"/>
  </r>
  <r>
    <x v="4"/>
    <s v="LS"/>
    <n v="1"/>
    <n v="70"/>
    <d v="2025-08-13T00:00:00"/>
    <d v="1899-12-30T09:00:00"/>
    <d v="2025-08-08T00:00:00"/>
    <d v="1899-12-30T12:00:00"/>
    <n v="10"/>
    <n v="1"/>
    <n v="60"/>
  </r>
  <r>
    <x v="0"/>
    <s v="LE"/>
    <n v="1"/>
    <n v="30"/>
    <d v="2025-08-13T00:00:00"/>
    <d v="1899-12-30T09:00:00"/>
    <d v="2025-08-08T00:00:00"/>
    <d v="1899-12-30T01:00:00"/>
    <n v="0"/>
    <n v="1"/>
    <n v="30"/>
  </r>
  <r>
    <x v="9"/>
    <s v="LC"/>
    <n v="1"/>
    <n v="30"/>
    <d v="2025-08-13T00:00:00"/>
    <d v="1899-12-30T09:00:00"/>
    <d v="2025-08-08T00:00:00"/>
    <d v="1899-12-30T01:00:00"/>
    <n v="0"/>
    <n v="1"/>
    <n v="30"/>
  </r>
  <r>
    <x v="7"/>
    <s v="LP"/>
    <n v="1"/>
    <n v="30"/>
    <d v="2025-08-13T00:00:00"/>
    <d v="1899-12-30T09:00:00"/>
    <d v="2025-08-08T00:00:00"/>
    <d v="1899-12-30T01:00:00"/>
    <n v="0"/>
    <n v="1"/>
    <n v="30"/>
  </r>
  <r>
    <x v="11"/>
    <s v="            LE"/>
    <n v="1"/>
    <n v="120"/>
    <d v="2025-08-13T00:00:00"/>
    <d v="1899-12-30T09:00:00"/>
    <d v="2025-08-10T00:00:00"/>
    <d v="1899-12-30T22:00:00"/>
    <n v="60"/>
    <n v="1"/>
    <n v="60"/>
  </r>
  <r>
    <x v="12"/>
    <s v="            LD"/>
    <n v="1"/>
    <n v="120"/>
    <d v="2025-08-13T00:00:00"/>
    <d v="1899-12-30T09:00:00"/>
    <d v="2025-08-10T00:00:00"/>
    <d v="1899-12-30T22:00:00"/>
    <n v="60"/>
    <n v="1"/>
    <n v="60"/>
  </r>
  <r>
    <x v="13"/>
    <s v="            LP"/>
    <n v="1"/>
    <n v="30"/>
    <d v="2025-08-13T00:00:00"/>
    <d v="1899-12-30T09:00:00"/>
    <d v="2025-08-10T00:00:00"/>
    <d v="1899-12-30T22:00:00"/>
    <n v="-30"/>
    <n v="1"/>
    <n v="60"/>
  </r>
  <r>
    <x v="14"/>
    <s v="            LA"/>
    <n v="1"/>
    <n v="30"/>
    <d v="2025-08-13T00:00:00"/>
    <d v="1899-12-30T09:00:00"/>
    <d v="2025-08-10T00:00:00"/>
    <d v="1899-12-30T21:00:00"/>
    <n v="-30"/>
    <n v="1"/>
    <n v="60"/>
  </r>
  <r>
    <x v="15"/>
    <s v="            LS"/>
    <n v="1"/>
    <n v="30"/>
    <d v="2025-08-13T00:00:00"/>
    <d v="1899-12-30T09:00:00"/>
    <d v="2025-08-10T00:00:00"/>
    <d v="1899-12-30T22:00:00"/>
    <n v="-90"/>
    <n v="1"/>
    <n v="120"/>
  </r>
  <r>
    <x v="16"/>
    <s v="            LC"/>
    <n v="1"/>
    <n v="30"/>
    <d v="2025-08-13T00:00:00"/>
    <d v="1899-12-30T09:00:00"/>
    <d v="2025-08-10T00:00:00"/>
    <d v="1899-12-30T11:10:00"/>
    <n v="5"/>
    <n v="1"/>
    <n v="25"/>
  </r>
  <r>
    <x v="17"/>
    <s v="            LC"/>
    <n v="1"/>
    <n v="70"/>
    <d v="2025-08-13T00:00:00"/>
    <d v="1899-12-30T09:00:00"/>
    <d v="2025-08-11T00:00:00"/>
    <d v="1899-12-30T20:00:00"/>
    <n v="-50"/>
    <n v="1"/>
    <n v="120"/>
  </r>
  <r>
    <x v="4"/>
    <s v="           LS"/>
    <n v="1"/>
    <n v="50"/>
    <d v="2025-08-13T00:00:00"/>
    <d v="1899-12-30T09:00:00"/>
    <d v="2025-08-11T00:00:00"/>
    <d v="1899-12-30T22:00:00"/>
    <n v="-70"/>
    <n v="1"/>
    <n v="120"/>
  </r>
  <r>
    <x v="9"/>
    <s v="           LC"/>
    <n v="1"/>
    <n v="45"/>
    <d v="2025-08-13T00:00:00"/>
    <d v="1899-12-30T09:00:00"/>
    <d v="2025-08-11T00:00:00"/>
    <d v="1899-12-30T22:30:00"/>
    <n v="-35"/>
    <n v="1"/>
    <n v="80"/>
  </r>
  <r>
    <x v="7"/>
    <s v="           LP"/>
    <n v="1"/>
    <n v="50"/>
    <d v="2025-08-13T00:00:00"/>
    <d v="1899-12-30T09:00:00"/>
    <d v="2025-08-11T00:00:00"/>
    <d v="1899-12-30T23:00:00"/>
    <n v="-4"/>
    <n v="1"/>
    <n v="54"/>
  </r>
  <r>
    <x v="0"/>
    <s v="           LE"/>
    <n v="1"/>
    <n v="60"/>
    <d v="2025-08-13T00:00:00"/>
    <d v="1899-12-30T09:00:00"/>
    <d v="2025-08-11T00:00:00"/>
    <d v="1899-12-30T23:00:00"/>
    <n v="10"/>
    <n v="1"/>
    <n v="50"/>
  </r>
  <r>
    <x v="0"/>
    <s v="           LE"/>
    <n v="1"/>
    <n v="55"/>
    <d v="2025-08-13T00:00:00"/>
    <d v="1899-12-30T09:00:00"/>
    <d v="2025-08-11T00:00:00"/>
    <d v="1899-12-30T23:00:00"/>
    <n v="0"/>
    <n v="1"/>
    <n v="55"/>
  </r>
  <r>
    <x v="7"/>
    <s v="           LP"/>
    <n v="1"/>
    <n v="60"/>
    <d v="2025-08-13T00:00:00"/>
    <d v="1899-12-30T09:00:00"/>
    <d v="2025-08-11T00:00:00"/>
    <d v="1899-12-30T21:00:00"/>
    <n v="-6"/>
    <n v="1"/>
    <n v="66"/>
  </r>
  <r>
    <x v="0"/>
    <s v="           LE"/>
    <n v="1"/>
    <n v="60"/>
    <d v="2025-08-13T00:00:00"/>
    <d v="1899-12-30T09:00:00"/>
    <d v="2025-08-11T00:00:00"/>
    <d v="1899-12-30T21:00:00"/>
    <n v="-6"/>
    <n v="1"/>
    <n v="66"/>
  </r>
  <r>
    <x v="10"/>
    <s v="           LD"/>
    <n v="1"/>
    <n v="60"/>
    <d v="2025-08-13T00:00:00"/>
    <d v="1899-12-30T09:00:00"/>
    <d v="2025-08-11T00:00:00"/>
    <d v="1899-12-30T21:00:00"/>
    <n v="-6"/>
    <n v="1"/>
    <n v="66"/>
  </r>
  <r>
    <x v="2"/>
    <s v="           LA"/>
    <n v="1"/>
    <n v="60"/>
    <d v="2025-08-13T00:00:00"/>
    <d v="1899-12-30T09:00:00"/>
    <d v="2025-08-11T00:00:00"/>
    <d v="1899-12-30T21:00:00"/>
    <n v="-6"/>
    <n v="1"/>
    <n v="66"/>
  </r>
  <r>
    <x v="4"/>
    <s v="           LS"/>
    <n v="1"/>
    <n v="60"/>
    <d v="2025-08-13T00:00:00"/>
    <d v="1899-12-30T09:00:00"/>
    <d v="2025-08-11T00:00:00"/>
    <d v="1899-12-30T21:00:00"/>
    <n v="-6"/>
    <n v="1"/>
    <n v="66"/>
  </r>
  <r>
    <x v="9"/>
    <s v="           LC"/>
    <n v="1"/>
    <n v="60"/>
    <d v="2025-08-13T00:00:00"/>
    <d v="1899-12-30T09:00:00"/>
    <d v="2025-08-11T00:00:00"/>
    <d v="1899-12-30T21:00:00"/>
    <n v="-6"/>
    <n v="1"/>
    <n v="66"/>
  </r>
  <r>
    <x v="7"/>
    <s v="           LP"/>
    <n v="1"/>
    <n v="30"/>
    <d v="2025-08-13T00:00:00"/>
    <d v="1899-12-30T09:00:00"/>
    <d v="2025-08-11T00:00:00"/>
    <d v="1899-12-30T23:00:00"/>
    <n v="5"/>
    <n v="1"/>
    <n v="25"/>
  </r>
  <r>
    <x v="4"/>
    <s v="           LS"/>
    <n v="1"/>
    <n v="20"/>
    <d v="2025-08-13T00:00:00"/>
    <d v="1899-12-30T09:00:00"/>
    <d v="2025-08-11T00:00:00"/>
    <d v="1899-12-30T23:00:00"/>
    <n v="0"/>
    <n v="1"/>
    <n v="2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x v="0"/>
    <n v="1"/>
    <n v="30"/>
    <d v="2025-09-09T00:00:00"/>
    <d v="1899-12-30T09:00:00"/>
    <d v="2025-09-05T00:00:00"/>
    <d v="1899-12-30T11:00:00"/>
    <n v="0"/>
    <n v="1"/>
    <n v="30"/>
  </r>
  <r>
    <x v="1"/>
    <x v="1"/>
    <n v="1"/>
    <n v="30"/>
    <d v="2025-09-09T00:00:00"/>
    <d v="1899-12-30T09:00:00"/>
    <d v="2025-09-05T00:00:00"/>
    <d v="1899-12-30T19:00:00"/>
    <n v="0"/>
    <n v="1"/>
    <n v="30"/>
  </r>
  <r>
    <x v="1"/>
    <x v="1"/>
    <n v="2"/>
    <n v="30"/>
    <d v="2025-09-09T00:00:00"/>
    <d v="1899-12-30T09:00:00"/>
    <d v="2025-09-07T00:00:00"/>
    <d v="1899-12-30T12:30:00"/>
    <n v="0"/>
    <n v="2"/>
    <n v="30"/>
  </r>
  <r>
    <x v="2"/>
    <x v="2"/>
    <n v="2"/>
    <n v="30"/>
    <d v="2025-09-09T00:00:00"/>
    <d v="1899-12-30T09:00:00"/>
    <d v="2025-09-07T00:00:00"/>
    <d v="1899-12-30T13:00:00"/>
    <n v="0"/>
    <n v="2"/>
    <n v="30"/>
  </r>
  <r>
    <x v="1"/>
    <x v="1"/>
    <n v="1"/>
    <n v="30"/>
    <d v="2025-09-09T00:00:00"/>
    <d v="1899-12-30T09:00:00"/>
    <d v="2025-09-07T00:00:00"/>
    <d v="1899-12-30T13:30:00"/>
    <n v="0"/>
    <n v="1"/>
    <n v="30"/>
  </r>
  <r>
    <x v="2"/>
    <x v="2"/>
    <n v="1"/>
    <n v="30"/>
    <d v="2025-09-09T00:00:00"/>
    <d v="1899-12-30T09:00:00"/>
    <d v="2025-09-07T00:00:00"/>
    <d v="1899-12-30T14:00:00"/>
    <n v="0"/>
    <n v="2"/>
    <n v="30"/>
  </r>
  <r>
    <x v="1"/>
    <x v="1"/>
    <n v="2"/>
    <n v="30"/>
    <d v="2025-09-09T00:00:00"/>
    <d v="1899-12-30T09:00:00"/>
    <d v="2025-09-07T00:00:00"/>
    <d v="1899-12-30T14:00:00"/>
    <n v="0"/>
    <n v="2"/>
    <n v="30"/>
  </r>
  <r>
    <x v="2"/>
    <x v="2"/>
    <n v="2"/>
    <n v="30"/>
    <d v="2025-09-09T00:00:00"/>
    <d v="1899-12-30T09:00:00"/>
    <d v="2025-09-07T00:00:00"/>
    <d v="1899-12-30T14:00:00"/>
    <n v="0"/>
    <n v="2"/>
    <n v="30"/>
  </r>
  <r>
    <x v="1"/>
    <x v="1"/>
    <n v="2"/>
    <n v="30"/>
    <d v="2025-09-09T00:00:00"/>
    <d v="1899-12-30T09:00:00"/>
    <d v="2025-09-07T00:00:00"/>
    <d v="1899-12-30T14:00:00"/>
    <n v="0"/>
    <n v="1"/>
    <n v="30"/>
  </r>
  <r>
    <x v="2"/>
    <x v="2"/>
    <n v="2"/>
    <n v="30"/>
    <d v="2025-09-09T00:00:00"/>
    <d v="1899-12-30T09:00:00"/>
    <d v="2025-09-07T00:00:00"/>
    <d v="1899-12-30T14:00:00"/>
    <n v="0"/>
    <n v="1"/>
    <n v="30"/>
  </r>
  <r>
    <x v="1"/>
    <x v="1"/>
    <n v="1"/>
    <n v="30"/>
    <d v="2025-09-09T00:00:00"/>
    <d v="1899-12-30T09:00:00"/>
    <d v="2025-09-07T00:00:00"/>
    <d v="1899-12-30T14:00:00"/>
    <n v="0"/>
    <n v="3"/>
    <n v="30"/>
  </r>
  <r>
    <x v="2"/>
    <x v="2"/>
    <n v="1"/>
    <n v="30"/>
    <d v="2025-09-09T00:00:00"/>
    <d v="1899-12-30T09:00:00"/>
    <d v="2025-09-07T00:00:00"/>
    <d v="1899-12-30T14:00:00"/>
    <n v="0"/>
    <n v="2"/>
    <n v="30"/>
  </r>
  <r>
    <x v="1"/>
    <x v="1"/>
    <n v="1"/>
    <n v="30"/>
    <d v="2025-09-09T00:00:00"/>
    <d v="1899-12-30T09:00:00"/>
    <d v="2025-09-07T00:00:00"/>
    <d v="1899-12-30T14:00:00"/>
    <n v="0"/>
    <n v="2"/>
    <n v="30"/>
  </r>
  <r>
    <x v="2"/>
    <x v="2"/>
    <n v="1"/>
    <n v="30"/>
    <d v="2025-09-09T00:00:00"/>
    <d v="1899-12-30T09:00:00"/>
    <d v="2025-09-07T00:00:00"/>
    <d v="1899-12-30T14:00:00"/>
    <n v="0"/>
    <n v="1"/>
    <n v="30"/>
  </r>
  <r>
    <x v="1"/>
    <x v="1"/>
    <n v="1"/>
    <n v="30"/>
    <d v="2025-09-09T00:00:00"/>
    <d v="1899-12-30T09:00:00"/>
    <d v="2025-09-07T00:00:00"/>
    <d v="1899-12-30T14:00:00"/>
    <n v="0"/>
    <n v="1"/>
    <n v="30"/>
  </r>
  <r>
    <x v="2"/>
    <x v="2"/>
    <n v="1"/>
    <n v="30"/>
    <d v="2025-09-09T00:00:00"/>
    <d v="1899-12-30T09:00:00"/>
    <d v="2025-09-07T00:00:00"/>
    <d v="1899-12-30T14:00:00"/>
    <n v="0"/>
    <n v="1"/>
    <n v="30"/>
  </r>
  <r>
    <x v="1"/>
    <x v="1"/>
    <n v="1"/>
    <n v="20"/>
    <d v="2025-09-09T00:00:00"/>
    <d v="1899-12-30T09:00:00"/>
    <d v="2025-09-07T00:00:00"/>
    <d v="1899-12-30T14:00:00"/>
    <n v="-10"/>
    <n v="1"/>
    <n v="30"/>
  </r>
  <r>
    <x v="2"/>
    <x v="2"/>
    <n v="1"/>
    <n v="20"/>
    <d v="2025-09-09T00:00:00"/>
    <d v="1899-12-30T09:00:00"/>
    <d v="2025-09-07T00:00:00"/>
    <d v="1899-12-30T14:00:00"/>
    <n v="-10"/>
    <n v="1"/>
    <n v="30"/>
  </r>
  <r>
    <x v="1"/>
    <x v="1"/>
    <n v="1"/>
    <n v="20"/>
    <d v="2025-09-09T00:00:00"/>
    <d v="1899-12-30T09:00:00"/>
    <d v="2025-09-07T00:00:00"/>
    <d v="1899-12-30T14:00:00"/>
    <n v="-10"/>
    <n v="1"/>
    <n v="30"/>
  </r>
  <r>
    <x v="2"/>
    <x v="2"/>
    <n v="1"/>
    <n v="20"/>
    <d v="2025-09-09T00:00:00"/>
    <d v="1899-12-30T09:00:00"/>
    <d v="2025-09-07T00:00:00"/>
    <d v="1899-12-30T14:00:00"/>
    <n v="0"/>
    <n v="1"/>
    <n v="20"/>
  </r>
  <r>
    <x v="1"/>
    <x v="1"/>
    <n v="1"/>
    <n v="20"/>
    <d v="2025-09-09T00:00:00"/>
    <d v="1899-12-30T09:00:00"/>
    <d v="2025-09-07T00:00:00"/>
    <d v="1899-12-30T14:00:00"/>
    <n v="1"/>
    <n v="2"/>
    <n v="19"/>
  </r>
  <r>
    <x v="2"/>
    <x v="2"/>
    <n v="1"/>
    <n v="20"/>
    <d v="2025-09-09T00:00:00"/>
    <d v="1899-12-30T09:00:00"/>
    <d v="2025-09-07T00:00:00"/>
    <d v="1899-12-30T14:00:00"/>
    <n v="0"/>
    <n v="2"/>
    <n v="20"/>
  </r>
  <r>
    <x v="1"/>
    <x v="1"/>
    <n v="1"/>
    <n v="15"/>
    <d v="2025-09-09T00:00:00"/>
    <d v="1899-12-30T09:00:00"/>
    <d v="2025-09-07T00:00:00"/>
    <d v="1899-12-30T14:00:00"/>
    <n v="5"/>
    <n v="1"/>
    <n v="10"/>
  </r>
  <r>
    <x v="2"/>
    <x v="2"/>
    <n v="1"/>
    <n v="15"/>
    <d v="2025-09-09T00:00:00"/>
    <d v="1899-12-30T09:00:00"/>
    <d v="2025-09-07T00:00:00"/>
    <d v="1899-12-30T14:00:00"/>
    <n v="5"/>
    <n v="1"/>
    <n v="10"/>
  </r>
  <r>
    <x v="1"/>
    <x v="1"/>
    <n v="1"/>
    <n v="20"/>
    <d v="2025-09-09T00:00:00"/>
    <d v="1899-12-30T09:00:00"/>
    <d v="2025-09-07T00:00:00"/>
    <d v="1899-12-30T14:00:00"/>
    <n v="10"/>
    <n v="1"/>
    <n v="10"/>
  </r>
  <r>
    <x v="2"/>
    <x v="2"/>
    <n v="1"/>
    <n v="20"/>
    <d v="2025-09-09T00:00:00"/>
    <d v="1899-12-30T09:00:00"/>
    <d v="2025-09-07T00:00:00"/>
    <d v="1899-12-30T14:00:00"/>
    <n v="10"/>
    <n v="1"/>
    <n v="10"/>
  </r>
  <r>
    <x v="3"/>
    <x v="3"/>
    <n v="1"/>
    <n v="55"/>
    <d v="2025-09-09T00:00:00"/>
    <d v="1899-12-30T09:00:00"/>
    <d v="2025-09-06T00:00:00"/>
    <d v="1899-12-30T08:30:00"/>
    <n v="-5"/>
    <n v="2"/>
    <n v="60"/>
  </r>
  <r>
    <x v="4"/>
    <x v="4"/>
    <n v="1"/>
    <n v="55"/>
    <d v="2025-09-09T00:00:00"/>
    <d v="1899-12-30T09:00:00"/>
    <d v="2025-09-06T00:00:00"/>
    <d v="1899-12-30T09:30:00"/>
    <n v="-5"/>
    <n v="1"/>
    <n v="60"/>
  </r>
  <r>
    <x v="3"/>
    <x v="3"/>
    <n v="1"/>
    <n v="60"/>
    <d v="2025-09-09T00:00:00"/>
    <d v="1899-12-30T09:00:00"/>
    <d v="2025-09-06T00:00:00"/>
    <d v="1899-12-30T10:30:00"/>
    <n v="0"/>
    <n v="3"/>
    <n v="60"/>
  </r>
  <r>
    <x v="4"/>
    <x v="4"/>
    <n v="1"/>
    <n v="60"/>
    <d v="2025-09-09T00:00:00"/>
    <d v="1899-12-30T09:00:00"/>
    <d v="2025-09-06T00:00:00"/>
    <d v="1899-12-30T11:30:00"/>
    <n v="0"/>
    <n v="1"/>
    <n v="60"/>
  </r>
  <r>
    <x v="3"/>
    <x v="3"/>
    <n v="1"/>
    <n v="30"/>
    <d v="2025-09-09T00:00:00"/>
    <d v="1899-12-30T09:00:00"/>
    <d v="2025-09-06T00:00:00"/>
    <d v="1899-12-30T12:00:00"/>
    <n v="0"/>
    <n v="1"/>
    <n v="30"/>
  </r>
  <r>
    <x v="4"/>
    <x v="4"/>
    <n v="1"/>
    <n v="30"/>
    <d v="2025-09-09T00:00:00"/>
    <d v="1899-12-30T09:00:00"/>
    <d v="2025-09-06T00:00:00"/>
    <d v="1899-12-30T12:30:00"/>
    <n v="2"/>
    <n v="1"/>
    <n v="28"/>
  </r>
  <r>
    <x v="3"/>
    <x v="3"/>
    <n v="1"/>
    <n v="30"/>
    <d v="2025-09-09T00:00:00"/>
    <d v="1899-12-30T09:00:00"/>
    <d v="2025-09-06T00:00:00"/>
    <d v="1899-12-30T13:00:00"/>
    <n v="0"/>
    <n v="1"/>
    <n v="30"/>
  </r>
  <r>
    <x v="4"/>
    <x v="4"/>
    <n v="1"/>
    <n v="30"/>
    <d v="2025-09-09T00:00:00"/>
    <d v="1899-12-30T09:00:00"/>
    <d v="2025-09-06T00:00:00"/>
    <d v="1899-12-30T13:30:00"/>
    <n v="1"/>
    <n v="1"/>
    <n v="29"/>
  </r>
  <r>
    <x v="3"/>
    <x v="3"/>
    <n v="1"/>
    <n v="30"/>
    <d v="2025-09-09T00:00:00"/>
    <d v="1899-12-30T09:00:00"/>
    <d v="2025-09-06T00:00:00"/>
    <d v="1899-12-30T14:00:00"/>
    <n v="0"/>
    <n v="1"/>
    <n v="30"/>
  </r>
  <r>
    <x v="4"/>
    <x v="4"/>
    <n v="1"/>
    <n v="30"/>
    <d v="2025-09-09T00:00:00"/>
    <d v="1899-12-30T09:00:00"/>
    <d v="2025-09-06T00:00:00"/>
    <d v="1899-12-30T14:00:00"/>
    <n v="0"/>
    <n v="1"/>
    <n v="30"/>
  </r>
  <r>
    <x v="3"/>
    <x v="3"/>
    <n v="1"/>
    <n v="30"/>
    <d v="2025-09-09T00:00:00"/>
    <d v="1899-12-30T09:00:00"/>
    <d v="2025-09-06T00:00:00"/>
    <d v="1899-12-30T14:30:00"/>
    <n v="0"/>
    <n v="1"/>
    <n v="30"/>
  </r>
  <r>
    <x v="4"/>
    <x v="4"/>
    <n v="1"/>
    <n v="30"/>
    <d v="2025-09-09T00:00:00"/>
    <d v="1899-12-30T09:00:00"/>
    <d v="2025-09-06T00:00:00"/>
    <d v="1899-12-30T14:30:00"/>
    <n v="5"/>
    <n v="1"/>
    <n v="25"/>
  </r>
  <r>
    <x v="3"/>
    <x v="3"/>
    <n v="1"/>
    <n v="30"/>
    <d v="2025-09-09T00:00:00"/>
    <d v="1899-12-30T09:00:00"/>
    <d v="2025-09-06T00:00:00"/>
    <d v="1899-12-30T15:00:00"/>
    <n v="5"/>
    <n v="1"/>
    <n v="25"/>
  </r>
  <r>
    <x v="4"/>
    <x v="4"/>
    <n v="1"/>
    <n v="30"/>
    <d v="2025-09-09T00:00:00"/>
    <d v="1899-12-30T09:00:00"/>
    <d v="2025-09-06T00:00:00"/>
    <d v="1899-12-30T15:00:00"/>
    <n v="0"/>
    <n v="1"/>
    <n v="30"/>
  </r>
  <r>
    <x v="3"/>
    <x v="3"/>
    <n v="1"/>
    <n v="30"/>
    <d v="2025-09-09T00:00:00"/>
    <d v="1899-12-30T09:00:00"/>
    <d v="2025-09-06T00:00:00"/>
    <d v="1899-12-30T15:30:00"/>
    <n v="0"/>
    <n v="1"/>
    <n v="30"/>
  </r>
  <r>
    <x v="4"/>
    <x v="4"/>
    <n v="1"/>
    <n v="30"/>
    <d v="2025-09-09T00:00:00"/>
    <d v="1899-12-30T09:00:00"/>
    <d v="2025-09-06T00:00:00"/>
    <d v="1899-12-30T15:30:00"/>
    <n v="0"/>
    <n v="1"/>
    <n v="30"/>
  </r>
  <r>
    <x v="3"/>
    <x v="3"/>
    <n v="2"/>
    <n v="60"/>
    <d v="2025-09-09T00:00:00"/>
    <d v="1899-12-30T09:00:00"/>
    <d v="2025-09-06T00:00:00"/>
    <d v="1899-12-30T16:00:00"/>
    <n v="35"/>
    <n v="1"/>
    <n v="25"/>
  </r>
  <r>
    <x v="4"/>
    <x v="4"/>
    <n v="2"/>
    <n v="60"/>
    <d v="2025-09-09T00:00:00"/>
    <d v="1899-12-30T09:00:00"/>
    <d v="2025-09-06T00:00:00"/>
    <d v="1899-12-30T16:00:00"/>
    <n v="35"/>
    <n v="1"/>
    <n v="25"/>
  </r>
  <r>
    <x v="3"/>
    <x v="3"/>
    <n v="2"/>
    <n v="60"/>
    <d v="2025-09-09T00:00:00"/>
    <d v="1899-12-30T09:00:00"/>
    <d v="2025-09-06T00:00:00"/>
    <d v="1899-12-30T17:00:00"/>
    <n v="38"/>
    <n v="1"/>
    <n v="22"/>
  </r>
  <r>
    <x v="4"/>
    <x v="4"/>
    <n v="2"/>
    <n v="60"/>
    <d v="2025-09-09T00:00:00"/>
    <d v="1899-12-30T09:00:00"/>
    <d v="2025-09-06T00:00:00"/>
    <d v="1899-12-30T18:00:00"/>
    <n v="38"/>
    <n v="2"/>
    <n v="22"/>
  </r>
  <r>
    <x v="3"/>
    <x v="3"/>
    <n v="2"/>
    <n v="60"/>
    <d v="2025-09-09T00:00:00"/>
    <d v="1899-12-30T09:00:00"/>
    <d v="2025-09-06T00:00:00"/>
    <d v="1899-12-30T19:00:00"/>
    <n v="39"/>
    <n v="2"/>
    <n v="21"/>
  </r>
  <r>
    <x v="4"/>
    <x v="4"/>
    <n v="2"/>
    <n v="60"/>
    <d v="2025-09-09T00:00:00"/>
    <d v="1899-12-30T09:00:00"/>
    <d v="2025-09-06T00:00:00"/>
    <d v="1899-12-30T20:00:00"/>
    <n v="39"/>
    <n v="2"/>
    <n v="21"/>
  </r>
  <r>
    <x v="0"/>
    <x v="0"/>
    <n v="1"/>
    <n v="30"/>
    <d v="2025-09-09T00:00:00"/>
    <d v="1899-12-30T09:00:00"/>
    <d v="2025-09-07T00:00:00"/>
    <d v="1899-12-30T12:00:00"/>
    <n v="0"/>
    <n v="2"/>
    <n v="30"/>
  </r>
  <r>
    <x v="5"/>
    <x v="5"/>
    <n v="1"/>
    <n v="30"/>
    <d v="2025-09-09T00:00:00"/>
    <d v="1899-12-30T09:00:00"/>
    <d v="2025-09-07T00:00:00"/>
    <d v="1899-12-30T12:30:00"/>
    <n v="0"/>
    <n v="2"/>
    <n v="30"/>
  </r>
  <r>
    <x v="0"/>
    <x v="0"/>
    <n v="1"/>
    <n v="30"/>
    <d v="2025-09-09T00:00:00"/>
    <d v="1899-12-30T09:00:00"/>
    <d v="2025-09-07T00:00:00"/>
    <d v="1899-12-30T13:00:00"/>
    <n v="0"/>
    <n v="2"/>
    <n v="30"/>
  </r>
  <r>
    <x v="5"/>
    <x v="5"/>
    <n v="1"/>
    <n v="30"/>
    <d v="2025-09-09T00:00:00"/>
    <d v="1899-12-30T09:00:00"/>
    <d v="2025-09-07T00:00:00"/>
    <d v="1899-12-30T13:30:00"/>
    <n v="0"/>
    <n v="1"/>
    <n v="30"/>
  </r>
  <r>
    <x v="0"/>
    <x v="0"/>
    <n v="1"/>
    <n v="30"/>
    <d v="2025-09-09T00:00:00"/>
    <d v="1899-12-30T09:00:00"/>
    <d v="2025-09-07T00:00:00"/>
    <d v="1899-12-30T14:00:00"/>
    <n v="-5"/>
    <n v="1"/>
    <n v="35"/>
  </r>
  <r>
    <x v="5"/>
    <x v="5"/>
    <n v="1"/>
    <n v="30"/>
    <d v="2025-09-09T00:00:00"/>
    <d v="1899-12-30T09:00:00"/>
    <d v="2025-09-07T00:00:00"/>
    <d v="1899-12-30T14:30:00"/>
    <n v="6"/>
    <n v="1"/>
    <n v="24"/>
  </r>
  <r>
    <x v="0"/>
    <x v="0"/>
    <n v="2"/>
    <n v="20"/>
    <d v="2025-09-09T00:00:00"/>
    <d v="1899-12-30T09:00:00"/>
    <d v="2025-09-07T00:00:00"/>
    <d v="1899-12-30T15:00:00"/>
    <n v="0"/>
    <n v="1"/>
    <n v="20"/>
  </r>
  <r>
    <x v="5"/>
    <x v="5"/>
    <n v="2"/>
    <n v="20"/>
    <d v="2025-09-09T00:00:00"/>
    <d v="1899-12-30T09:00:00"/>
    <d v="2025-09-07T00:00:00"/>
    <d v="1899-12-30T15:20:00"/>
    <n v="0"/>
    <n v="1"/>
    <n v="20"/>
  </r>
  <r>
    <x v="0"/>
    <x v="0"/>
    <n v="1"/>
    <n v="20"/>
    <d v="2025-09-09T00:00:00"/>
    <d v="1899-12-30T09:00:00"/>
    <d v="2025-09-07T00:00:00"/>
    <d v="1899-12-30T15:40:00"/>
    <n v="0"/>
    <n v="1"/>
    <n v="20"/>
  </r>
  <r>
    <x v="5"/>
    <x v="5"/>
    <n v="1"/>
    <n v="20"/>
    <d v="2025-09-09T00:00:00"/>
    <d v="1899-12-30T09:00:00"/>
    <d v="2025-09-07T00:00:00"/>
    <d v="1899-12-30T16:00:00"/>
    <n v="-5"/>
    <n v="1"/>
    <n v="25"/>
  </r>
  <r>
    <x v="0"/>
    <x v="0"/>
    <n v="1"/>
    <n v="20"/>
    <d v="2025-09-09T00:00:00"/>
    <d v="1899-12-30T09:00:00"/>
    <d v="2025-09-07T00:00:00"/>
    <d v="1899-12-30T16:20:00"/>
    <n v="-5"/>
    <n v="1"/>
    <n v="25"/>
  </r>
  <r>
    <x v="5"/>
    <x v="5"/>
    <n v="1"/>
    <n v="20"/>
    <d v="2025-09-09T00:00:00"/>
    <d v="1899-12-30T09:00:00"/>
    <d v="2025-09-07T00:00:00"/>
    <d v="1899-12-30T16:40:00"/>
    <n v="5"/>
    <n v="1"/>
    <n v="15"/>
  </r>
  <r>
    <x v="0"/>
    <x v="0"/>
    <n v="1"/>
    <n v="20"/>
    <d v="2025-09-09T00:00:00"/>
    <d v="1899-12-30T09:00:00"/>
    <d v="2025-09-07T00:00:00"/>
    <d v="1899-12-30T17:00:00"/>
    <n v="10"/>
    <n v="1"/>
    <n v="10"/>
  </r>
  <r>
    <x v="5"/>
    <x v="5"/>
    <n v="1"/>
    <n v="20"/>
    <d v="2025-09-09T00:00:00"/>
    <d v="1899-12-30T09:00:00"/>
    <d v="2025-09-07T00:00:00"/>
    <d v="1899-12-30T17:20:00"/>
    <n v="10"/>
    <n v="1"/>
    <n v="10"/>
  </r>
  <r>
    <x v="0"/>
    <x v="0"/>
    <n v="1"/>
    <n v="20"/>
    <d v="2025-09-09T00:00:00"/>
    <d v="1899-12-30T09:00:00"/>
    <d v="2025-09-07T00:00:00"/>
    <d v="1899-12-30T17:40:00"/>
    <n v="10"/>
    <n v="1"/>
    <n v="10"/>
  </r>
  <r>
    <x v="5"/>
    <x v="5"/>
    <n v="1"/>
    <n v="20"/>
    <d v="2025-09-09T00:00:00"/>
    <d v="1899-12-30T09:00:00"/>
    <d v="2025-09-07T00:00:00"/>
    <d v="1899-12-30T18:00:00"/>
    <n v="5"/>
    <n v="1"/>
    <n v="15"/>
  </r>
  <r>
    <x v="0"/>
    <x v="0"/>
    <n v="1"/>
    <n v="10"/>
    <d v="2025-09-09T00:00:00"/>
    <d v="1899-12-30T09:00:00"/>
    <d v="2025-09-07T00:00:00"/>
    <d v="1899-12-30T18:10:00"/>
    <n v="0"/>
    <n v="1"/>
    <n v="10"/>
  </r>
  <r>
    <x v="5"/>
    <x v="5"/>
    <n v="1"/>
    <n v="10"/>
    <d v="2025-09-09T00:00:00"/>
    <d v="1899-12-30T09:00:00"/>
    <d v="2025-09-07T00:00:00"/>
    <d v="1899-12-30T18:20:00"/>
    <n v="0"/>
    <n v="1"/>
    <n v="10"/>
  </r>
  <r>
    <x v="1"/>
    <x v="1"/>
    <n v="1"/>
    <n v="20"/>
    <d v="2025-09-09T00:00:00"/>
    <d v="1899-12-30T09:00:00"/>
    <d v="2025-09-07T00:00:00"/>
    <d v="1899-12-30T19:20:00"/>
    <n v="0"/>
    <n v="1"/>
    <n v="20"/>
  </r>
  <r>
    <x v="6"/>
    <x v="2"/>
    <n v="1"/>
    <n v="20"/>
    <d v="2025-09-09T00:00:00"/>
    <d v="1899-12-30T09:00:00"/>
    <d v="2025-09-07T00:00:00"/>
    <d v="1899-12-30T19:20:00"/>
    <n v="0"/>
    <n v="1"/>
    <n v="20"/>
  </r>
  <r>
    <x v="1"/>
    <x v="1"/>
    <n v="1"/>
    <n v="30"/>
    <d v="2025-09-09T00:00:00"/>
    <d v="1899-12-30T09:00:00"/>
    <d v="2025-09-07T00:00:00"/>
    <d v="1899-12-30T20:00:00"/>
    <n v="6"/>
    <n v="1"/>
    <n v="24"/>
  </r>
  <r>
    <x v="5"/>
    <x v="5"/>
    <n v="1"/>
    <n v="30"/>
    <d v="2025-09-09T00:00:00"/>
    <d v="1899-12-30T09:00:00"/>
    <d v="2025-09-07T00:00:00"/>
    <d v="1899-12-30T20:00:00"/>
    <n v="0"/>
    <n v="1"/>
    <n v="30"/>
  </r>
  <r>
    <x v="5"/>
    <x v="5"/>
    <n v="5"/>
    <n v="50"/>
    <d v="2025-09-09T00:00:00"/>
    <d v="1899-12-30T09:00:00"/>
    <d v="2025-09-07T00:00:00"/>
    <d v="1899-12-30T20:50:00"/>
    <n v="5"/>
    <n v="5"/>
    <n v="45"/>
  </r>
  <r>
    <x v="0"/>
    <x v="6"/>
    <n v="1"/>
    <n v="60"/>
    <d v="2025-09-09T00:00:00"/>
    <d v="1899-12-30T09:00:00"/>
    <d v="2025-09-07T00:00:00"/>
    <d v="1899-12-30T22:00:00"/>
    <n v="50"/>
    <n v="1"/>
    <n v="10"/>
  </r>
  <r>
    <x v="2"/>
    <x v="7"/>
    <n v="1"/>
    <n v="60"/>
    <d v="2025-09-09T00:00:00"/>
    <d v="1899-12-30T09:00:00"/>
    <d v="2025-09-07T00:00:00"/>
    <d v="1899-12-30T22:00:00"/>
    <n v="50"/>
    <n v="1"/>
    <n v="10"/>
  </r>
  <r>
    <x v="3"/>
    <x v="8"/>
    <n v="1"/>
    <n v="60"/>
    <d v="2025-09-09T00:00:00"/>
    <d v="1899-12-30T09:00:00"/>
    <d v="2025-09-07T00:00:00"/>
    <d v="1899-12-30T22:00:00"/>
    <n v="50"/>
    <n v="1"/>
    <n v="10"/>
  </r>
  <r>
    <x v="4"/>
    <x v="9"/>
    <n v="1"/>
    <n v="60"/>
    <d v="2025-09-09T00:00:00"/>
    <d v="1899-12-30T09:00:00"/>
    <d v="2025-09-07T00:00:00"/>
    <d v="1899-12-30T22:00:00"/>
    <n v="50"/>
    <n v="1"/>
    <n v="10"/>
  </r>
  <r>
    <x v="1"/>
    <x v="10"/>
    <n v="1"/>
    <n v="60"/>
    <d v="2025-09-09T00:00:00"/>
    <d v="1899-12-30T09:00:00"/>
    <d v="2025-09-07T00:00:00"/>
    <d v="1899-12-30T22:00:00"/>
    <n v="50"/>
    <n v="1"/>
    <n v="10"/>
  </r>
  <r>
    <x v="5"/>
    <x v="11"/>
    <n v="1"/>
    <n v="60"/>
    <d v="2025-09-09T00:00:00"/>
    <d v="1899-12-30T09:00:00"/>
    <d v="2025-09-07T00:00:00"/>
    <d v="1899-12-30T22:00:00"/>
    <n v="50"/>
    <n v="1"/>
    <n v="10"/>
  </r>
  <r>
    <x v="3"/>
    <x v="3"/>
    <n v="1"/>
    <n v="30"/>
    <d v="2025-09-09T00:00:00"/>
    <d v="1899-12-30T09:00:00"/>
    <d v="2025-09-07T00:00:00"/>
    <d v="1899-12-30T22:00:00"/>
    <n v="0"/>
    <n v="1"/>
    <n v="30"/>
  </r>
  <r>
    <x v="1"/>
    <x v="1"/>
    <n v="1"/>
    <n v="30"/>
    <d v="2025-09-09T00:00:00"/>
    <d v="1899-12-30T09:00:00"/>
    <d v="2025-09-07T00:00:00"/>
    <d v="1899-12-30T22:00:00"/>
    <n v="0"/>
    <n v="1"/>
    <n v="30"/>
  </r>
  <r>
    <x v="1"/>
    <x v="1"/>
    <n v="1"/>
    <n v="45"/>
    <d v="2025-09-09T00:00:00"/>
    <d v="1899-12-30T09:00:00"/>
    <d v="2025-09-07T00:00:00"/>
    <d v="1899-12-30T22:30:00"/>
    <n v="-35"/>
    <n v="1"/>
    <n v="80"/>
  </r>
  <r>
    <x v="3"/>
    <x v="3"/>
    <n v="1"/>
    <n v="60"/>
    <d v="2025-09-09T00:00:00"/>
    <d v="1899-12-30T09:00:00"/>
    <d v="2025-09-07T00:00:00"/>
    <d v="1899-12-30T22:30:00"/>
    <n v="10"/>
    <n v="1"/>
    <n v="50"/>
  </r>
  <r>
    <x v="3"/>
    <x v="3"/>
    <n v="1"/>
    <n v="55"/>
    <d v="2025-09-09T00:00:00"/>
    <d v="1899-12-30T09:00:00"/>
    <d v="2025-09-07T00:00:00"/>
    <d v="1899-12-30T22:30:00"/>
    <n v="0"/>
    <n v="1"/>
    <n v="55"/>
  </r>
  <r>
    <x v="1"/>
    <x v="1"/>
    <n v="1"/>
    <n v="30"/>
    <d v="2025-09-09T00:00:00"/>
    <d v="1899-12-30T09:00:00"/>
    <d v="2025-09-07T00:00:00"/>
    <d v="1899-12-30T22:30:00"/>
    <n v="-2"/>
    <n v="1"/>
    <n v="32"/>
  </r>
  <r>
    <x v="2"/>
    <x v="2"/>
    <n v="1"/>
    <n v="30"/>
    <d v="2025-09-09T00:00:00"/>
    <d v="1899-12-30T09:00:00"/>
    <d v="2025-09-07T00:00:00"/>
    <d v="1899-12-30T22:30:00"/>
    <n v="-2"/>
    <n v="1"/>
    <n v="32"/>
  </r>
  <r>
    <x v="0"/>
    <x v="0"/>
    <n v="1"/>
    <n v="30"/>
    <d v="2025-09-09T00:00:00"/>
    <d v="1899-12-30T09:00:00"/>
    <d v="2025-09-07T00:00:00"/>
    <d v="1899-12-30T22:30:00"/>
    <n v="-2"/>
    <n v="1"/>
    <n v="32"/>
  </r>
  <r>
    <x v="3"/>
    <x v="3"/>
    <n v="1"/>
    <n v="30"/>
    <d v="2025-09-09T00:00:00"/>
    <d v="1899-12-30T09:00:00"/>
    <d v="2025-09-07T00:00:00"/>
    <d v="1899-12-30T22:30:00"/>
    <n v="-2"/>
    <n v="1"/>
    <n v="32"/>
  </r>
  <r>
    <x v="4"/>
    <x v="4"/>
    <n v="1"/>
    <n v="30"/>
    <d v="2025-09-09T00:00:00"/>
    <d v="1899-12-30T09:00:00"/>
    <d v="2025-09-07T00:00:00"/>
    <d v="1899-12-30T22:30:00"/>
    <n v="-2"/>
    <n v="1"/>
    <n v="32"/>
  </r>
  <r>
    <x v="5"/>
    <x v="5"/>
    <n v="1"/>
    <n v="30"/>
    <d v="2025-09-09T00:00:00"/>
    <d v="1899-12-30T09:00:00"/>
    <d v="2025-09-07T00:00:00"/>
    <d v="1899-12-30T22:30:00"/>
    <n v="-2"/>
    <n v="1"/>
    <n v="32"/>
  </r>
  <r>
    <x v="3"/>
    <x v="3"/>
    <n v="3"/>
    <n v="20"/>
    <d v="2025-09-09T00:00:00"/>
    <d v="1899-12-30T09:00:00"/>
    <d v="2025-09-08T00:00:00"/>
    <d v="1899-12-30T09:00:00"/>
    <n v="5"/>
    <n v="3"/>
    <n v="15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2">
  <r>
    <x v="0"/>
    <s v="LE"/>
    <n v="1"/>
    <n v="45"/>
    <d v="2025-08-13T00:00:00"/>
    <d v="1899-12-30T09:00:00"/>
    <d v="2025-08-08T00:00:00"/>
    <d v="1899-12-30T10:30:00"/>
    <n v="-15"/>
    <n v="1"/>
    <n v="60"/>
  </r>
  <r>
    <x v="0"/>
    <s v="LE"/>
    <n v="1"/>
    <n v="60"/>
    <d v="2025-08-13T00:00:00"/>
    <d v="1899-12-30T09:00:00"/>
    <d v="2025-08-08T00:00:00"/>
    <d v="1899-12-30T10:30:00"/>
    <n v="0"/>
    <n v="1"/>
    <n v="60"/>
  </r>
  <r>
    <x v="1"/>
    <s v="LP"/>
    <n v="1"/>
    <n v="60"/>
    <d v="2025-08-13T00:00:00"/>
    <d v="1899-12-30T09:00:00"/>
    <d v="2025-08-08T00:00:00"/>
    <d v="1899-12-30T10:30:00"/>
    <n v="0"/>
    <n v="1"/>
    <n v="60"/>
  </r>
  <r>
    <x v="2"/>
    <s v="LA"/>
    <n v="1"/>
    <n v="60"/>
    <d v="2025-08-13T00:00:00"/>
    <d v="1899-12-30T09:00:00"/>
    <d v="2025-08-08T00:00:00"/>
    <d v="1899-12-30T10:30:00"/>
    <n v="0"/>
    <n v="1"/>
    <n v="60"/>
  </r>
  <r>
    <x v="3"/>
    <s v="LC"/>
    <n v="1"/>
    <n v="60"/>
    <d v="2025-08-13T00:00:00"/>
    <d v="1899-12-30T09:00:00"/>
    <d v="2025-08-08T00:00:00"/>
    <d v="1899-12-30T10:30:00"/>
    <n v="0"/>
    <n v="1"/>
    <n v="60"/>
  </r>
  <r>
    <x v="4"/>
    <s v="LS"/>
    <n v="1"/>
    <n v="60"/>
    <d v="2025-08-13T00:00:00"/>
    <d v="1899-12-30T09:00:00"/>
    <d v="2025-08-08T00:00:00"/>
    <d v="1899-12-30T10:30:00"/>
    <n v="0"/>
    <n v="1"/>
    <n v="60"/>
  </r>
  <r>
    <x v="5"/>
    <s v="LD"/>
    <n v="1"/>
    <n v="60"/>
    <d v="2025-08-13T00:00:00"/>
    <d v="1899-12-30T09:00:00"/>
    <d v="2025-08-08T00:00:00"/>
    <d v="1899-12-30T10:30:00"/>
    <n v="0"/>
    <n v="1"/>
    <n v="60"/>
  </r>
  <r>
    <x v="6"/>
    <s v="            LE"/>
    <n v="1"/>
    <n v="50"/>
    <d v="2025-08-13T00:00:00"/>
    <d v="1899-12-30T09:00:00"/>
    <d v="2025-08-08T00:00:00"/>
    <d v="1899-12-30T11:00:00"/>
    <n v="-10"/>
    <n v="1"/>
    <n v="60"/>
  </r>
  <r>
    <x v="7"/>
    <s v="LP"/>
    <n v="1"/>
    <n v="50"/>
    <d v="2025-08-13T00:00:00"/>
    <d v="1899-12-30T09:00:00"/>
    <d v="2025-08-08T00:00:00"/>
    <d v="1899-12-30T11:00:00"/>
    <n v="-10"/>
    <n v="1"/>
    <n v="60"/>
  </r>
  <r>
    <x v="8"/>
    <s v="LA"/>
    <n v="1"/>
    <n v="50"/>
    <d v="2025-08-13T00:00:00"/>
    <d v="1899-12-30T09:00:00"/>
    <d v="2025-08-08T00:00:00"/>
    <d v="1899-12-30T11:00:00"/>
    <n v="-10"/>
    <n v="1"/>
    <n v="60"/>
  </r>
  <r>
    <x v="9"/>
    <s v="LC"/>
    <n v="1"/>
    <n v="50"/>
    <d v="2025-08-13T00:00:00"/>
    <d v="1899-12-30T09:00:00"/>
    <d v="2025-08-08T00:00:00"/>
    <d v="1899-12-30T11:00:00"/>
    <n v="-10"/>
    <n v="1"/>
    <n v="60"/>
  </r>
  <r>
    <x v="10"/>
    <s v="LD"/>
    <n v="1"/>
    <n v="50"/>
    <d v="2025-08-13T00:00:00"/>
    <d v="1899-12-30T09:00:00"/>
    <d v="2025-08-08T00:00:00"/>
    <d v="1899-12-30T11:00:00"/>
    <n v="-10"/>
    <n v="1"/>
    <n v="60"/>
  </r>
  <r>
    <x v="4"/>
    <s v="LS"/>
    <n v="1"/>
    <n v="50"/>
    <d v="2025-08-13T00:00:00"/>
    <d v="1899-12-30T09:00:00"/>
    <d v="2025-08-08T00:00:00"/>
    <d v="1899-12-30T11:00:00"/>
    <n v="-10"/>
    <n v="1"/>
    <n v="60"/>
  </r>
  <r>
    <x v="0"/>
    <s v="LE"/>
    <n v="1"/>
    <n v="70"/>
    <d v="2025-08-13T00:00:00"/>
    <d v="1899-12-30T09:00:00"/>
    <d v="2025-08-08T00:00:00"/>
    <d v="1899-12-30T12:00:00"/>
    <n v="10"/>
    <n v="1"/>
    <n v="60"/>
  </r>
  <r>
    <x v="7"/>
    <s v="LP"/>
    <n v="1"/>
    <n v="70"/>
    <d v="2025-08-13T00:00:00"/>
    <d v="1899-12-30T09:00:00"/>
    <d v="2025-08-08T00:00:00"/>
    <d v="1899-12-30T12:00:00"/>
    <n v="10"/>
    <n v="1"/>
    <n v="60"/>
  </r>
  <r>
    <x v="8"/>
    <s v="LA"/>
    <n v="1"/>
    <n v="70"/>
    <d v="2025-08-13T00:00:00"/>
    <d v="1899-12-30T09:00:00"/>
    <d v="2025-08-08T00:00:00"/>
    <d v="1899-12-30T12:00:00"/>
    <n v="10"/>
    <n v="1"/>
    <n v="60"/>
  </r>
  <r>
    <x v="9"/>
    <s v="LC"/>
    <n v="1"/>
    <n v="70"/>
    <d v="2025-08-13T00:00:00"/>
    <d v="1899-12-30T09:00:00"/>
    <d v="2025-08-08T00:00:00"/>
    <d v="1899-12-30T12:00:00"/>
    <n v="10"/>
    <n v="1"/>
    <n v="60"/>
  </r>
  <r>
    <x v="10"/>
    <s v="LD"/>
    <n v="1"/>
    <n v="70"/>
    <d v="2025-08-13T00:00:00"/>
    <d v="1899-12-30T09:00:00"/>
    <d v="2025-08-08T00:00:00"/>
    <d v="1899-12-30T12:00:00"/>
    <n v="10"/>
    <n v="1"/>
    <n v="60"/>
  </r>
  <r>
    <x v="4"/>
    <s v="LS"/>
    <n v="1"/>
    <n v="70"/>
    <d v="2025-08-13T00:00:00"/>
    <d v="1899-12-30T09:00:00"/>
    <d v="2025-08-08T00:00:00"/>
    <d v="1899-12-30T12:00:00"/>
    <n v="10"/>
    <n v="1"/>
    <n v="60"/>
  </r>
  <r>
    <x v="0"/>
    <s v="LE"/>
    <n v="1"/>
    <n v="30"/>
    <d v="2025-08-13T00:00:00"/>
    <d v="1899-12-30T09:00:00"/>
    <d v="2025-08-08T00:00:00"/>
    <d v="1899-12-30T01:00:00"/>
    <n v="0"/>
    <n v="1"/>
    <n v="30"/>
  </r>
  <r>
    <x v="9"/>
    <s v="LC"/>
    <n v="1"/>
    <n v="30"/>
    <d v="2025-08-13T00:00:00"/>
    <d v="1899-12-30T09:00:00"/>
    <d v="2025-08-08T00:00:00"/>
    <d v="1899-12-30T01:00:00"/>
    <n v="0"/>
    <n v="1"/>
    <n v="30"/>
  </r>
  <r>
    <x v="7"/>
    <s v="LP"/>
    <n v="1"/>
    <n v="30"/>
    <d v="2025-08-13T00:00:00"/>
    <d v="1899-12-30T09:00:00"/>
    <d v="2025-08-08T00:00:00"/>
    <d v="1899-12-30T01:00:00"/>
    <n v="0"/>
    <n v="1"/>
    <n v="30"/>
  </r>
  <r>
    <x v="0"/>
    <s v="            LE"/>
    <n v="1"/>
    <n v="120"/>
    <d v="2025-08-13T00:00:00"/>
    <d v="1899-12-30T09:00:00"/>
    <d v="2025-08-10T00:00:00"/>
    <d v="1899-12-30T22:00:00"/>
    <n v="60"/>
    <n v="1"/>
    <n v="60"/>
  </r>
  <r>
    <x v="10"/>
    <s v="            LD"/>
    <n v="1"/>
    <n v="120"/>
    <d v="2025-08-13T00:00:00"/>
    <d v="1899-12-30T09:00:00"/>
    <d v="2025-08-10T00:00:00"/>
    <d v="1899-12-30T22:00:00"/>
    <n v="60"/>
    <n v="1"/>
    <n v="60"/>
  </r>
  <r>
    <x v="7"/>
    <s v="            LP"/>
    <n v="1"/>
    <n v="30"/>
    <d v="2025-08-13T00:00:00"/>
    <d v="1899-12-30T09:00:00"/>
    <d v="2025-08-10T00:00:00"/>
    <d v="1899-12-30T22:00:00"/>
    <n v="-30"/>
    <n v="1"/>
    <n v="60"/>
  </r>
  <r>
    <x v="8"/>
    <s v="            LA"/>
    <n v="1"/>
    <n v="30"/>
    <d v="2025-08-13T00:00:00"/>
    <d v="1899-12-30T09:00:00"/>
    <d v="2025-08-10T00:00:00"/>
    <d v="1899-12-30T21:00:00"/>
    <n v="-30"/>
    <n v="1"/>
    <n v="60"/>
  </r>
  <r>
    <x v="4"/>
    <s v="            LS"/>
    <n v="1"/>
    <n v="30"/>
    <d v="2025-08-13T00:00:00"/>
    <d v="1899-12-30T09:00:00"/>
    <d v="2025-08-10T00:00:00"/>
    <d v="1899-12-30T22:00:00"/>
    <n v="-90"/>
    <n v="1"/>
    <n v="120"/>
  </r>
  <r>
    <x v="9"/>
    <s v="            LC"/>
    <n v="1"/>
    <n v="30"/>
    <d v="2025-08-13T00:00:00"/>
    <d v="1899-12-30T09:00:00"/>
    <d v="2025-08-10T00:00:00"/>
    <d v="1899-12-30T11:10:00"/>
    <n v="5"/>
    <n v="1"/>
    <n v="25"/>
  </r>
  <r>
    <x v="11"/>
    <s v="            LC"/>
    <n v="1"/>
    <n v="70"/>
    <d v="2025-08-13T00:00:00"/>
    <d v="1899-12-30T09:00:00"/>
    <d v="2025-08-11T00:00:00"/>
    <d v="1899-12-30T20:00:00"/>
    <n v="-50"/>
    <n v="1"/>
    <n v="120"/>
  </r>
  <r>
    <x v="4"/>
    <s v="           LS"/>
    <n v="1"/>
    <n v="50"/>
    <d v="2025-08-13T00:00:00"/>
    <d v="1899-12-30T09:00:00"/>
    <d v="2025-08-11T00:00:00"/>
    <d v="1899-12-30T22:00:00"/>
    <n v="-70"/>
    <n v="1"/>
    <n v="120"/>
  </r>
  <r>
    <x v="9"/>
    <s v="           LC"/>
    <n v="1"/>
    <n v="45"/>
    <d v="2025-08-13T00:00:00"/>
    <d v="1899-12-30T09:00:00"/>
    <d v="2025-08-11T00:00:00"/>
    <d v="1899-12-30T22:30:00"/>
    <n v="-35"/>
    <n v="1"/>
    <n v="80"/>
  </r>
  <r>
    <x v="7"/>
    <s v="           LP"/>
    <n v="1"/>
    <n v="50"/>
    <d v="2025-08-13T00:00:00"/>
    <d v="1899-12-30T09:00:00"/>
    <d v="2025-08-11T00:00:00"/>
    <d v="1899-12-30T23:00:00"/>
    <n v="-4"/>
    <n v="1"/>
    <n v="54"/>
  </r>
  <r>
    <x v="0"/>
    <s v="           LE"/>
    <n v="1"/>
    <n v="60"/>
    <d v="2025-08-13T00:00:00"/>
    <d v="1899-12-30T09:00:00"/>
    <d v="2025-08-11T00:00:00"/>
    <d v="1899-12-30T23:00:00"/>
    <n v="10"/>
    <n v="1"/>
    <n v="50"/>
  </r>
  <r>
    <x v="0"/>
    <s v="           LE"/>
    <n v="1"/>
    <n v="55"/>
    <d v="2025-08-13T00:00:00"/>
    <d v="1899-12-30T09:00:00"/>
    <d v="2025-08-11T00:00:00"/>
    <d v="1899-12-30T23:00:00"/>
    <n v="0"/>
    <n v="1"/>
    <n v="55"/>
  </r>
  <r>
    <x v="7"/>
    <s v="           LP"/>
    <n v="1"/>
    <n v="60"/>
    <d v="2025-08-13T00:00:00"/>
    <d v="1899-12-30T09:00:00"/>
    <d v="2025-08-11T00:00:00"/>
    <d v="1899-12-30T21:00:00"/>
    <n v="-6"/>
    <n v="1"/>
    <n v="66"/>
  </r>
  <r>
    <x v="0"/>
    <s v="           LE"/>
    <n v="1"/>
    <n v="60"/>
    <d v="2025-08-13T00:00:00"/>
    <d v="1899-12-30T09:00:00"/>
    <d v="2025-08-11T00:00:00"/>
    <d v="1899-12-30T21:00:00"/>
    <n v="-6"/>
    <n v="1"/>
    <n v="66"/>
  </r>
  <r>
    <x v="10"/>
    <s v="           LD"/>
    <n v="1"/>
    <n v="60"/>
    <d v="2025-08-13T00:00:00"/>
    <d v="1899-12-30T09:00:00"/>
    <d v="2025-08-11T00:00:00"/>
    <d v="1899-12-30T21:00:00"/>
    <n v="-6"/>
    <n v="1"/>
    <n v="66"/>
  </r>
  <r>
    <x v="2"/>
    <s v="           LA"/>
    <n v="1"/>
    <n v="60"/>
    <d v="2025-08-13T00:00:00"/>
    <d v="1899-12-30T09:00:00"/>
    <d v="2025-08-11T00:00:00"/>
    <d v="1899-12-30T21:00:00"/>
    <n v="-6"/>
    <n v="1"/>
    <n v="66"/>
  </r>
  <r>
    <x v="4"/>
    <s v="           LS"/>
    <n v="1"/>
    <n v="60"/>
    <d v="2025-08-13T00:00:00"/>
    <d v="1899-12-30T09:00:00"/>
    <d v="2025-08-11T00:00:00"/>
    <d v="1899-12-30T21:00:00"/>
    <n v="-6"/>
    <n v="1"/>
    <n v="66"/>
  </r>
  <r>
    <x v="9"/>
    <s v="           LC"/>
    <n v="1"/>
    <n v="60"/>
    <d v="2025-08-13T00:00:00"/>
    <d v="1899-12-30T09:00:00"/>
    <d v="2025-08-11T00:00:00"/>
    <d v="1899-12-30T21:00:00"/>
    <n v="-6"/>
    <n v="1"/>
    <n v="66"/>
  </r>
  <r>
    <x v="7"/>
    <s v="           LP"/>
    <n v="1"/>
    <n v="30"/>
    <d v="2025-08-13T00:00:00"/>
    <d v="1899-12-30T09:00:00"/>
    <d v="2025-08-11T00:00:00"/>
    <d v="1899-12-30T23:00:00"/>
    <n v="5"/>
    <n v="1"/>
    <n v="25"/>
  </r>
  <r>
    <x v="4"/>
    <s v="           LS"/>
    <n v="1"/>
    <n v="20"/>
    <d v="2025-08-13T00:00:00"/>
    <d v="1899-12-30T09:00:00"/>
    <d v="2025-08-11T00:00:00"/>
    <d v="1899-12-30T23:00:00"/>
    <n v="0"/>
    <n v="1"/>
    <n v="20"/>
  </r>
  <r>
    <x v="12"/>
    <s v="LE"/>
    <n v="1"/>
    <n v="30"/>
    <d v="2025-08-27T00:00:00"/>
    <d v="1899-12-30T09:00:00"/>
    <d v="2025-08-21T00:00:00"/>
    <d v="1899-12-30T19:30:00"/>
    <n v="5"/>
    <n v="1"/>
    <n v="25"/>
  </r>
  <r>
    <x v="13"/>
    <s v="LA"/>
    <n v="1"/>
    <n v="30"/>
    <d v="2025-08-27T00:00:00"/>
    <d v="1899-12-30T09:00:00"/>
    <d v="2025-08-21T00:00:00"/>
    <d v="1899-12-30T19:30:00"/>
    <n v="5"/>
    <n v="1"/>
    <n v="25"/>
  </r>
  <r>
    <x v="7"/>
    <s v="LP"/>
    <n v="1"/>
    <n v="30"/>
    <d v="2025-08-13T00:00:00"/>
    <d v="1899-12-30T09:00:00"/>
    <d v="2025-08-21T00:00:00"/>
    <d v="1899-12-30T20:00:00"/>
    <n v="0"/>
    <n v="1"/>
    <n v="30"/>
  </r>
  <r>
    <x v="13"/>
    <s v="LA"/>
    <n v="3"/>
    <n v="60"/>
    <d v="2025-08-27T00:00:00"/>
    <d v="1899-12-30T09:00:00"/>
    <d v="2025-08-21T00:00:00"/>
    <d v="1899-12-30T20:30:00"/>
    <n v="0"/>
    <n v="3"/>
    <n v="60"/>
  </r>
  <r>
    <x v="0"/>
    <s v="LE"/>
    <n v="3"/>
    <n v="60"/>
    <d v="2025-08-27T00:00:00"/>
    <d v="1899-12-30T09:00:00"/>
    <d v="2025-08-21T00:00:00"/>
    <d v="1899-12-30T20:30:00"/>
    <n v="0"/>
    <n v="3"/>
    <n v="60"/>
  </r>
  <r>
    <x v="0"/>
    <s v="LE"/>
    <n v="1"/>
    <n v="30"/>
    <d v="2025-08-27T00:00:00"/>
    <d v="1899-12-30T09:00:00"/>
    <d v="2025-08-21T00:00:00"/>
    <d v="1899-12-30T21:00:00"/>
    <n v="0"/>
    <n v="1"/>
    <n v="30"/>
  </r>
  <r>
    <x v="13"/>
    <s v="LA"/>
    <n v="1"/>
    <n v="30"/>
    <d v="2025-08-27T00:00:00"/>
    <d v="1899-12-30T09:00:00"/>
    <d v="2025-08-21T00:00:00"/>
    <d v="1899-12-30T21:00:00"/>
    <n v="0"/>
    <n v="1"/>
    <n v="30"/>
  </r>
  <r>
    <x v="0"/>
    <s v="LE"/>
    <n v="1"/>
    <n v="20"/>
    <d v="2025-08-27T00:00:00"/>
    <d v="1899-12-30T09:00:00"/>
    <d v="2025-08-21T00:00:00"/>
    <d v="1899-12-30T21:20:00"/>
    <n v="0"/>
    <n v="1"/>
    <n v="20"/>
  </r>
  <r>
    <x v="13"/>
    <s v="LA"/>
    <n v="1"/>
    <n v="20"/>
    <d v="2025-08-27T00:00:00"/>
    <d v="1899-12-30T09:00:00"/>
    <d v="2025-08-21T00:00:00"/>
    <d v="1899-12-30T21:20:00"/>
    <n v="0"/>
    <n v="1"/>
    <n v="20"/>
  </r>
  <r>
    <x v="0"/>
    <s v="LE"/>
    <n v="1"/>
    <n v="20"/>
    <d v="2025-08-27T00:00:00"/>
    <d v="1899-12-30T09:00:00"/>
    <d v="2025-08-21T00:00:00"/>
    <d v="1899-12-30T21:40:00"/>
    <n v="2"/>
    <n v="1"/>
    <n v="18"/>
  </r>
  <r>
    <x v="13"/>
    <s v="LA"/>
    <n v="1"/>
    <n v="20"/>
    <d v="2025-08-27T00:00:00"/>
    <d v="1899-12-30T09:00:00"/>
    <d v="2025-08-21T00:00:00"/>
    <d v="1899-12-30T21:40:00"/>
    <n v="2"/>
    <n v="1"/>
    <n v="18"/>
  </r>
  <r>
    <x v="0"/>
    <s v="LE"/>
    <n v="1"/>
    <n v="20"/>
    <d v="2025-08-27T00:00:00"/>
    <d v="1899-12-30T09:00:00"/>
    <d v="2025-08-21T00:00:00"/>
    <d v="1899-12-30T22:00:00"/>
    <n v="1"/>
    <n v="1"/>
    <n v="19"/>
  </r>
  <r>
    <x v="2"/>
    <s v="LA"/>
    <n v="1"/>
    <n v="20"/>
    <d v="2025-08-27T00:00:00"/>
    <d v="1899-12-30T09:00:00"/>
    <d v="2025-08-21T00:00:00"/>
    <d v="1899-12-30T22:00:00"/>
    <n v="1"/>
    <n v="1"/>
    <n v="19"/>
  </r>
  <r>
    <x v="0"/>
    <s v="LE"/>
    <n v="1"/>
    <n v="30"/>
    <d v="2025-08-27T00:00:00"/>
    <d v="1899-12-30T09:00:00"/>
    <d v="2025-08-21T00:00:00"/>
    <d v="1899-12-30T22:30:00"/>
    <n v="5"/>
    <n v="1"/>
    <n v="25"/>
  </r>
  <r>
    <x v="2"/>
    <s v="LA"/>
    <n v="1"/>
    <n v="30"/>
    <d v="2025-08-27T00:00:00"/>
    <d v="1899-12-30T09:00:00"/>
    <d v="2025-08-21T00:00:00"/>
    <d v="1899-12-30T22:30:00"/>
    <n v="5"/>
    <n v="1"/>
    <n v="25"/>
  </r>
  <r>
    <x v="7"/>
    <s v="LP"/>
    <n v="1"/>
    <n v="30"/>
    <d v="2025-08-27T00:00:00"/>
    <d v="1899-12-30T09:00:00"/>
    <d v="2025-08-21T00:00:00"/>
    <d v="1899-12-30T19:30:00"/>
    <n v="6"/>
    <n v="1"/>
    <n v="24"/>
  </r>
  <r>
    <x v="10"/>
    <s v="LD"/>
    <n v="1"/>
    <n v="30"/>
    <d v="2025-08-27T00:00:00"/>
    <d v="1899-12-30T09:00:00"/>
    <d v="2025-08-21T00:00:00"/>
    <d v="1899-12-30T19:30:00"/>
    <n v="6"/>
    <n v="1"/>
    <n v="24"/>
  </r>
  <r>
    <x v="7"/>
    <s v="LP"/>
    <n v="1"/>
    <n v="60"/>
    <d v="2025-08-27T00:00:00"/>
    <d v="1899-12-30T09:00:00"/>
    <d v="2025-08-21T00:00:00"/>
    <d v="1899-12-30T20:30:00"/>
    <n v="15"/>
    <n v="1"/>
    <n v="45"/>
  </r>
  <r>
    <x v="10"/>
    <s v="LD"/>
    <n v="1"/>
    <n v="60"/>
    <d v="2025-08-27T00:00:00"/>
    <d v="1899-12-30T09:00:00"/>
    <d v="2025-08-21T00:00:00"/>
    <d v="1899-12-30T20:30:00"/>
    <n v="15"/>
    <n v="1"/>
    <n v="45"/>
  </r>
  <r>
    <x v="7"/>
    <s v="LP"/>
    <n v="1"/>
    <n v="30"/>
    <d v="2025-08-27T00:00:00"/>
    <d v="1899-12-30T09:00:00"/>
    <d v="2025-08-21T00:00:00"/>
    <d v="1899-12-30T21:00:00"/>
    <n v="10"/>
    <n v="1"/>
    <n v="20"/>
  </r>
  <r>
    <x v="10"/>
    <s v="LD"/>
    <n v="1"/>
    <n v="30"/>
    <d v="2025-08-27T00:00:00"/>
    <d v="1899-12-30T09:00:00"/>
    <d v="2025-08-21T00:00:00"/>
    <d v="1899-12-30T21:00:00"/>
    <n v="10"/>
    <n v="1"/>
    <n v="20"/>
  </r>
  <r>
    <x v="10"/>
    <s v=" LD"/>
    <n v="1"/>
    <n v="30"/>
    <d v="2025-08-27T00:00:00"/>
    <d v="1899-12-30T09:00:00"/>
    <d v="2025-08-21T00:00:00"/>
    <d v="1899-12-30T21:30:00"/>
    <n v="0"/>
    <n v="1"/>
    <n v="30"/>
  </r>
  <r>
    <x v="7"/>
    <s v="LP"/>
    <n v="1"/>
    <n v="30"/>
    <d v="2025-08-27T00:00:00"/>
    <d v="1899-12-30T09:00:00"/>
    <d v="2025-08-21T00:00:00"/>
    <d v="1899-12-30T21:30:00"/>
    <n v="0"/>
    <n v="1"/>
    <n v="30"/>
  </r>
  <r>
    <x v="7"/>
    <s v="LP"/>
    <n v="1"/>
    <n v="30"/>
    <d v="2025-08-27T00:00:00"/>
    <d v="1899-12-30T09:00:00"/>
    <d v="2025-08-21T00:00:00"/>
    <d v="1899-12-30T22:00:00"/>
    <n v="-2"/>
    <n v="1"/>
    <n v="32"/>
  </r>
  <r>
    <x v="10"/>
    <s v="LD"/>
    <n v="1"/>
    <n v="30"/>
    <d v="2025-08-27T00:00:00"/>
    <d v="1899-12-30T09:00:00"/>
    <d v="2025-08-21T00:00:00"/>
    <d v="1899-12-30T22:00:00"/>
    <n v="-2"/>
    <n v="1"/>
    <n v="32"/>
  </r>
  <r>
    <x v="9"/>
    <s v="LC"/>
    <n v="1"/>
    <n v="20"/>
    <d v="2025-08-27T00:00:00"/>
    <d v="1899-12-30T09:00:00"/>
    <d v="2025-08-21T00:00:00"/>
    <d v="1899-12-30T19:20:00"/>
    <n v="0"/>
    <n v="1"/>
    <n v="20"/>
  </r>
  <r>
    <x v="4"/>
    <s v="LS"/>
    <n v="1"/>
    <n v="20"/>
    <d v="2025-08-27T00:00:00"/>
    <d v="1899-12-30T09:00:00"/>
    <d v="2025-08-21T00:00:00"/>
    <d v="1899-12-30T19:20:00"/>
    <n v="0"/>
    <n v="1"/>
    <n v="20"/>
  </r>
  <r>
    <x v="9"/>
    <s v="LC"/>
    <n v="1"/>
    <n v="20"/>
    <d v="2025-08-27T00:00:00"/>
    <d v="1899-12-30T09:00:00"/>
    <d v="2025-08-21T00:00:00"/>
    <d v="1899-12-30T19:40:00"/>
    <n v="0"/>
    <n v="1"/>
    <n v="20"/>
  </r>
  <r>
    <x v="4"/>
    <s v="LS"/>
    <n v="1"/>
    <n v="20"/>
    <d v="2025-08-27T00:00:00"/>
    <d v="1899-12-30T09:00:00"/>
    <d v="2025-08-21T00:00:00"/>
    <d v="1899-12-30T19:40:00"/>
    <n v="0"/>
    <n v="1"/>
    <n v="20"/>
  </r>
  <r>
    <x v="9"/>
    <s v="LC"/>
    <n v="1"/>
    <n v="20"/>
    <d v="2025-08-27T00:00:00"/>
    <d v="1899-12-30T09:00:00"/>
    <d v="2025-08-21T00:00:00"/>
    <d v="1899-12-30T20:00:00"/>
    <n v="0"/>
    <n v="1"/>
    <n v="20"/>
  </r>
  <r>
    <x v="4"/>
    <s v="LS"/>
    <n v="1"/>
    <n v="20"/>
    <d v="2025-08-27T00:00:00"/>
    <d v="1899-12-30T09:00:00"/>
    <d v="2025-08-21T00:00:00"/>
    <d v="1899-12-30T20:00:00"/>
    <n v="0"/>
    <n v="1"/>
    <n v="20"/>
  </r>
  <r>
    <x v="9"/>
    <s v="LC"/>
    <n v="1"/>
    <n v="20"/>
    <d v="2025-08-27T00:00:00"/>
    <d v="1899-12-30T09:00:00"/>
    <d v="2025-08-21T00:00:00"/>
    <d v="1899-12-30T20:20:00"/>
    <n v="2"/>
    <n v="1"/>
    <n v="18"/>
  </r>
  <r>
    <x v="4"/>
    <s v="LS"/>
    <n v="1"/>
    <n v="20"/>
    <d v="2025-08-27T00:00:00"/>
    <d v="1899-12-30T09:00:00"/>
    <d v="2025-08-21T00:00:00"/>
    <d v="1899-12-30T20:20:00"/>
    <n v="2"/>
    <n v="1"/>
    <n v="18"/>
  </r>
  <r>
    <x v="9"/>
    <s v="LC"/>
    <n v="1"/>
    <n v="20"/>
    <d v="2025-08-27T00:00:00"/>
    <d v="1899-12-30T09:00:00"/>
    <d v="2025-08-21T00:00:00"/>
    <d v="1899-12-30T20:40:00"/>
    <n v="0"/>
    <n v="1"/>
    <n v="20"/>
  </r>
  <r>
    <x v="14"/>
    <s v="LS"/>
    <n v="1"/>
    <n v="20"/>
    <d v="2025-08-27T00:00:00"/>
    <d v="1899-12-30T09:00:00"/>
    <d v="2025-08-21T00:00:00"/>
    <d v="1899-12-30T20:40:00"/>
    <n v="0"/>
    <n v="1"/>
    <n v="20"/>
  </r>
  <r>
    <x v="9"/>
    <s v="LC"/>
    <n v="1"/>
    <n v="20"/>
    <d v="2025-08-27T00:00:00"/>
    <d v="1899-12-30T09:00:00"/>
    <d v="2025-08-21T00:00:00"/>
    <d v="1899-12-30T21:00:00"/>
    <n v="-1"/>
    <n v="1"/>
    <n v="21"/>
  </r>
  <r>
    <x v="4"/>
    <s v="LS"/>
    <n v="1"/>
    <n v="20"/>
    <d v="2025-08-27T00:00:00"/>
    <d v="1899-12-30T09:00:00"/>
    <d v="2025-08-21T00:00:00"/>
    <d v="1899-12-30T21:00:00"/>
    <n v="-1"/>
    <n v="1"/>
    <n v="21"/>
  </r>
  <r>
    <x v="9"/>
    <s v="LC"/>
    <n v="1"/>
    <n v="30"/>
    <d v="2025-08-27T00:00:00"/>
    <d v="1899-12-30T09:00:00"/>
    <d v="2025-08-21T00:00:00"/>
    <d v="1899-12-30T21:30:00"/>
    <n v="5"/>
    <n v="1"/>
    <n v="25"/>
  </r>
  <r>
    <x v="4"/>
    <s v="LS"/>
    <n v="1"/>
    <n v="30"/>
    <d v="2025-08-27T00:00:00"/>
    <d v="1899-12-30T09:00:00"/>
    <d v="2025-08-21T00:00:00"/>
    <d v="1899-12-30T21:30:00"/>
    <n v="5"/>
    <n v="1"/>
    <n v="25"/>
  </r>
  <r>
    <x v="9"/>
    <s v="LC"/>
    <n v="1"/>
    <n v="30"/>
    <d v="2025-08-27T00:00:00"/>
    <d v="1899-12-30T09:00:00"/>
    <d v="2025-08-21T00:00:00"/>
    <d v="1899-12-30T22:00:00"/>
    <n v="10"/>
    <n v="1"/>
    <n v="20"/>
  </r>
  <r>
    <x v="4"/>
    <s v="LS"/>
    <n v="1"/>
    <n v="30"/>
    <d v="2025-08-27T00:00:00"/>
    <d v="1899-12-30T09:00:00"/>
    <d v="2025-08-21T00:00:00"/>
    <d v="1899-12-30T22:00:00"/>
    <n v="10"/>
    <n v="1"/>
    <n v="20"/>
  </r>
  <r>
    <x v="7"/>
    <s v="           LP"/>
    <n v="1"/>
    <n v="60"/>
    <d v="2025-08-27T00:00:00"/>
    <d v="1899-12-30T09:00:00"/>
    <d v="2025-08-21T00:00:00"/>
    <d v="1899-12-30T22:00:00"/>
    <n v="50"/>
    <n v="1"/>
    <n v="10"/>
  </r>
  <r>
    <x v="4"/>
    <s v="           LS"/>
    <n v="1"/>
    <n v="60"/>
    <d v="2025-08-27T00:00:00"/>
    <d v="1899-12-30T09:00:00"/>
    <d v="2025-08-21T00:00:00"/>
    <d v="1899-12-30T22:00:00"/>
    <n v="50"/>
    <n v="1"/>
    <n v="10"/>
  </r>
  <r>
    <x v="0"/>
    <s v="           LE"/>
    <n v="1"/>
    <n v="60"/>
    <d v="2025-08-27T00:00:00"/>
    <d v="1899-12-30T09:00:00"/>
    <d v="2025-08-21T00:00:00"/>
    <d v="1899-12-30T22:00:00"/>
    <n v="50"/>
    <n v="1"/>
    <n v="10"/>
  </r>
  <r>
    <x v="2"/>
    <s v="           LA"/>
    <n v="1"/>
    <n v="60"/>
    <d v="2025-08-27T00:00:00"/>
    <d v="1899-12-30T09:00:00"/>
    <d v="2025-08-21T00:00:00"/>
    <d v="1899-12-30T22:00:00"/>
    <n v="50"/>
    <n v="1"/>
    <n v="10"/>
  </r>
  <r>
    <x v="9"/>
    <s v="           LC"/>
    <n v="1"/>
    <n v="60"/>
    <d v="2025-08-13T00:00:00"/>
    <d v="1899-12-30T09:00:00"/>
    <d v="2025-08-21T00:00:00"/>
    <d v="1899-12-30T22:00:00"/>
    <n v="50"/>
    <n v="1"/>
    <n v="10"/>
  </r>
  <r>
    <x v="10"/>
    <s v="           LD"/>
    <n v="1"/>
    <n v="60"/>
    <d v="2025-08-27T00:00:00"/>
    <d v="1899-12-30T09:00:00"/>
    <d v="2025-08-21T00:00:00"/>
    <d v="1899-12-30T22:00:00"/>
    <n v="50"/>
    <n v="1"/>
    <n v="10"/>
  </r>
  <r>
    <x v="0"/>
    <s v="LE"/>
    <n v="1"/>
    <n v="30"/>
    <d v="2025-08-27T00:00:00"/>
    <d v="1899-12-30T09:00:00"/>
    <d v="2025-08-21T00:00:00"/>
    <d v="1899-12-30T22:00:00"/>
    <n v="0"/>
    <n v="1"/>
    <n v="30"/>
  </r>
  <r>
    <x v="9"/>
    <s v="LC"/>
    <n v="1"/>
    <n v="30"/>
    <d v="2025-08-27T00:00:00"/>
    <d v="1899-12-30T09:00:00"/>
    <d v="2025-08-21T00:00:00"/>
    <d v="1899-12-30T22:00:00"/>
    <n v="0"/>
    <n v="1"/>
    <n v="30"/>
  </r>
  <r>
    <x v="9"/>
    <s v="           LC"/>
    <n v="1"/>
    <n v="45"/>
    <d v="2025-08-27T00:00:00"/>
    <d v="1899-12-30T09:00:00"/>
    <d v="2025-08-21T00:00:00"/>
    <d v="1899-12-30T22:30:00"/>
    <n v="-35"/>
    <n v="1"/>
    <n v="80"/>
  </r>
  <r>
    <x v="0"/>
    <s v="           LE"/>
    <n v="1"/>
    <n v="60"/>
    <d v="2025-08-27T00:00:00"/>
    <d v="1899-12-30T09:00:00"/>
    <d v="2025-08-21T00:00:00"/>
    <d v="1899-12-30T22:30:00"/>
    <n v="10"/>
    <n v="1"/>
    <n v="50"/>
  </r>
  <r>
    <x v="0"/>
    <s v="           LE"/>
    <n v="1"/>
    <n v="55"/>
    <d v="2025-08-27T00:00:00"/>
    <d v="1899-12-30T09:00:00"/>
    <d v="2025-08-21T00:00:00"/>
    <d v="1899-12-30T22:30:00"/>
    <n v="0"/>
    <n v="1"/>
    <n v="55"/>
  </r>
  <r>
    <x v="9"/>
    <s v="LC"/>
    <n v="1"/>
    <n v="30"/>
    <d v="2025-08-27T00:00:00"/>
    <d v="1899-12-30T09:00:00"/>
    <d v="2025-08-25T00:00:00"/>
    <d v="1899-12-30T22:30:00"/>
    <n v="-2"/>
    <n v="1"/>
    <n v="32"/>
  </r>
  <r>
    <x v="4"/>
    <s v="LS"/>
    <n v="1"/>
    <n v="30"/>
    <d v="2025-08-27T00:00:00"/>
    <d v="1899-12-30T09:00:00"/>
    <d v="2025-08-25T00:00:00"/>
    <d v="1899-12-30T22:30:00"/>
    <n v="-2"/>
    <n v="1"/>
    <n v="32"/>
  </r>
  <r>
    <x v="7"/>
    <s v="LP"/>
    <n v="1"/>
    <n v="30"/>
    <d v="2025-08-27T00:00:00"/>
    <d v="1899-12-30T09:00:00"/>
    <d v="2025-08-25T00:00:00"/>
    <d v="1899-12-30T22:30:00"/>
    <n v="-2"/>
    <n v="1"/>
    <n v="32"/>
  </r>
  <r>
    <x v="0"/>
    <s v="LE"/>
    <n v="1"/>
    <n v="30"/>
    <d v="2025-08-27T00:00:00"/>
    <d v="1899-12-30T09:00:00"/>
    <d v="2025-08-25T00:00:00"/>
    <d v="1899-12-30T22:30:00"/>
    <n v="-2"/>
    <n v="1"/>
    <n v="32"/>
  </r>
  <r>
    <x v="2"/>
    <s v="LA"/>
    <n v="1"/>
    <n v="30"/>
    <d v="2025-08-27T00:00:00"/>
    <d v="1899-12-30T09:00:00"/>
    <d v="2025-08-25T00:00:00"/>
    <d v="1899-12-30T22:30:00"/>
    <n v="-2"/>
    <n v="1"/>
    <n v="32"/>
  </r>
  <r>
    <x v="10"/>
    <s v="LD"/>
    <n v="1"/>
    <n v="30"/>
    <d v="2025-08-27T00:00:00"/>
    <d v="1899-12-30T09:00:00"/>
    <d v="2025-08-25T00:00:00"/>
    <d v="1899-12-30T22:30:00"/>
    <n v="-2"/>
    <n v="1"/>
    <n v="32"/>
  </r>
  <r>
    <x v="0"/>
    <s v="LE"/>
    <n v="3"/>
    <n v="20"/>
    <d v="2025-08-27T00:00:00"/>
    <d v="1899-12-30T09:00:00"/>
    <d v="2025-08-26T00:00:00"/>
    <d v="1899-12-30T14:00:00"/>
    <n v="5"/>
    <n v="3"/>
    <n v="15"/>
  </r>
  <r>
    <x v="7"/>
    <s v="LP"/>
    <n v="2"/>
    <n v="50"/>
    <d v="2025-09-03T00:00:00"/>
    <d v="1899-12-30T09:00:00"/>
    <d v="2025-09-02T00:00:00"/>
    <d v="1899-12-30T04:00:00"/>
    <n v="0"/>
    <n v="1"/>
    <n v="50"/>
  </r>
  <r>
    <x v="10"/>
    <s v="LD"/>
    <n v="2"/>
    <n v="50"/>
    <d v="2025-09-03T00:00:00"/>
    <d v="1899-12-30T09:00:00"/>
    <d v="2025-09-02T00:00:00"/>
    <d v="1899-12-30T04:00:00"/>
    <n v="0"/>
    <n v="1"/>
    <n v="50"/>
  </r>
  <r>
    <x v="0"/>
    <s v="LE"/>
    <n v="2"/>
    <n v="50"/>
    <d v="2025-09-03T00:00:00"/>
    <d v="1899-12-30T09:00:00"/>
    <d v="2025-09-02T00:00:00"/>
    <d v="1899-12-30T04:00:00"/>
    <n v="0"/>
    <n v="1"/>
    <n v="50"/>
  </r>
  <r>
    <x v="2"/>
    <s v="LA"/>
    <n v="2"/>
    <n v="50"/>
    <d v="2025-09-03T00:00:00"/>
    <d v="1899-12-30T09:00:00"/>
    <d v="2025-09-02T00:00:00"/>
    <d v="1899-12-30T04:00:00"/>
    <n v="0"/>
    <n v="1"/>
    <n v="50"/>
  </r>
  <r>
    <x v="9"/>
    <s v="LC"/>
    <n v="2"/>
    <n v="50"/>
    <d v="2025-09-03T00:00:00"/>
    <d v="1899-12-30T09:00:00"/>
    <d v="2025-09-02T00:00:00"/>
    <d v="1899-12-30T04:00:00"/>
    <n v="0"/>
    <n v="1"/>
    <n v="50"/>
  </r>
  <r>
    <x v="4"/>
    <s v="LS"/>
    <n v="2"/>
    <n v="50"/>
    <d v="2025-09-03T00:00:00"/>
    <d v="1899-12-30T09:00:00"/>
    <d v="2025-09-02T00:00:00"/>
    <d v="1899-12-30T04:00:00"/>
    <n v="0"/>
    <n v="1"/>
    <n v="50"/>
  </r>
  <r>
    <x v="7"/>
    <s v="LP"/>
    <n v="1"/>
    <n v="30"/>
    <d v="2025-09-03T00:00:00"/>
    <d v="1899-12-30T09:00:00"/>
    <d v="2025-08-30T00:00:00"/>
    <d v="1899-12-30T19:00:00"/>
    <n v="0"/>
    <n v="1"/>
    <n v="30"/>
  </r>
  <r>
    <x v="9"/>
    <s v="LC"/>
    <n v="1"/>
    <n v="20"/>
    <d v="2025-09-03T00:00:00"/>
    <d v="1899-12-30T09:00:00"/>
    <d v="2025-09-02T00:00:00"/>
    <d v="1899-12-30T19:20:00"/>
    <n v="0"/>
    <n v="1"/>
    <n v="20"/>
  </r>
  <r>
    <x v="14"/>
    <s v="LS"/>
    <n v="1"/>
    <n v="20"/>
    <d v="2025-09-03T00:00:00"/>
    <d v="1899-12-30T09:00:00"/>
    <d v="2025-09-02T00:00:00"/>
    <d v="1899-12-30T19:20:00"/>
    <n v="0"/>
    <n v="1"/>
    <n v="20"/>
  </r>
  <r>
    <x v="10"/>
    <s v="LD"/>
    <n v="1"/>
    <n v="30"/>
    <d v="2025-09-03T00:00:00"/>
    <d v="1899-12-30T09:00:00"/>
    <d v="2025-09-02T00:00:00"/>
    <d v="1899-12-30T19:30:00"/>
    <n v="2"/>
    <n v="2"/>
    <n v="28"/>
  </r>
  <r>
    <x v="0"/>
    <s v="LE"/>
    <n v="1"/>
    <n v="30"/>
    <d v="2025-09-03T00:00:00"/>
    <d v="1899-12-30T09:00:00"/>
    <d v="2025-09-02T00:00:00"/>
    <d v="1899-12-30T19:30:00"/>
    <n v="0"/>
    <n v="2"/>
    <n v="30"/>
  </r>
  <r>
    <x v="7"/>
    <s v="LP"/>
    <n v="1"/>
    <n v="30"/>
    <d v="2025-09-03T00:00:00"/>
    <d v="1899-12-30T09:00:00"/>
    <d v="2025-09-02T00:00:00"/>
    <d v="1899-12-30T19:30:00"/>
    <n v="3"/>
    <n v="1"/>
    <n v="27"/>
  </r>
  <r>
    <x v="7"/>
    <s v="LP"/>
    <n v="1"/>
    <n v="30"/>
    <d v="2025-09-03T00:00:00"/>
    <d v="1899-12-30T09:00:00"/>
    <d v="2025-09-02T00:00:00"/>
    <d v="1899-12-30T20:00:00"/>
    <n v="2"/>
    <n v="1"/>
    <n v="28"/>
  </r>
  <r>
    <x v="7"/>
    <s v="LP"/>
    <n v="1"/>
    <n v="30"/>
    <d v="2025-09-03T00:00:00"/>
    <d v="1899-12-30T09:00:00"/>
    <d v="2025-09-02T00:00:00"/>
    <d v="1899-12-30T20:30:00"/>
    <n v="10"/>
    <n v="2"/>
    <n v="20"/>
  </r>
  <r>
    <x v="4"/>
    <s v="LS"/>
    <n v="1"/>
    <n v="30"/>
    <d v="2025-09-03T00:00:00"/>
    <d v="1899-12-30T09:00:00"/>
    <d v="2025-08-31T00:00:00"/>
    <d v="1899-12-30T19:00:00"/>
    <n v="5"/>
    <n v="2"/>
    <n v="25"/>
  </r>
  <r>
    <x v="2"/>
    <s v="LA"/>
    <n v="1"/>
    <n v="30"/>
    <d v="2025-09-03T00:00:00"/>
    <d v="1899-12-30T09:00:00"/>
    <d v="2025-08-31T00:00:00"/>
    <d v="1899-12-30T19:00:00"/>
    <n v="4"/>
    <n v="1"/>
    <n v="26"/>
  </r>
  <r>
    <x v="9"/>
    <s v="LC"/>
    <n v="1"/>
    <n v="30"/>
    <d v="2025-09-03T00:00:00"/>
    <d v="1899-12-30T09:00:00"/>
    <d v="2025-08-30T00:00:00"/>
    <d v="1899-12-30T19:00:00"/>
    <n v="0"/>
    <n v="1"/>
    <n v="30"/>
  </r>
  <r>
    <x v="9"/>
    <s v="LC"/>
    <n v="1"/>
    <n v="30"/>
    <d v="2025-09-03T00:00:00"/>
    <d v="1899-12-30T09:00:00"/>
    <d v="2025-08-30T00:00:00"/>
    <d v="1899-12-30T19:30:00"/>
    <n v="2"/>
    <n v="1"/>
    <n v="28"/>
  </r>
  <r>
    <x v="9"/>
    <s v="LC"/>
    <n v="1"/>
    <n v="30"/>
    <d v="2025-09-03T00:00:00"/>
    <d v="1899-12-30T09:00:00"/>
    <d v="2025-08-30T00:00:00"/>
    <d v="1899-12-30T20:00:00"/>
    <n v="6"/>
    <n v="1"/>
    <n v="24"/>
  </r>
  <r>
    <x v="10"/>
    <s v="LD"/>
    <n v="1"/>
    <n v="30"/>
    <d v="2025-09-03T00:00:00"/>
    <d v="1899-12-30T09:00:00"/>
    <d v="2025-09-02T00:00:00"/>
    <d v="1899-12-30T20:00:00"/>
    <n v="0"/>
    <n v="1"/>
    <n v="30"/>
  </r>
  <r>
    <x v="10"/>
    <s v="LD"/>
    <n v="5"/>
    <n v="50"/>
    <d v="2025-09-03T00:00:00"/>
    <d v="1899-12-30T09:00:00"/>
    <d v="2025-09-02T00:00:00"/>
    <d v="1899-12-30T20:50:00"/>
    <n v="5"/>
    <n v="5"/>
    <n v="45"/>
  </r>
  <r>
    <x v="2"/>
    <s v="LA"/>
    <n v="1"/>
    <n v="30"/>
    <d v="2025-09-03T00:00:00"/>
    <d v="1899-12-30T09:00:00"/>
    <d v="2025-08-31T00:00:00"/>
    <d v="1899-12-30T19:30:00"/>
    <n v="8"/>
    <n v="1"/>
    <n v="22"/>
  </r>
  <r>
    <x v="0"/>
    <s v="LE"/>
    <n v="1"/>
    <n v="30"/>
    <d v="2025-09-03T00:00:00"/>
    <d v="1899-12-30T09:00:00"/>
    <d v="2025-09-02T00:00:00"/>
    <d v="1899-12-30T20:00:00"/>
    <n v="7"/>
    <n v="1"/>
    <n v="23"/>
  </r>
  <r>
    <x v="0"/>
    <s v="LE"/>
    <n v="1"/>
    <n v="40"/>
    <d v="2025-09-03T00:00:00"/>
    <d v="1899-12-30T09:00:00"/>
    <d v="2025-09-02T00:00:00"/>
    <d v="1899-12-30T20:40:00"/>
    <n v="9"/>
    <n v="2"/>
    <n v="31"/>
  </r>
  <r>
    <x v="2"/>
    <s v="LA"/>
    <n v="1"/>
    <n v="25"/>
    <d v="2025-09-03T00:00:00"/>
    <d v="1899-12-30T09:00:00"/>
    <d v="2025-08-31T00:00:00"/>
    <d v="1899-12-30T19:55:00"/>
    <n v="5"/>
    <n v="2"/>
    <n v="20"/>
  </r>
  <r>
    <x v="4"/>
    <s v="LS"/>
    <n v="1"/>
    <n v="20"/>
    <d v="2025-09-03T00:00:00"/>
    <d v="1899-12-30T09:00:00"/>
    <d v="2025-08-31T00:00:00"/>
    <d v="1899-12-30T19:20:00"/>
    <n v="0"/>
    <n v="1"/>
    <n v="20"/>
  </r>
  <r>
    <x v="4"/>
    <s v="LS"/>
    <n v="1"/>
    <n v="20"/>
    <d v="2025-09-03T00:00:00"/>
    <d v="1899-12-30T09:00:00"/>
    <d v="2025-08-31T00:00:00"/>
    <d v="1899-12-30T19:40:00"/>
    <n v="0"/>
    <n v="1"/>
    <n v="20"/>
  </r>
  <r>
    <x v="7"/>
    <s v="LP"/>
    <n v="1"/>
    <n v="30"/>
    <d v="2025-09-03T00:00:00"/>
    <d v="1899-12-30T09:00:00"/>
    <d v="2025-09-02T00:00:00"/>
    <d v="1899-12-30T21:00:00"/>
    <n v="5"/>
    <n v="1"/>
    <n v="25"/>
  </r>
  <r>
    <x v="4"/>
    <s v="LS"/>
    <n v="1"/>
    <n v="30"/>
    <d v="2025-09-03T00:00:00"/>
    <d v="1899-12-30T09:00:00"/>
    <d v="2025-08-31T00:00:00"/>
    <d v="1899-12-30T20:10:00"/>
    <n v="0"/>
    <n v="1"/>
    <n v="30"/>
  </r>
  <r>
    <x v="9"/>
    <s v="LC"/>
    <n v="1"/>
    <n v="30"/>
    <d v="2025-09-03T00:00:00"/>
    <d v="1899-12-30T09:00:00"/>
    <d v="2025-08-30T00:00:00"/>
    <d v="1899-12-30T20:30:00"/>
    <n v="5"/>
    <n v="1"/>
    <n v="25"/>
  </r>
  <r>
    <x v="0"/>
    <s v="LE"/>
    <n v="1"/>
    <n v="30"/>
    <d v="2025-09-03T00:00:00"/>
    <d v="1899-12-30T09:00:00"/>
    <d v="2025-09-02T00:00:00"/>
    <d v="1899-12-30T21:10:00"/>
    <n v="6"/>
    <n v="1"/>
    <n v="24"/>
  </r>
  <r>
    <x v="2"/>
    <s v="LA"/>
    <n v="1"/>
    <n v="30"/>
    <d v="2025-09-03T00:00:00"/>
    <d v="1899-12-30T09:00:00"/>
    <d v="2025-08-31T00:00:00"/>
    <d v="1899-12-30T20:25:00"/>
    <n v="7"/>
    <n v="1"/>
    <n v="23"/>
  </r>
  <r>
    <x v="10"/>
    <s v="LD"/>
    <n v="1"/>
    <n v="30"/>
    <d v="2025-09-03T00:00:00"/>
    <d v="1899-12-30T09:00:00"/>
    <d v="2025-09-02T00:00:00"/>
    <d v="1899-12-30T21:20:00"/>
    <n v="4"/>
    <n v="1"/>
    <n v="26"/>
  </r>
  <r>
    <x v="10"/>
    <s v="LD"/>
    <n v="1"/>
    <n v="60"/>
    <d v="2025-09-03T00:00:00"/>
    <d v="1899-12-30T09:00:00"/>
    <d v="2025-09-02T00:00:00"/>
    <d v="1899-12-30T22:20:00"/>
    <n v="-2"/>
    <n v="1"/>
    <n v="62"/>
  </r>
  <r>
    <x v="7"/>
    <s v="           LP"/>
    <n v="1"/>
    <n v="60"/>
    <d v="2025-09-03T00:00:00"/>
    <d v="1899-12-30T09:00:00"/>
    <d v="2025-09-02T00:00:00"/>
    <d v="1899-12-30T22:00:00"/>
    <n v="50"/>
    <n v="1"/>
    <n v="10"/>
  </r>
  <r>
    <x v="4"/>
    <s v="           LS"/>
    <n v="1"/>
    <n v="60"/>
    <d v="2025-09-03T00:00:00"/>
    <d v="1899-12-30T09:00:00"/>
    <d v="2025-09-02T00:00:00"/>
    <d v="1899-12-30T22:00:00"/>
    <n v="50"/>
    <n v="1"/>
    <n v="10"/>
  </r>
  <r>
    <x v="0"/>
    <s v="           LE"/>
    <n v="1"/>
    <n v="60"/>
    <d v="2025-09-03T00:00:00"/>
    <d v="1899-12-30T09:00:00"/>
    <d v="2025-09-02T00:00:00"/>
    <d v="1899-12-30T22:00:00"/>
    <n v="50"/>
    <n v="1"/>
    <n v="10"/>
  </r>
  <r>
    <x v="2"/>
    <s v="           LA"/>
    <n v="1"/>
    <n v="60"/>
    <d v="2025-09-03T00:00:00"/>
    <d v="1899-12-30T09:00:00"/>
    <d v="2025-09-02T00:00:00"/>
    <d v="1899-12-30T22:00:00"/>
    <n v="50"/>
    <n v="1"/>
    <n v="10"/>
  </r>
  <r>
    <x v="9"/>
    <s v="           LC"/>
    <n v="1"/>
    <n v="60"/>
    <d v="2025-09-03T00:00:00"/>
    <d v="1899-12-30T09:00:00"/>
    <d v="2025-09-02T00:00:00"/>
    <d v="1899-12-30T22:00:00"/>
    <n v="50"/>
    <n v="1"/>
    <n v="10"/>
  </r>
  <r>
    <x v="10"/>
    <s v="           LD"/>
    <n v="1"/>
    <n v="60"/>
    <d v="2025-09-03T00:00:00"/>
    <d v="1899-12-30T09:00:00"/>
    <d v="2025-09-02T00:00:00"/>
    <d v="1899-12-30T22:00:00"/>
    <n v="50"/>
    <n v="1"/>
    <n v="10"/>
  </r>
  <r>
    <x v="0"/>
    <s v="LE"/>
    <n v="1"/>
    <n v="30"/>
    <d v="2025-09-03T00:00:00"/>
    <d v="1899-12-30T09:00:00"/>
    <d v="2025-09-02T00:00:00"/>
    <d v="1899-12-30T22:00:00"/>
    <n v="0"/>
    <n v="1"/>
    <n v="30"/>
  </r>
  <r>
    <x v="9"/>
    <s v="LC"/>
    <n v="1"/>
    <n v="30"/>
    <d v="2025-09-03T00:00:00"/>
    <d v="1899-12-30T09:00:00"/>
    <d v="2025-09-02T00:00:00"/>
    <d v="1899-12-30T22:00:00"/>
    <n v="0"/>
    <n v="1"/>
    <n v="30"/>
  </r>
  <r>
    <x v="9"/>
    <s v="LC"/>
    <n v="1"/>
    <n v="45"/>
    <d v="2025-09-03T00:00:00"/>
    <d v="1899-12-30T09:00:00"/>
    <d v="2025-09-02T00:00:00"/>
    <d v="1899-12-30T22:30:00"/>
    <n v="-35"/>
    <n v="1"/>
    <n v="80"/>
  </r>
  <r>
    <x v="0"/>
    <s v="LE"/>
    <n v="1"/>
    <n v="60"/>
    <d v="2025-09-03T00:00:00"/>
    <d v="1899-12-30T09:00:00"/>
    <d v="2025-09-02T00:00:00"/>
    <d v="1899-12-30T22:30:00"/>
    <n v="10"/>
    <n v="1"/>
    <n v="50"/>
  </r>
  <r>
    <x v="0"/>
    <s v="LE"/>
    <n v="1"/>
    <n v="55"/>
    <d v="2025-09-03T00:00:00"/>
    <d v="1899-12-30T09:00:00"/>
    <d v="2025-09-02T00:00:00"/>
    <d v="1899-12-30T22:30:00"/>
    <n v="0"/>
    <n v="1"/>
    <n v="55"/>
  </r>
  <r>
    <x v="9"/>
    <s v="LC"/>
    <n v="1"/>
    <n v="30"/>
    <d v="2025-09-03T00:00:00"/>
    <d v="1899-12-30T09:00:00"/>
    <d v="2025-09-02T00:00:00"/>
    <d v="1899-12-30T22:30:00"/>
    <n v="-2"/>
    <n v="1"/>
    <n v="32"/>
  </r>
  <r>
    <x v="4"/>
    <s v="LS"/>
    <n v="1"/>
    <n v="30"/>
    <d v="2025-09-03T00:00:00"/>
    <d v="1899-12-30T09:00:00"/>
    <d v="2025-09-02T00:00:00"/>
    <d v="1899-12-30T22:30:00"/>
    <n v="-2"/>
    <n v="1"/>
    <n v="32"/>
  </r>
  <r>
    <x v="7"/>
    <s v="LP"/>
    <n v="1"/>
    <n v="30"/>
    <d v="2025-09-03T00:00:00"/>
    <d v="1899-12-30T09:00:00"/>
    <d v="2025-09-02T00:00:00"/>
    <d v="1899-12-30T22:30:00"/>
    <n v="-2"/>
    <n v="1"/>
    <n v="32"/>
  </r>
  <r>
    <x v="0"/>
    <s v="LE"/>
    <n v="1"/>
    <n v="30"/>
    <d v="2025-09-03T00:00:00"/>
    <d v="1899-12-30T09:00:00"/>
    <d v="2025-09-02T00:00:00"/>
    <d v="1899-12-30T22:30:00"/>
    <n v="-2"/>
    <n v="1"/>
    <n v="32"/>
  </r>
  <r>
    <x v="2"/>
    <s v="LA"/>
    <n v="1"/>
    <n v="30"/>
    <d v="2025-09-03T00:00:00"/>
    <d v="1899-12-30T09:00:00"/>
    <d v="2025-09-02T00:00:00"/>
    <d v="1899-12-30T22:30:00"/>
    <n v="-2"/>
    <n v="1"/>
    <n v="32"/>
  </r>
  <r>
    <x v="10"/>
    <s v="LD"/>
    <n v="1"/>
    <n v="30"/>
    <d v="2025-09-03T00:00:00"/>
    <d v="1899-12-30T09:00:00"/>
    <d v="2025-09-02T00:00:00"/>
    <d v="1899-12-30T22:30:00"/>
    <n v="-2"/>
    <n v="1"/>
    <n v="32"/>
  </r>
  <r>
    <x v="0"/>
    <s v="LE"/>
    <n v="3"/>
    <n v="20"/>
    <d v="2025-09-03T00:00:00"/>
    <d v="1899-12-30T09:00:00"/>
    <d v="2025-09-02T00:00:00"/>
    <d v="1899-12-30T14:00:00"/>
    <n v="5"/>
    <n v="3"/>
    <n v="15"/>
  </r>
  <r>
    <x v="7"/>
    <s v="LP"/>
    <n v="1"/>
    <n v="30"/>
    <d v="2025-09-09T00:00:00"/>
    <d v="1899-12-30T09:00:00"/>
    <d v="2025-09-05T00:00:00"/>
    <d v="1899-12-30T11:00:00"/>
    <n v="0"/>
    <n v="1"/>
    <n v="30"/>
  </r>
  <r>
    <x v="9"/>
    <s v="LC"/>
    <n v="1"/>
    <n v="30"/>
    <d v="2025-09-09T00:00:00"/>
    <d v="1899-12-30T09:00:00"/>
    <d v="2025-09-05T00:00:00"/>
    <d v="1899-12-30T19:00:00"/>
    <n v="0"/>
    <n v="1"/>
    <n v="30"/>
  </r>
  <r>
    <x v="9"/>
    <s v="LC"/>
    <n v="2"/>
    <n v="30"/>
    <d v="2025-09-09T00:00:00"/>
    <d v="1899-12-30T09:00:00"/>
    <d v="2025-09-07T00:00:00"/>
    <d v="1899-12-30T12:30:00"/>
    <n v="0"/>
    <n v="2"/>
    <n v="30"/>
  </r>
  <r>
    <x v="4"/>
    <s v="LS"/>
    <n v="2"/>
    <n v="30"/>
    <d v="2025-09-09T00:00:00"/>
    <d v="1899-12-30T09:00:00"/>
    <d v="2025-09-07T00:00:00"/>
    <d v="1899-12-30T13:00:00"/>
    <n v="0"/>
    <n v="2"/>
    <n v="30"/>
  </r>
  <r>
    <x v="9"/>
    <s v="LC"/>
    <n v="1"/>
    <n v="30"/>
    <d v="2025-09-09T00:00:00"/>
    <d v="1899-12-30T09:00:00"/>
    <d v="2025-09-07T00:00:00"/>
    <d v="1899-12-30T13:30:00"/>
    <n v="0"/>
    <n v="1"/>
    <n v="30"/>
  </r>
  <r>
    <x v="4"/>
    <s v="LS"/>
    <n v="1"/>
    <n v="30"/>
    <d v="2025-09-09T00:00:00"/>
    <d v="1899-12-30T09:00:00"/>
    <d v="2025-09-07T00:00:00"/>
    <d v="1899-12-30T14:00:00"/>
    <n v="0"/>
    <n v="2"/>
    <n v="30"/>
  </r>
  <r>
    <x v="9"/>
    <s v="LC"/>
    <n v="2"/>
    <n v="30"/>
    <d v="2025-09-09T00:00:00"/>
    <d v="1899-12-30T09:00:00"/>
    <d v="2025-09-07T00:00:00"/>
    <d v="1899-12-30T14:00:00"/>
    <n v="0"/>
    <n v="2"/>
    <n v="30"/>
  </r>
  <r>
    <x v="4"/>
    <s v="LS"/>
    <n v="2"/>
    <n v="30"/>
    <d v="2025-09-09T00:00:00"/>
    <d v="1899-12-30T09:00:00"/>
    <d v="2025-09-07T00:00:00"/>
    <d v="1899-12-30T14:00:00"/>
    <n v="0"/>
    <n v="2"/>
    <n v="30"/>
  </r>
  <r>
    <x v="9"/>
    <s v="LC"/>
    <n v="2"/>
    <n v="30"/>
    <d v="2025-09-09T00:00:00"/>
    <d v="1899-12-30T09:00:00"/>
    <d v="2025-09-07T00:00:00"/>
    <d v="1899-12-30T14:00:00"/>
    <n v="0"/>
    <n v="1"/>
    <n v="30"/>
  </r>
  <r>
    <x v="4"/>
    <s v="LS"/>
    <n v="2"/>
    <n v="30"/>
    <d v="2025-09-09T00:00:00"/>
    <d v="1899-12-30T09:00:00"/>
    <d v="2025-09-07T00:00:00"/>
    <d v="1899-12-30T14:00:00"/>
    <n v="0"/>
    <n v="1"/>
    <n v="30"/>
  </r>
  <r>
    <x v="9"/>
    <s v="LC"/>
    <n v="1"/>
    <n v="30"/>
    <d v="2025-09-09T00:00:00"/>
    <d v="1899-12-30T09:00:00"/>
    <d v="2025-09-07T00:00:00"/>
    <d v="1899-12-30T14:00:00"/>
    <n v="0"/>
    <n v="3"/>
    <n v="30"/>
  </r>
  <r>
    <x v="4"/>
    <s v="LS"/>
    <n v="1"/>
    <n v="30"/>
    <d v="2025-09-09T00:00:00"/>
    <d v="1899-12-30T09:00:00"/>
    <d v="2025-09-07T00:00:00"/>
    <d v="1899-12-30T14:00:00"/>
    <n v="0"/>
    <n v="2"/>
    <n v="30"/>
  </r>
  <r>
    <x v="9"/>
    <s v="LC"/>
    <n v="1"/>
    <n v="30"/>
    <d v="2025-09-09T00:00:00"/>
    <d v="1899-12-30T09:00:00"/>
    <d v="2025-09-07T00:00:00"/>
    <d v="1899-12-30T14:00:00"/>
    <n v="0"/>
    <n v="2"/>
    <n v="30"/>
  </r>
  <r>
    <x v="4"/>
    <s v="LS"/>
    <n v="1"/>
    <n v="30"/>
    <d v="2025-09-09T00:00:00"/>
    <d v="1899-12-30T09:00:00"/>
    <d v="2025-09-07T00:00:00"/>
    <d v="1899-12-30T14:00:00"/>
    <n v="0"/>
    <n v="1"/>
    <n v="30"/>
  </r>
  <r>
    <x v="9"/>
    <s v="LC"/>
    <n v="1"/>
    <n v="30"/>
    <d v="2025-09-09T00:00:00"/>
    <d v="1899-12-30T09:00:00"/>
    <d v="2025-09-07T00:00:00"/>
    <d v="1899-12-30T14:00:00"/>
    <n v="0"/>
    <n v="1"/>
    <n v="30"/>
  </r>
  <r>
    <x v="4"/>
    <s v="LS"/>
    <n v="1"/>
    <n v="30"/>
    <d v="2025-09-09T00:00:00"/>
    <d v="1899-12-30T09:00:00"/>
    <d v="2025-09-07T00:00:00"/>
    <d v="1899-12-30T14:00:00"/>
    <n v="0"/>
    <n v="1"/>
    <n v="30"/>
  </r>
  <r>
    <x v="9"/>
    <s v="LC"/>
    <n v="1"/>
    <n v="20"/>
    <d v="2025-09-09T00:00:00"/>
    <d v="1899-12-30T09:00:00"/>
    <d v="2025-09-07T00:00:00"/>
    <d v="1899-12-30T14:00:00"/>
    <n v="-10"/>
    <n v="1"/>
    <n v="30"/>
  </r>
  <r>
    <x v="4"/>
    <s v="LS"/>
    <n v="1"/>
    <n v="20"/>
    <d v="2025-09-09T00:00:00"/>
    <d v="1899-12-30T09:00:00"/>
    <d v="2025-09-07T00:00:00"/>
    <d v="1899-12-30T14:00:00"/>
    <n v="-10"/>
    <n v="1"/>
    <n v="30"/>
  </r>
  <r>
    <x v="9"/>
    <s v="LC"/>
    <n v="1"/>
    <n v="20"/>
    <d v="2025-09-09T00:00:00"/>
    <d v="1899-12-30T09:00:00"/>
    <d v="2025-09-07T00:00:00"/>
    <d v="1899-12-30T14:00:00"/>
    <n v="-10"/>
    <n v="1"/>
    <n v="30"/>
  </r>
  <r>
    <x v="4"/>
    <s v="LS"/>
    <n v="1"/>
    <n v="20"/>
    <d v="2025-09-09T00:00:00"/>
    <d v="1899-12-30T09:00:00"/>
    <d v="2025-09-07T00:00:00"/>
    <d v="1899-12-30T14:00:00"/>
    <n v="0"/>
    <n v="1"/>
    <n v="20"/>
  </r>
  <r>
    <x v="9"/>
    <s v="LC"/>
    <n v="1"/>
    <n v="20"/>
    <d v="2025-09-09T00:00:00"/>
    <d v="1899-12-30T09:00:00"/>
    <d v="2025-09-07T00:00:00"/>
    <d v="1899-12-30T14:00:00"/>
    <n v="1"/>
    <n v="2"/>
    <n v="19"/>
  </r>
  <r>
    <x v="4"/>
    <s v="LS"/>
    <n v="1"/>
    <n v="20"/>
    <d v="2025-09-09T00:00:00"/>
    <d v="1899-12-30T09:00:00"/>
    <d v="2025-09-07T00:00:00"/>
    <d v="1899-12-30T14:00:00"/>
    <n v="0"/>
    <n v="2"/>
    <n v="20"/>
  </r>
  <r>
    <x v="9"/>
    <s v="LC"/>
    <n v="1"/>
    <n v="15"/>
    <d v="2025-09-09T00:00:00"/>
    <d v="1899-12-30T09:00:00"/>
    <d v="2025-09-07T00:00:00"/>
    <d v="1899-12-30T14:00:00"/>
    <n v="5"/>
    <n v="1"/>
    <n v="10"/>
  </r>
  <r>
    <x v="4"/>
    <s v="LS"/>
    <n v="1"/>
    <n v="15"/>
    <d v="2025-09-09T00:00:00"/>
    <d v="1899-12-30T09:00:00"/>
    <d v="2025-09-07T00:00:00"/>
    <d v="1899-12-30T14:00:00"/>
    <n v="5"/>
    <n v="1"/>
    <n v="10"/>
  </r>
  <r>
    <x v="9"/>
    <s v="LC"/>
    <n v="1"/>
    <n v="20"/>
    <d v="2025-09-09T00:00:00"/>
    <d v="1899-12-30T09:00:00"/>
    <d v="2025-09-07T00:00:00"/>
    <d v="1899-12-30T14:00:00"/>
    <n v="10"/>
    <n v="1"/>
    <n v="10"/>
  </r>
  <r>
    <x v="4"/>
    <s v="LS"/>
    <n v="1"/>
    <n v="20"/>
    <d v="2025-09-09T00:00:00"/>
    <d v="1899-12-30T09:00:00"/>
    <d v="2025-09-07T00:00:00"/>
    <d v="1899-12-30T14:00:00"/>
    <n v="10"/>
    <n v="1"/>
    <n v="10"/>
  </r>
  <r>
    <x v="0"/>
    <s v="LE"/>
    <n v="1"/>
    <n v="55"/>
    <d v="2025-09-09T00:00:00"/>
    <d v="1899-12-30T09:00:00"/>
    <d v="2025-09-06T00:00:00"/>
    <d v="1899-12-30T08:30:00"/>
    <n v="-5"/>
    <n v="2"/>
    <n v="60"/>
  </r>
  <r>
    <x v="2"/>
    <s v="LA"/>
    <n v="1"/>
    <n v="55"/>
    <d v="2025-09-09T00:00:00"/>
    <d v="1899-12-30T09:00:00"/>
    <d v="2025-09-06T00:00:00"/>
    <d v="1899-12-30T09:30:00"/>
    <n v="-5"/>
    <n v="1"/>
    <n v="60"/>
  </r>
  <r>
    <x v="0"/>
    <s v="LE"/>
    <n v="1"/>
    <n v="60"/>
    <d v="2025-09-09T00:00:00"/>
    <d v="1899-12-30T09:00:00"/>
    <d v="2025-09-06T00:00:00"/>
    <d v="1899-12-30T10:30:00"/>
    <n v="0"/>
    <n v="3"/>
    <n v="60"/>
  </r>
  <r>
    <x v="2"/>
    <s v="LA"/>
    <n v="1"/>
    <n v="60"/>
    <d v="2025-09-09T00:00:00"/>
    <d v="1899-12-30T09:00:00"/>
    <d v="2025-09-06T00:00:00"/>
    <d v="1899-12-30T11:30:00"/>
    <n v="0"/>
    <n v="1"/>
    <n v="60"/>
  </r>
  <r>
    <x v="0"/>
    <s v="LE"/>
    <n v="1"/>
    <n v="30"/>
    <d v="2025-09-09T00:00:00"/>
    <d v="1899-12-30T09:00:00"/>
    <d v="2025-09-06T00:00:00"/>
    <d v="1899-12-30T12:00:00"/>
    <n v="0"/>
    <n v="1"/>
    <n v="30"/>
  </r>
  <r>
    <x v="2"/>
    <s v="LA"/>
    <n v="1"/>
    <n v="30"/>
    <d v="2025-09-09T00:00:00"/>
    <d v="1899-12-30T09:00:00"/>
    <d v="2025-09-06T00:00:00"/>
    <d v="1899-12-30T12:30:00"/>
    <n v="2"/>
    <n v="1"/>
    <n v="28"/>
  </r>
  <r>
    <x v="0"/>
    <s v="LE"/>
    <n v="1"/>
    <n v="30"/>
    <d v="2025-09-09T00:00:00"/>
    <d v="1899-12-30T09:00:00"/>
    <d v="2025-09-06T00:00:00"/>
    <d v="1899-12-30T13:00:00"/>
    <n v="0"/>
    <n v="1"/>
    <n v="30"/>
  </r>
  <r>
    <x v="2"/>
    <s v="LA"/>
    <n v="1"/>
    <n v="30"/>
    <d v="2025-09-09T00:00:00"/>
    <d v="1899-12-30T09:00:00"/>
    <d v="2025-09-06T00:00:00"/>
    <d v="1899-12-30T13:30:00"/>
    <n v="1"/>
    <n v="1"/>
    <n v="29"/>
  </r>
  <r>
    <x v="0"/>
    <s v="LE"/>
    <n v="1"/>
    <n v="30"/>
    <d v="2025-09-09T00:00:00"/>
    <d v="1899-12-30T09:00:00"/>
    <d v="2025-09-06T00:00:00"/>
    <d v="1899-12-30T14:00:00"/>
    <n v="0"/>
    <n v="1"/>
    <n v="30"/>
  </r>
  <r>
    <x v="2"/>
    <s v="LA"/>
    <n v="1"/>
    <n v="30"/>
    <d v="2025-09-09T00:00:00"/>
    <d v="1899-12-30T09:00:00"/>
    <d v="2025-09-06T00:00:00"/>
    <d v="1899-12-30T14:00:00"/>
    <n v="0"/>
    <n v="1"/>
    <n v="30"/>
  </r>
  <r>
    <x v="0"/>
    <s v="LE"/>
    <n v="1"/>
    <n v="30"/>
    <d v="2025-09-09T00:00:00"/>
    <d v="1899-12-30T09:00:00"/>
    <d v="2025-09-06T00:00:00"/>
    <d v="1899-12-30T14:30:00"/>
    <n v="0"/>
    <n v="1"/>
    <n v="30"/>
  </r>
  <r>
    <x v="2"/>
    <s v="LA"/>
    <n v="1"/>
    <n v="30"/>
    <d v="2025-09-09T00:00:00"/>
    <d v="1899-12-30T09:00:00"/>
    <d v="2025-09-06T00:00:00"/>
    <d v="1899-12-30T14:30:00"/>
    <n v="5"/>
    <n v="1"/>
    <n v="25"/>
  </r>
  <r>
    <x v="0"/>
    <s v="LE"/>
    <n v="1"/>
    <n v="30"/>
    <d v="2025-09-09T00:00:00"/>
    <d v="1899-12-30T09:00:00"/>
    <d v="2025-09-06T00:00:00"/>
    <d v="1899-12-30T15:00:00"/>
    <n v="5"/>
    <n v="1"/>
    <n v="25"/>
  </r>
  <r>
    <x v="2"/>
    <s v="LA"/>
    <n v="1"/>
    <n v="30"/>
    <d v="2025-09-09T00:00:00"/>
    <d v="1899-12-30T09:00:00"/>
    <d v="2025-09-06T00:00:00"/>
    <d v="1899-12-30T15:00:00"/>
    <n v="0"/>
    <n v="1"/>
    <n v="30"/>
  </r>
  <r>
    <x v="0"/>
    <s v="LE"/>
    <n v="1"/>
    <n v="30"/>
    <d v="2025-09-09T00:00:00"/>
    <d v="1899-12-30T09:00:00"/>
    <d v="2025-09-06T00:00:00"/>
    <d v="1899-12-30T15:30:00"/>
    <n v="0"/>
    <n v="1"/>
    <n v="30"/>
  </r>
  <r>
    <x v="2"/>
    <s v="LA"/>
    <n v="1"/>
    <n v="30"/>
    <d v="2025-09-09T00:00:00"/>
    <d v="1899-12-30T09:00:00"/>
    <d v="2025-09-06T00:00:00"/>
    <d v="1899-12-30T15:30:00"/>
    <n v="0"/>
    <n v="1"/>
    <n v="30"/>
  </r>
  <r>
    <x v="0"/>
    <s v="LE"/>
    <n v="2"/>
    <n v="60"/>
    <d v="2025-09-09T00:00:00"/>
    <d v="1899-12-30T09:00:00"/>
    <d v="2025-09-06T00:00:00"/>
    <d v="1899-12-30T16:00:00"/>
    <n v="35"/>
    <n v="1"/>
    <n v="25"/>
  </r>
  <r>
    <x v="2"/>
    <s v="LA"/>
    <n v="2"/>
    <n v="60"/>
    <d v="2025-09-09T00:00:00"/>
    <d v="1899-12-30T09:00:00"/>
    <d v="2025-09-06T00:00:00"/>
    <d v="1899-12-30T16:00:00"/>
    <n v="35"/>
    <n v="1"/>
    <n v="25"/>
  </r>
  <r>
    <x v="0"/>
    <s v="LE"/>
    <n v="2"/>
    <n v="60"/>
    <d v="2025-09-09T00:00:00"/>
    <d v="1899-12-30T09:00:00"/>
    <d v="2025-09-06T00:00:00"/>
    <d v="1899-12-30T17:00:00"/>
    <n v="38"/>
    <n v="1"/>
    <n v="22"/>
  </r>
  <r>
    <x v="2"/>
    <s v="LA"/>
    <n v="2"/>
    <n v="60"/>
    <d v="2025-09-09T00:00:00"/>
    <d v="1899-12-30T09:00:00"/>
    <d v="2025-09-06T00:00:00"/>
    <d v="1899-12-30T18:00:00"/>
    <n v="38"/>
    <n v="2"/>
    <n v="22"/>
  </r>
  <r>
    <x v="0"/>
    <s v="LE"/>
    <n v="2"/>
    <n v="60"/>
    <d v="2025-09-09T00:00:00"/>
    <d v="1899-12-30T09:00:00"/>
    <d v="2025-09-06T00:00:00"/>
    <d v="1899-12-30T19:00:00"/>
    <n v="39"/>
    <n v="2"/>
    <n v="21"/>
  </r>
  <r>
    <x v="2"/>
    <s v="LA"/>
    <n v="2"/>
    <n v="60"/>
    <d v="2025-09-09T00:00:00"/>
    <d v="1899-12-30T09:00:00"/>
    <d v="2025-09-06T00:00:00"/>
    <d v="1899-12-30T20:00:00"/>
    <n v="39"/>
    <n v="2"/>
    <n v="21"/>
  </r>
  <r>
    <x v="7"/>
    <s v="LP"/>
    <n v="1"/>
    <n v="30"/>
    <d v="2025-09-09T00:00:00"/>
    <d v="1899-12-30T09:00:00"/>
    <d v="2025-09-07T00:00:00"/>
    <d v="1899-12-30T12:00:00"/>
    <n v="0"/>
    <n v="2"/>
    <n v="30"/>
  </r>
  <r>
    <x v="10"/>
    <s v="LD"/>
    <n v="1"/>
    <n v="30"/>
    <d v="2025-09-09T00:00:00"/>
    <d v="1899-12-30T09:00:00"/>
    <d v="2025-09-07T00:00:00"/>
    <d v="1899-12-30T12:30:00"/>
    <n v="0"/>
    <n v="2"/>
    <n v="30"/>
  </r>
  <r>
    <x v="7"/>
    <s v="LP"/>
    <n v="1"/>
    <n v="30"/>
    <d v="2025-09-09T00:00:00"/>
    <d v="1899-12-30T09:00:00"/>
    <d v="2025-09-07T00:00:00"/>
    <d v="1899-12-30T13:00:00"/>
    <n v="0"/>
    <n v="2"/>
    <n v="30"/>
  </r>
  <r>
    <x v="10"/>
    <s v="LD"/>
    <n v="1"/>
    <n v="30"/>
    <d v="2025-09-09T00:00:00"/>
    <d v="1899-12-30T09:00:00"/>
    <d v="2025-09-07T00:00:00"/>
    <d v="1899-12-30T13:30:00"/>
    <n v="0"/>
    <n v="1"/>
    <n v="30"/>
  </r>
  <r>
    <x v="7"/>
    <s v="LP"/>
    <n v="1"/>
    <n v="30"/>
    <d v="2025-09-09T00:00:00"/>
    <d v="1899-12-30T09:00:00"/>
    <d v="2025-09-07T00:00:00"/>
    <d v="1899-12-30T14:00:00"/>
    <n v="-5"/>
    <n v="1"/>
    <n v="35"/>
  </r>
  <r>
    <x v="10"/>
    <s v="LD"/>
    <n v="1"/>
    <n v="30"/>
    <d v="2025-09-09T00:00:00"/>
    <d v="1899-12-30T09:00:00"/>
    <d v="2025-09-07T00:00:00"/>
    <d v="1899-12-30T14:30:00"/>
    <n v="6"/>
    <n v="1"/>
    <n v="24"/>
  </r>
  <r>
    <x v="7"/>
    <s v="LP"/>
    <n v="2"/>
    <n v="20"/>
    <d v="2025-09-09T00:00:00"/>
    <d v="1899-12-30T09:00:00"/>
    <d v="2025-09-07T00:00:00"/>
    <d v="1899-12-30T15:00:00"/>
    <n v="0"/>
    <n v="1"/>
    <n v="20"/>
  </r>
  <r>
    <x v="10"/>
    <s v="LD"/>
    <n v="2"/>
    <n v="20"/>
    <d v="2025-09-09T00:00:00"/>
    <d v="1899-12-30T09:00:00"/>
    <d v="2025-09-07T00:00:00"/>
    <d v="1899-12-30T15:20:00"/>
    <n v="0"/>
    <n v="1"/>
    <n v="20"/>
  </r>
  <r>
    <x v="7"/>
    <s v="LP"/>
    <n v="1"/>
    <n v="20"/>
    <d v="2025-09-09T00:00:00"/>
    <d v="1899-12-30T09:00:00"/>
    <d v="2025-09-07T00:00:00"/>
    <d v="1899-12-30T15:40:00"/>
    <n v="0"/>
    <n v="1"/>
    <n v="20"/>
  </r>
  <r>
    <x v="10"/>
    <s v="LD"/>
    <n v="1"/>
    <n v="20"/>
    <d v="2025-09-09T00:00:00"/>
    <d v="1899-12-30T09:00:00"/>
    <d v="2025-09-07T00:00:00"/>
    <d v="1899-12-30T16:00:00"/>
    <n v="-5"/>
    <n v="1"/>
    <n v="25"/>
  </r>
  <r>
    <x v="7"/>
    <s v="LP"/>
    <n v="1"/>
    <n v="20"/>
    <d v="2025-09-09T00:00:00"/>
    <d v="1899-12-30T09:00:00"/>
    <d v="2025-09-07T00:00:00"/>
    <d v="1899-12-30T16:20:00"/>
    <n v="-5"/>
    <n v="1"/>
    <n v="25"/>
  </r>
  <r>
    <x v="10"/>
    <s v="LD"/>
    <n v="1"/>
    <n v="20"/>
    <d v="2025-09-09T00:00:00"/>
    <d v="1899-12-30T09:00:00"/>
    <d v="2025-09-07T00:00:00"/>
    <d v="1899-12-30T16:40:00"/>
    <n v="5"/>
    <n v="1"/>
    <n v="15"/>
  </r>
  <r>
    <x v="7"/>
    <s v="LP"/>
    <n v="1"/>
    <n v="20"/>
    <d v="2025-09-09T00:00:00"/>
    <d v="1899-12-30T09:00:00"/>
    <d v="2025-09-07T00:00:00"/>
    <d v="1899-12-30T17:00:00"/>
    <n v="10"/>
    <n v="1"/>
    <n v="10"/>
  </r>
  <r>
    <x v="10"/>
    <s v="LD"/>
    <n v="1"/>
    <n v="20"/>
    <d v="2025-09-09T00:00:00"/>
    <d v="1899-12-30T09:00:00"/>
    <d v="2025-09-07T00:00:00"/>
    <d v="1899-12-30T17:20:00"/>
    <n v="10"/>
    <n v="1"/>
    <n v="10"/>
  </r>
  <r>
    <x v="7"/>
    <s v="LP"/>
    <n v="1"/>
    <n v="20"/>
    <d v="2025-09-09T00:00:00"/>
    <d v="1899-12-30T09:00:00"/>
    <d v="2025-09-07T00:00:00"/>
    <d v="1899-12-30T17:40:00"/>
    <n v="10"/>
    <n v="1"/>
    <n v="10"/>
  </r>
  <r>
    <x v="10"/>
    <s v="LD"/>
    <n v="1"/>
    <n v="20"/>
    <d v="2025-09-09T00:00:00"/>
    <d v="1899-12-30T09:00:00"/>
    <d v="2025-09-07T00:00:00"/>
    <d v="1899-12-30T18:00:00"/>
    <n v="5"/>
    <n v="1"/>
    <n v="15"/>
  </r>
  <r>
    <x v="7"/>
    <s v="LP"/>
    <n v="1"/>
    <n v="10"/>
    <d v="2025-09-09T00:00:00"/>
    <d v="1899-12-30T09:00:00"/>
    <d v="2025-09-07T00:00:00"/>
    <d v="1899-12-30T18:10:00"/>
    <n v="0"/>
    <n v="1"/>
    <n v="10"/>
  </r>
  <r>
    <x v="10"/>
    <s v="LD"/>
    <n v="1"/>
    <n v="10"/>
    <d v="2025-09-09T00:00:00"/>
    <d v="1899-12-30T09:00:00"/>
    <d v="2025-09-07T00:00:00"/>
    <d v="1899-12-30T18:20:00"/>
    <n v="0"/>
    <n v="1"/>
    <n v="10"/>
  </r>
  <r>
    <x v="9"/>
    <s v="LC"/>
    <n v="1"/>
    <n v="20"/>
    <d v="2025-09-09T00:00:00"/>
    <d v="1899-12-30T09:00:00"/>
    <d v="2025-09-07T00:00:00"/>
    <d v="1899-12-30T19:20:00"/>
    <n v="0"/>
    <n v="1"/>
    <n v="20"/>
  </r>
  <r>
    <x v="14"/>
    <s v="LS"/>
    <n v="1"/>
    <n v="20"/>
    <d v="2025-09-09T00:00:00"/>
    <d v="1899-12-30T09:00:00"/>
    <d v="2025-09-07T00:00:00"/>
    <d v="1899-12-30T19:20:00"/>
    <n v="0"/>
    <n v="1"/>
    <n v="20"/>
  </r>
  <r>
    <x v="9"/>
    <s v="LC"/>
    <n v="1"/>
    <n v="30"/>
    <d v="2025-09-09T00:00:00"/>
    <d v="1899-12-30T09:00:00"/>
    <d v="2025-09-07T00:00:00"/>
    <d v="1899-12-30T20:00:00"/>
    <n v="6"/>
    <n v="1"/>
    <n v="24"/>
  </r>
  <r>
    <x v="10"/>
    <s v="LD"/>
    <n v="1"/>
    <n v="30"/>
    <d v="2025-09-09T00:00:00"/>
    <d v="1899-12-30T09:00:00"/>
    <d v="2025-09-07T00:00:00"/>
    <d v="1899-12-30T20:00:00"/>
    <n v="0"/>
    <n v="1"/>
    <n v="30"/>
  </r>
  <r>
    <x v="10"/>
    <s v="LD"/>
    <n v="5"/>
    <n v="50"/>
    <d v="2025-09-09T00:00:00"/>
    <d v="1899-12-30T09:00:00"/>
    <d v="2025-09-07T00:00:00"/>
    <d v="1899-12-30T20:50:00"/>
    <n v="5"/>
    <n v="5"/>
    <n v="45"/>
  </r>
  <r>
    <x v="7"/>
    <s v=" LP"/>
    <n v="1"/>
    <n v="60"/>
    <d v="2025-09-09T00:00:00"/>
    <d v="1899-12-30T09:00:00"/>
    <d v="2025-09-07T00:00:00"/>
    <d v="1899-12-30T22:00:00"/>
    <n v="50"/>
    <n v="1"/>
    <n v="10"/>
  </r>
  <r>
    <x v="4"/>
    <s v="           LS"/>
    <n v="1"/>
    <n v="60"/>
    <d v="2025-09-09T00:00:00"/>
    <d v="1899-12-30T09:00:00"/>
    <d v="2025-09-07T00:00:00"/>
    <d v="1899-12-30T22:00:00"/>
    <n v="50"/>
    <n v="1"/>
    <n v="10"/>
  </r>
  <r>
    <x v="0"/>
    <s v="           LE"/>
    <n v="1"/>
    <n v="60"/>
    <d v="2025-09-09T00:00:00"/>
    <d v="1899-12-30T09:00:00"/>
    <d v="2025-09-07T00:00:00"/>
    <d v="1899-12-30T22:00:00"/>
    <n v="50"/>
    <n v="1"/>
    <n v="10"/>
  </r>
  <r>
    <x v="2"/>
    <s v="           LA"/>
    <n v="1"/>
    <n v="60"/>
    <d v="2025-09-09T00:00:00"/>
    <d v="1899-12-30T09:00:00"/>
    <d v="2025-09-07T00:00:00"/>
    <d v="1899-12-30T22:00:00"/>
    <n v="50"/>
    <n v="1"/>
    <n v="10"/>
  </r>
  <r>
    <x v="9"/>
    <s v="           LC"/>
    <n v="1"/>
    <n v="60"/>
    <d v="2025-09-09T00:00:00"/>
    <d v="1899-12-30T09:00:00"/>
    <d v="2025-09-07T00:00:00"/>
    <d v="1899-12-30T22:00:00"/>
    <n v="50"/>
    <n v="1"/>
    <n v="10"/>
  </r>
  <r>
    <x v="10"/>
    <s v="           LD"/>
    <n v="1"/>
    <n v="60"/>
    <d v="2025-09-09T00:00:00"/>
    <d v="1899-12-30T09:00:00"/>
    <d v="2025-09-07T00:00:00"/>
    <d v="1899-12-30T22:00:00"/>
    <n v="50"/>
    <n v="1"/>
    <n v="10"/>
  </r>
  <r>
    <x v="0"/>
    <s v="LE"/>
    <n v="1"/>
    <n v="30"/>
    <d v="2025-09-09T00:00:00"/>
    <d v="1899-12-30T09:00:00"/>
    <d v="2025-09-07T00:00:00"/>
    <d v="1899-12-30T22:00:00"/>
    <n v="0"/>
    <n v="1"/>
    <n v="30"/>
  </r>
  <r>
    <x v="9"/>
    <s v="LC"/>
    <n v="1"/>
    <n v="30"/>
    <d v="2025-09-09T00:00:00"/>
    <d v="1899-12-30T09:00:00"/>
    <d v="2025-09-07T00:00:00"/>
    <d v="1899-12-30T22:00:00"/>
    <n v="0"/>
    <n v="1"/>
    <n v="30"/>
  </r>
  <r>
    <x v="9"/>
    <s v="LC"/>
    <n v="1"/>
    <n v="45"/>
    <d v="2025-09-09T00:00:00"/>
    <d v="1899-12-30T09:00:00"/>
    <d v="2025-09-07T00:00:00"/>
    <d v="1899-12-30T22:30:00"/>
    <n v="-35"/>
    <n v="1"/>
    <n v="80"/>
  </r>
  <r>
    <x v="0"/>
    <s v="LE"/>
    <n v="1"/>
    <n v="60"/>
    <d v="2025-09-09T00:00:00"/>
    <d v="1899-12-30T09:00:00"/>
    <d v="2025-09-07T00:00:00"/>
    <d v="1899-12-30T22:30:00"/>
    <n v="10"/>
    <n v="1"/>
    <n v="50"/>
  </r>
  <r>
    <x v="0"/>
    <s v="LE"/>
    <n v="1"/>
    <n v="55"/>
    <d v="2025-09-09T00:00:00"/>
    <d v="1899-12-30T09:00:00"/>
    <d v="2025-09-07T00:00:00"/>
    <d v="1899-12-30T22:30:00"/>
    <n v="0"/>
    <n v="1"/>
    <n v="55"/>
  </r>
  <r>
    <x v="9"/>
    <s v="LC"/>
    <n v="1"/>
    <n v="30"/>
    <d v="2025-09-09T00:00:00"/>
    <d v="1899-12-30T09:00:00"/>
    <d v="2025-09-07T00:00:00"/>
    <d v="1899-12-30T22:30:00"/>
    <n v="-2"/>
    <n v="1"/>
    <n v="32"/>
  </r>
  <r>
    <x v="4"/>
    <s v="LS"/>
    <n v="1"/>
    <n v="30"/>
    <d v="2025-09-09T00:00:00"/>
    <d v="1899-12-30T09:00:00"/>
    <d v="2025-09-07T00:00:00"/>
    <d v="1899-12-30T22:30:00"/>
    <n v="-2"/>
    <n v="1"/>
    <n v="32"/>
  </r>
  <r>
    <x v="7"/>
    <s v="LP"/>
    <n v="1"/>
    <n v="30"/>
    <d v="2025-09-09T00:00:00"/>
    <d v="1899-12-30T09:00:00"/>
    <d v="2025-09-07T00:00:00"/>
    <d v="1899-12-30T22:30:00"/>
    <n v="-2"/>
    <n v="1"/>
    <n v="32"/>
  </r>
  <r>
    <x v="0"/>
    <s v="LE"/>
    <n v="1"/>
    <n v="30"/>
    <d v="2025-09-09T00:00:00"/>
    <d v="1899-12-30T09:00:00"/>
    <d v="2025-09-07T00:00:00"/>
    <d v="1899-12-30T22:30:00"/>
    <n v="-2"/>
    <n v="1"/>
    <n v="32"/>
  </r>
  <r>
    <x v="2"/>
    <s v="LA"/>
    <n v="1"/>
    <n v="30"/>
    <d v="2025-09-09T00:00:00"/>
    <d v="1899-12-30T09:00:00"/>
    <d v="2025-09-07T00:00:00"/>
    <d v="1899-12-30T22:30:00"/>
    <n v="-2"/>
    <n v="1"/>
    <n v="32"/>
  </r>
  <r>
    <x v="10"/>
    <s v="LD"/>
    <n v="1"/>
    <n v="30"/>
    <d v="2025-09-09T00:00:00"/>
    <d v="1899-12-30T09:00:00"/>
    <d v="2025-09-07T00:00:00"/>
    <d v="1899-12-30T22:30:00"/>
    <n v="-2"/>
    <n v="1"/>
    <n v="32"/>
  </r>
  <r>
    <x v="0"/>
    <s v="LE"/>
    <n v="3"/>
    <n v="20"/>
    <d v="2025-09-09T00:00:00"/>
    <d v="1899-12-30T09:00:00"/>
    <d v="2025-09-08T00:00:00"/>
    <d v="1899-12-30T09:00:00"/>
    <n v="5"/>
    <n v="3"/>
    <n v="15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s v="Script de definición de procesos(DISEÑO)"/>
    <x v="0"/>
    <s v="LC"/>
    <n v="1"/>
    <n v="30"/>
    <d v="2025-09-17T00:00:00"/>
    <d v="1899-12-30T09:00:00"/>
    <d v="2025-09-15T00:00:00"/>
    <d v="1899-12-30T19:00:00"/>
    <n v="0"/>
    <n v="1"/>
    <n v="30"/>
    <s v="Diligenciar el formato correspondiente al script de definición de procesos"/>
  </r>
  <r>
    <s v="Script de definición de procesos(PLANEACIÓN)"/>
    <x v="1"/>
    <s v="LC"/>
    <n v="1"/>
    <n v="30"/>
    <d v="2025-09-17T00:00:00"/>
    <d v="1899-12-30T09:00:00"/>
    <d v="2025-09-15T00:00:00"/>
    <d v="1899-12-30T19:00:00"/>
    <n v="0"/>
    <n v="1"/>
    <n v="30"/>
    <s v="Se realizo el llenado del control de asignaciones para asi terminar con éxito la fase 3  de Requerimientos y para que los demas lideres llenen sus bitácoras"/>
  </r>
  <r>
    <s v="Definir objetivo_x000a_del documento"/>
    <x v="2"/>
    <s v="LE"/>
    <n v="1"/>
    <n v="30"/>
    <d v="2025-09-17T00:00:00"/>
    <d v="1899-12-30T09:00:00"/>
    <d v="2025-09-16T00:00:00"/>
    <d v="1899-12-30T13:00:00"/>
    <n v="0"/>
    <n v="1"/>
    <n v="30"/>
    <s v="Establecer el propósito del SDS y su_x000a_importancia para el proyecto DashKPI."/>
  </r>
  <r>
    <s v="Identificar audiencia del documento"/>
    <x v="1"/>
    <s v="LP"/>
    <n v="2"/>
    <n v="30"/>
    <d v="2025-09-17T00:00:00"/>
    <d v="1899-12-30T09:00:00"/>
    <d v="2025-09-16T00:00:00"/>
    <d v="1899-12-30T13:00:00"/>
    <n v="2"/>
    <n v="2"/>
    <n v="28"/>
    <s v="Determinar a quién va dirigido el SDS_x000a_(usuarios, desarrolladores, directivos)."/>
  </r>
  <r>
    <s v="Definir acrónimos "/>
    <x v="1"/>
    <s v="LP"/>
    <n v="1"/>
    <n v="30"/>
    <d v="2025-09-17T00:00:00"/>
    <d v="1899-12-30T09:00:00"/>
    <d v="2025-09-16T00:00:00"/>
    <d v="1899-12-30T13:30:00"/>
    <n v="0"/>
    <n v="2"/>
    <n v="30"/>
    <s v="Listar acrónimos y abreviaciones_x000a_utilizadas en el proyecto."/>
  </r>
  <r>
    <s v="Descripción_x000a_del problema"/>
    <x v="3"/>
    <s v="LA"/>
    <n v="2"/>
    <n v="30"/>
    <d v="2025-09-17T00:00:00"/>
    <d v="1899-12-30T09:00:00"/>
    <d v="2025-09-16T00:00:00"/>
    <d v="1899-12-30T13:00:00"/>
    <n v="0"/>
    <n v="2"/>
    <n v="30"/>
    <s v="Redactar el problema que resuelve_x000a_DashKPI"/>
  </r>
  <r>
    <s v="Establecer objetivos de la aplicación"/>
    <x v="3"/>
    <s v="LA"/>
    <n v="2"/>
    <n v="30"/>
    <d v="2025-09-17T00:00:00"/>
    <d v="1899-12-30T09:00:00"/>
    <d v="2025-09-16T00:00:00"/>
    <d v="1899-12-30T13:30:00"/>
    <n v="7"/>
    <n v="1"/>
    <n v="23"/>
    <s v="Documentar los objetivos que cumplirá la_x000a_plataforma DashKPI."/>
  </r>
  <r>
    <s v="Definir restricciones"/>
    <x v="3"/>
    <s v="LA"/>
    <n v="1"/>
    <n v="30"/>
    <d v="2025-09-17T00:00:00"/>
    <d v="1899-12-30T09:00:00"/>
    <d v="2025-09-16T00:00:00"/>
    <d v="1899-12-30T14:00:00"/>
    <n v="0"/>
    <n v="1"/>
    <n v="30"/>
    <s v="Identificar limitaciones técnicas, de_x000a_tiempo o recursos."/>
  </r>
  <r>
    <s v="Seleccionar estilo de arquitectura"/>
    <x v="2"/>
    <s v="LE"/>
    <n v="1"/>
    <n v="30"/>
    <d v="2025-09-17T00:00:00"/>
    <d v="1899-12-30T09:00:00"/>
    <d v="2025-09-16T00:00:00"/>
    <d v="1899-12-30T13:30:00"/>
    <n v="5"/>
    <n v="2"/>
    <n v="25"/>
    <s v="Definir si será cliente-servidor, multicapa,_x000a_etc."/>
  </r>
  <r>
    <s v="Vista de contexto (UML casos de uso)"/>
    <x v="1"/>
    <s v="LP"/>
    <n v="1"/>
    <n v="60"/>
    <d v="2025-09-17T00:00:00"/>
    <d v="1899-12-30T09:00:00"/>
    <d v="2025-09-16T00:00:00"/>
    <d v="1899-12-30T14:30:00"/>
    <n v="-5"/>
    <n v="1"/>
    <n v="65"/>
    <s v="Diseñar el diagrama de casos de uso."/>
  </r>
  <r>
    <s v="Vista funcional (UML de componentes)"/>
    <x v="3"/>
    <s v="LA"/>
    <n v="1"/>
    <n v="60"/>
    <d v="2025-09-17T00:00:00"/>
    <d v="1899-12-30T09:00:00"/>
    <d v="2025-09-16T00:00:00"/>
    <d v="1899-12-30T15:00:00"/>
    <n v="0"/>
    <n v="1"/>
    <n v="60"/>
    <s v="Modelar los principales componentes del_x000a_sistema."/>
  </r>
  <r>
    <s v="Vista de información(Entidad Relación, ciclo de vida)"/>
    <x v="2"/>
    <s v="LE"/>
    <n v="1"/>
    <n v="60"/>
    <d v="2025-09-17T00:00:00"/>
    <d v="1899-12-30T09:00:00"/>
    <d v="2025-09-16T00:00:00"/>
    <d v="1899-12-30T14:30:00"/>
    <n v="5"/>
    <n v="1"/>
    <n v="55"/>
    <s v="Definir el modelo entidad–relación y su_x000a_ciclo de vida."/>
  </r>
  <r>
    <s v="Vista de despliegue (UML de despliegue)"/>
    <x v="0"/>
    <s v="LC"/>
    <n v="1"/>
    <n v="60"/>
    <d v="2025-09-17T00:00:00"/>
    <d v="1899-12-30T09:00:00"/>
    <d v="2025-09-16T00:00:00"/>
    <d v="1899-12-30T14:00:00"/>
    <n v="0"/>
    <n v="1"/>
    <n v="60"/>
    <s v="Representar la distribución física del_x000a_sistema."/>
  </r>
  <r>
    <s v="Vista de desarrollo(UML de paquetes)"/>
    <x v="4"/>
    <s v="LS"/>
    <n v="1"/>
    <n v="60"/>
    <d v="2025-09-17T00:00:00"/>
    <d v="1899-12-30T09:00:00"/>
    <d v="2025-09-16T00:00:00"/>
    <d v="1899-12-30T14:00:00"/>
    <n v="6"/>
    <n v="1"/>
    <n v="54"/>
    <s v="Organizar el sistema en paquetes o_x000a_módulos."/>
  </r>
  <r>
    <s v="Vista de concurrencia (UML de procesos)"/>
    <x v="5"/>
    <s v="LD"/>
    <n v="1"/>
    <n v="60"/>
    <d v="2025-09-17T00:00:00"/>
    <d v="1899-12-30T09:00:00"/>
    <d v="2025-09-16T00:00:00"/>
    <d v="1899-12-30T14:00:00"/>
    <n v="0"/>
    <n v="1"/>
    <n v="60"/>
    <s v="Modelar procesos concurrentes y flujos_x000a_de ejecución."/>
  </r>
  <r>
    <s v="Vista operacional (Ad hoc o descripciones textuales)"/>
    <x v="2"/>
    <s v="LE"/>
    <n v="1"/>
    <n v="60"/>
    <d v="2025-09-17T00:00:00"/>
    <d v="1899-12-30T09:00:00"/>
    <d v="2025-09-16T00:00:00"/>
    <d v="1899-12-30T15:30:00"/>
    <n v="0"/>
    <n v="1"/>
    <n v="60"/>
    <s v="Documentar procesos operativos del_x000a_sistema de forma textual."/>
  </r>
  <r>
    <s v="Especificación de interfaz de usuario"/>
    <x v="0"/>
    <s v="LC"/>
    <n v="2"/>
    <n v="60"/>
    <d v="2025-09-17T00:00:00"/>
    <d v="1899-12-30T09:00:00"/>
    <d v="2025-09-16T00:00:00"/>
    <d v="1899-12-30T15:00:00"/>
    <n v="-1"/>
    <n v="1"/>
    <n v="61"/>
    <s v="Definir pantallas, prototipos y flujo de_x000a_navegación."/>
  </r>
  <r>
    <s v="Modelo de datos (Entidad–Relación)"/>
    <x v="4"/>
    <s v="LS"/>
    <n v="2"/>
    <n v="60"/>
    <d v="2025-09-17T00:00:00"/>
    <d v="1899-12-30T09:00:00"/>
    <d v="2025-09-16T00:00:00"/>
    <d v="1899-12-30T16:00:00"/>
    <n v="0"/>
    <n v="1"/>
    <n v="60"/>
    <s v="Crear el modelo de datos definitivo."/>
  </r>
  <r>
    <s v="Modelo de clases"/>
    <x v="5"/>
    <s v="LD"/>
    <n v="2"/>
    <n v="60"/>
    <d v="2025-09-17T00:00:00"/>
    <d v="1899-12-30T09:00:00"/>
    <d v="2025-09-16T00:00:00"/>
    <d v="1899-12-30T17:00:00"/>
    <n v="3"/>
    <n v="1"/>
    <n v="57"/>
    <s v="Definir el modelo de clases UML."/>
  </r>
  <r>
    <s v="Revisión del documento SDS"/>
    <x v="1"/>
    <s v="LP"/>
    <n v="1"/>
    <n v="30"/>
    <d v="2025-09-17T00:00:00"/>
    <d v="1899-12-30T09:00:00"/>
    <d v="2025-09-16T00:00:00"/>
    <d v="1899-12-30T19:00:00"/>
    <n v="5"/>
    <n v="1"/>
    <n v="25"/>
    <s v="Validar consistencia, completitud y_x000a_calidad del documento."/>
  </r>
  <r>
    <s v="Revisión del documento SDS"/>
    <x v="2"/>
    <s v="LE"/>
    <n v="1"/>
    <n v="30"/>
    <d v="2025-09-17T00:00:00"/>
    <d v="1899-12-30T09:00:00"/>
    <d v="2025-09-16T00:00:00"/>
    <d v="1899-12-30T19:00:00"/>
    <n v="5"/>
    <n v="1"/>
    <n v="25"/>
    <s v="Validar consistencia, completitud y_x000a_calidad del documento."/>
  </r>
  <r>
    <s v="Revisión del documento SDS"/>
    <x v="0"/>
    <s v="LC"/>
    <n v="1"/>
    <n v="30"/>
    <d v="2025-09-17T00:00:00"/>
    <d v="1899-12-30T09:00:00"/>
    <d v="2025-09-16T00:00:00"/>
    <d v="1899-12-30T19:00:00"/>
    <n v="5"/>
    <n v="1"/>
    <n v="25"/>
    <s v="Validar consistencia, completitud y_x000a_calidad del documento."/>
  </r>
  <r>
    <s v="Revisión del documento SDS"/>
    <x v="3"/>
    <s v="LA"/>
    <n v="1"/>
    <n v="30"/>
    <d v="2025-09-17T00:00:00"/>
    <d v="1899-12-30T09:00:00"/>
    <d v="2025-09-16T00:00:00"/>
    <d v="1899-12-30T19:00:00"/>
    <n v="5"/>
    <n v="1"/>
    <n v="25"/>
    <s v="Validar consistencia, completitud y_x000a_calidad del documento."/>
  </r>
  <r>
    <s v="Revisión del documento SDS"/>
    <x v="5"/>
    <s v="LD"/>
    <n v="1"/>
    <n v="30"/>
    <d v="2025-09-17T00:00:00"/>
    <d v="1899-12-30T09:00:00"/>
    <d v="2025-09-16T00:00:00"/>
    <d v="1899-12-30T19:00:00"/>
    <n v="5"/>
    <n v="1"/>
    <n v="25"/>
    <s v="Validar consistencia, completitud y_x000a_calidad del documento."/>
  </r>
  <r>
    <s v="Revisión del documento SDS"/>
    <x v="4"/>
    <s v="LS"/>
    <n v="1"/>
    <n v="30"/>
    <d v="2025-09-17T00:00:00"/>
    <d v="1899-12-30T09:00:00"/>
    <d v="2025-09-16T00:00:00"/>
    <d v="1899-12-30T19:00:00"/>
    <n v="5"/>
    <n v="1"/>
    <n v="25"/>
    <s v="Validar consistencia, completitud y_x000a_calidad del documento."/>
  </r>
  <r>
    <s v="Control de _x000a_cambios "/>
    <x v="0"/>
    <s v="LC"/>
    <n v="1"/>
    <n v="20"/>
    <d v="2025-09-17T00:00:00"/>
    <d v="1899-12-30T09:00:00"/>
    <d v="2025-09-16T00:00:00"/>
    <d v="1899-12-30T19:20:00"/>
    <n v="0"/>
    <n v="1"/>
    <n v="20"/>
    <s v="Gestionar solicitudes de cambios, su evaluación, aprobación/rechazo e implantación. "/>
  </r>
  <r>
    <s v="Control de _x000a_cambios "/>
    <x v="6"/>
    <s v="LS"/>
    <n v="1"/>
    <n v="20"/>
    <d v="2025-09-17T00:00:00"/>
    <d v="1899-12-30T09:00:00"/>
    <d v="2025-09-16T00:00:00"/>
    <d v="1899-12-30T19:20:00"/>
    <n v="0"/>
    <n v="1"/>
    <n v="20"/>
    <s v="Gestionar solicitudes de cambios, su evaluación, aprobación/rechazo e implantación. "/>
  </r>
  <r>
    <s v="Registrar y gestionar riesgos"/>
    <x v="0"/>
    <s v="LC"/>
    <n v="1"/>
    <n v="30"/>
    <d v="2025-09-17T00:00:00"/>
    <d v="1899-12-30T09:00:00"/>
    <d v="2025-09-16T00:00:00"/>
    <d v="1899-12-30T20:00:00"/>
    <n v="6"/>
    <n v="1"/>
    <n v="24"/>
    <s v="Identificar, clasificar y dar seguimiento a_x000a_riesgos del proyecto."/>
  </r>
  <r>
    <s v="Log de defectos(apertura,seguimiento y cierre)"/>
    <x v="5"/>
    <s v="LD"/>
    <n v="1"/>
    <n v="30"/>
    <d v="2025-09-17T00:00:00"/>
    <d v="1899-12-30T09:00:00"/>
    <d v="2025-09-16T00:00:00"/>
    <d v="1899-12-30T20:00:00"/>
    <n v="0"/>
    <n v="1"/>
    <n v="30"/>
    <s v="Registrar incidencias y defectos, dar_x000a_seguimiento y cerrar tras validación."/>
  </r>
  <r>
    <s v="Bitácoras y actas"/>
    <x v="5"/>
    <s v="LD"/>
    <n v="5"/>
    <n v="50"/>
    <d v="2025-09-17T00:00:00"/>
    <d v="1899-12-30T09:00:00"/>
    <d v="2025-09-16T00:00:00"/>
    <d v="1899-12-30T20:50:00"/>
    <n v="5"/>
    <n v="5"/>
    <n v="45"/>
    <s v="Documentar bitácoras de tiempo y actas de_x000a_reuniones, manteniendo control de_x000a_versiones."/>
  </r>
  <r>
    <s v="Elaboración de las bitácoras"/>
    <x v="1"/>
    <s v=" LP"/>
    <n v="1"/>
    <n v="60"/>
    <d v="2025-09-17T00:00:00"/>
    <d v="1899-12-30T09:00:00"/>
    <d v="2025-09-16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4"/>
    <s v="           LS"/>
    <n v="1"/>
    <n v="60"/>
    <d v="2025-09-17T00:00:00"/>
    <d v="1899-12-30T09:00:00"/>
    <d v="2025-09-16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2"/>
    <s v="           LE"/>
    <n v="1"/>
    <n v="60"/>
    <d v="2025-09-17T00:00:00"/>
    <d v="1899-12-30T09:00:00"/>
    <d v="2025-09-16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3"/>
    <s v="           LA"/>
    <n v="1"/>
    <n v="60"/>
    <d v="2025-09-17T00:00:00"/>
    <d v="1899-12-30T09:00:00"/>
    <d v="2025-09-16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0"/>
    <s v="           LC"/>
    <n v="1"/>
    <n v="60"/>
    <d v="2025-09-17T00:00:00"/>
    <d v="1899-12-30T09:00:00"/>
    <d v="2025-09-16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5"/>
    <s v="           LD"/>
    <n v="1"/>
    <n v="60"/>
    <d v="2025-09-17T00:00:00"/>
    <d v="1899-12-30T09:00:00"/>
    <d v="2025-09-16T00:00:00"/>
    <d v="1899-12-30T22:00:00"/>
    <n v="50"/>
    <n v="1"/>
    <n v="10"/>
    <s v="Con las bitácoras llenamos cada espacio con las actividaes correspondientes según el control de asignaciones"/>
  </r>
  <r>
    <s v="Evaluación de log de defectos"/>
    <x v="2"/>
    <s v="LE"/>
    <n v="1"/>
    <n v="30"/>
    <d v="2025-09-17T00:00:00"/>
    <d v="1899-12-30T09:00:00"/>
    <d v="2025-09-16T00:00:00"/>
    <d v="1899-12-30T22:00:00"/>
    <n v="0"/>
    <n v="1"/>
    <n v="30"/>
    <s v="No comentarios"/>
  </r>
  <r>
    <s v="Llenado de log de defectos"/>
    <x v="0"/>
    <s v="LC"/>
    <n v="1"/>
    <n v="30"/>
    <d v="2025-09-17T00:00:00"/>
    <d v="1899-12-30T09:00:00"/>
    <d v="2025-09-16T00:00:00"/>
    <d v="1899-12-30T22:00:00"/>
    <n v="0"/>
    <n v="1"/>
    <n v="30"/>
    <s v="No comentarios"/>
  </r>
  <r>
    <s v="Acta de reunión"/>
    <x v="0"/>
    <s v="LC"/>
    <n v="1"/>
    <n v="45"/>
    <d v="2025-09-17T00:00:00"/>
    <d v="1899-12-30T09:00:00"/>
    <d v="2025-09-16T00:00:00"/>
    <d v="1899-12-30T22:30:00"/>
    <n v="-35"/>
    <n v="1"/>
    <n v="80"/>
    <s v="Ordenar en grupo todos los documentos asignados para la primera entrega"/>
  </r>
  <r>
    <s v="Elaboración de diapositivas(Informe final)"/>
    <x v="2"/>
    <s v="LE"/>
    <n v="1"/>
    <n v="60"/>
    <d v="2025-09-17T00:00:00"/>
    <d v="1899-12-30T09:00:00"/>
    <d v="2025-09-16T00:00:00"/>
    <d v="1899-12-30T22:30:00"/>
    <n v="10"/>
    <n v="1"/>
    <n v="50"/>
    <s v="Diapositivas con los documentos hechos "/>
  </r>
  <r>
    <s v="Maestro de documentos"/>
    <x v="2"/>
    <s v="LE"/>
    <n v="1"/>
    <n v="55"/>
    <d v="2025-09-17T00:00:00"/>
    <d v="1899-12-30T09:00:00"/>
    <d v="2025-09-16T00:00:00"/>
    <d v="1899-12-30T22:30:00"/>
    <n v="0"/>
    <n v="1"/>
    <n v="55"/>
    <s v="Realización de un excel con los documentos hechos "/>
  </r>
  <r>
    <s v="Revisión de _x000a_documentos "/>
    <x v="0"/>
    <s v="LC"/>
    <n v="1"/>
    <n v="30"/>
    <d v="2025-09-17T00:00:00"/>
    <d v="1899-12-30T09:00:00"/>
    <d v="2025-09-16T00:00:00"/>
    <d v="1899-12-30T22:30:00"/>
    <n v="-2"/>
    <n v="1"/>
    <n v="32"/>
    <s v="Se revisan los tres documentos realizados en grupo para consolidar los resultados y corregir errores "/>
  </r>
  <r>
    <s v="Revisión de _x000a_documentos "/>
    <x v="4"/>
    <s v="LS"/>
    <n v="1"/>
    <n v="30"/>
    <d v="2025-09-17T00:00:00"/>
    <d v="1899-12-30T09:00:00"/>
    <d v="2025-09-16T00:00:00"/>
    <d v="1899-12-30T22:30:00"/>
    <n v="-2"/>
    <n v="1"/>
    <n v="32"/>
    <s v="Se revisan los tres documentos realizados en grupo para consolidar los resultados y corregir errores "/>
  </r>
  <r>
    <s v="Revisión de _x000a_documentos "/>
    <x v="1"/>
    <s v="LP"/>
    <n v="1"/>
    <n v="30"/>
    <d v="2025-09-17T00:00:00"/>
    <d v="1899-12-30T09:00:00"/>
    <d v="2025-09-16T00:00:00"/>
    <d v="1899-12-30T22:30:00"/>
    <n v="-2"/>
    <n v="1"/>
    <n v="32"/>
    <s v="Se revisan los tres documentos realizados en grupo para consolidar los resultados y corregir errores "/>
  </r>
  <r>
    <s v="Revisión de _x000a_documentos "/>
    <x v="2"/>
    <s v="LE"/>
    <n v="1"/>
    <n v="30"/>
    <d v="2025-09-17T00:00:00"/>
    <d v="1899-12-30T09:00:00"/>
    <d v="2025-09-16T00:00:00"/>
    <d v="1899-12-30T22:30:00"/>
    <n v="-2"/>
    <n v="1"/>
    <n v="32"/>
    <s v="Se revisan los tres documentos realizados en grupo para consolidar los resultados y corregir errores "/>
  </r>
  <r>
    <s v="Revisión de _x000a_documentos "/>
    <x v="3"/>
    <s v="LA"/>
    <n v="1"/>
    <n v="30"/>
    <d v="2025-09-17T00:00:00"/>
    <d v="1899-12-30T09:00:00"/>
    <d v="2025-09-16T00:00:00"/>
    <d v="1899-12-30T22:30:00"/>
    <n v="-2"/>
    <n v="1"/>
    <n v="32"/>
    <s v="Se revisan los tres documentos realizados en grupo para consolidar los resultados y corregir errores "/>
  </r>
  <r>
    <s v="Revisión de _x000a_documentos "/>
    <x v="5"/>
    <s v="LD"/>
    <n v="1"/>
    <n v="30"/>
    <d v="2025-09-17T00:00:00"/>
    <d v="1899-12-30T09:00:00"/>
    <d v="2025-09-16T00:00:00"/>
    <d v="1899-12-30T22:30:00"/>
    <n v="-2"/>
    <n v="1"/>
    <n v="32"/>
    <s v="Se revisan los tres documentos realizados en grupo para consolidar los resultados y corregir errores "/>
  </r>
  <r>
    <s v="Subir los documentos a la página web"/>
    <x v="2"/>
    <s v="LE"/>
    <n v="3"/>
    <n v="20"/>
    <d v="2025-09-17T00:00:00"/>
    <d v="1899-12-30T09:00:00"/>
    <d v="2025-09-17T00:00:00"/>
    <d v="1899-12-30T09:00:00"/>
    <n v="5"/>
    <n v="3"/>
    <n v="15"/>
    <s v="Todos los documentos subidos _x000a_y actualizados en la pagina 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s v="Script de definición de procesos(DISEÑO)"/>
    <x v="0"/>
    <s v="LC"/>
    <n v="1"/>
    <n v="30"/>
    <d v="2025-10-01T00:00:00"/>
    <d v="1899-12-30T09:00:00"/>
    <d v="2025-09-22T00:00:00"/>
    <d v="1899-12-30T19:00:00"/>
    <n v="0"/>
    <n v="1"/>
    <n v="30"/>
    <s v="Diligenciar el formato correspondiente al script de definición de procesos"/>
  </r>
  <r>
    <s v="Script de definición de procesos(IMPLEMENTACIÓN)"/>
    <x v="1"/>
    <s v="LP"/>
    <n v="1"/>
    <n v="30"/>
    <d v="2025-10-01T00:00:00"/>
    <d v="1899-12-30T09:00:00"/>
    <d v="2025-09-22T00:00:00"/>
    <d v="1899-12-30T19:00:00"/>
    <n v="0"/>
    <n v="1"/>
    <n v="30"/>
    <s v="Se realizo el llenado del control de asignaciones para asi terminar con éxito la fase 3  de Requerimientos y para que los demas lideres llenen sus bitácoras"/>
  </r>
  <r>
    <s v="Configurar base del proyecto"/>
    <x v="2"/>
    <s v="LE"/>
    <n v="1"/>
    <n v="30"/>
    <d v="2025-10-01T00:00:00"/>
    <d v="1899-12-30T09:00:00"/>
    <d v="2025-09-23T00:00:00"/>
    <d v="1899-12-30T08:00:00"/>
    <n v="0"/>
    <n v="1"/>
    <n v="30"/>
    <s v="Inicializar app React, routing protegido,_x000a_manejo de estado, cliente HTTP,_x000a_variables de entorno."/>
  </r>
  <r>
    <s v="Módulo: Login"/>
    <x v="3"/>
    <s v="LS"/>
    <n v="2"/>
    <n v="60"/>
    <d v="2025-10-01T00:00:00"/>
    <d v="1899-12-30T09:00:00"/>
    <d v="2025-09-23T00:00:00"/>
    <d v="1899-12-30T16:05:00"/>
    <n v="-5"/>
    <n v="2"/>
    <n v="65"/>
    <s v="Formulario con validaciones; consumo_x000a_de endpoint de login; manejo de_x000a_sesión/token; feedback de errores."/>
  </r>
  <r>
    <s v="Módulo: Registro"/>
    <x v="3"/>
    <s v="LS"/>
    <n v="2"/>
    <n v="60"/>
    <d v="2025-10-01T00:00:00"/>
    <d v="1899-12-30T09:00:00"/>
    <d v="2025-09-23T00:00:00"/>
    <d v="1899-12-30T17:00:00"/>
    <n v="5"/>
    <n v="2"/>
    <n v="55"/>
    <s v="Formulario de registro con validaciones;_x000a_consumo de endpoint de register;_x000a_confirmación visual."/>
  </r>
  <r>
    <s v="Módulo: Olvidé contraseña (UI)"/>
    <x v="3"/>
    <s v="LS"/>
    <n v="2"/>
    <n v="60"/>
    <d v="2025-10-01T00:00:00"/>
    <d v="1899-12-30T09:00:00"/>
    <d v="2025-09-23T00:00:00"/>
    <d v="1899-12-30T18:00:00"/>
    <n v="10"/>
    <n v="2"/>
    <n v="50"/>
    <s v="Pantallas y flujo UI (solicitud y_x000a_confirmación). Nota: backend del reset_x000a_completo se programará en fase_x000a_siguiente."/>
  </r>
  <r>
    <s v="Dashboard_x000a_inicial"/>
    <x v="4"/>
    <s v="LA"/>
    <n v="2"/>
    <n v="60"/>
    <d v="2025-10-01T00:00:00"/>
    <d v="1899-12-30T09:00:00"/>
    <d v="2025-09-24T00:00:00"/>
    <d v="1899-12-30T18:00:00"/>
    <n v="0"/>
    <n v="1"/>
    <n v="60"/>
    <s v="Vista con tarjetas/resumen; placeholders_x000a_para KPIs y reportes; enlaces a_x000a_Proyectos/Tareas"/>
  </r>
  <r>
    <s v="Módulo:_x000a_Proyectos (UI)"/>
    <x v="2"/>
    <s v="LE"/>
    <n v="2"/>
    <n v="60"/>
    <d v="2025-10-01T00:00:00"/>
    <d v="1899-12-30T09:00:00"/>
    <d v="2025-09-23T00:00:00"/>
    <d v="1899-12-30T09:00:00"/>
    <n v="0"/>
    <n v="2"/>
    <n v="60"/>
    <s v="Listado, creación/edición, detalle y_x000a_eliminación; formularios con_x000a_validaciones."/>
  </r>
  <r>
    <s v="Módulo:_x000a_Tareas (UI)"/>
    <x v="2"/>
    <s v="LE"/>
    <n v="1"/>
    <n v="60"/>
    <d v="2025-10-01T00:00:00"/>
    <d v="1899-12-30T09:00:00"/>
    <d v="2025-09-23T00:00:00"/>
    <d v="1899-12-30T10:00:00"/>
    <n v="5"/>
    <n v="2"/>
    <n v="55"/>
    <s v="Listado filtrable, creación, asignación a_x000a_usuario, registro de tiempo, marcar_x000a_completada."/>
  </r>
  <r>
    <s v="Configuración_x000a_de usuario"/>
    <x v="1"/>
    <s v="LP"/>
    <n v="1"/>
    <n v="60"/>
    <d v="2025-10-01T00:00:00"/>
    <d v="1899-12-30T09:00:00"/>
    <d v="2025-09-25T00:00:00"/>
    <d v="1899-12-30T12:00:00"/>
    <n v="0"/>
    <n v="2"/>
    <n v="60"/>
    <s v="Pantalla para ver/editar datos básicos del_x000a_usuario logueado."/>
  </r>
  <r>
    <s v="Reportes_x000a_(vista inicial)"/>
    <x v="0"/>
    <s v="LC"/>
    <n v="1"/>
    <n v="60"/>
    <d v="2025-10-01T00:00:00"/>
    <d v="1899-12-30T09:00:00"/>
    <d v="2025-09-23T00:00:00"/>
    <d v="1899-12-30T21:00:00"/>
    <n v="0"/>
    <n v="1"/>
    <n v="60"/>
    <s v="Vista base con tablas/gráficas_x000a_placeholder conectadas a datos_x000a_disponibles."/>
  </r>
  <r>
    <s v="Modulo KPI"/>
    <x v="5"/>
    <s v="LD"/>
    <n v="2"/>
    <n v="60"/>
    <d v="2025-10-01T00:00:00"/>
    <d v="1899-12-30T09:00:00"/>
    <d v="2025-09-24T00:00:00"/>
    <d v="1899-12-30T12:00:00"/>
    <n v="0"/>
    <n v="2"/>
    <n v="60"/>
    <s v="Vista a base de las KPIs relacionada al_x000a_proyecto y a los usuarios"/>
  </r>
  <r>
    <s v="Configurar_x000a_proyecto y_x000a_conexión a BD"/>
    <x v="2"/>
    <s v="LE"/>
    <n v="2"/>
    <n v="60"/>
    <d v="2025-10-01T00:00:00"/>
    <d v="1899-12-30T09:00:00"/>
    <d v="2025-09-23T00:00:00"/>
    <d v="1899-12-30T11:00:00"/>
    <n v="0"/>
    <n v="2"/>
    <n v="60"/>
    <s v="Proyecto Django; settings por entorno;_x000a_conexión a Azure SQL Server;_x000a_migraciones iniciales."/>
  </r>
  <r>
    <s v="Configurar_x000a_proyecto y_x000a_conexión a BD"/>
    <x v="5"/>
    <s v="LD"/>
    <n v="2"/>
    <n v="60"/>
    <d v="2025-10-01T00:00:00"/>
    <d v="1899-12-30T09:00:00"/>
    <d v="2025-09-24T00:00:00"/>
    <d v="1899-12-30T13:00:00"/>
    <n v="0"/>
    <n v="2"/>
    <n v="60"/>
    <s v="Proyecto Django; settings por entorno;_x000a_conexión a Azure SQL Server;_x000a_migraciones iniciales."/>
  </r>
  <r>
    <s v="Autenticación:_x000a_Login/Register"/>
    <x v="2"/>
    <s v="LE"/>
    <n v="2"/>
    <n v="60"/>
    <d v="2025-10-01T00:00:00"/>
    <d v="1899-12-30T09:00:00"/>
    <d v="2025-09-23T00:00:00"/>
    <d v="1899-12-30T12:00:00"/>
    <n v="0"/>
    <n v="2"/>
    <n v="60"/>
    <s v="Endpoints para autenticación y creación_x000a_de usuario; emisión/validación de_x000a_sesión/token"/>
  </r>
  <r>
    <s v="Autenticación:_x000a_Login/Register"/>
    <x v="5"/>
    <s v="LD"/>
    <n v="2"/>
    <n v="60"/>
    <d v="2025-10-01T00:00:00"/>
    <d v="1899-12-30T09:00:00"/>
    <d v="2025-09-24T00:00:00"/>
    <d v="1899-12-30T14:00:00"/>
    <n v="0"/>
    <n v="2"/>
    <n v="60"/>
    <s v="Endpoints para autenticación y creación_x000a_de usuario; emisión/validación de_x000a_sesión/token"/>
  </r>
  <r>
    <s v="API Proyectos_x000a_(CRUD)"/>
    <x v="2"/>
    <s v="LE"/>
    <n v="2"/>
    <n v="60"/>
    <d v="2025-10-01T00:00:00"/>
    <d v="1899-12-30T09:00:00"/>
    <d v="2025-09-29T00:00:00"/>
    <d v="1899-12-30T13:00:00"/>
    <n v="0"/>
    <n v="2"/>
    <n v="60"/>
    <s v="Endpoints: listar, crear, obtener,_x000a_actualizar, eliminar; permisos por_x000a_usuario; validaciones."/>
  </r>
  <r>
    <s v="API Proyectos_x000a_(CRUD)"/>
    <x v="5"/>
    <s v="LD"/>
    <n v="2"/>
    <n v="60"/>
    <d v="2025-10-01T00:00:00"/>
    <d v="1899-12-30T09:00:00"/>
    <d v="2025-09-29T00:00:00"/>
    <d v="1899-12-30T15:00:00"/>
    <n v="0"/>
    <n v="2"/>
    <n v="60"/>
    <s v="Endpoints: listar, crear, obtener,_x000a_actualizar, eliminar; permisos por_x000a_usuario; validaciones."/>
  </r>
  <r>
    <s v="API Tareas_x000a_(CRUD + flujo)"/>
    <x v="2"/>
    <s v="LE"/>
    <n v="2"/>
    <n v="60"/>
    <d v="2025-10-01T00:00:00"/>
    <d v="1899-12-30T09:00:00"/>
    <d v="2025-09-29T00:00:00"/>
    <d v="1899-12-30T14:00:00"/>
    <n v="0"/>
    <n v="2"/>
    <n v="60"/>
    <s v="Endpoints: listar/filtrar, crear, asignar_x000a_usuario, registrar tiempo, marcar_x000a_completada."/>
  </r>
  <r>
    <s v="API Tareas_x000a_(CRUD + flujo)"/>
    <x v="5"/>
    <s v="LD"/>
    <n v="2"/>
    <n v="60"/>
    <d v="2025-10-01T00:00:00"/>
    <d v="1899-12-30T09:00:00"/>
    <d v="2025-09-29T00:00:00"/>
    <d v="1899-12-30T16:00:00"/>
    <n v="0"/>
    <n v="2"/>
    <n v="60"/>
    <s v="Endpoints: listar/filtrar, crear, asignar_x000a_usuario, registrar tiempo, marcar_x000a_completada."/>
  </r>
  <r>
    <s v="Serializadores_x000a_y validaciones"/>
    <x v="2"/>
    <s v="LE"/>
    <n v="1"/>
    <n v="30"/>
    <d v="2025-10-01T00:00:00"/>
    <d v="1899-12-30T09:00:00"/>
    <d v="2025-09-29T00:00:00"/>
    <d v="1899-12-30T14:30:00"/>
    <n v="-4"/>
    <n v="1"/>
    <n v="34"/>
    <s v="Validación de payloads; mensajes de_x000a_error consistentes; manejo de estados."/>
  </r>
  <r>
    <s v="Serializadores_x000a_y validaciones"/>
    <x v="5"/>
    <s v="LD"/>
    <n v="1"/>
    <n v="30"/>
    <d v="2025-10-01T00:00:00"/>
    <d v="1899-12-30T09:00:00"/>
    <d v="2025-09-29T00:00:00"/>
    <d v="1899-12-30T16:30:00"/>
    <n v="-4"/>
    <n v="1"/>
    <n v="34"/>
    <s v="Validación de payloads; mensajes de_x000a_error consistentes; manejo de estados."/>
  </r>
  <r>
    <s v="Pruebas unitarias negocio"/>
    <x v="0"/>
    <s v="LC"/>
    <n v="1"/>
    <n v="60"/>
    <d v="2025-10-01T00:00:00"/>
    <d v="1899-12-30T09:00:00"/>
    <d v="2025-09-29T00:00:00"/>
    <d v="1899-12-30T19:00:00"/>
    <n v="5"/>
    <n v="1"/>
    <n v="55"/>
    <s v="Tests para servicios/validaciones de_x000a_auth, proyectos y tareas."/>
  </r>
  <r>
    <s v="Pruebas unitarias negocio"/>
    <x v="3"/>
    <s v="LS"/>
    <n v="1"/>
    <n v="60"/>
    <d v="2025-10-01T00:00:00"/>
    <d v="1899-12-30T09:00:00"/>
    <d v="2025-09-29T00:00:00"/>
    <d v="1899-12-30T19:00:00"/>
    <n v="5"/>
    <n v="1"/>
    <n v="55"/>
    <s v="Tests para servicios/validaciones de_x000a_auth, proyectos y tareas."/>
  </r>
  <r>
    <s v="Pruebas unitarias negocio"/>
    <x v="4"/>
    <s v="LA"/>
    <n v="1"/>
    <n v="60"/>
    <d v="2025-10-01T00:00:00"/>
    <d v="1899-12-30T09:00:00"/>
    <d v="2025-09-29T00:00:00"/>
    <d v="1899-12-30T19:00:00"/>
    <n v="5"/>
    <n v="1"/>
    <n v="55"/>
    <s v="Tests para servicios/validaciones de_x000a_auth, proyectos y tareas."/>
  </r>
  <r>
    <s v="Documentación API"/>
    <x v="2"/>
    <s v="LE"/>
    <n v="1"/>
    <n v="30"/>
    <d v="2025-10-01T00:00:00"/>
    <d v="1899-12-30T09:00:00"/>
    <d v="2025-09-30T00:00:00"/>
    <d v="1899-12-30T14:00:00"/>
    <n v="5"/>
    <n v="2"/>
    <n v="25"/>
    <s v="Auto-doc (Swagger/Redoc) o colección_x000a_Postman exportada."/>
  </r>
  <r>
    <s v="Documentación API"/>
    <x v="5"/>
    <s v="LD"/>
    <n v="1"/>
    <n v="30"/>
    <d v="2025-10-01T00:00:00"/>
    <d v="1899-12-30T09:00:00"/>
    <d v="2025-09-30T00:00:00"/>
    <d v="1899-12-30T14:00:00"/>
    <n v="5"/>
    <n v="2"/>
    <n v="25"/>
    <s v="Auto-doc (Swagger/Redoc) o colección_x000a_Postman exportada."/>
  </r>
  <r>
    <s v="Estandarización"/>
    <x v="2"/>
    <s v="LE"/>
    <n v="1"/>
    <n v="30"/>
    <d v="2025-10-01T00:00:00"/>
    <d v="1899-12-30T09:00:00"/>
    <d v="2025-09-30T00:00:00"/>
    <d v="1899-12-30T14:30:00"/>
    <n v="0"/>
    <n v="2"/>
    <n v="30"/>
    <s v="Aplicar PEP8, ESLint/Prettier,_x000a_convenciones de ramas (feat/fix/chore),_x000a_mensajes tipo"/>
  </r>
  <r>
    <s v="Estandarización"/>
    <x v="5"/>
    <s v="LD"/>
    <n v="1"/>
    <n v="30"/>
    <d v="2025-10-01T00:00:00"/>
    <d v="1899-12-30T09:00:00"/>
    <d v="2025-09-30T00:00:00"/>
    <d v="1899-12-30T14:30:00"/>
    <n v="0"/>
    <n v="2"/>
    <n v="30"/>
    <s v="Aplicar PEP8, ESLint/Prettier,_x000a_convenciones de ramas (feat/fix/chore),_x000a_mensajes tipo"/>
  </r>
  <r>
    <s v="Revisiones e_x000a_inspecciones"/>
    <x v="2"/>
    <s v="LE"/>
    <n v="1"/>
    <n v="30"/>
    <d v="2025-10-01T00:00:00"/>
    <d v="1899-12-30T09:00:00"/>
    <d v="2025-09-30T00:00:00"/>
    <d v="1899-12-30T15:00:00"/>
    <n v="0"/>
    <n v="2"/>
    <n v="30"/>
    <s v="Pull requests con checklist (seguridad,_x000a_validación, pruebas)"/>
  </r>
  <r>
    <s v="Revisiones e_x000a_inspecciones"/>
    <x v="5"/>
    <s v="LD"/>
    <n v="1"/>
    <n v="30"/>
    <d v="2025-10-01T00:00:00"/>
    <d v="1899-12-30T09:00:00"/>
    <d v="2025-09-30T00:00:00"/>
    <d v="1899-12-30T15:00:00"/>
    <n v="0"/>
    <n v="2"/>
    <n v="30"/>
    <s v="Pull requests con checklist (seguridad,_x000a_validación, pruebas)"/>
  </r>
  <r>
    <s v="Evidencias"/>
    <x v="2"/>
    <s v="LE"/>
    <n v="1"/>
    <n v="30"/>
    <d v="2025-10-01T00:00:00"/>
    <d v="1899-12-30T09:00:00"/>
    <d v="2025-09-30T00:00:00"/>
    <d v="1899-12-30T15:30:00"/>
    <n v="5"/>
    <n v="2"/>
    <n v="25"/>
    <s v="Capturas/gifs de flujos, colección_x000a_Postman, scripts de BD, instructivo de_x000a_arranque local."/>
  </r>
  <r>
    <s v="Evidencias"/>
    <x v="5"/>
    <s v="LD"/>
    <n v="1"/>
    <n v="30"/>
    <d v="2025-10-01T00:00:00"/>
    <d v="1899-12-30T09:00:00"/>
    <d v="2025-09-30T00:00:00"/>
    <d v="1899-12-30T15:30:00"/>
    <n v="5"/>
    <n v="2"/>
    <n v="25"/>
    <s v="Capturas/gifs de flujos, colección_x000a_Postman, scripts de BD, instructivo de_x000a_arranque local."/>
  </r>
  <r>
    <s v="Control de _x000a_cambios "/>
    <x v="0"/>
    <s v="LC"/>
    <n v="1"/>
    <n v="20"/>
    <d v="2025-10-01T00:00:00"/>
    <d v="1899-12-30T09:00:00"/>
    <d v="2025-09-30T00:00:00"/>
    <d v="1899-12-30T19:20:00"/>
    <n v="0"/>
    <n v="1"/>
    <n v="20"/>
    <s v="Gestionar solicitudes de cambios, su evaluación, aprobación/rechazo e implantación. "/>
  </r>
  <r>
    <s v="Control de _x000a_cambios "/>
    <x v="6"/>
    <s v="LS"/>
    <n v="1"/>
    <n v="20"/>
    <d v="2025-10-01T00:00:00"/>
    <d v="1899-12-30T09:00:00"/>
    <d v="2025-09-30T00:00:00"/>
    <d v="1899-12-30T19:20:00"/>
    <n v="0"/>
    <n v="1"/>
    <n v="20"/>
    <s v="Gestionar solicitudes de cambios, su evaluación, aprobación/rechazo e implantación. "/>
  </r>
  <r>
    <s v="Registrar y gestionar riesgos"/>
    <x v="0"/>
    <s v="LC"/>
    <n v="1"/>
    <n v="30"/>
    <d v="2025-10-01T00:00:00"/>
    <d v="1899-12-30T09:00:00"/>
    <d v="2025-09-30T00:00:00"/>
    <d v="1899-12-30T20:00:00"/>
    <n v="6"/>
    <n v="1"/>
    <n v="24"/>
    <s v="Identificar, clasificar y dar seguimiento a_x000a_riesgos del proyecto."/>
  </r>
  <r>
    <s v="Log de defectos(apertura,seguimiento y cierre)"/>
    <x v="5"/>
    <s v="LD"/>
    <n v="1"/>
    <n v="30"/>
    <d v="2025-10-01T00:00:00"/>
    <d v="1899-12-30T09:00:00"/>
    <d v="2025-09-30T00:00:00"/>
    <d v="1899-12-30T20:00:00"/>
    <n v="0"/>
    <n v="1"/>
    <n v="30"/>
    <s v="Registrar incidencias y defectos, dar_x000a_seguimiento y cerrar tras validación."/>
  </r>
  <r>
    <s v="Bitácoras y actas"/>
    <x v="5"/>
    <s v="LD"/>
    <n v="5"/>
    <n v="50"/>
    <d v="2025-10-01T00:00:00"/>
    <d v="1899-12-30T09:00:00"/>
    <d v="2025-09-30T00:00:00"/>
    <d v="1899-12-30T20:50:00"/>
    <n v="5"/>
    <n v="5"/>
    <n v="45"/>
    <s v="Documentar bitácoras de tiempo y actas de_x000a_reuniones, manteniendo control de_x000a_versiones."/>
  </r>
  <r>
    <s v="Elaboración de las bitácoras"/>
    <x v="1"/>
    <s v=" LP"/>
    <n v="1"/>
    <n v="60"/>
    <d v="2025-10-01T00:00:00"/>
    <d v="1899-12-30T09:00:00"/>
    <d v="2025-09-30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3"/>
    <s v="           LS"/>
    <n v="1"/>
    <n v="60"/>
    <d v="2025-10-01T00:00:00"/>
    <d v="1899-12-30T09:00:00"/>
    <d v="2025-09-30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2"/>
    <s v="           LE"/>
    <n v="1"/>
    <n v="60"/>
    <d v="2025-10-01T00:00:00"/>
    <d v="1899-12-30T09:00:00"/>
    <d v="2025-09-30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4"/>
    <s v="           LA"/>
    <n v="1"/>
    <n v="60"/>
    <d v="2025-10-01T00:00:00"/>
    <d v="1899-12-30T09:00:00"/>
    <d v="2025-09-30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0"/>
    <s v="           LC"/>
    <n v="1"/>
    <n v="60"/>
    <d v="2025-10-01T00:00:00"/>
    <d v="1899-12-30T09:00:00"/>
    <d v="2025-09-30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5"/>
    <s v="           LD"/>
    <n v="1"/>
    <n v="60"/>
    <d v="2025-10-01T00:00:00"/>
    <d v="1899-12-30T09:00:00"/>
    <d v="2025-09-30T00:00:00"/>
    <d v="1899-12-30T22:00:00"/>
    <n v="50"/>
    <n v="1"/>
    <n v="10"/>
    <s v="Con las bitácoras llenamos cada espacio con las actividaes correspondientes según el control de asignaciones"/>
  </r>
  <r>
    <s v="Evaluación de log de defectos"/>
    <x v="2"/>
    <s v="LE"/>
    <n v="1"/>
    <n v="30"/>
    <d v="2025-10-01T00:00:00"/>
    <d v="1899-12-30T09:00:00"/>
    <d v="2025-09-30T00:00:00"/>
    <d v="1899-12-30T22:00:00"/>
    <n v="0"/>
    <n v="1"/>
    <n v="30"/>
    <s v="No comentarios"/>
  </r>
  <r>
    <s v="Llenado de log de defectos"/>
    <x v="0"/>
    <s v="LC"/>
    <n v="1"/>
    <n v="30"/>
    <d v="2025-10-01T00:00:00"/>
    <d v="1899-12-30T09:00:00"/>
    <d v="2025-09-30T00:00:00"/>
    <d v="1899-12-30T22:00:00"/>
    <n v="0"/>
    <n v="1"/>
    <n v="30"/>
    <s v="No comentarios"/>
  </r>
  <r>
    <s v="Acta de reunión"/>
    <x v="0"/>
    <s v="LC"/>
    <n v="1"/>
    <n v="45"/>
    <d v="2025-10-01T00:00:00"/>
    <d v="1899-12-30T09:00:00"/>
    <d v="2025-09-30T00:00:00"/>
    <d v="1899-12-30T22:30:00"/>
    <n v="-35"/>
    <n v="1"/>
    <n v="80"/>
    <s v="Ordenar en grupo todos los documentos asignados para la primera entrega"/>
  </r>
  <r>
    <s v="Elaboración de diapositivas(Informe final)"/>
    <x v="2"/>
    <s v="LE"/>
    <n v="1"/>
    <n v="60"/>
    <d v="2025-10-01T00:00:00"/>
    <d v="1899-12-30T09:00:00"/>
    <d v="2025-09-30T00:00:00"/>
    <d v="1899-12-30T22:30:00"/>
    <n v="10"/>
    <n v="1"/>
    <n v="50"/>
    <s v="Diapositivas con los documentos hechos "/>
  </r>
  <r>
    <s v="Maestro de documentos"/>
    <x v="2"/>
    <s v="LE"/>
    <n v="1"/>
    <n v="55"/>
    <d v="2025-10-01T00:00:00"/>
    <d v="1899-12-30T09:00:00"/>
    <d v="2025-09-30T00:00:00"/>
    <d v="1899-12-30T22:30:00"/>
    <n v="0"/>
    <n v="1"/>
    <n v="55"/>
    <s v="Realización de un excel con los documentos hechos "/>
  </r>
  <r>
    <s v="Revisión de _x000a_documentos "/>
    <x v="0"/>
    <s v="LC"/>
    <n v="1"/>
    <n v="30"/>
    <d v="2025-10-01T00:00:00"/>
    <d v="1899-12-30T09:00:00"/>
    <d v="2025-09-30T00:00:00"/>
    <d v="1899-12-30T22:30:00"/>
    <n v="-2"/>
    <n v="1"/>
    <n v="32"/>
    <s v="Se revisan los tres documentos realizados en grupo para consolidar los resultados y corregir errores "/>
  </r>
  <r>
    <s v="Revisión de _x000a_documentos "/>
    <x v="3"/>
    <s v="LS"/>
    <n v="1"/>
    <n v="30"/>
    <d v="2025-10-01T00:00:00"/>
    <d v="1899-12-30T09:00:00"/>
    <d v="2025-09-30T00:00:00"/>
    <d v="1899-12-30T22:30:00"/>
    <n v="-2"/>
    <n v="1"/>
    <n v="32"/>
    <s v="Se revisan los tres documentos realizados en grupo para consolidar los resultados y corregir errores "/>
  </r>
  <r>
    <s v="Revisión de _x000a_documentos "/>
    <x v="1"/>
    <s v="LP"/>
    <n v="1"/>
    <n v="30"/>
    <d v="2025-10-01T00:00:00"/>
    <d v="1899-12-30T09:00:00"/>
    <d v="2025-09-30T00:00:00"/>
    <d v="1899-12-30T22:30:00"/>
    <n v="-2"/>
    <n v="1"/>
    <n v="32"/>
    <s v="Se revisan los tres documentos realizados en grupo para consolidar los resultados y corregir errores "/>
  </r>
  <r>
    <s v="Revisión de _x000a_documentos "/>
    <x v="2"/>
    <s v="LE"/>
    <n v="1"/>
    <n v="30"/>
    <d v="2025-10-01T00:00:00"/>
    <d v="1899-12-30T09:00:00"/>
    <d v="2025-09-30T00:00:00"/>
    <d v="1899-12-30T22:30:00"/>
    <n v="-2"/>
    <n v="1"/>
    <n v="32"/>
    <s v="Se revisan los tres documentos realizados en grupo para consolidar los resultados y corregir errores "/>
  </r>
  <r>
    <s v="Revisión de _x000a_documentos "/>
    <x v="4"/>
    <s v="LA"/>
    <n v="1"/>
    <n v="30"/>
    <d v="2025-10-01T00:00:00"/>
    <d v="1899-12-30T09:00:00"/>
    <d v="2025-09-30T00:00:00"/>
    <d v="1899-12-30T22:30:00"/>
    <n v="-2"/>
    <n v="1"/>
    <n v="32"/>
    <s v="Se revisan los tres documentos realizados en grupo para consolidar los resultados y corregir errores "/>
  </r>
  <r>
    <s v="Revisión de _x000a_documentos "/>
    <x v="5"/>
    <s v="LD"/>
    <n v="1"/>
    <n v="30"/>
    <d v="2025-10-01T00:00:00"/>
    <d v="1899-12-30T09:00:00"/>
    <d v="2025-09-30T00:00:00"/>
    <d v="1899-12-30T22:30:00"/>
    <n v="-2"/>
    <n v="1"/>
    <n v="32"/>
    <s v="Se revisan los tres documentos realizados en grupo para consolidar los resultados y corregir errores "/>
  </r>
  <r>
    <s v="Subir los documentos a la página web"/>
    <x v="2"/>
    <s v="LE"/>
    <n v="3"/>
    <n v="20"/>
    <d v="2025-10-01T00:00:00"/>
    <d v="1899-12-30T09:00:00"/>
    <d v="2025-10-01T00:00:00"/>
    <d v="1899-12-30T09:00:00"/>
    <n v="5"/>
    <n v="3"/>
    <n v="15"/>
    <s v="Todos los documentos subidos _x000a_y actualizados en la pagina 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s v="Script de definición de procesos(PRUEBAS)"/>
    <x v="0"/>
    <s v="LC"/>
    <n v="1"/>
    <n v="30"/>
    <d v="2025-10-08T00:00:00"/>
    <d v="1899-12-30T09:00:00"/>
    <d v="2025-10-04T00:00:00"/>
    <d v="1899-12-30T19:00:00"/>
    <n v="0"/>
    <n v="1"/>
    <n v="30"/>
    <s v="Diligenciar el formato correspondiente al script de definición de procesos"/>
  </r>
  <r>
    <s v="Script de definición de procesos(PRUEBAS)"/>
    <x v="1"/>
    <s v="LP"/>
    <n v="1"/>
    <n v="30"/>
    <d v="2025-10-08T00:00:00"/>
    <d v="1899-12-30T09:00:00"/>
    <d v="2025-10-04T00:00:00"/>
    <d v="1899-12-30T19:00:00"/>
    <n v="0"/>
    <n v="1"/>
    <n v="30"/>
    <s v="Se realizo el llenado del control de asignaciones para asi terminar con éxito la fase 8 de PRUEBAS y para que los demas lideres llenen sus bitácoras"/>
  </r>
  <r>
    <s v="Introducción "/>
    <x v="2"/>
    <s v="LS"/>
    <n v="1"/>
    <n v="30"/>
    <d v="2025-10-08T00:00:00"/>
    <d v="1899-12-30T09:00:00"/>
    <d v="2025-10-06T00:00:00"/>
    <d v="1899-12-30T13:00:00"/>
    <n v="0"/>
    <n v="1"/>
    <n v="30"/>
    <s v="Configurar FE/BE/BD, migraciones,_x000a_datos semilla y conectividad."/>
  </r>
  <r>
    <s v="Objetivo"/>
    <x v="2"/>
    <s v="LS"/>
    <n v="1"/>
    <n v="30"/>
    <d v="2025-10-08T00:00:00"/>
    <d v="1899-12-30T09:00:00"/>
    <d v="2025-10-06T00:00:00"/>
    <d v="1899-12-30T13:30:00"/>
    <n v="2"/>
    <n v="1"/>
    <n v="28"/>
    <s v="Redactar fichas PI-01…PI-18 (ID,_x000a_pasos, datos, esperado)."/>
  </r>
  <r>
    <s v="Alcance "/>
    <x v="2"/>
    <s v="LS"/>
    <n v="1"/>
    <n v="30"/>
    <d v="2025-10-08T00:00:00"/>
    <d v="1899-12-30T09:00:00"/>
    <d v="2025-10-06T00:00:00"/>
    <d v="1899-12-30T14:00:00"/>
    <n v="0"/>
    <n v="1"/>
    <n v="30"/>
    <s v="Definir orden, ventanas, RACI y_x000a_criterios de severidad/prioridad."/>
  </r>
  <r>
    <s v="Definiciones_x000a_y_x000a_Abreviaturas"/>
    <x v="2"/>
    <s v="LS"/>
    <n v="1"/>
    <n v="30"/>
    <d v="2025-10-08T00:00:00"/>
    <d v="1899-12-30T09:00:00"/>
    <d v="2025-10-06T00:00:00"/>
    <d v="1899-12-30T14:30:00"/>
    <n v="7"/>
    <n v="2"/>
    <n v="23"/>
    <s v="Registrar y dar seguimiento en Log_x000a_(ID, severidad, estado)."/>
  </r>
  <r>
    <s v="Plan de_x000a_pruebas"/>
    <x v="2"/>
    <s v="LS"/>
    <n v="1"/>
    <n v="30"/>
    <d v="2025-10-08T00:00:00"/>
    <d v="1899-12-30T09:00:00"/>
    <d v="2025-10-07T00:00:00"/>
    <d v="1899-12-30T10:00:00"/>
    <n v="-2"/>
    <n v="2"/>
    <n v="32"/>
    <s v="Reprobar PIs afectados tras_x000a_correcciones"/>
  </r>
  <r>
    <s v="Plan de_x000a_pruebas"/>
    <x v="1"/>
    <s v="LP"/>
    <n v="1"/>
    <n v="30"/>
    <d v="2025-10-08T00:00:00"/>
    <d v="1899-12-30T09:00:00"/>
    <d v="2025-10-07T00:00:00"/>
    <d v="1899-12-30T10:00:00"/>
    <n v="0"/>
    <n v="2"/>
    <n v="30"/>
    <s v="Reprobar PIs afectados tras correcciones"/>
  </r>
  <r>
    <s v="Plan de pruebas"/>
    <x v="3"/>
    <s v="LE"/>
    <n v="1"/>
    <n v="30"/>
    <d v="2025-10-08T00:00:00"/>
    <d v="1899-12-30T09:00:00"/>
    <d v="2025-10-06T00:00:00"/>
    <d v="1899-12-30T12:00:00"/>
    <n v="6"/>
    <n v="2"/>
    <n v="24"/>
    <s v="Reprobar PIs afectados tras correcciones"/>
  </r>
  <r>
    <s v="Plan de pruebas"/>
    <x v="4"/>
    <s v="LD"/>
    <n v="1"/>
    <n v="30"/>
    <d v="2025-10-08T00:00:00"/>
    <d v="1899-12-30T09:00:00"/>
    <d v="2025-10-07T00:00:00"/>
    <d v="1899-12-30T10:00:00"/>
    <n v="5"/>
    <n v="2"/>
    <n v="25"/>
    <s v="Reprobar PIs afectados tras correcciones"/>
  </r>
  <r>
    <s v="Plan de pruebas"/>
    <x v="0"/>
    <s v="LC"/>
    <n v="2"/>
    <n v="30"/>
    <d v="2025-10-08T00:00:00"/>
    <d v="1899-12-30T09:00:00"/>
    <d v="2025-10-07T00:00:00"/>
    <d v="1899-12-30T10:00:00"/>
    <n v="5"/>
    <n v="2"/>
    <n v="25"/>
    <s v="Reprobar PIs afectados tras correcciones"/>
  </r>
  <r>
    <s v="Plan de pruebas"/>
    <x v="5"/>
    <s v="LA"/>
    <n v="1"/>
    <n v="30"/>
    <d v="2025-10-08T00:00:00"/>
    <d v="1899-12-30T09:00:00"/>
    <d v="2025-10-07T00:00:00"/>
    <d v="1899-12-30T10:00:00"/>
    <n v="4"/>
    <n v="2"/>
    <n v="26"/>
    <s v="Reprobar PIs afectados tras correcciones"/>
  </r>
  <r>
    <s v="Ejecutar PI01 – UC-01_x000a_Crear tarea"/>
    <x v="1"/>
    <s v="LP"/>
    <n v="2"/>
    <n v="30"/>
    <d v="2025-10-08T00:00:00"/>
    <d v="1899-12-30T09:00:00"/>
    <d v="2025-10-07T00:00:00"/>
    <d v="1899-12-30T10:30:00"/>
    <n v="4"/>
    <n v="1"/>
    <n v="26"/>
    <s v="Crear tarea y verificar_x000a_persistencia/visualización."/>
  </r>
  <r>
    <s v="Ejecutar PI02 – UC-02_x000a_Asignar tarea"/>
    <x v="1"/>
    <s v="LP"/>
    <n v="1"/>
    <n v="30"/>
    <d v="2025-10-08T00:00:00"/>
    <d v="1899-12-30T09:00:00"/>
    <d v="2025-10-07T00:00:00"/>
    <d v="1899-12-30T11:00:00"/>
    <n v="4"/>
    <n v="2"/>
    <n v="26"/>
    <s v="Asignar responsable y validar en_x000a_lista/detalle."/>
  </r>
  <r>
    <s v="Ejecutar PI03 – UC-03_x000a_Cambiar_x000a_fecha límite"/>
    <x v="1"/>
    <s v="LP"/>
    <n v="1"/>
    <n v="30"/>
    <d v="2025-10-08T00:00:00"/>
    <d v="1899-12-30T09:00:00"/>
    <d v="2025-10-07T00:00:00"/>
    <d v="1899-12-30T11:30:00"/>
    <n v="0"/>
    <n v="2"/>
    <n v="30"/>
    <s v="Modificar vencimiento y reflejo en_x000a_UI/BD."/>
  </r>
  <r>
    <s v="Ejecutar PI04 – UC-04_x000a_Registrar_x000a_tiempo"/>
    <x v="0"/>
    <s v="LC"/>
    <n v="2"/>
    <n v="30"/>
    <d v="2025-10-08T00:00:00"/>
    <d v="1899-12-30T09:00:00"/>
    <d v="2025-10-07T00:00:00"/>
    <d v="1899-12-30T11:00:00"/>
    <n v="4"/>
    <n v="1"/>
    <n v="26"/>
    <s v="Registrar horas y actualizar_x000a_progreso"/>
  </r>
  <r>
    <s v="Ejecutar PI05 – UC-05_x000a_Completar_x000a_tarea"/>
    <x v="0"/>
    <s v="LC"/>
    <n v="1"/>
    <n v="30"/>
    <d v="2025-10-08T00:00:00"/>
    <d v="1899-12-30T09:00:00"/>
    <d v="2025-10-07T00:00:00"/>
    <d v="1899-12-30T11:30:00"/>
    <n v="4"/>
    <n v="1"/>
    <n v="26"/>
    <s v="Cambiar estado a “Completada” con_x000a_validaciones."/>
  </r>
  <r>
    <s v="Ejecutar PI06 – UC-06_x000a_Crear KPI"/>
    <x v="0"/>
    <s v="LC"/>
    <n v="1"/>
    <n v="30"/>
    <d v="2025-10-08T00:00:00"/>
    <d v="1899-12-30T09:00:00"/>
    <d v="2025-10-07T00:00:00"/>
    <d v="1899-12-30T12:00:00"/>
    <n v="4"/>
    <n v="1"/>
    <n v="26"/>
    <s v="Crear KPI (nombre/fórmula/objetivo)_x000a_para dashboard/reporte."/>
  </r>
  <r>
    <s v="Ejecutar PI07 – UC-07_x000a_Ver_x000a_dashboard"/>
    <x v="5"/>
    <s v="LA"/>
    <n v="1"/>
    <n v="30"/>
    <d v="2025-10-08T00:00:00"/>
    <d v="1899-12-30T09:00:00"/>
    <d v="2025-10-07T00:00:00"/>
    <d v="1899-12-30T08:00:00"/>
    <n v="4"/>
    <n v="1"/>
    <n v="26"/>
    <s v="Visualizar KPIs y tareas integradas."/>
  </r>
  <r>
    <s v="Ejecutar PI08 – UC-08_x000a_Generar_x000a_reporte"/>
    <x v="5"/>
    <s v="LA"/>
    <n v="1"/>
    <n v="30"/>
    <d v="2025-10-08T00:00:00"/>
    <d v="1899-12-30T09:00:00"/>
    <d v="2025-10-07T00:00:00"/>
    <d v="1899-12-30T08:30:00"/>
    <n v="4"/>
    <n v="1"/>
    <n v="26"/>
    <s v="Descargar PDF/Excel con filtros y_x000a_validar consistencia."/>
  </r>
  <r>
    <s v="Ejecutar PI09 – UC-09_x000a_Visualizar_x000a_KPI"/>
    <x v="3"/>
    <s v="LE"/>
    <n v="1"/>
    <n v="30"/>
    <d v="2025-10-08T00:00:00"/>
    <d v="1899-12-30T09:00:00"/>
    <d v="2025-10-06T00:00:00"/>
    <d v="1899-12-30T12:30:00"/>
    <n v="0"/>
    <n v="1"/>
    <n v="30"/>
    <s v="Ver valor/gráfica y contrastar con_x000a_BD."/>
  </r>
  <r>
    <s v="Ejecutar PI10 – UC-10_x000a_Ver lista de_x000a_tareas"/>
    <x v="4"/>
    <s v="LD"/>
    <n v="1"/>
    <n v="30"/>
    <d v="2025-10-08T00:00:00"/>
    <d v="1899-12-30T09:00:00"/>
    <d v="2025-10-07T00:00:00"/>
    <d v="1899-12-30T11:00:00"/>
    <n v="0"/>
    <n v="1"/>
    <n v="30"/>
    <s v="Listar tareas con estado y_x000a_responsable."/>
  </r>
  <r>
    <s v="Ejecutar PI11 – UC-11_x000a_Tarea→Proy_x000a_ecto"/>
    <x v="4"/>
    <s v="LD"/>
    <n v="1"/>
    <n v="30"/>
    <d v="2025-10-08T00:00:00"/>
    <d v="1899-12-30T09:00:00"/>
    <d v="2025-10-07T00:00:00"/>
    <d v="1899-12-30T11:30:00"/>
    <n v="0"/>
    <n v="1"/>
    <n v="30"/>
    <s v="Vincular tarea a proyecto y validar_x000a_relación."/>
  </r>
  <r>
    <s v="Ejecutar PI12 – UC-12_x000a_Editar tarea"/>
    <x v="5"/>
    <s v="LA"/>
    <n v="1"/>
    <n v="30"/>
    <d v="2025-10-08T00:00:00"/>
    <d v="1899-12-30T09:00:00"/>
    <d v="2025-10-07T00:00:00"/>
    <d v="1899-12-30T09:00:00"/>
    <n v="0"/>
    <n v="1"/>
    <n v="30"/>
    <s v="Modificar campos y verificar_x000a_integridad."/>
  </r>
  <r>
    <s v="Ejecutar PI13 – UC-13_x000a_Filtrar tareas"/>
    <x v="3"/>
    <s v="LE"/>
    <n v="1"/>
    <n v="30"/>
    <d v="2025-10-08T00:00:00"/>
    <d v="1899-12-30T09:00:00"/>
    <d v="2025-10-06T00:00:00"/>
    <d v="1899-12-30T13:00:00"/>
    <n v="0"/>
    <n v="1"/>
    <n v="30"/>
    <s v="Aplicar filtros por_x000a_fecha/estado/usuario"/>
  </r>
  <r>
    <s v="Ejecutar PI14 – UC-14_x000a_Ver progreso"/>
    <x v="2"/>
    <s v="LS"/>
    <n v="1"/>
    <n v="30"/>
    <d v="2025-10-08T00:00:00"/>
    <d v="1899-12-30T09:00:00"/>
    <d v="2025-10-07T00:00:00"/>
    <d v="1899-12-30T11:00:00"/>
    <n v="0"/>
    <n v="1"/>
    <n v="30"/>
    <s v="Visualizar %/horas vs. registros de_x000a_tiempo."/>
  </r>
  <r>
    <s v="Ejecutar PI15 – UC-15_x000a_Ver_x000a_notificaciones"/>
    <x v="2"/>
    <s v="LS"/>
    <n v="1"/>
    <n v="30"/>
    <d v="2025-10-08T00:00:00"/>
    <d v="1899-12-30T09:00:00"/>
    <d v="2025-10-07T00:00:00"/>
    <d v="1899-12-30T11:30:00"/>
    <n v="0"/>
    <n v="1"/>
    <n v="30"/>
    <s v="Listar notificaciones generadas por_x000a_eventos."/>
  </r>
  <r>
    <s v="Ejecutar PI16 – UC-16_x000a_Marcar_x000a_notificación_x000a_leída"/>
    <x v="2"/>
    <s v="LS"/>
    <n v="1"/>
    <n v="30"/>
    <d v="2025-10-08T00:00:00"/>
    <d v="1899-12-30T09:00:00"/>
    <d v="2025-10-07T00:00:00"/>
    <d v="1899-12-30T12:00:00"/>
    <n v="0"/>
    <n v="1"/>
    <n v="30"/>
    <s v="Cambiar estado y persistir cambio"/>
  </r>
  <r>
    <s v="Ejecutar PI17 – UC-17_x000a_Detalle de_x000a_tarea"/>
    <x v="3"/>
    <s v="LE"/>
    <n v="1"/>
    <n v="30"/>
    <d v="2025-10-08T00:00:00"/>
    <d v="1899-12-30T09:00:00"/>
    <d v="2025-10-06T00:00:00"/>
    <d v="1899-12-30T13:30:00"/>
    <n v="0"/>
    <n v="1"/>
    <n v="30"/>
    <s v="Mostrar ficha completa (desc.,_x000a_vencimiento, responsable, horas)."/>
  </r>
  <r>
    <s v="Ejecutar PI18 – UC-18_x000a_Eliminar_x000a_tarea"/>
    <x v="4"/>
    <s v="LD"/>
    <n v="1"/>
    <n v="30"/>
    <d v="2025-10-08T00:00:00"/>
    <d v="1899-12-30T09:00:00"/>
    <d v="2025-10-07T00:00:00"/>
    <d v="1899-12-30T12:00:00"/>
    <n v="0"/>
    <n v="1"/>
    <n v="30"/>
    <s v="Borrar tarea y validar_x000a_integridad/ocultamiento."/>
  </r>
  <r>
    <s v="Ejecutar PI-019 Crear proyecto"/>
    <x v="3"/>
    <s v="LE"/>
    <n v="1"/>
    <n v="30"/>
    <d v="2025-10-08T00:00:00"/>
    <d v="1899-12-30T09:00:00"/>
    <d v="2025-10-06T00:00:00"/>
    <d v="1899-12-30T14:00:00"/>
    <n v="0"/>
    <n v="1"/>
    <n v="30"/>
    <s v="Crear un nuevo proyecto con las especificaciones dichas"/>
  </r>
  <r>
    <s v="Ejecutar PI-020 Editar proyecto"/>
    <x v="0"/>
    <s v="LC"/>
    <n v="1"/>
    <n v="30"/>
    <d v="2025-10-08T00:00:00"/>
    <d v="1899-12-30T09:00:00"/>
    <d v="2025-10-07T00:00:00"/>
    <d v="1899-12-30T12:00:00"/>
    <n v="0"/>
    <n v="1"/>
    <n v="30"/>
    <s v="No comentarios"/>
  </r>
  <r>
    <s v="Ejecutar PI-021 Eliminar proyecto"/>
    <x v="4"/>
    <s v="LD"/>
    <n v="1"/>
    <n v="30"/>
    <d v="2025-10-08T00:00:00"/>
    <d v="1899-12-30T09:00:00"/>
    <d v="2025-10-07T00:00:00"/>
    <d v="1899-12-30T12:30:00"/>
    <n v="0"/>
    <n v="1"/>
    <n v="30"/>
    <s v="No comentarios"/>
  </r>
  <r>
    <s v="Ejecutar PI-022 Filtrar proyecto"/>
    <x v="2"/>
    <s v="LS"/>
    <n v="1"/>
    <n v="30"/>
    <d v="2025-10-08T00:00:00"/>
    <d v="1899-12-30T09:00:00"/>
    <d v="2025-10-07T00:00:00"/>
    <d v="1899-12-30T12:30:00"/>
    <n v="0"/>
    <n v="1"/>
    <n v="30"/>
    <s v="Con la programación del filtro permita ver, lo que el usuario necesita."/>
  </r>
  <r>
    <s v="Ejecutar PI-023 Ver proyecto"/>
    <x v="1"/>
    <s v="LP"/>
    <n v="1"/>
    <n v="30"/>
    <d v="2025-10-08T00:00:00"/>
    <d v="1899-12-30T09:00:00"/>
    <d v="2025-10-07T00:00:00"/>
    <d v="1899-12-30T12:00:00"/>
    <n v="0"/>
    <n v="1"/>
    <n v="30"/>
    <s v="La opción despliegue el menu para ver las tareas"/>
  </r>
  <r>
    <s v="Ejecutar PI-024 Cambiar fecha proyecto"/>
    <x v="5"/>
    <s v="LA"/>
    <n v="1"/>
    <n v="30"/>
    <d v="2025-10-08T00:00:00"/>
    <d v="1899-12-30T09:00:00"/>
    <d v="2025-10-07T00:00:00"/>
    <d v="1899-12-30T09:30:00"/>
    <n v="0"/>
    <n v="1"/>
    <n v="30"/>
    <s v="Habilite la opción para Cambiar la fecha de vencimiento."/>
  </r>
  <r>
    <s v="Informe de Pruebas"/>
    <x v="3"/>
    <s v="LE"/>
    <n v="1"/>
    <n v="30"/>
    <d v="2025-10-08T00:00:00"/>
    <d v="1899-12-30T09:00:00"/>
    <d v="2025-10-06T00:00:00"/>
    <d v="1899-12-30T14:30:00"/>
    <n v="0"/>
    <n v="1"/>
    <n v="30"/>
    <s v="Dentro del &quot;PLAN DE PRUEBAS&quot;agregamos las evidencias para incluir este informe."/>
  </r>
  <r>
    <s v="Informe de Pruebas"/>
    <x v="1"/>
    <s v="LP"/>
    <n v="1"/>
    <n v="30"/>
    <d v="2025-10-08T00:00:00"/>
    <d v="1899-12-30T09:00:00"/>
    <d v="2025-10-07T00:00:00"/>
    <d v="1899-12-30T12:30:00"/>
    <n v="0"/>
    <n v="1"/>
    <n v="30"/>
    <s v="Dentro del &quot;PLAN DE PRUEBAS&quot;agregamos las evidencias para incluir este informe."/>
  </r>
  <r>
    <s v="Informe de Pruebas"/>
    <x v="5"/>
    <s v="LA"/>
    <n v="1"/>
    <n v="30"/>
    <d v="2025-10-08T00:00:00"/>
    <d v="1899-12-30T09:00:00"/>
    <d v="2025-10-07T00:00:00"/>
    <d v="1899-12-30T10:00:00"/>
    <n v="0"/>
    <n v="1"/>
    <n v="30"/>
    <s v="Dentro del &quot;PLAN DE PRUEBAS&quot;agregamos las evidencias para incluir este informe."/>
  </r>
  <r>
    <s v="Informe de Pruebas"/>
    <x v="2"/>
    <s v="LS"/>
    <n v="1"/>
    <n v="30"/>
    <d v="2025-10-08T00:00:00"/>
    <d v="1899-12-30T09:00:00"/>
    <d v="2025-10-07T00:00:00"/>
    <d v="1899-12-30T13:00:00"/>
    <n v="0"/>
    <n v="1"/>
    <n v="30"/>
    <s v="Dentro del &quot;PLAN DE PRUEBAS&quot;agregamos las evidencias para incluir este informe."/>
  </r>
  <r>
    <s v="Informe de Pruebas"/>
    <x v="4"/>
    <s v="LD"/>
    <n v="1"/>
    <n v="30"/>
    <d v="2025-10-08T00:00:00"/>
    <d v="1899-12-30T09:00:00"/>
    <d v="2025-10-07T00:00:00"/>
    <d v="1899-12-30T13:00:00"/>
    <n v="0"/>
    <n v="1"/>
    <n v="30"/>
    <s v="Dentro del &quot;PLAN DE PRUEBAS&quot;agregamos las evidencias para incluir este informe."/>
  </r>
  <r>
    <s v="Informe de Pruebas"/>
    <x v="0"/>
    <s v="LC"/>
    <n v="1"/>
    <n v="30"/>
    <d v="2025-10-08T00:00:00"/>
    <d v="1899-12-30T09:00:00"/>
    <d v="2025-10-07T00:00:00"/>
    <d v="1899-12-30T12:30:00"/>
    <n v="0"/>
    <n v="1"/>
    <n v="30"/>
    <s v="Dentro del &quot;PLAN DE PRUEBAS&quot;agregamos las evidencias para incluir este informe."/>
  </r>
  <r>
    <s v="Informe_x000a_Consolidado_x000a_del Ciclo"/>
    <x v="3"/>
    <s v="LE"/>
    <n v="1"/>
    <n v="30"/>
    <d v="2025-10-08T00:00:00"/>
    <d v="1899-12-30T09:00:00"/>
    <d v="2025-10-07T00:00:00"/>
    <d v="1899-12-30T15:00:00"/>
    <n v="0"/>
    <n v="1"/>
    <n v="30"/>
    <s v="Resumen global de PIs_x000a_(aprobados/fallidos), métricas,_x000a_defectos por severidad/prioridad y_x000a_conclusión de aptitud para UAT."/>
  </r>
  <r>
    <s v="Informe_x000a_Consolidado_x000a_del Ciclo"/>
    <x v="1"/>
    <s v="LP"/>
    <n v="1"/>
    <n v="30"/>
    <d v="2025-10-08T00:00:00"/>
    <d v="1899-12-30T09:00:00"/>
    <d v="2025-10-07T00:00:00"/>
    <d v="1899-12-30T13:00:00"/>
    <n v="0"/>
    <n v="1"/>
    <n v="30"/>
    <s v="Resumen global de PIs_x000a_(aprobados/fallidos), métricas,_x000a_defectos por severidad/prioridad y_x000a_conclusión de aptitud para UAT."/>
  </r>
  <r>
    <s v="Informe_x000a_Consolidado_x000a_del Ciclo"/>
    <x v="2"/>
    <s v="LS"/>
    <n v="1"/>
    <n v="30"/>
    <d v="2025-10-08T00:00:00"/>
    <d v="1899-12-30T09:00:00"/>
    <d v="2025-10-07T00:00:00"/>
    <d v="1899-12-30T13:30:00"/>
    <n v="0"/>
    <n v="1"/>
    <n v="30"/>
    <s v="Resumen global de PIs_x000a_(aprobados/fallidos), métricas,_x000a_defectos por severidad/prioridad y_x000a_conclusión de aptitud para UAT."/>
  </r>
  <r>
    <s v="Informe_x000a_Consolidado_x000a_del Ciclo"/>
    <x v="5"/>
    <s v="LA"/>
    <n v="1"/>
    <n v="30"/>
    <d v="2025-10-08T00:00:00"/>
    <d v="1899-12-30T09:00:00"/>
    <d v="2025-10-07T00:00:00"/>
    <d v="1899-12-30T10:30:00"/>
    <n v="0"/>
    <n v="1"/>
    <n v="30"/>
    <s v="Resumen global de PIs_x000a_(aprobados/fallidos), métricas,_x000a_defectos por severidad/prioridad y_x000a_conclusión de aptitud para UAT."/>
  </r>
  <r>
    <s v="Informe_x000a_Consolidado_x000a_del Ciclo"/>
    <x v="0"/>
    <s v="LC"/>
    <n v="1"/>
    <n v="30"/>
    <d v="2025-10-08T00:00:00"/>
    <d v="1899-12-30T09:00:00"/>
    <d v="2025-10-07T00:00:00"/>
    <d v="1899-12-30T13:00:00"/>
    <n v="0"/>
    <n v="1"/>
    <n v="30"/>
    <s v="Resumen global de PIs_x000a_(aprobados/fallidos), métricas,_x000a_defectos por severidad/prioridad y_x000a_conclusión de aptitud para UAT."/>
  </r>
  <r>
    <s v="Informe_x000a_Consolidado_x000a_del Ciclo"/>
    <x v="4"/>
    <s v="LD"/>
    <n v="1"/>
    <n v="30"/>
    <d v="2025-10-08T00:00:00"/>
    <d v="1899-12-30T09:00:00"/>
    <d v="2025-10-07T00:00:00"/>
    <d v="1899-12-30T13:30:00"/>
    <n v="0"/>
    <n v="1"/>
    <n v="30"/>
    <s v="Resumen global de PIs_x000a_(aprobados/fallidos), métricas,_x000a_defectos por severidad/prioridad y_x000a_conclusión de aptitud para UAT."/>
  </r>
  <r>
    <s v="Revisión y_x000a_Firma del_x000a_Informe_x000a_Consolidado"/>
    <x v="3"/>
    <s v="LE"/>
    <n v="1"/>
    <n v="30"/>
    <d v="2025-10-08T00:00:00"/>
    <d v="1899-12-30T09:00:00"/>
    <d v="2025-10-07T00:00:00"/>
    <d v="1899-12-30T15:30:00"/>
    <n v="0"/>
    <n v="1"/>
    <n v="30"/>
    <s v="Revisión de hallazgos, aceptación y_x000a_firma del cierre de ciclo. "/>
  </r>
  <r>
    <s v="Revisión y_x000a_Firma del_x000a_Informe_x000a_Consolidado"/>
    <x v="1"/>
    <s v="LP"/>
    <n v="1"/>
    <n v="30"/>
    <d v="2025-10-08T00:00:00"/>
    <d v="1899-12-30T09:00:00"/>
    <d v="2025-10-07T00:00:00"/>
    <d v="1899-12-30T13:30:00"/>
    <n v="0"/>
    <n v="1"/>
    <n v="30"/>
    <s v="Revisión de hallazgos, aceptación y_x000a_firma del cierre de ciclo. "/>
  </r>
  <r>
    <s v="Revisión y_x000a_Firma del_x000a_Informe_x000a_Consolidado"/>
    <x v="4"/>
    <s v="LD"/>
    <n v="1"/>
    <n v="30"/>
    <d v="2025-10-08T00:00:00"/>
    <d v="1899-12-30T09:00:00"/>
    <d v="2025-10-07T00:00:00"/>
    <d v="1899-12-30T14:00:00"/>
    <n v="0"/>
    <n v="1"/>
    <n v="30"/>
    <s v="Revisión de hallazgos, aceptación y_x000a_firma del cierre de ciclo. "/>
  </r>
  <r>
    <s v="Revisión y_x000a_Firma del_x000a_Informe_x000a_Consolidado"/>
    <x v="2"/>
    <s v="LS"/>
    <n v="1"/>
    <n v="30"/>
    <d v="2025-10-08T00:00:00"/>
    <d v="1899-12-30T09:00:00"/>
    <d v="2025-10-07T00:00:00"/>
    <d v="1899-12-30T14:00:00"/>
    <n v="0"/>
    <n v="1"/>
    <n v="30"/>
    <s v="Revisión de hallazgos, aceptación y_x000a_firma del cierre de ciclo. "/>
  </r>
  <r>
    <s v="Revisión y_x000a_Firma del_x000a_Informe_x000a_Consolidado"/>
    <x v="0"/>
    <s v="LC"/>
    <n v="1"/>
    <n v="30"/>
    <d v="2025-10-08T00:00:00"/>
    <d v="1899-12-30T09:00:00"/>
    <d v="2025-10-07T00:00:00"/>
    <d v="1899-12-30T13:30:00"/>
    <n v="2"/>
    <n v="1"/>
    <n v="28"/>
    <s v="Revisión de hallazgos, aceptación y_x000a_firma del cierre de ciclo. "/>
  </r>
  <r>
    <s v="Revisión y_x000a_Firma del_x000a_Informe_x000a_Consolidado"/>
    <x v="5"/>
    <s v="LA"/>
    <n v="1"/>
    <n v="30"/>
    <d v="2025-10-08T00:00:00"/>
    <d v="1899-12-30T09:00:00"/>
    <d v="2025-10-07T00:00:00"/>
    <d v="1899-12-30T11:00:00"/>
    <n v="10"/>
    <n v="1"/>
    <n v="20"/>
    <s v="Revisión de hallazgos, aceptación y_x000a_firma del cierre de ciclo. "/>
  </r>
  <r>
    <s v="Archivo y_x000a_Distribución_x000a_de Informes"/>
    <x v="3"/>
    <s v="LE"/>
    <n v="1"/>
    <n v="30"/>
    <d v="2025-10-08T00:00:00"/>
    <d v="1899-12-30T09:00:00"/>
    <d v="2025-10-07T00:00:00"/>
    <d v="1899-12-30T16:30:00"/>
    <n v="0"/>
    <n v="1"/>
    <n v="30"/>
    <s v="Publicar informes (carpeta PI y_x000a_consolidado), notificar a interesados. "/>
  </r>
  <r>
    <s v="Corrección de informe de pruebas y planes"/>
    <x v="0"/>
    <s v="LC"/>
    <n v="1"/>
    <n v="30"/>
    <d v="2025-10-08T00:00:00"/>
    <d v="1899-12-30T09:00:00"/>
    <d v="2025-10-07T00:00:00"/>
    <d v="1899-12-30T16:30:00"/>
    <n v="0"/>
    <n v="1"/>
    <n v="30"/>
    <s v="Corrección ortografica o lógica de los documentos de esta fase."/>
  </r>
  <r>
    <s v="Control de _x000a_cambios "/>
    <x v="0"/>
    <s v="LC"/>
    <n v="1"/>
    <n v="20"/>
    <d v="2025-10-08T00:00:00"/>
    <d v="1899-12-30T09:00:00"/>
    <d v="2025-10-07T00:00:00"/>
    <d v="1899-12-30T19:20:00"/>
    <n v="0"/>
    <n v="1"/>
    <n v="20"/>
    <s v="Gestionar solicitudes de cambios, su evaluación, aprobación/rechazo e implantación. "/>
  </r>
  <r>
    <s v="Control de _x000a_cambios "/>
    <x v="6"/>
    <s v="LS"/>
    <n v="1"/>
    <n v="20"/>
    <d v="2025-10-08T00:00:00"/>
    <d v="1899-12-30T09:00:00"/>
    <d v="2025-10-07T00:00:00"/>
    <d v="1899-12-30T19:20:00"/>
    <n v="0"/>
    <n v="1"/>
    <n v="20"/>
    <s v="Gestionar solicitudes de cambios, su evaluación, aprobación/rechazo e implantación. "/>
  </r>
  <r>
    <s v="Registrar y gestionar riesgos"/>
    <x v="0"/>
    <s v="LC"/>
    <n v="1"/>
    <n v="30"/>
    <d v="2025-10-08T00:00:00"/>
    <d v="1899-12-30T09:00:00"/>
    <d v="2025-10-07T00:00:00"/>
    <d v="1899-12-30T20:00:00"/>
    <n v="6"/>
    <n v="1"/>
    <n v="24"/>
    <s v="Identificar, clasificar y dar seguimiento a_x000a_riesgos del proyecto."/>
  </r>
  <r>
    <s v="Log de defectos(apertura,seguimiento y cierre)"/>
    <x v="4"/>
    <s v="LD"/>
    <n v="1"/>
    <n v="30"/>
    <d v="2025-10-08T00:00:00"/>
    <d v="1899-12-30T09:00:00"/>
    <d v="2025-10-07T00:00:00"/>
    <d v="1899-12-30T20:00:00"/>
    <n v="0"/>
    <n v="1"/>
    <n v="30"/>
    <s v="Registrar incidencias y defectos, dar_x000a_seguimiento y cerrar tras validación."/>
  </r>
  <r>
    <s v="Bitácoras y actas"/>
    <x v="4"/>
    <s v="LD"/>
    <n v="5"/>
    <n v="50"/>
    <d v="2025-10-08T00:00:00"/>
    <d v="1899-12-30T09:00:00"/>
    <d v="2025-10-07T00:00:00"/>
    <d v="1899-12-30T20:50:00"/>
    <n v="5"/>
    <n v="5"/>
    <n v="45"/>
    <s v="Documentar bitácoras de tiempo y actas de_x000a_reuniones, manteniendo control de_x000a_versiones."/>
  </r>
  <r>
    <s v="Elaboración de las bitácoras"/>
    <x v="1"/>
    <s v=" LP"/>
    <n v="1"/>
    <n v="60"/>
    <d v="2025-10-08T00:00:00"/>
    <d v="1899-12-30T09:00:00"/>
    <d v="2025-10-07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2"/>
    <s v="           LS"/>
    <n v="1"/>
    <n v="60"/>
    <d v="2025-10-08T00:00:00"/>
    <d v="1899-12-30T09:00:00"/>
    <d v="2025-10-07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3"/>
    <s v="           LE"/>
    <n v="1"/>
    <n v="60"/>
    <d v="2025-10-08T00:00:00"/>
    <d v="1899-12-30T09:00:00"/>
    <d v="2025-10-07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5"/>
    <s v="           LA"/>
    <n v="1"/>
    <n v="60"/>
    <d v="2025-10-08T00:00:00"/>
    <d v="1899-12-30T09:00:00"/>
    <d v="2025-10-07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0"/>
    <s v="           LC"/>
    <n v="1"/>
    <n v="60"/>
    <d v="2025-10-08T00:00:00"/>
    <d v="1899-12-30T09:00:00"/>
    <d v="2025-10-07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4"/>
    <s v="           LD"/>
    <n v="1"/>
    <n v="60"/>
    <d v="2025-10-08T00:00:00"/>
    <d v="1899-12-30T09:00:00"/>
    <d v="2025-10-07T00:00:00"/>
    <d v="1899-12-30T22:00:00"/>
    <n v="50"/>
    <n v="1"/>
    <n v="10"/>
    <s v="Con las bitácoras llenamos cada espacio con las actividaes correspondientes según el control de asignaciones"/>
  </r>
  <r>
    <s v="Evaluación de log de defectos"/>
    <x v="3"/>
    <s v="LE"/>
    <n v="1"/>
    <n v="30"/>
    <d v="2025-10-08T00:00:00"/>
    <d v="1899-12-30T09:00:00"/>
    <d v="2025-10-07T00:00:00"/>
    <d v="1899-12-30T22:00:00"/>
    <n v="0"/>
    <n v="1"/>
    <n v="30"/>
    <s v="No comentarios"/>
  </r>
  <r>
    <s v="Llenado de log de defectos"/>
    <x v="0"/>
    <s v="LC"/>
    <n v="1"/>
    <n v="30"/>
    <d v="2025-10-08T00:00:00"/>
    <d v="1899-12-30T09:00:00"/>
    <d v="2025-10-07T00:00:00"/>
    <d v="1899-12-30T22:00:00"/>
    <n v="0"/>
    <n v="1"/>
    <n v="30"/>
    <s v="No comentarios"/>
  </r>
  <r>
    <s v="Acta de reunión"/>
    <x v="0"/>
    <s v="LC"/>
    <n v="1"/>
    <n v="45"/>
    <d v="2025-10-08T00:00:00"/>
    <d v="1899-12-30T09:00:00"/>
    <d v="2025-10-07T00:00:00"/>
    <d v="1899-12-30T22:30:00"/>
    <n v="-35"/>
    <n v="1"/>
    <n v="80"/>
    <s v="Ordenar en grupo todos los documentos asignados para la primera entrega"/>
  </r>
  <r>
    <s v="Elaboración de diapositivas(Informe final)"/>
    <x v="3"/>
    <s v="LE"/>
    <n v="1"/>
    <n v="60"/>
    <d v="2025-10-08T00:00:00"/>
    <d v="1899-12-30T09:00:00"/>
    <d v="2025-10-07T00:00:00"/>
    <d v="1899-12-30T22:30:00"/>
    <n v="10"/>
    <n v="1"/>
    <n v="50"/>
    <s v="Diapositivas con los documentos hechos "/>
  </r>
  <r>
    <s v="Maestro de documentos"/>
    <x v="3"/>
    <s v="LE"/>
    <n v="1"/>
    <n v="55"/>
    <d v="2025-10-08T00:00:00"/>
    <d v="1899-12-30T09:00:00"/>
    <d v="2025-10-07T00:00:00"/>
    <d v="1899-12-30T22:30:00"/>
    <n v="0"/>
    <n v="1"/>
    <n v="55"/>
    <s v="Realización de un excel con los documentos hechos "/>
  </r>
  <r>
    <s v="Revisión de _x000a_documentos "/>
    <x v="0"/>
    <s v="LC"/>
    <n v="1"/>
    <n v="30"/>
    <d v="2025-10-08T00:00:00"/>
    <d v="1899-12-30T09:00:00"/>
    <d v="2025-10-07T00:00:00"/>
    <d v="1899-12-30T22:30:00"/>
    <n v="-2"/>
    <n v="1"/>
    <n v="32"/>
    <s v="Se revisan los tres documentos realizados en grupo para consolidar los resultados y corregir errores "/>
  </r>
  <r>
    <s v="Revisión de _x000a_documentos "/>
    <x v="2"/>
    <s v="LS"/>
    <n v="1"/>
    <n v="30"/>
    <d v="2025-10-08T00:00:00"/>
    <d v="1899-12-30T09:00:00"/>
    <d v="2025-10-07T00:00:00"/>
    <d v="1899-12-30T22:30:00"/>
    <n v="-2"/>
    <n v="1"/>
    <n v="32"/>
    <s v="Se revisan los tres documentos realizados en grupo para consolidar los resultados y corregir errores "/>
  </r>
  <r>
    <s v="Revisión de _x000a_documentos "/>
    <x v="1"/>
    <s v="LP"/>
    <n v="1"/>
    <n v="30"/>
    <d v="2025-10-08T00:00:00"/>
    <d v="1899-12-30T09:00:00"/>
    <d v="2025-10-07T00:00:00"/>
    <d v="1899-12-30T22:30:00"/>
    <n v="-2"/>
    <n v="1"/>
    <n v="32"/>
    <s v="Se revisan los tres documentos realizados en grupo para consolidar los resultados y corregir errores "/>
  </r>
  <r>
    <s v="Revisión de _x000a_documentos "/>
    <x v="3"/>
    <s v="LE"/>
    <n v="1"/>
    <n v="30"/>
    <d v="2025-10-08T00:00:00"/>
    <d v="1899-12-30T09:00:00"/>
    <d v="2025-10-07T00:00:00"/>
    <d v="1899-12-30T22:30:00"/>
    <n v="-2"/>
    <n v="1"/>
    <n v="32"/>
    <s v="Se revisan los tres documentos realizados en grupo para consolidar los resultados y corregir errores "/>
  </r>
  <r>
    <s v="Revisión de _x000a_documentos "/>
    <x v="5"/>
    <s v="LA"/>
    <n v="1"/>
    <n v="30"/>
    <d v="2025-10-08T00:00:00"/>
    <d v="1899-12-30T09:00:00"/>
    <d v="2025-10-07T00:00:00"/>
    <d v="1899-12-30T22:30:00"/>
    <n v="-2"/>
    <n v="1"/>
    <n v="32"/>
    <s v="Se revisan los tres documentos realizados en grupo para consolidar los resultados y corregir errores "/>
  </r>
  <r>
    <s v="Revisión de _x000a_documentos "/>
    <x v="4"/>
    <s v="LD"/>
    <n v="1"/>
    <n v="30"/>
    <d v="2025-10-08T00:00:00"/>
    <d v="1899-12-30T09:00:00"/>
    <d v="2025-10-07T00:00:00"/>
    <d v="1899-12-30T22:30:00"/>
    <n v="-2"/>
    <n v="1"/>
    <n v="32"/>
    <s v="Se revisan los tres documentos realizados en grupo para consolidar los resultados y corregir errores "/>
  </r>
  <r>
    <s v="Subir los documentos a la página web"/>
    <x v="3"/>
    <s v="LE"/>
    <n v="3"/>
    <n v="20"/>
    <d v="2025-10-08T00:00:00"/>
    <d v="1899-12-30T09:00:00"/>
    <d v="2025-10-08T00:00:00"/>
    <d v="1899-12-30T09:00:00"/>
    <n v="5"/>
    <n v="3"/>
    <n v="15"/>
    <s v="Todos los documentos subidos _x000a_y actualizados en la pagina 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">
  <r>
    <s v="Script de definición de procesos(POST-MORTEM)"/>
    <x v="0"/>
    <s v="LC"/>
    <n v="1"/>
    <n v="30"/>
    <d v="2025-10-15T00:00:00"/>
    <d v="1899-12-30T09:00:00"/>
    <d v="2025-10-13T00:00:00"/>
    <d v="1899-12-30T19:00:00"/>
    <n v="0"/>
    <n v="1"/>
    <n v="30"/>
    <s v="Diligenciar el formato correspondiente al script de definición de procesos"/>
  </r>
  <r>
    <s v="Script de definición de procesos(POST-MORTEM)"/>
    <x v="1"/>
    <s v="LP"/>
    <n v="1"/>
    <n v="30"/>
    <d v="2025-10-15T00:00:00"/>
    <d v="1899-12-30T09:00:00"/>
    <d v="2025-10-13T00:00:00"/>
    <d v="1899-12-30T19:00:00"/>
    <n v="0"/>
    <n v="1"/>
    <n v="30"/>
    <s v="Se realizo el llenado del control de asignaciones para asi terminar con éxito la fase 9 de POST-MORTEM y para que los demas lideres llenen sus bitácoras"/>
  </r>
  <r>
    <s v="Recolección de_x000a_métricas_x000a_del ciclo"/>
    <x v="0"/>
    <s v="LC"/>
    <n v="1"/>
    <n v="30"/>
    <d v="2025-10-15T00:00:00"/>
    <d v="1899-12-30T09:00:00"/>
    <d v="2025-10-13T00:00:00"/>
    <d v="1899-12-30T10:00:00"/>
    <n v="2"/>
    <n v="1"/>
    <n v="28"/>
    <s v="Se recopilan los datos de_x000a_desempeño registrados en las_x000a_bitácoras, logs de defectos,_x000a_control de tareas y plan de_x000a_calidad. Se consolidan métricas_x000a_por equipo, integrante y rol."/>
  </r>
  <r>
    <s v="Recolección de_x000a_métricas_x000a_del ciclo"/>
    <x v="2"/>
    <s v="LS"/>
    <n v="1"/>
    <n v="30"/>
    <d v="2025-10-15T00:00:00"/>
    <d v="1899-12-30T09:00:00"/>
    <d v="2025-10-13T00:00:00"/>
    <d v="1899-12-30T10:00:00"/>
    <n v="2"/>
    <n v="1"/>
    <n v="28"/>
    <s v="Se recopilan los datos de_x000a_desempeño registrados en las_x000a_bitácoras, logs de defectos,_x000a_control de tareas y plan de_x000a_calidad. Se consolidan métricas_x000a_por equipo, integrante y rol."/>
  </r>
  <r>
    <s v="Análisis de_x000a_métricas_x000a_del_x000a_proyecto"/>
    <x v="0"/>
    <s v="LC"/>
    <n v="1"/>
    <n v="30"/>
    <d v="2025-10-15T00:00:00"/>
    <d v="1899-12-30T09:00:00"/>
    <d v="2025-10-13T00:00:00"/>
    <d v="1899-12-30T10:30:00"/>
    <n v="1"/>
    <n v="1"/>
    <n v="29"/>
    <s v="Se comparan los valores_x000a_estimados vs reales en tiempo,_x000a_esfuerzo y cumplimiento de_x000a_tareas. Se calcula el nivel de_x000a_desviación y porcentaje de_x000a_cumplimiento por fase y rol."/>
  </r>
  <r>
    <s v="Análisis de_x000a_métricas_x000a_del_x000a_proyecto"/>
    <x v="2"/>
    <s v="LS"/>
    <n v="1"/>
    <n v="30"/>
    <d v="2025-10-15T00:00:00"/>
    <d v="1899-12-30T09:00:00"/>
    <d v="2025-10-13T00:00:00"/>
    <d v="1899-12-30T10:30:00"/>
    <n v="1"/>
    <n v="1"/>
    <n v="29"/>
    <s v="Se comparan los valores_x000a_estimados vs reales en tiempo,_x000a_esfuerzo y cumplimiento de_x000a_tareas. Se calcula el nivel de_x000a_desviación y porcentaje de_x000a_cumplimiento por fase y rol."/>
  </r>
  <r>
    <s v="Seguimiento de tareas no planeadas"/>
    <x v="1"/>
    <s v="LP"/>
    <n v="1"/>
    <n v="30"/>
    <d v="2025-10-15T00:00:00"/>
    <d v="1899-12-30T09:00:00"/>
    <d v="2025-10-13T00:00:00"/>
    <d v="1899-12-30T10:00:00"/>
    <n v="3"/>
    <n v="2"/>
    <n v="27"/>
    <s v="Se identifican las tareas que_x000a_surgieron durante la ejecución y_x000a_no estaban previstas en la planificación inicial, evaluando_x000a_su impacto en tiempo y esfuerzo."/>
  </r>
  <r>
    <s v="Seguimiento de tareas no planeadas"/>
    <x v="3"/>
    <s v="LD"/>
    <n v="1"/>
    <n v="30"/>
    <d v="2025-10-15T00:00:00"/>
    <d v="1899-12-30T09:00:00"/>
    <d v="2025-10-13T00:00:00"/>
    <d v="1899-12-30T10:00:00"/>
    <n v="3"/>
    <n v="2"/>
    <n v="27"/>
    <s v="Se identifican las tareas que_x000a_surgieron durante la ejecución y_x000a_no estaban previstas en la planificación inicial, evaluando_x000a_su impacto en tiempo y esfuerzo."/>
  </r>
  <r>
    <s v="Evaluación_x000a_del plan de_x000a_calidad"/>
    <x v="4"/>
    <s v="LE"/>
    <n v="1"/>
    <n v="30"/>
    <d v="2025-10-15T00:00:00"/>
    <d v="1899-12-30T09:00:00"/>
    <d v="2025-10-13T00:00:00"/>
    <d v="1899-12-30T10:00:00"/>
    <n v="0"/>
    <n v="2"/>
    <n v="30"/>
    <s v="Se revisan los resultados de las_x000a_métricas de calidad: porcentaje_x000a_libre de defectos, efectividad de_x000a_revisiones, comparación de_x000a_tiempos de desarrollo y revisión,_x000a_y líneas de código (LOC)_x000a_analizadas."/>
  </r>
  <r>
    <s v="Evaluación_x000a_del plan de_x000a_calidad"/>
    <x v="5"/>
    <s v="LA"/>
    <n v="1"/>
    <n v="30"/>
    <d v="2025-10-15T00:00:00"/>
    <d v="1899-12-30T09:00:00"/>
    <d v="2025-10-13T00:00:00"/>
    <d v="1899-12-30T10:00:00"/>
    <n v="0"/>
    <n v="2"/>
    <n v="30"/>
    <s v="Se revisan los resultados de las_x000a_métricas de calidad: porcentaje_x000a_libre de defectos, efectividad de_x000a_revisiones, comparación de_x000a_tiempos de desarrollo y revisión,_x000a_y líneas de código (LOC)_x000a_analizadas."/>
  </r>
  <r>
    <s v="Gestión de_x000a_defectos e_x000a_incidencias"/>
    <x v="4"/>
    <s v="LE"/>
    <n v="1"/>
    <n v="30"/>
    <d v="2025-10-15T00:00:00"/>
    <d v="1899-12-30T09:00:00"/>
    <d v="2025-10-13T00:00:00"/>
    <d v="1899-12-30T10:30:00"/>
    <n v="4"/>
    <n v="1"/>
    <n v="26"/>
    <s v="Se realiza un análisis de_x000a_defectos por fase, tipo y_x000a_responsable. Se mide la_x000a_efectividad en la detección,_x000a_remoción y control de errores."/>
  </r>
  <r>
    <s v="Gestión de_x000a_defectos e_x000a_incidencias"/>
    <x v="5"/>
    <s v="LA"/>
    <n v="1"/>
    <n v="30"/>
    <d v="2025-10-15T00:00:00"/>
    <d v="1899-12-30T09:00:00"/>
    <d v="2025-10-13T00:00:00"/>
    <d v="1899-12-30T10:30:00"/>
    <n v="4"/>
    <n v="1"/>
    <n v="26"/>
    <s v="Se realiza un análisis de_x000a_defectos por fase, tipo y_x000a_responsable. Se mide la_x000a_efectividad en la detección,_x000a_remoción y control de errores."/>
  </r>
  <r>
    <s v="Comparación de_x000a_tiempos y_x000a_esfuerzo"/>
    <x v="4"/>
    <s v="LE"/>
    <n v="1"/>
    <n v="30"/>
    <d v="2025-10-15T00:00:00"/>
    <d v="1899-12-30T09:00:00"/>
    <d v="2025-10-13T00:00:00"/>
    <d v="1899-12-30T11:00:00"/>
    <n v="0"/>
    <n v="1"/>
    <n v="30"/>
    <s v="Se contrastan los tiempos_x000a_dedicados a documentación,_x000a_revisión e implementación para_x000a_evaluar la eficiencia del equipo y_x000a_el equilibrio de carga de trabajo."/>
  </r>
  <r>
    <s v="Comparación de_x000a_tiempos y_x000a_esfuerzo"/>
    <x v="5"/>
    <s v="LA"/>
    <n v="1"/>
    <n v="30"/>
    <d v="2025-10-15T00:00:00"/>
    <d v="1899-12-30T09:00:00"/>
    <d v="2025-10-13T00:00:00"/>
    <d v="1899-12-30T11:00:00"/>
    <n v="0"/>
    <n v="1"/>
    <n v="30"/>
    <s v="Se contrastan los tiempos_x000a_dedicados a documentación,_x000a_revisión e implementación para_x000a_evaluar la eficiencia del equipo y_x000a_el equilibrio de carga de trabajo."/>
  </r>
  <r>
    <s v="Evaluación_x000a_de_x000a_requerimientos_x000a_implementados"/>
    <x v="0"/>
    <s v="LC"/>
    <n v="1"/>
    <n v="30"/>
    <d v="2025-10-15T00:00:00"/>
    <d v="1899-12-30T09:00:00"/>
    <d v="2025-10-13T00:00:00"/>
    <d v="1899-12-30T11:00:00"/>
    <n v="2"/>
    <n v="1"/>
    <n v="28"/>
    <s v="Se revisan los requerimientos_x000a_planeados en el acta de_x000a_lanzamiento versus los_x000a_efectivamente implementados y_x000a_probados."/>
  </r>
  <r>
    <s v="Evaluación_x000a_de_x000a_requerimientos_x000a_implementados"/>
    <x v="2"/>
    <s v="LS"/>
    <n v="1"/>
    <n v="30"/>
    <d v="2025-10-15T00:00:00"/>
    <d v="1899-12-30T09:00:00"/>
    <d v="2025-10-13T00:00:00"/>
    <d v="1899-12-30T11:00:00"/>
    <n v="2"/>
    <n v="1"/>
    <n v="28"/>
    <s v="Se revisan los requerimientos_x000a_planeados en el acta de_x000a_lanzamiento versus los_x000a_efectivamente implementados y_x000a_probados."/>
  </r>
  <r>
    <s v="Consolidación de_x000a_documentos y_x000a_plantillas_x000a_revisadas"/>
    <x v="0"/>
    <s v="LC"/>
    <n v="1"/>
    <n v="30"/>
    <d v="2025-10-15T00:00:00"/>
    <d v="1899-12-30T09:00:00"/>
    <d v="2025-10-13T00:00:00"/>
    <d v="1899-12-30T11:30:00"/>
    <n v="2"/>
    <n v="1"/>
    <n v="28"/>
    <s v="Se verifican las plantillas_x000a_elaboradas, documentos_x000a_actualizados y revisiones_x000a_realizadas en cada fase del ciclo."/>
  </r>
  <r>
    <s v="Consolidación de_x000a_documentos y_x000a_plantillas_x000a_revisadas"/>
    <x v="2"/>
    <s v="LS"/>
    <n v="1"/>
    <n v="30"/>
    <d v="2025-10-15T00:00:00"/>
    <d v="1899-12-30T09:00:00"/>
    <d v="2025-10-13T00:00:00"/>
    <d v="1899-12-30T11:30:00"/>
    <n v="2"/>
    <n v="1"/>
    <n v="28"/>
    <s v="Se verifican las plantillas_x000a_elaboradas, documentos_x000a_actualizados y revisiones_x000a_realizadas en cada fase del ciclo."/>
  </r>
  <r>
    <s v="Análisis_x000a_DOFA del_x000a_ciclo"/>
    <x v="4"/>
    <s v="LE"/>
    <n v="1"/>
    <n v="30"/>
    <d v="2025-10-15T00:00:00"/>
    <d v="1899-12-30T09:00:00"/>
    <d v="2025-10-13T00:00:00"/>
    <d v="1899-12-30T18:00:00"/>
    <n v="0"/>
    <n v="1"/>
    <n v="30"/>
    <s v="El equipo realiza un análisis de_x000a_fortalezas, oportunidades,_x000a_debilidades y amenazas_x000a_(DOFA), respondiendo: qué_x000a_funcionó bien, qué no, causas y_x000a_oportunidades de mejora."/>
  </r>
  <r>
    <s v="Análisis_x000a_DOFA del_x000a_ciclo"/>
    <x v="1"/>
    <s v="LP"/>
    <n v="1"/>
    <n v="30"/>
    <d v="2025-10-15T00:00:00"/>
    <d v="1899-12-30T09:00:00"/>
    <d v="2025-10-13T00:00:00"/>
    <d v="1899-12-30T18:00:00"/>
    <n v="0"/>
    <n v="1"/>
    <n v="30"/>
    <s v="El equipo realiza un análisis de_x000a_fortalezas, oportunidades,_x000a_debilidades y amenazas_x000a_(DOFA), respondiendo: qué_x000a_funcionó bien, qué no, causas y_x000a_oportunidades de mejora."/>
  </r>
  <r>
    <s v="Análisis_x000a_DOFA del_x000a_ciclo"/>
    <x v="5"/>
    <s v="LA"/>
    <n v="1"/>
    <n v="30"/>
    <d v="2025-10-15T00:00:00"/>
    <d v="1899-12-30T09:00:00"/>
    <d v="2025-10-13T00:00:00"/>
    <d v="1899-12-30T18:00:00"/>
    <n v="0"/>
    <n v="1"/>
    <n v="30"/>
    <s v="El equipo realiza un análisis de_x000a_fortalezas, oportunidades,_x000a_debilidades y amenazas_x000a_(DOFA), respondiendo: qué_x000a_funcionó bien, qué no, causas y_x000a_oportunidades de mejora."/>
  </r>
  <r>
    <s v="Análisis_x000a_DOFA del_x000a_ciclo"/>
    <x v="3"/>
    <s v="LD"/>
    <n v="1"/>
    <n v="30"/>
    <d v="2025-10-15T00:00:00"/>
    <d v="1899-12-30T09:00:00"/>
    <d v="2025-10-13T00:00:00"/>
    <d v="1899-12-30T18:00:00"/>
    <n v="0"/>
    <n v="1"/>
    <n v="30"/>
    <s v="El equipo realiza un análisis de_x000a_fortalezas, oportunidades,_x000a_debilidades y amenazas_x000a_(DOFA), respondiendo: qué_x000a_funcionó bien, qué no, causas y_x000a_oportunidades de mejora."/>
  </r>
  <r>
    <s v="Análisis_x000a_DOFA del_x000a_ciclo"/>
    <x v="0"/>
    <s v="LC"/>
    <n v="1"/>
    <n v="30"/>
    <d v="2025-10-15T00:00:00"/>
    <d v="1899-12-30T09:00:00"/>
    <d v="2025-10-13T00:00:00"/>
    <d v="1899-12-30T18:00:00"/>
    <n v="0"/>
    <n v="1"/>
    <n v="30"/>
    <s v="El equipo realiza un análisis de_x000a_fortalezas, oportunidades,_x000a_debilidades y amenazas_x000a_(DOFA), respondiendo: qué_x000a_funcionó bien, qué no, causas y_x000a_oportunidades de mejora."/>
  </r>
  <r>
    <s v="Análisis_x000a_DOFA del_x000a_ciclo"/>
    <x v="2"/>
    <s v="LS"/>
    <n v="1"/>
    <n v="30"/>
    <d v="2025-10-15T00:00:00"/>
    <d v="1899-12-30T09:00:00"/>
    <d v="2025-10-13T00:00:00"/>
    <d v="1899-12-30T18:00:00"/>
    <n v="0"/>
    <n v="1"/>
    <n v="30"/>
    <s v="El equipo realiza un análisis de_x000a_fortalezas, oportunidades,_x000a_debilidades y amenazas_x000a_(DOFA), respondiendo: qué_x000a_funcionó bien, qué no, causas y_x000a_oportunidades de mejora."/>
  </r>
  <r>
    <s v="Elaboración del_x000a_Informe_x000a_Postmortem"/>
    <x v="4"/>
    <s v="LE"/>
    <n v="1"/>
    <n v="30"/>
    <d v="2025-10-15T00:00:00"/>
    <d v="1899-12-30T09:00:00"/>
    <d v="2025-10-13T00:00:00"/>
    <d v="1899-12-30T18:30:00"/>
    <n v="2"/>
    <n v="2"/>
    <n v="28"/>
    <s v="Se redacta el documento final_x000a_con los resultados de métricas,_x000a_análisis DOFA, aspectos_x000a_positivos y negativos, y_x000a_propuesta de mejora para el ciclo_x000a_2."/>
  </r>
  <r>
    <s v="Elaboración del_x000a_Informe_x000a_Postmortem"/>
    <x v="1"/>
    <s v="LP"/>
    <n v="1"/>
    <n v="30"/>
    <d v="2025-10-15T00:00:00"/>
    <d v="1899-12-30T09:00:00"/>
    <d v="2025-10-13T00:00:00"/>
    <d v="1899-12-30T18:30:00"/>
    <n v="2"/>
    <n v="2"/>
    <n v="28"/>
    <s v="Se redacta el documento final_x000a_con los resultados de métricas,_x000a_análisis DOFA, aspectos_x000a_positivos y negativos, y_x000a_propuesta de mejora para el ciclo_x000a_2."/>
  </r>
  <r>
    <s v="Elaboración del_x000a_Informe_x000a_Postmortem"/>
    <x v="5"/>
    <s v="LA"/>
    <n v="1"/>
    <n v="30"/>
    <d v="2025-10-15T00:00:00"/>
    <d v="1899-12-30T09:00:00"/>
    <d v="2025-10-13T00:00:00"/>
    <d v="1899-12-30T18:30:00"/>
    <n v="2"/>
    <n v="2"/>
    <n v="28"/>
    <s v="Se redacta el documento final_x000a_con los resultados de métricas,_x000a_análisis DOFA, aspectos_x000a_positivos y negativos, y_x000a_propuesta de mejora para el ciclo_x000a_2."/>
  </r>
  <r>
    <s v="Elaboración del_x000a_Informe_x000a_Postmortem"/>
    <x v="3"/>
    <s v="LD"/>
    <n v="1"/>
    <n v="30"/>
    <d v="2025-10-15T00:00:00"/>
    <d v="1899-12-30T09:00:00"/>
    <d v="2025-10-13T00:00:00"/>
    <d v="1899-12-30T18:30:00"/>
    <n v="2"/>
    <n v="2"/>
    <n v="28"/>
    <s v="Se redacta el documento final_x000a_con los resultados de métricas,_x000a_análisis DOFA, aspectos_x000a_positivos y negativos, y_x000a_propuesta de mejora para el ciclo_x000a_2."/>
  </r>
  <r>
    <s v="Elaboración del_x000a_Informe_x000a_Postmortem"/>
    <x v="0"/>
    <s v="LC"/>
    <n v="1"/>
    <n v="30"/>
    <d v="2025-10-15T00:00:00"/>
    <d v="1899-12-30T09:00:00"/>
    <d v="2025-10-13T00:00:00"/>
    <d v="1899-12-30T18:30:00"/>
    <n v="2"/>
    <n v="2"/>
    <n v="28"/>
    <s v="Se redacta el documento final_x000a_con los resultados de métricas,_x000a_análisis DOFA, aspectos_x000a_positivos y negativos, y_x000a_propuesta de mejora para el ciclo_x000a_2."/>
  </r>
  <r>
    <s v="Elaboración del_x000a_Informe_x000a_Postmortem"/>
    <x v="2"/>
    <s v="LS"/>
    <n v="1"/>
    <n v="30"/>
    <d v="2025-10-15T00:00:00"/>
    <d v="1899-12-30T09:00:00"/>
    <d v="2025-10-13T00:00:00"/>
    <d v="1899-12-30T18:30:00"/>
    <n v="2"/>
    <n v="2"/>
    <n v="28"/>
    <s v="Se redacta el documento final_x000a_con los resultados de métricas,_x000a_análisis DOFA, aspectos_x000a_positivos y negativos, y_x000a_propuesta de mejora para el ciclo_x000a_2."/>
  </r>
  <r>
    <s v="Preparación de_x000a_informe_x000a_individual_x000a_por rol"/>
    <x v="0"/>
    <s v="LC"/>
    <n v="1"/>
    <n v="30"/>
    <d v="2025-10-15T00:00:00"/>
    <d v="1899-12-30T09:00:00"/>
    <d v="2025-10-13T00:00:00"/>
    <d v="1899-12-30T12:00:00"/>
    <n v="5"/>
    <n v="1"/>
    <n v="25"/>
    <s v="Cada integrante elabora su parte_x000a_de la presentación, detallando lo_x000a_realizado durante el ciclo,_x000a_sustentado en métricas y_x000a_entregas."/>
  </r>
  <r>
    <s v="Preparación de_x000a_informe_x000a_individual_x000a_por rol"/>
    <x v="2"/>
    <s v="LS"/>
    <n v="1"/>
    <n v="30"/>
    <d v="2025-10-15T00:00:00"/>
    <d v="1899-12-30T09:00:00"/>
    <d v="2025-10-13T00:00:00"/>
    <d v="1899-12-30T12:00:00"/>
    <n v="5"/>
    <n v="1"/>
    <n v="25"/>
    <s v="Cada integrante elabora su parte_x000a_de la presentación, detallando lo_x000a_realizado durante el ciclo,_x000a_sustentado en métricas y_x000a_entregas."/>
  </r>
  <r>
    <s v="Identificación de_x000a_aspectos_x000a_positivos y_x000a_negativos"/>
    <x v="4"/>
    <s v="LS"/>
    <n v="1"/>
    <n v="30"/>
    <d v="2025-10-15T00:00:00"/>
    <d v="1899-12-30T09:00:00"/>
    <d v="2025-10-13T00:00:00"/>
    <d v="1899-12-30T19:00:00"/>
    <n v="4"/>
    <n v="1"/>
    <n v="26"/>
    <s v="Cada integrante presenta los_x000a_logros obtenidos y las_x000a_dificultades enfrentadas durante_x000a_el ciclo, justificándolos con datos_x000a_reales."/>
  </r>
  <r>
    <s v="Identificación de_x000a_aspectos_x000a_positivos y_x000a_negativos"/>
    <x v="1"/>
    <s v="LP"/>
    <n v="1"/>
    <n v="30"/>
    <d v="2025-10-15T00:00:00"/>
    <d v="1899-12-30T09:00:00"/>
    <d v="2025-10-13T00:00:00"/>
    <d v="1899-12-30T19:00:00"/>
    <n v="4"/>
    <n v="1"/>
    <n v="26"/>
    <s v="Cada integrante presenta los_x000a_logros obtenidos y las_x000a_dificultades enfrentadas durante_x000a_el ciclo, justificándolos con datos_x000a_reales."/>
  </r>
  <r>
    <s v="Identificación de_x000a_aspectos_x000a_positivos y_x000a_negativos"/>
    <x v="5"/>
    <s v="LA"/>
    <n v="1"/>
    <n v="30"/>
    <d v="2025-10-15T00:00:00"/>
    <d v="1899-12-30T09:00:00"/>
    <d v="2025-10-13T00:00:00"/>
    <d v="1899-12-30T19:00:00"/>
    <n v="4"/>
    <n v="1"/>
    <n v="26"/>
    <s v="Cada integrante presenta los_x000a_logros obtenidos y las_x000a_dificultades enfrentadas durante_x000a_el ciclo, justificándolos con datos_x000a_reales."/>
  </r>
  <r>
    <s v="Identificación de_x000a_aspectos_x000a_positivos y_x000a_negativos"/>
    <x v="3"/>
    <s v="LD"/>
    <n v="1"/>
    <n v="30"/>
    <d v="2025-10-15T00:00:00"/>
    <d v="1899-12-30T09:00:00"/>
    <d v="2025-10-13T00:00:00"/>
    <d v="1899-12-30T19:00:00"/>
    <n v="4"/>
    <n v="1"/>
    <n v="26"/>
    <s v="Cada integrante presenta los_x000a_logros obtenidos y las_x000a_dificultades enfrentadas durante_x000a_el ciclo, justificándolos con datos_x000a_reales."/>
  </r>
  <r>
    <s v="Identificación de_x000a_aspectos_x000a_positivos y_x000a_negativos"/>
    <x v="0"/>
    <s v="LC"/>
    <n v="1"/>
    <n v="30"/>
    <d v="2025-10-15T00:00:00"/>
    <d v="1899-12-30T09:00:00"/>
    <d v="2025-10-13T00:00:00"/>
    <d v="1899-12-30T19:00:00"/>
    <n v="4"/>
    <n v="1"/>
    <n v="26"/>
    <s v="Cada integrante presenta los_x000a_logros obtenidos y las_x000a_dificultades enfrentadas durante_x000a_el ciclo, justificándolos con datos_x000a_reales."/>
  </r>
  <r>
    <s v="Identificación de_x000a_aspectos_x000a_positivos y_x000a_negativos"/>
    <x v="2"/>
    <s v="LS"/>
    <n v="1"/>
    <n v="30"/>
    <d v="2025-10-15T00:00:00"/>
    <d v="1899-12-30T09:00:00"/>
    <d v="2025-10-13T00:00:00"/>
    <d v="1899-12-30T19:00:00"/>
    <n v="4"/>
    <n v="1"/>
    <n v="26"/>
    <s v="Cada integrante presenta los_x000a_logros obtenidos y las_x000a_dificultades enfrentadas durante_x000a_el ciclo, justificándolos con datos_x000a_reales."/>
  </r>
  <r>
    <s v="Formulación de_x000a_propuestas de_x000a_mejora_x000a_(problema solución)"/>
    <x v="4"/>
    <s v="LE"/>
    <n v="1"/>
    <n v="30"/>
    <d v="2025-10-15T00:00:00"/>
    <d v="1899-12-30T09:00:00"/>
    <d v="2025-10-13T00:00:00"/>
    <d v="1899-12-30T19:00:00"/>
    <n v="0"/>
    <n v="1"/>
    <n v="30"/>
    <s v="Se plantean las mejoras a_x000a_implementar para el siguiente_x000a_ciclo, partiendo de los problemas_x000a_detectados. Se define una acción_x000a_concreta por propuesta."/>
  </r>
  <r>
    <s v="Formulación de_x000a_propuestas de_x000a_mejora_x000a_(problema solución)"/>
    <x v="1"/>
    <s v="LP"/>
    <n v="1"/>
    <n v="30"/>
    <d v="2025-10-15T00:00:00"/>
    <d v="1899-12-30T09:00:00"/>
    <d v="2025-10-13T00:00:00"/>
    <d v="1899-12-30T19:00:00"/>
    <n v="0"/>
    <n v="1"/>
    <n v="30"/>
    <s v="Se plantean las mejoras a_x000a_implementar para el siguiente_x000a_ciclo, partiendo de los problemas_x000a_detectados. Se define una acción_x000a_concreta por propuesta."/>
  </r>
  <r>
    <s v="Formulación de_x000a_propuestas de_x000a_mejora_x000a_(problema solución)"/>
    <x v="5"/>
    <s v="LA"/>
    <n v="1"/>
    <n v="30"/>
    <d v="2025-10-15T00:00:00"/>
    <d v="1899-12-30T09:00:00"/>
    <d v="2025-10-13T00:00:00"/>
    <d v="1899-12-30T19:00:00"/>
    <n v="0"/>
    <n v="1"/>
    <n v="30"/>
    <s v="Se plantean las mejoras a_x000a_implementar para el siguiente_x000a_ciclo, partiendo de los problemas_x000a_detectados. Se define una acción_x000a_concreta por propuesta."/>
  </r>
  <r>
    <s v="Formulación de_x000a_propuestas de_x000a_mejora_x000a_(problema solución)"/>
    <x v="3"/>
    <s v="LD"/>
    <n v="1"/>
    <n v="30"/>
    <d v="2025-10-15T00:00:00"/>
    <d v="1899-12-30T09:00:00"/>
    <d v="2025-10-13T00:00:00"/>
    <d v="1899-12-30T19:00:00"/>
    <n v="0"/>
    <n v="1"/>
    <n v="30"/>
    <s v="Se plantean las mejoras a_x000a_implementar para el siguiente_x000a_ciclo, partiendo de los problemas_x000a_detectados. Se define una acción_x000a_concreta por propuesta."/>
  </r>
  <r>
    <s v="Formulación de_x000a_propuestas de_x000a_mejora_x000a_(problema solución)"/>
    <x v="0"/>
    <s v="LC"/>
    <n v="1"/>
    <n v="30"/>
    <d v="2025-10-15T00:00:00"/>
    <d v="1899-12-30T09:00:00"/>
    <d v="2025-10-13T00:00:00"/>
    <d v="1899-12-30T19:00:00"/>
    <n v="0"/>
    <n v="1"/>
    <n v="30"/>
    <s v="Se plantean las mejoras a_x000a_implementar para el siguiente_x000a_ciclo, partiendo de los problemas_x000a_detectados. Se define una acción_x000a_concreta por propuesta."/>
  </r>
  <r>
    <s v="Formulación de_x000a_propuestas de_x000a_mejora_x000a_(problema solución)"/>
    <x v="2"/>
    <s v="LS"/>
    <n v="1"/>
    <n v="30"/>
    <d v="2025-10-15T00:00:00"/>
    <d v="1899-12-30T09:00:00"/>
    <d v="2025-10-13T00:00:00"/>
    <d v="1899-12-30T19:00:00"/>
    <n v="0"/>
    <n v="1"/>
    <n v="30"/>
    <s v="Se plantean las mejoras a_x000a_implementar para el siguiente_x000a_ciclo, partiendo de los problemas_x000a_detectados. Se define una acción_x000a_concreta por propuesta."/>
  </r>
  <r>
    <s v="Reporte de_x000a_ciclo_x000a_(análisis de proceso,_x000a_esfuerzo y_x000a_producto)"/>
    <x v="1"/>
    <s v="LP"/>
    <n v="1"/>
    <n v="30"/>
    <d v="2025-10-15T00:00:00"/>
    <d v="1899-12-30T09:00:00"/>
    <d v="2025-10-13T00:00:00"/>
    <d v="1899-12-30T10:30:00"/>
    <n v="6"/>
    <n v="1"/>
    <n v="24"/>
    <s v="Se consolidan los resultados del_x000a_equipo respecto al proceso_x000a_seguido, el esfuerzo invertido y la_x000a_calidad del producto entregado."/>
  </r>
  <r>
    <s v="Reporte de_x000a_ciclo_x000a_(análisis de proceso,_x000a_esfuerzo y_x000a_producto)"/>
    <x v="3"/>
    <s v="LD"/>
    <n v="1"/>
    <n v="30"/>
    <d v="2025-10-15T00:00:00"/>
    <d v="1899-12-30T09:00:00"/>
    <d v="2025-10-13T00:00:00"/>
    <d v="1899-12-30T10:30:00"/>
    <n v="6"/>
    <n v="1"/>
    <n v="24"/>
    <s v="Se consolidan los resultados del_x000a_equipo respecto al proceso_x000a_seguido, el esfuerzo invertido y la_x000a_calidad del producto entregado."/>
  </r>
  <r>
    <s v="Diseño y_x000a_consolidación de la_x000a_presentación final"/>
    <x v="4"/>
    <s v="LE"/>
    <n v="1"/>
    <n v="30"/>
    <d v="2025-10-15T00:00:00"/>
    <d v="1899-12-30T09:00:00"/>
    <d v="2025-10-13T00:00:00"/>
    <d v="1899-12-30T19:30:00"/>
    <n v="2"/>
    <n v="1"/>
    <n v="28"/>
    <s v="Se unifican todas las diapositivas_x000a_en una presentación coherente,_x000a_clara y visualmente organizada,_x000a_incluyendo las métricas_x000a_generales y las conclusiones."/>
  </r>
  <r>
    <s v="Diseño y_x000a_consolidación de la_x000a_presentación final"/>
    <x v="1"/>
    <s v="LP"/>
    <n v="1"/>
    <n v="30"/>
    <d v="2025-10-15T00:00:00"/>
    <d v="1899-12-30T09:00:00"/>
    <d v="2025-10-13T00:00:00"/>
    <d v="1899-12-30T19:30:00"/>
    <n v="2"/>
    <n v="1"/>
    <n v="28"/>
    <s v="Se unifican todas las diapositivas_x000a_en una presentación coherente,_x000a_clara y visualmente organizada,_x000a_incluyendo las métricas_x000a_generales y las conclusiones."/>
  </r>
  <r>
    <s v="Diseño y_x000a_consolidación de la_x000a_presentación final"/>
    <x v="5"/>
    <s v="LA"/>
    <n v="1"/>
    <n v="30"/>
    <d v="2025-10-15T00:00:00"/>
    <d v="1899-12-30T09:00:00"/>
    <d v="2025-10-13T00:00:00"/>
    <d v="1899-12-30T19:30:00"/>
    <n v="2"/>
    <n v="1"/>
    <n v="28"/>
    <s v="Se unifican todas las diapositivas_x000a_en una presentación coherente,_x000a_clara y visualmente organizada,_x000a_incluyendo las métricas_x000a_generales y las conclusiones."/>
  </r>
  <r>
    <s v="Diseño y_x000a_consolidación de la_x000a_presentación final"/>
    <x v="3"/>
    <s v="LD"/>
    <n v="1"/>
    <n v="30"/>
    <d v="2025-10-15T00:00:00"/>
    <d v="1899-12-30T09:00:00"/>
    <d v="2025-10-13T00:00:00"/>
    <d v="1899-12-30T19:30:00"/>
    <n v="2"/>
    <n v="1"/>
    <n v="28"/>
    <s v="Se unifican todas las diapositivas_x000a_en una presentación coherente,_x000a_clara y visualmente organizada,_x000a_incluyendo las métricas_x000a_generales y las conclusiones."/>
  </r>
  <r>
    <s v="Diseño y_x000a_consolidación de la_x000a_presentación final"/>
    <x v="0"/>
    <s v="LC"/>
    <n v="1"/>
    <n v="30"/>
    <d v="2025-10-15T00:00:00"/>
    <d v="1899-12-30T09:00:00"/>
    <d v="2025-10-13T00:00:00"/>
    <d v="1899-12-30T19:30:00"/>
    <n v="2"/>
    <n v="1"/>
    <n v="28"/>
    <s v="Se unifican todas las diapositivas_x000a_en una presentación coherente,_x000a_clara y visualmente organizada,_x000a_incluyendo las métricas_x000a_generales y las conclusiones."/>
  </r>
  <r>
    <s v="Diseño y_x000a_consolidación de la_x000a_presentación final"/>
    <x v="2"/>
    <s v="LS"/>
    <n v="1"/>
    <n v="30"/>
    <d v="2025-10-15T00:00:00"/>
    <d v="1899-12-30T09:00:00"/>
    <d v="2025-10-13T00:00:00"/>
    <d v="1899-12-30T19:30:00"/>
    <n v="2"/>
    <n v="1"/>
    <n v="28"/>
    <s v="Se unifican todas las diapositivas_x000a_en una presentación coherente,_x000a_clara y visualmente organizada,_x000a_incluyendo las métricas_x000a_generales y las conclusiones."/>
  </r>
  <r>
    <s v="Revisión y_x000a_validación_x000a_final de_x000a_entregables"/>
    <x v="4"/>
    <s v="LE"/>
    <n v="1"/>
    <n v="30"/>
    <d v="2025-10-15T00:00:00"/>
    <d v="1899-12-30T09:00:00"/>
    <d v="2025-10-13T00:00:00"/>
    <d v="1899-12-30T19:30:00"/>
    <n v="0"/>
    <n v="2"/>
    <n v="30"/>
    <s v="Se revisan el documento y la_x000a_presentación verificando_x000a_consistencia entre datos,_x000a_conclusiones y métricas. Se_x000a_obtiene la aprobación del equipo."/>
  </r>
  <r>
    <s v="Revisión y_x000a_validación_x000a_final de_x000a_entregables"/>
    <x v="1"/>
    <s v="LP"/>
    <n v="1"/>
    <n v="30"/>
    <d v="2025-10-15T00:00:00"/>
    <d v="1899-12-30T09:00:00"/>
    <d v="2025-10-13T00:00:00"/>
    <d v="1899-12-30T19:30:00"/>
    <n v="0"/>
    <n v="2"/>
    <n v="30"/>
    <s v="Se revisan el documento y la_x000a_presentación verificando_x000a_consistencia entre datos,_x000a_conclusiones y métricas. Se_x000a_obtiene la aprobación del equipo."/>
  </r>
  <r>
    <s v="Revisión y_x000a_validación_x000a_final de_x000a_entregables"/>
    <x v="5"/>
    <s v="LA"/>
    <n v="1"/>
    <n v="30"/>
    <d v="2025-10-15T00:00:00"/>
    <d v="1899-12-30T09:00:00"/>
    <d v="2025-10-13T00:00:00"/>
    <d v="1899-12-30T19:30:00"/>
    <n v="0"/>
    <n v="2"/>
    <n v="30"/>
    <s v="Se revisan el documento y la_x000a_presentación verificando_x000a_consistencia entre datos,_x000a_conclusiones y métricas. Se_x000a_obtiene la aprobación del equipo."/>
  </r>
  <r>
    <s v="Revisión y_x000a_validación_x000a_final de_x000a_entregables"/>
    <x v="3"/>
    <s v="LD"/>
    <n v="1"/>
    <n v="30"/>
    <d v="2025-10-15T00:00:00"/>
    <d v="1899-12-30T09:00:00"/>
    <d v="2025-10-13T00:00:00"/>
    <d v="1899-12-30T19:30:00"/>
    <n v="0"/>
    <n v="2"/>
    <n v="30"/>
    <s v="Se revisan el documento y la_x000a_presentación verificando_x000a_consistencia entre datos,_x000a_conclusiones y métricas. Se_x000a_obtiene la aprobación del equipo."/>
  </r>
  <r>
    <s v="Revisión y_x000a_validación_x000a_final de_x000a_entregables"/>
    <x v="0"/>
    <s v="LC"/>
    <n v="1"/>
    <n v="30"/>
    <d v="2025-10-15T00:00:00"/>
    <d v="1899-12-30T09:00:00"/>
    <d v="2025-10-13T00:00:00"/>
    <d v="1899-12-30T19:30:00"/>
    <n v="0"/>
    <n v="2"/>
    <n v="30"/>
    <s v="Se revisan el documento y la_x000a_presentación verificando_x000a_consistencia entre datos,_x000a_conclusiones y métricas. Se_x000a_obtiene la aprobación del equipo."/>
  </r>
  <r>
    <s v="Revisión y_x000a_validación_x000a_final de_x000a_entregables"/>
    <x v="2"/>
    <s v="LS"/>
    <n v="1"/>
    <n v="30"/>
    <d v="2025-10-15T00:00:00"/>
    <d v="1899-12-30T09:00:00"/>
    <d v="2025-10-13T00:00:00"/>
    <d v="1899-12-30T19:30:00"/>
    <n v="0"/>
    <n v="2"/>
    <n v="30"/>
    <s v="Se revisan el documento y la_x000a_presentación verificando_x000a_consistencia entre datos,_x000a_conclusiones y métricas. Se_x000a_obtiene la aprobación del equipo."/>
  </r>
  <r>
    <s v="Entrega y_x000a_exposición_x000a_del_x000a_Postmortem"/>
    <x v="4"/>
    <s v="LE"/>
    <n v="1"/>
    <n v="30"/>
    <d v="2025-10-15T00:00:00"/>
    <d v="1899-12-30T09:00:00"/>
    <d v="2025-10-13T00:00:00"/>
    <d v="1899-12-30T19:30:00"/>
    <n v="0"/>
    <n v="7"/>
    <n v="30"/>
    <s v="Se entrega el documento final y_x000a_se realiza la exposición ante el_x000a_docente. Cada integrante_x000a_sustenta sus resultados y la_x000a_propuesta de mejora."/>
  </r>
  <r>
    <s v="Corrección de DOCUMENTOS POSTMORTEM"/>
    <x v="0"/>
    <s v="LC"/>
    <n v="1"/>
    <n v="30"/>
    <d v="2025-10-08T00:00:00"/>
    <d v="1899-12-30T09:00:00"/>
    <d v="2025-10-13T00:00:00"/>
    <d v="1899-12-30T16:30:00"/>
    <n v="0"/>
    <n v="1"/>
    <n v="30"/>
    <s v="Corrección ortografica o lógica de los documentos de esta fase."/>
  </r>
  <r>
    <s v="Control de _x000a_cambios "/>
    <x v="0"/>
    <s v="LC"/>
    <n v="1"/>
    <n v="20"/>
    <d v="2025-10-15T00:00:00"/>
    <d v="1899-12-30T09:00:00"/>
    <d v="2025-10-13T00:00:00"/>
    <d v="1899-12-30T19:20:00"/>
    <n v="0"/>
    <n v="1"/>
    <n v="20"/>
    <s v="Gestionar solicitudes de cambios, su evaluación, aprobación/rechazo e implantación. "/>
  </r>
  <r>
    <s v="Control de _x000a_cambios "/>
    <x v="6"/>
    <s v="LS"/>
    <n v="1"/>
    <n v="20"/>
    <d v="2025-10-15T00:00:00"/>
    <d v="1899-12-30T09:00:00"/>
    <d v="2025-10-13T00:00:00"/>
    <d v="1899-12-30T19:20:00"/>
    <n v="0"/>
    <n v="1"/>
    <n v="20"/>
    <s v="Gestionar solicitudes de cambios, su evaluación, aprobación/rechazo e implantación. "/>
  </r>
  <r>
    <s v="Registrar y gestionar riesgos"/>
    <x v="0"/>
    <s v="LC"/>
    <n v="1"/>
    <n v="30"/>
    <d v="2025-10-15T00:00:00"/>
    <d v="1899-12-30T09:00:00"/>
    <d v="2025-10-13T00:00:00"/>
    <d v="1899-12-30T20:00:00"/>
    <n v="6"/>
    <n v="1"/>
    <n v="24"/>
    <s v="Identificar, clasificar y dar seguimiento a_x000a_riesgos del proyecto."/>
  </r>
  <r>
    <s v="Log de defectos(apertura,seguimiento y cierre)"/>
    <x v="3"/>
    <s v="LD"/>
    <n v="1"/>
    <n v="30"/>
    <d v="2025-10-15T00:00:00"/>
    <d v="1899-12-30T09:00:00"/>
    <d v="2025-10-13T00:00:00"/>
    <d v="1899-12-30T20:00:00"/>
    <n v="0"/>
    <n v="1"/>
    <n v="30"/>
    <s v="Registrar incidencias y defectos, dar_x000a_seguimiento y cerrar tras validación."/>
  </r>
  <r>
    <s v="Bitácoras y actas"/>
    <x v="3"/>
    <s v="LD"/>
    <n v="5"/>
    <n v="50"/>
    <d v="2025-10-15T00:00:00"/>
    <d v="1899-12-30T09:00:00"/>
    <d v="2025-10-13T00:00:00"/>
    <d v="1899-12-30T20:50:00"/>
    <n v="5"/>
    <n v="5"/>
    <n v="45"/>
    <s v="Documentar bitácoras de tiempo y actas de_x000a_reuniones, manteniendo control de_x000a_versiones."/>
  </r>
  <r>
    <s v="Elaboración de las bitácoras"/>
    <x v="1"/>
    <s v="LP"/>
    <n v="1"/>
    <n v="60"/>
    <d v="2025-10-15T00:00:00"/>
    <d v="1899-12-30T09:00:00"/>
    <d v="2025-10-13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2"/>
    <s v="LS"/>
    <n v="1"/>
    <n v="60"/>
    <d v="2025-10-15T00:00:00"/>
    <d v="1899-12-30T09:00:00"/>
    <d v="2025-10-13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4"/>
    <s v="LE"/>
    <n v="1"/>
    <n v="60"/>
    <d v="2025-10-15T00:00:00"/>
    <d v="1899-12-30T09:00:00"/>
    <d v="2025-10-13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5"/>
    <s v="LA"/>
    <n v="1"/>
    <n v="60"/>
    <d v="2025-10-15T00:00:00"/>
    <d v="1899-12-30T09:00:00"/>
    <d v="2025-10-13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0"/>
    <s v="LC"/>
    <n v="1"/>
    <n v="60"/>
    <d v="2025-10-15T00:00:00"/>
    <d v="1899-12-30T09:00:00"/>
    <d v="2025-10-13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3"/>
    <s v="LD"/>
    <n v="1"/>
    <n v="60"/>
    <d v="2025-10-15T00:00:00"/>
    <d v="1899-12-30T09:00:00"/>
    <d v="2025-10-13T00:00:00"/>
    <d v="1899-12-30T22:00:00"/>
    <n v="50"/>
    <n v="1"/>
    <n v="10"/>
    <s v="Con las bitácoras llenamos cada espacio con las actividaes correspondientes según el control de asignaciones"/>
  </r>
  <r>
    <s v="Evaluación de log de defectos"/>
    <x v="4"/>
    <s v="LE"/>
    <n v="1"/>
    <n v="30"/>
    <d v="2025-10-15T00:00:00"/>
    <d v="1899-12-30T09:00:00"/>
    <d v="2025-10-13T00:00:00"/>
    <d v="1899-12-30T22:00:00"/>
    <n v="0"/>
    <n v="1"/>
    <n v="30"/>
    <s v="No comentarios"/>
  </r>
  <r>
    <s v="Llenado de log de defectos"/>
    <x v="0"/>
    <s v="LC"/>
    <n v="1"/>
    <n v="30"/>
    <d v="2025-10-15T00:00:00"/>
    <d v="1899-12-30T09:00:00"/>
    <d v="2025-10-13T00:00:00"/>
    <d v="1899-12-30T22:00:00"/>
    <n v="0"/>
    <n v="1"/>
    <n v="30"/>
    <s v="No comentarios"/>
  </r>
  <r>
    <s v="Acta de reunión"/>
    <x v="0"/>
    <s v="LC"/>
    <n v="1"/>
    <n v="45"/>
    <d v="2025-10-15T00:00:00"/>
    <d v="1899-12-30T09:00:00"/>
    <d v="2025-10-13T00:00:00"/>
    <d v="1899-12-30T22:30:00"/>
    <n v="-35"/>
    <n v="1"/>
    <n v="80"/>
    <s v="Ordenar en grupo todos los documentos asignados para la primera entrega"/>
  </r>
  <r>
    <s v="Elaboración de diapositivas(Informe final)"/>
    <x v="4"/>
    <s v="LE"/>
    <n v="1"/>
    <n v="60"/>
    <d v="2025-10-15T00:00:00"/>
    <d v="1899-12-30T09:00:00"/>
    <d v="2025-10-13T00:00:00"/>
    <d v="1899-12-30T22:30:00"/>
    <n v="10"/>
    <n v="1"/>
    <n v="50"/>
    <s v="Diapositivas con los documentos hechos "/>
  </r>
  <r>
    <s v="Maestro de documentos"/>
    <x v="4"/>
    <s v="LE"/>
    <n v="1"/>
    <n v="55"/>
    <d v="2025-10-15T00:00:00"/>
    <d v="1899-12-30T09:00:00"/>
    <d v="2025-10-13T00:00:00"/>
    <d v="1899-12-30T22:30:00"/>
    <n v="0"/>
    <n v="1"/>
    <n v="55"/>
    <s v="Realización de un excel con los documentos hechos "/>
  </r>
  <r>
    <s v="Revisión de _x000a_documentos "/>
    <x v="0"/>
    <s v="LC"/>
    <n v="1"/>
    <n v="30"/>
    <d v="2025-10-15T00:00:00"/>
    <d v="1899-12-30T09:00:00"/>
    <d v="2025-10-13T00:00:00"/>
    <d v="1899-12-30T22:30:00"/>
    <n v="-2"/>
    <n v="1"/>
    <n v="32"/>
    <s v="Se revisan los tres documentos realizados en grupo para consolidar los resultados y corregir errores "/>
  </r>
  <r>
    <s v="Revisión de _x000a_documentos "/>
    <x v="2"/>
    <s v="LS"/>
    <n v="1"/>
    <n v="30"/>
    <d v="2025-10-15T00:00:00"/>
    <d v="1899-12-30T09:00:00"/>
    <d v="2025-10-13T00:00:00"/>
    <d v="1899-12-30T22:30:00"/>
    <n v="-2"/>
    <n v="1"/>
    <n v="32"/>
    <s v="Se revisan los tres documentos realizados en grupo para consolidar los resultados y corregir errores "/>
  </r>
  <r>
    <s v="Revisión de _x000a_documentos "/>
    <x v="1"/>
    <s v="LP"/>
    <n v="1"/>
    <n v="30"/>
    <d v="2025-10-15T00:00:00"/>
    <d v="1899-12-30T09:00:00"/>
    <d v="2025-10-13T00:00:00"/>
    <d v="1899-12-30T22:30:00"/>
    <n v="-2"/>
    <n v="1"/>
    <n v="32"/>
    <s v="Se revisan los tres documentos realizados en grupo para consolidar los resultados y corregir errores "/>
  </r>
  <r>
    <s v="Revisión de _x000a_documentos "/>
    <x v="4"/>
    <s v="LE"/>
    <n v="1"/>
    <n v="30"/>
    <d v="2025-10-15T00:00:00"/>
    <d v="1899-12-30T09:00:00"/>
    <d v="2025-10-13T00:00:00"/>
    <d v="1899-12-30T22:30:00"/>
    <n v="-2"/>
    <n v="1"/>
    <n v="32"/>
    <s v="Se revisan los tres documentos realizados en grupo para consolidar los resultados y corregir errores "/>
  </r>
  <r>
    <s v="Revisión de _x000a_documentos "/>
    <x v="5"/>
    <s v="LA"/>
    <n v="1"/>
    <n v="30"/>
    <d v="2025-10-15T00:00:00"/>
    <d v="1899-12-30T09:00:00"/>
    <d v="2025-10-13T00:00:00"/>
    <d v="1899-12-30T22:30:00"/>
    <n v="-2"/>
    <n v="1"/>
    <n v="32"/>
    <s v="Se revisan los tres documentos realizados en grupo para consolidar los resultados y corregir errores "/>
  </r>
  <r>
    <s v="Revisión de _x000a_documentos "/>
    <x v="3"/>
    <s v="LD"/>
    <n v="1"/>
    <n v="30"/>
    <d v="2025-10-15T00:00:00"/>
    <d v="1899-12-30T09:00:00"/>
    <d v="2025-10-13T00:00:00"/>
    <d v="1899-12-30T22:30:00"/>
    <n v="-2"/>
    <n v="1"/>
    <n v="32"/>
    <s v="Se revisan los tres documentos realizados en grupo para consolidar los resultados y corregir errores "/>
  </r>
  <r>
    <s v="Subir los documentos a la página web"/>
    <x v="4"/>
    <s v="LE"/>
    <n v="3"/>
    <n v="20"/>
    <d v="2025-10-15T00:00:00"/>
    <d v="1899-12-30T09:00:00"/>
    <d v="2025-10-15T00:00:00"/>
    <d v="1899-12-30T09:00:00"/>
    <n v="5"/>
    <n v="3"/>
    <n v="15"/>
    <s v="Todos los documentos subidos _x000a_y actualizados en la pagina 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s v="Script de definición de procesos"/>
    <x v="0"/>
    <s v="LC"/>
    <n v="1"/>
    <n v="30"/>
    <d v="2025-10-29T00:00:00"/>
    <d v="1899-12-30T09:00:00"/>
    <d v="2025-10-27T00:00:00"/>
    <d v="1899-12-30T10:00:00"/>
    <n v="5"/>
    <n v="1"/>
    <n v="25"/>
    <s v="Diligenciar el formato correspondiente al script de definición de procesos"/>
  </r>
  <r>
    <s v="Control de asignaciones"/>
    <x v="1"/>
    <s v="LP"/>
    <n v="1"/>
    <n v="30"/>
    <d v="2025-10-29T00:00:00"/>
    <d v="1899-12-30T09:00:00"/>
    <d v="2025-10-27T00:00:00"/>
    <d v="1899-12-30T10:00:00"/>
    <n v="5"/>
    <n v="1"/>
    <n v="25"/>
    <s v="Se realizo el llenado del control de asignaciones para asi terminar con éxito la fase 1 del ciclo 2 y para que los demas lideres llenen sus bitácoras"/>
  </r>
  <r>
    <s v="Control de asignaciones"/>
    <x v="0"/>
    <s v="LC"/>
    <n v="1"/>
    <n v="30"/>
    <d v="2025-10-29T00:00:00"/>
    <d v="1899-12-30T09:00:00"/>
    <d v="2025-10-27T00:00:00"/>
    <d v="1899-12-30T10:30:00"/>
    <n v="4"/>
    <n v="1"/>
    <n v="26"/>
    <s v="Verificar asistencia y compromiso de todos_x000a_los integrantes para el desarrollo del_x000a_proyecto."/>
  </r>
  <r>
    <s v="Control de asignaciones"/>
    <x v="2"/>
    <s v="LS"/>
    <n v="1"/>
    <n v="30"/>
    <d v="2025-10-29T00:00:00"/>
    <d v="1899-12-30T09:00:00"/>
    <s v="27/20/2025"/>
    <d v="1899-12-30T10:00:00"/>
    <n v="4"/>
    <n v="1"/>
    <n v="26"/>
    <s v="Verificar asistencia y compromiso de todos los integrantes para el desarrollo del proyecto."/>
  </r>
  <r>
    <s v="Asignación de roles"/>
    <x v="2"/>
    <s v="LS"/>
    <n v="1"/>
    <n v="30"/>
    <d v="2025-10-29T00:00:00"/>
    <d v="1899-12-30T09:00:00"/>
    <s v="27/20/2025"/>
    <d v="1899-12-30T11:00:00"/>
    <n v="5"/>
    <n v="2"/>
    <n v="25"/>
    <s v="Designar oficialmente los roles (Líder de_x000a_equipo, planeación, calidad, soporte,_x000a_desarrollo, arquitectura)"/>
  </r>
  <r>
    <s v="Asignación de roles"/>
    <x v="0"/>
    <s v="LC"/>
    <n v="1"/>
    <n v="30"/>
    <d v="2025-10-29T00:00:00"/>
    <d v="1899-12-30T09:00:00"/>
    <s v="27/20/2025"/>
    <d v="1899-12-30T11:00:00"/>
    <n v="5"/>
    <n v="2"/>
    <n v="25"/>
    <s v="Designar oficialmente los roles (Líder de_x000a_equipo, planeación, calidad, soporte,_x000a_desarrollo, arquitectura)"/>
  </r>
  <r>
    <s v="Definición_x000a_de reglas_x000a_de trabajo"/>
    <x v="2"/>
    <s v="LS"/>
    <n v="1"/>
    <n v="30"/>
    <d v="2025-10-29T00:00:00"/>
    <d v="1899-12-30T09:00:00"/>
    <d v="2025-10-28T00:00:00"/>
    <d v="1899-12-30T10:00:00"/>
    <n v="0"/>
    <n v="2"/>
    <n v="30"/>
    <s v="Acordar normas de comunicación,_x000a_reuniones, ciclo de entregas y solución de_x000a_conflictos."/>
  </r>
  <r>
    <s v="Definición_x000a_de reglas_x000a_de trabajo"/>
    <x v="0"/>
    <s v="LC"/>
    <n v="1"/>
    <n v="30"/>
    <d v="2025-10-29T00:00:00"/>
    <d v="1899-12-30T09:00:00"/>
    <d v="2025-10-28T00:00:00"/>
    <d v="1899-12-30T10:00:00"/>
    <n v="0"/>
    <n v="2"/>
    <n v="30"/>
    <s v="Acordar normas de comunicación,_x000a_reuniones, ciclo de entregas y solución de_x000a_conflictos."/>
  </r>
  <r>
    <s v="Establecimiento de_x000a_objetivos"/>
    <x v="2"/>
    <s v="LS"/>
    <n v="1"/>
    <n v="30"/>
    <d v="2025-10-29T00:00:00"/>
    <d v="1899-12-30T09:00:00"/>
    <d v="2025-10-28T00:00:00"/>
    <d v="1899-12-30T10:30:00"/>
    <n v="5"/>
    <n v="2"/>
    <n v="25"/>
    <s v="Determinar objetivos del equipo,_x000a_individuales y por rol alineados con el_x000a_problema definido y con la visión general_x000a_del proyecto."/>
  </r>
  <r>
    <s v="Establecimiento de_x000a_objetivos"/>
    <x v="0"/>
    <s v="LC"/>
    <n v="1"/>
    <n v="30"/>
    <d v="2025-10-29T00:00:00"/>
    <d v="1899-12-30T09:00:00"/>
    <d v="2025-10-28T00:00:00"/>
    <d v="1899-12-30T10:30:00"/>
    <n v="5"/>
    <n v="2"/>
    <n v="25"/>
    <s v="Determinar objetivos del equipo,_x000a_individuales y por rol alineados con el_x000a_problema definido y con la visión general_x000a_del proyecto."/>
  </r>
  <r>
    <s v="Registro_x000a_de_x000a_disponibilidad"/>
    <x v="0"/>
    <s v="LC"/>
    <n v="1"/>
    <n v="30"/>
    <d v="2025-10-29T00:00:00"/>
    <d v="1899-12-30T09:00:00"/>
    <d v="2025-10-28T00:00:00"/>
    <d v="1899-12-30T11:00:00"/>
    <n v="3"/>
    <n v="1"/>
    <n v="27"/>
    <s v="Documentar horarios y tiempo disponible_x000a_de cada miembro para coordinar_x000a_actividades"/>
  </r>
  <r>
    <s v="Registro_x000a_de_x000a_disponibilidad"/>
    <x v="2"/>
    <s v="LS"/>
    <n v="1"/>
    <n v="30"/>
    <d v="2025-10-29T00:00:00"/>
    <d v="1899-12-30T09:00:00"/>
    <d v="2025-10-28T00:00:00"/>
    <d v="1899-12-30T11:00:00"/>
    <n v="3"/>
    <n v="1"/>
    <n v="27"/>
    <s v="Documentar horarios y tiempo disponible_x000a_de cada miembro para coordinar_x000a_actividades"/>
  </r>
  <r>
    <s v="Firma del_x000a_acta de_x000a_iniciación"/>
    <x v="2"/>
    <s v="LS"/>
    <n v="1"/>
    <n v="30"/>
    <d v="2025-10-29T00:00:00"/>
    <d v="1899-12-30T09:00:00"/>
    <d v="2025-10-28T00:00:00"/>
    <d v="1899-12-30T11:30:00"/>
    <n v="2"/>
    <n v="1"/>
    <n v="28"/>
    <s v="Consolidar toda la información y oficializar_x000a_el inicio del proyecto incluyendo la_x000a_definición del problema con la firma de_x000a_todos"/>
  </r>
  <r>
    <s v="Firma del_x000a_acta de_x000a_iniciación"/>
    <x v="0"/>
    <s v="LC"/>
    <n v="1"/>
    <n v="30"/>
    <d v="2025-10-29T00:00:00"/>
    <d v="1899-12-30T09:00:00"/>
    <d v="2025-10-28T00:00:00"/>
    <d v="1899-12-30T11:30:00"/>
    <n v="2"/>
    <n v="1"/>
    <n v="28"/>
    <s v="Consolidar toda la información y oficializar_x000a_el inicio del proyecto incluyendo la_x000a_definición del problema con la firma de_x000a_todos"/>
  </r>
  <r>
    <s v="Lineamiento_x000a_estratégico"/>
    <x v="3"/>
    <s v="LE"/>
    <n v="1"/>
    <n v="30"/>
    <d v="2025-10-29T00:00:00"/>
    <d v="1899-12-30T09:00:00"/>
    <d v="2025-10-28T00:00:00"/>
    <d v="1899-12-30T12:00:00"/>
    <n v="0"/>
    <n v="1"/>
    <n v="30"/>
    <s v="Plantear la ruta general del proyecto y_x000a_principios de trabajo."/>
  </r>
  <r>
    <s v="Lineamiento_x000a_estratégico"/>
    <x v="4"/>
    <s v="LD"/>
    <n v="1"/>
    <n v="30"/>
    <d v="2025-10-29T00:00:00"/>
    <d v="1899-12-30T09:00:00"/>
    <d v="2025-10-28T00:00:00"/>
    <d v="1899-12-30T12:00:00"/>
    <n v="0"/>
    <n v="1"/>
    <n v="30"/>
    <s v="Plantear la ruta general del proyecto y_x000a_principios de trabajo."/>
  </r>
  <r>
    <s v="Lineamiento_x000a_estratégico"/>
    <x v="0"/>
    <s v="LC"/>
    <n v="1"/>
    <n v="30"/>
    <d v="2025-10-29T00:00:00"/>
    <d v="1899-12-30T09:00:00"/>
    <d v="2025-10-28T00:00:00"/>
    <d v="1899-12-30T12:00:00"/>
    <n v="0"/>
    <n v="1"/>
    <n v="30"/>
    <s v="Plantear la ruta general del proyecto y_x000a_principios de trabajo."/>
  </r>
  <r>
    <s v="Lineamiento_x000a_estratégico"/>
    <x v="2"/>
    <s v="LS"/>
    <n v="1"/>
    <n v="30"/>
    <d v="2025-10-29T00:00:00"/>
    <d v="1899-12-30T09:00:00"/>
    <d v="2025-10-28T00:00:00"/>
    <d v="1899-12-30T12:00:00"/>
    <n v="0"/>
    <n v="1"/>
    <n v="30"/>
    <s v="Plantear la ruta general del proyecto y_x000a_principios de trabajo."/>
  </r>
  <r>
    <s v="Lineamiento_x000a_estratégico"/>
    <x v="1"/>
    <s v="LP"/>
    <n v="1"/>
    <n v="30"/>
    <d v="2025-10-29T00:00:00"/>
    <d v="1899-12-30T09:00:00"/>
    <d v="2025-10-28T00:00:00"/>
    <d v="1899-12-30T12:00:00"/>
    <n v="0"/>
    <n v="1"/>
    <n v="30"/>
    <s v="Plantear la ruta general del proyecto y_x000a_principios de trabajo."/>
  </r>
  <r>
    <s v="Lineamiento_x000a_estratégico"/>
    <x v="5"/>
    <s v="LA"/>
    <n v="1"/>
    <n v="30"/>
    <d v="2025-10-29T00:00:00"/>
    <d v="1899-12-30T09:00:00"/>
    <d v="2025-10-28T00:00:00"/>
    <d v="1899-12-30T12:00:00"/>
    <n v="0"/>
    <n v="1"/>
    <n v="30"/>
    <s v="Plantear la ruta general del proyecto y_x000a_principios de trabajo."/>
  </r>
  <r>
    <s v="Criterios_x000a_de la_x000a_estrategia"/>
    <x v="3"/>
    <s v="LE"/>
    <n v="1"/>
    <n v="30"/>
    <d v="2025-10-29T00:00:00"/>
    <d v="1899-12-30T09:00:00"/>
    <d v="2025-10-28T00:00:00"/>
    <d v="1899-12-30T12:30:00"/>
    <n v="6"/>
    <n v="2"/>
    <n v="24"/>
    <s v="Identificar los criterios que guiarán_x000a_decisiones y prioridades."/>
  </r>
  <r>
    <s v="Criterios_x000a_de la_x000a_estrategia"/>
    <x v="4"/>
    <s v="LD"/>
    <n v="1"/>
    <n v="30"/>
    <d v="2025-10-29T00:00:00"/>
    <d v="1899-12-30T09:00:00"/>
    <d v="2025-10-28T00:00:00"/>
    <d v="1899-12-30T12:30:00"/>
    <n v="6"/>
    <n v="2"/>
    <n v="24"/>
    <s v="Identificar los criterios que guiarán_x000a_decisiones y prioridades."/>
  </r>
  <r>
    <s v="Criterios_x000a_de la_x000a_estrategia"/>
    <x v="0"/>
    <s v="LC"/>
    <n v="1"/>
    <n v="30"/>
    <d v="2025-10-29T00:00:00"/>
    <d v="1899-12-30T09:00:00"/>
    <d v="2025-10-28T00:00:00"/>
    <d v="1899-12-30T12:30:00"/>
    <n v="6"/>
    <n v="2"/>
    <n v="24"/>
    <s v="Identificar los criterios que guiarán_x000a_decisiones y prioridades."/>
  </r>
  <r>
    <s v="Criterios_x000a_de la_x000a_estrategia"/>
    <x v="2"/>
    <s v="LS"/>
    <n v="1"/>
    <n v="30"/>
    <d v="2025-10-29T00:00:00"/>
    <d v="1899-12-30T09:00:00"/>
    <d v="2025-10-28T00:00:00"/>
    <d v="1899-12-30T12:30:00"/>
    <n v="6"/>
    <n v="2"/>
    <n v="24"/>
    <s v="Identificar los criterios que guiarán_x000a_decisiones y prioridades."/>
  </r>
  <r>
    <s v="Criterios_x000a_de la_x000a_estrategia"/>
    <x v="1"/>
    <s v="LP"/>
    <n v="1"/>
    <n v="30"/>
    <d v="2025-10-29T00:00:00"/>
    <d v="1899-12-30T09:00:00"/>
    <d v="2025-10-28T00:00:00"/>
    <d v="1899-12-30T12:30:00"/>
    <n v="6"/>
    <n v="2"/>
    <n v="24"/>
    <s v="Identificar los criterios que guiarán_x000a_decisiones y prioridades."/>
  </r>
  <r>
    <s v="Criterios_x000a_de la_x000a_estrategia"/>
    <x v="5"/>
    <s v="LA"/>
    <n v="1"/>
    <n v="30"/>
    <d v="2025-10-29T00:00:00"/>
    <d v="1899-12-30T09:00:00"/>
    <d v="2025-10-28T00:00:00"/>
    <d v="1899-12-30T12:30:00"/>
    <n v="6"/>
    <n v="2"/>
    <n v="24"/>
    <s v="Identificar los criterios que guiarán_x000a_decisiones y prioridades."/>
  </r>
  <r>
    <s v="Estrategia_x000a_general"/>
    <x v="3"/>
    <s v="LE"/>
    <n v="2"/>
    <n v="30"/>
    <d v="2025-10-29T00:00:00"/>
    <d v="1899-12-30T09:00:00"/>
    <d v="2025-10-28T00:00:00"/>
    <d v="1899-12-30T13:00:00"/>
    <n v="1"/>
    <n v="1"/>
    <n v="29"/>
    <s v="Describir la orientación metodológica y_x000a_técnica del proyecto."/>
  </r>
  <r>
    <s v="Estrategia_x000a_general"/>
    <x v="4"/>
    <s v="LD"/>
    <n v="2"/>
    <n v="30"/>
    <d v="2025-10-29T00:00:00"/>
    <d v="1899-12-30T09:00:00"/>
    <d v="2025-10-28T00:00:00"/>
    <d v="1899-12-30T13:00:00"/>
    <n v="1"/>
    <n v="1"/>
    <n v="29"/>
    <s v="Describir la orientación metodológica y_x000a_técnica del proyecto."/>
  </r>
  <r>
    <s v="Estrategia_x000a_general"/>
    <x v="0"/>
    <s v="LC"/>
    <n v="2"/>
    <n v="30"/>
    <d v="2025-10-29T00:00:00"/>
    <d v="1899-12-30T09:00:00"/>
    <d v="2025-10-28T00:00:00"/>
    <d v="1899-12-30T13:00:00"/>
    <n v="1"/>
    <n v="1"/>
    <n v="29"/>
    <s v="Describir la orientación metodológica y_x000a_técnica del proyecto."/>
  </r>
  <r>
    <s v="Estrategia_x000a_general"/>
    <x v="2"/>
    <s v="LS"/>
    <n v="2"/>
    <n v="30"/>
    <d v="2025-10-29T00:00:00"/>
    <d v="1899-12-30T09:00:00"/>
    <d v="2025-10-28T00:00:00"/>
    <d v="1899-12-30T13:00:00"/>
    <n v="1"/>
    <n v="1"/>
    <n v="29"/>
    <s v="Describir la orientación metodológica y_x000a_técnica del proyecto."/>
  </r>
  <r>
    <s v="Estrategia_x000a_general"/>
    <x v="1"/>
    <s v="LP"/>
    <n v="2"/>
    <n v="30"/>
    <d v="2025-10-29T00:00:00"/>
    <d v="1899-12-30T09:00:00"/>
    <d v="2025-10-28T00:00:00"/>
    <d v="1899-12-30T13:00:00"/>
    <n v="1"/>
    <n v="1"/>
    <n v="29"/>
    <s v="Describir la orientación metodológica y_x000a_técnica del proyecto."/>
  </r>
  <r>
    <s v="Estrategia_x000a_general"/>
    <x v="5"/>
    <s v="LA"/>
    <n v="2"/>
    <n v="30"/>
    <d v="2025-10-29T00:00:00"/>
    <d v="1899-12-30T09:00:00"/>
    <d v="2025-10-28T00:00:00"/>
    <d v="1899-12-30T13:00:00"/>
    <n v="1"/>
    <n v="1"/>
    <n v="29"/>
    <s v="Describir la orientación metodológica y_x000a_técnica del proyecto."/>
  </r>
  <r>
    <s v="Diseño_x000a_conceptual"/>
    <x v="3"/>
    <s v="LE"/>
    <n v="1"/>
    <n v="35"/>
    <d v="2025-10-29T00:00:00"/>
    <d v="1899-12-30T09:00:00"/>
    <d v="2025-10-28T00:00:00"/>
    <d v="1899-12-30T13:30:00"/>
    <n v="5"/>
    <n v="2"/>
    <n v="30"/>
    <s v="Representar la visión y estructura general_x000a_de la plataforma."/>
  </r>
  <r>
    <s v="Diseño_x000a_conceptual"/>
    <x v="4"/>
    <s v="LD"/>
    <n v="1"/>
    <n v="35"/>
    <d v="2025-10-29T00:00:00"/>
    <d v="1899-12-30T09:00:00"/>
    <d v="2025-10-28T00:00:00"/>
    <d v="1899-12-30T13:30:00"/>
    <n v="5"/>
    <n v="2"/>
    <n v="30"/>
    <s v="Representar la visión y estructura general_x000a_de la plataforma."/>
  </r>
  <r>
    <s v="Diseño_x000a_conceptual"/>
    <x v="0"/>
    <s v="LC"/>
    <n v="1"/>
    <n v="35"/>
    <d v="2025-10-29T00:00:00"/>
    <d v="1899-12-30T09:00:00"/>
    <d v="2025-10-28T00:00:00"/>
    <d v="1899-12-30T13:30:00"/>
    <n v="5"/>
    <n v="2"/>
    <n v="30"/>
    <s v="Representar la visión y estructura general_x000a_de la plataforma."/>
  </r>
  <r>
    <s v="Diseño_x000a_conceptual"/>
    <x v="2"/>
    <s v="LS"/>
    <n v="1"/>
    <n v="35"/>
    <d v="2025-10-29T00:00:00"/>
    <d v="1899-12-30T09:00:00"/>
    <d v="2025-10-28T00:00:00"/>
    <d v="1899-12-30T13:30:00"/>
    <n v="5"/>
    <n v="2"/>
    <n v="30"/>
    <s v="Representar la visión y estructura general_x000a_de la plataforma."/>
  </r>
  <r>
    <s v="Diseño_x000a_conceptual"/>
    <x v="1"/>
    <s v="LP"/>
    <n v="1"/>
    <n v="35"/>
    <d v="2025-10-29T00:00:00"/>
    <d v="1899-12-30T09:00:00"/>
    <d v="2025-10-28T00:00:00"/>
    <d v="1899-12-30T13:30:00"/>
    <n v="5"/>
    <n v="2"/>
    <n v="30"/>
    <s v="Representar la visión y estructura general_x000a_de la plataforma."/>
  </r>
  <r>
    <s v="Diseño_x000a_conceptual"/>
    <x v="5"/>
    <s v="LA"/>
    <n v="1"/>
    <n v="35"/>
    <d v="2025-10-29T00:00:00"/>
    <d v="1899-12-30T09:00:00"/>
    <d v="2025-10-28T00:00:00"/>
    <d v="1899-12-30T13:30:00"/>
    <n v="5"/>
    <n v="2"/>
    <n v="30"/>
    <s v="Representar la visión y estructura general_x000a_de la plataforma."/>
  </r>
  <r>
    <s v="Identificación de_x000a_módulos"/>
    <x v="3"/>
    <s v="LE"/>
    <n v="1"/>
    <n v="30"/>
    <d v="2025-10-29T00:00:00"/>
    <d v="1899-12-30T09:00:00"/>
    <d v="2025-10-28T00:00:00"/>
    <d v="1899-12-30T14:00:00"/>
    <n v="7"/>
    <n v="1"/>
    <n v="23"/>
    <s v="Determinar las áreas funcionales que_x000a_compondrán el sistema."/>
  </r>
  <r>
    <s v="Identificación de_x000a_módulos"/>
    <x v="4"/>
    <s v="LD"/>
    <n v="1"/>
    <n v="30"/>
    <d v="2025-10-29T00:00:00"/>
    <d v="1899-12-30T09:00:00"/>
    <d v="2025-10-28T00:00:00"/>
    <d v="1899-12-30T14:00:00"/>
    <n v="7"/>
    <n v="1"/>
    <n v="23"/>
    <s v="Determinar las áreas funcionales que_x000a_compondrán el sistema."/>
  </r>
  <r>
    <s v="Identificación de_x000a_módulos"/>
    <x v="0"/>
    <s v="LC"/>
    <n v="1"/>
    <n v="30"/>
    <d v="2025-10-29T00:00:00"/>
    <d v="1899-12-30T09:00:00"/>
    <d v="2025-10-28T00:00:00"/>
    <d v="1899-12-30T14:00:00"/>
    <n v="7"/>
    <n v="1"/>
    <n v="23"/>
    <s v="Determinar las áreas funcionales que_x000a_compondrán el sistema."/>
  </r>
  <r>
    <s v="Identificación de_x000a_módulos"/>
    <x v="2"/>
    <s v="LS"/>
    <n v="1"/>
    <n v="30"/>
    <d v="2025-10-29T00:00:00"/>
    <d v="1899-12-30T09:00:00"/>
    <d v="2025-10-28T00:00:00"/>
    <d v="1899-12-30T14:00:00"/>
    <n v="7"/>
    <n v="1"/>
    <n v="23"/>
    <s v="Determinar las áreas funcionales que_x000a_compondrán el sistema."/>
  </r>
  <r>
    <s v="Identificación de_x000a_módulos"/>
    <x v="1"/>
    <s v="LP"/>
    <n v="1"/>
    <n v="30"/>
    <d v="2025-10-29T00:00:00"/>
    <d v="1899-12-30T09:00:00"/>
    <d v="2025-10-28T00:00:00"/>
    <d v="1899-12-30T14:00:00"/>
    <n v="7"/>
    <n v="1"/>
    <n v="23"/>
    <s v="Determinar las áreas funcionales que_x000a_compondrán el sistema."/>
  </r>
  <r>
    <s v="Identificación de_x000a_módulos"/>
    <x v="5"/>
    <s v="LA"/>
    <n v="1"/>
    <n v="30"/>
    <d v="2025-10-29T00:00:00"/>
    <d v="1899-12-30T09:00:00"/>
    <d v="2025-10-28T00:00:00"/>
    <d v="1899-12-30T14:00:00"/>
    <n v="7"/>
    <n v="1"/>
    <n v="23"/>
    <s v="Determinar las áreas funcionales que_x000a_compondrán el sistema."/>
  </r>
  <r>
    <s v="Funcionali_x000a_dades_x000a_asociadas"/>
    <x v="3"/>
    <s v="LE"/>
    <n v="1"/>
    <n v="30"/>
    <d v="2025-10-29T00:00:00"/>
    <d v="1899-12-30T09:00:00"/>
    <d v="2025-10-28T00:00:00"/>
    <d v="1899-12-30T14:30:00"/>
    <n v="0"/>
    <n v="1"/>
    <n v="30"/>
    <s v="Asociar funcionalidades principales a cada_x000a_módulo."/>
  </r>
  <r>
    <s v="Funcionali_x000a_dades_x000a_asociadas"/>
    <x v="4"/>
    <s v="LD"/>
    <n v="1"/>
    <n v="30"/>
    <d v="2025-10-29T00:00:00"/>
    <d v="1899-12-30T09:00:00"/>
    <d v="2025-10-28T00:00:00"/>
    <d v="1899-12-30T14:30:00"/>
    <n v="0"/>
    <n v="1"/>
    <n v="30"/>
    <s v="Asociar funcionalidades principales a cada_x000a_módulo."/>
  </r>
  <r>
    <s v="Funcionali_x000a_dades_x000a_asociadas"/>
    <x v="0"/>
    <s v="LC"/>
    <n v="1"/>
    <n v="30"/>
    <d v="2025-10-29T00:00:00"/>
    <d v="1899-12-30T09:00:00"/>
    <d v="2025-10-28T00:00:00"/>
    <d v="1899-12-30T14:30:00"/>
    <n v="0"/>
    <n v="1"/>
    <n v="30"/>
    <s v="Asociar funcionalidades principales a cada_x000a_módulo."/>
  </r>
  <r>
    <s v="Funcionali_x000a_dades_x000a_asociadas"/>
    <x v="2"/>
    <s v="LS"/>
    <n v="1"/>
    <n v="30"/>
    <d v="2025-10-29T00:00:00"/>
    <d v="1899-12-30T09:00:00"/>
    <d v="2025-10-28T00:00:00"/>
    <d v="1899-12-30T14:30:00"/>
    <n v="0"/>
    <n v="1"/>
    <n v="30"/>
    <s v="Asociar funcionalidades principales a cada_x000a_módulo."/>
  </r>
  <r>
    <s v="Funcionali_x000a_dades_x000a_asociadas"/>
    <x v="1"/>
    <s v="LP"/>
    <n v="1"/>
    <n v="30"/>
    <d v="2025-10-29T00:00:00"/>
    <d v="1899-12-30T09:00:00"/>
    <d v="2025-10-28T00:00:00"/>
    <d v="1899-12-30T14:30:00"/>
    <n v="0"/>
    <n v="1"/>
    <n v="30"/>
    <s v="Asociar funcionalidades principales a cada_x000a_módulo."/>
  </r>
  <r>
    <s v="Funcionali_x000a_dades_x000a_asociadas"/>
    <x v="5"/>
    <s v="LA"/>
    <n v="1"/>
    <n v="30"/>
    <d v="2025-10-29T00:00:00"/>
    <d v="1899-12-30T09:00:00"/>
    <d v="2025-10-28T00:00:00"/>
    <d v="1899-12-30T14:30:00"/>
    <n v="0"/>
    <n v="1"/>
    <n v="30"/>
    <s v="Asociar funcionalidades principales a cada_x000a_módulo."/>
  </r>
  <r>
    <s v="Estimació_x000a_n de_x000a_tamaño_x000a_basada en_x000a_LOC y_x000a_CoCoMo"/>
    <x v="1"/>
    <s v="LP"/>
    <n v="1"/>
    <n v="30"/>
    <d v="2025-10-29T00:00:00"/>
    <d v="1899-12-30T09:00:00"/>
    <d v="2025-10-28T00:00:00"/>
    <d v="1899-12-30T15:00:00"/>
    <n v="-1"/>
    <n v="3"/>
    <n v="31"/>
    <s v="Usa LOC para el tamaño y CoCoMo para_x000a_estimar el esfuerzo"/>
  </r>
  <r>
    <s v="Estimació_x000a_n de_x000a_tamaño_x000a_basada en_x000a_LOC y_x000a_datos_x000a_históricos"/>
    <x v="3"/>
    <s v="LE"/>
    <n v="1"/>
    <n v="30"/>
    <d v="2025-10-29T00:00:00"/>
    <d v="1899-12-30T09:00:00"/>
    <d v="2025-10-28T00:00:00"/>
    <d v="1899-12-30T15:00:00"/>
    <n v="5"/>
    <n v="2"/>
    <n v="25"/>
    <s v="Usa LOC para el tamaño y datos históricos_x000a_para esfuerzo"/>
  </r>
  <r>
    <s v="Estimació_x000a_n de_x000a_tamaño_x000a_basada en_x000a_puntos de_x000a_función y_x000a_CoCoMo"/>
    <x v="1"/>
    <s v="LP"/>
    <n v="1"/>
    <n v="30"/>
    <d v="2025-10-29T00:00:00"/>
    <d v="1899-12-30T09:00:00"/>
    <d v="2025-10-28T00:00:00"/>
    <d v="1899-12-30T15:00:00"/>
    <n v="3"/>
    <n v="1"/>
    <n v="27"/>
    <s v="Usa puntos de función para el tamaño y_x000a_modelo empírico CoCoMo para esfuerzo"/>
  </r>
  <r>
    <s v="Estimació_x000a_n de_x000a_tamaño_x000a_basada en_x000a_puntos de_x000a_función y_x000a_CoCoMo"/>
    <x v="0"/>
    <s v="LC"/>
    <n v="1"/>
    <n v="30"/>
    <d v="2025-10-29T00:00:00"/>
    <d v="1899-12-30T09:00:00"/>
    <d v="2025-10-28T00:00:00"/>
    <d v="1899-12-30T15:00:00"/>
    <n v="3"/>
    <n v="1"/>
    <n v="27"/>
    <s v="Usa puntos de función para el tamaño y_x000a_modelo empírico CoCoMo para esfuerzo"/>
  </r>
  <r>
    <s v="Estimació_x000a_n de_x000a_tamaño_x000a_basada en_x000a_puntos de_x000a_función y_x000a_datos_x000a_históricos"/>
    <x v="4"/>
    <s v="LD"/>
    <n v="1"/>
    <n v="30"/>
    <d v="2025-10-29T00:00:00"/>
    <d v="1899-12-30T09:00:00"/>
    <d v="2025-10-28T00:00:00"/>
    <d v="1899-12-30T15:00:00"/>
    <n v="5"/>
    <n v="1"/>
    <n v="25"/>
    <s v="Usa puntos de función para el tamaño y_x000a_datos históricos para esfuerzo"/>
  </r>
  <r>
    <s v="Estimació_x000a_n de_x000a_tamaño y_x000a_esfuerzo_x000a_basada en_x000a_puntos de_x000a_caso de_x000a_uso"/>
    <x v="5"/>
    <s v="LE"/>
    <n v="1"/>
    <n v="30"/>
    <d v="2025-10-29T00:00:00"/>
    <d v="1899-12-30T09:00:00"/>
    <d v="2025-10-28T00:00:00"/>
    <d v="1899-12-30T15:00:00"/>
    <n v="0"/>
    <n v="1"/>
    <n v="30"/>
    <s v="Usa puntos de caso de uso para el tamaño_x000a_y esfuerzo basado en estos puntos"/>
  </r>
  <r>
    <s v="dentificaci_x000a_ón y_x000a_criterios de_x000a_valoración"/>
    <x v="1"/>
    <s v="LD"/>
    <n v="1"/>
    <n v="30"/>
    <d v="2025-10-29T00:00:00"/>
    <d v="1899-12-30T09:00:00"/>
    <d v="2025-10-28T00:00:00"/>
    <d v="1899-12-30T15:30:00"/>
    <n v="3"/>
    <n v="1"/>
    <n v="27"/>
    <s v="Definir criterios de probabilidad, impacto y_x000a_costo de retiro, y aplicarlos a la_x000a_identificación de riesgos."/>
  </r>
  <r>
    <s v="dentificaci_x000a_ón y_x000a_criterios de_x000a_valoración"/>
    <x v="4"/>
    <s v="LP"/>
    <n v="1"/>
    <n v="30"/>
    <d v="2025-10-29T00:00:00"/>
    <d v="1899-12-30T09:00:00"/>
    <d v="2025-10-28T00:00:00"/>
    <d v="1899-12-30T15:30:00"/>
    <n v="3"/>
    <n v="1"/>
    <n v="27"/>
    <s v="Definir criterios de probabilidad, impacto y_x000a_costo de retiro, y aplicarlos a la_x000a_identificación de riesgos."/>
  </r>
  <r>
    <s v="Clasificaci_x000a_ón de_x000a_riesgos"/>
    <x v="4"/>
    <s v="LD"/>
    <n v="1"/>
    <n v="30"/>
    <d v="2025-10-29T00:00:00"/>
    <d v="1899-12-30T09:00:00"/>
    <d v="2025-10-28T00:00:00"/>
    <d v="1899-12-30T16:00:00"/>
    <n v="0"/>
    <n v="1"/>
    <n v="30"/>
    <s v="Registrar y categorizar riesgos en tres tipos:_x000a_proyecto, producto y equipo."/>
  </r>
  <r>
    <s v="Clasificaci_x000a_ón de_x000a_riesgos"/>
    <x v="1"/>
    <s v="LP"/>
    <n v="1"/>
    <n v="30"/>
    <d v="2025-10-29T00:00:00"/>
    <d v="1899-12-30T09:00:00"/>
    <d v="2025-10-28T00:00:00"/>
    <d v="1899-12-30T16:00:00"/>
    <n v="0"/>
    <n v="1"/>
    <n v="30"/>
    <s v="Registrar y categorizar riesgos en tres tipos:_x000a_proyecto, producto y equipo."/>
  </r>
  <r>
    <s v="Valoración_x000a_y_x000a_priorización"/>
    <x v="4"/>
    <s v="LD"/>
    <n v="1"/>
    <n v="30"/>
    <d v="2025-10-29T00:00:00"/>
    <d v="1899-12-30T09:00:00"/>
    <d v="2025-10-28T00:00:00"/>
    <d v="1899-12-30T16:30:00"/>
    <n v="2"/>
    <n v="2"/>
    <n v="28"/>
    <s v="Evaluar cada riesgo según criterios_x000a_establecidos y priorizar en función de su_x000a_nivel de exposición."/>
  </r>
  <r>
    <s v="Valoración_x000a_y_x000a_priorización"/>
    <x v="1"/>
    <s v="LP"/>
    <n v="1"/>
    <n v="30"/>
    <d v="2025-10-29T00:00:00"/>
    <d v="1899-12-30T09:00:00"/>
    <d v="2025-10-28T00:00:00"/>
    <d v="1899-12-30T16:30:00"/>
    <n v="2"/>
    <n v="2"/>
    <n v="28"/>
    <s v="Evaluar cada riesgo según criterios_x000a_establecidos y priorizar en función de su_x000a_nivel de exposición."/>
  </r>
  <r>
    <s v="Plan de_x000a_mitigación_x000a_y_x000a_contingencia"/>
    <x v="4"/>
    <s v="LD"/>
    <n v="1"/>
    <n v="30"/>
    <d v="2025-10-29T00:00:00"/>
    <d v="1899-12-30T09:00:00"/>
    <d v="2025-10-28T00:00:00"/>
    <d v="1899-12-30T17:00:00"/>
    <n v="5"/>
    <n v="1"/>
    <n v="25"/>
    <s v="Definir acciones preventivas y de_x000a_contingencia para los riesgos de mayor_x000a_impacto."/>
  </r>
  <r>
    <s v="Plan de_x000a_mitigación_x000a_y_x000a_contingencia"/>
    <x v="1"/>
    <s v="LP"/>
    <n v="1"/>
    <n v="30"/>
    <d v="2025-10-29T00:00:00"/>
    <d v="1899-12-30T09:00:00"/>
    <d v="2025-10-28T00:00:00"/>
    <d v="1899-12-30T17:00:00"/>
    <n v="5"/>
    <n v="1"/>
    <n v="25"/>
    <s v="Definir acciones preventivas y de_x000a_contingencia para los riesgos de mayor_x000a_impacto."/>
  </r>
  <r>
    <s v="Programa_x000a_de_x000a_seguimiento"/>
    <x v="4"/>
    <s v="LD"/>
    <n v="1"/>
    <n v="30"/>
    <d v="2025-10-29T00:00:00"/>
    <d v="1899-12-30T09:00:00"/>
    <d v="2025-10-28T00:00:00"/>
    <d v="1899-12-30T17:30:00"/>
    <n v="4"/>
    <n v="2"/>
    <n v="26"/>
    <s v="Establecer la periodicidad de revisión y los_x000a_responsables del monitoreo de riesgos."/>
  </r>
  <r>
    <s v="Programa_x000a_de_x000a_seguimiento"/>
    <x v="1"/>
    <s v="LP"/>
    <n v="1"/>
    <n v="30"/>
    <d v="2025-10-29T00:00:00"/>
    <d v="1899-12-30T09:00:00"/>
    <d v="2025-10-28T00:00:00"/>
    <d v="1899-12-30T17:30:00"/>
    <n v="4"/>
    <n v="2"/>
    <n v="26"/>
    <s v="Establecer la periodicidad de revisión y los_x000a_responsables del monitoreo de riesgos."/>
  </r>
  <r>
    <s v="Definición_x000a_del_x000a_objetivo"/>
    <x v="5"/>
    <s v="LA"/>
    <n v="1"/>
    <n v="30"/>
    <d v="2025-10-29T00:00:00"/>
    <d v="1899-12-30T09:00:00"/>
    <d v="2025-10-28T00:00:00"/>
    <d v="1899-12-30T15:30:00"/>
    <n v="4"/>
    <n v="1"/>
    <n v="26"/>
    <s v="Establecer el propósito de la administración_x000a_de configuración en el proyecto."/>
  </r>
  <r>
    <s v="Definición_x000a_del_x000a_objetivo"/>
    <x v="3"/>
    <s v="LE"/>
    <n v="1"/>
    <n v="30"/>
    <d v="2025-10-29T00:00:00"/>
    <d v="1899-12-30T09:00:00"/>
    <d v="2025-10-28T00:00:00"/>
    <d v="1899-12-30T15:30:00"/>
    <n v="4"/>
    <n v="1"/>
    <n v="26"/>
    <s v="Establecer el propósito de la administración_x000a_de configuración en el proyecto."/>
  </r>
  <r>
    <s v="Organización y roles"/>
    <x v="5"/>
    <s v="LA"/>
    <n v="1"/>
    <n v="30"/>
    <d v="2025-10-29T00:00:00"/>
    <d v="1899-12-30T09:00:00"/>
    <d v="2025-10-28T00:00:00"/>
    <d v="1899-12-30T16:00:00"/>
    <n v="2"/>
    <n v="1"/>
    <n v="28"/>
    <s v="Definir la estructura organizativa y_x000a_responsabilidades (líder de soporte, líder de_x000a_proyecto, equipo)."/>
  </r>
  <r>
    <s v="Organización y roles"/>
    <x v="3"/>
    <s v="LE"/>
    <n v="1"/>
    <n v="30"/>
    <d v="2025-10-29T00:00:00"/>
    <d v="1899-12-30T09:00:00"/>
    <d v="2025-10-28T00:00:00"/>
    <d v="1899-12-30T16:00:00"/>
    <n v="2"/>
    <n v="1"/>
    <n v="28"/>
    <s v="Definir la estructura organizativa y_x000a_responsabilidades (líder de soporte, líder de_x000a_proyecto, equipo)."/>
  </r>
  <r>
    <s v="Políticas y_x000a_procedimientos"/>
    <x v="5"/>
    <s v="LA"/>
    <n v="1"/>
    <n v="30"/>
    <d v="2025-10-29T00:00:00"/>
    <d v="1899-12-30T09:00:00"/>
    <d v="2025-10-28T00:00:00"/>
    <d v="1899-12-30T16:30:00"/>
    <n v="0"/>
    <n v="1"/>
    <n v="30"/>
    <s v="Establecer políticas, directivas y_x000a_lineamientos que regulen la administración_x000a_de configuración."/>
  </r>
  <r>
    <s v="Políticas y_x000a_procedimientos"/>
    <x v="3"/>
    <s v="LE"/>
    <n v="1"/>
    <n v="30"/>
    <d v="2025-10-29T00:00:00"/>
    <d v="1899-12-30T09:00:00"/>
    <d v="2025-10-28T00:00:00"/>
    <d v="1899-12-30T16:30:00"/>
    <n v="0"/>
    <n v="1"/>
    <n v="30"/>
    <s v="Establecer políticas, directivas y_x000a_lineamientos que regulen la administración_x000a_de configuración."/>
  </r>
  <r>
    <s v="Identificación de_x000a_configuraciones"/>
    <x v="5"/>
    <s v="LA"/>
    <n v="1"/>
    <n v="30"/>
    <d v="2025-10-29T00:00:00"/>
    <d v="1899-12-30T09:00:00"/>
    <d v="2025-10-28T00:00:00"/>
    <d v="1899-12-30T17:00:00"/>
    <n v="6"/>
    <n v="2"/>
    <n v="24"/>
    <s v="Determinar y nombrar los elementos de_x000a_configuración que serán controlados_x000a_(código, BD, documentación)."/>
  </r>
  <r>
    <s v="Identificación de_x000a_configuraciones"/>
    <x v="3"/>
    <s v="LE"/>
    <n v="1"/>
    <n v="30"/>
    <d v="2025-10-29T00:00:00"/>
    <d v="1899-12-30T09:00:00"/>
    <d v="2025-10-28T00:00:00"/>
    <d v="1899-12-30T17:00:00"/>
    <n v="6"/>
    <n v="2"/>
    <n v="24"/>
    <s v="Determinar y nombrar los elementos de_x000a_configuración que serán controlados_x000a_(código, BD, documentación)."/>
  </r>
  <r>
    <s v="Programas y_x000a_recursos"/>
    <x v="5"/>
    <s v="LA"/>
    <n v="1"/>
    <n v="30"/>
    <d v="2025-10-29T00:00:00"/>
    <d v="1899-12-30T09:00:00"/>
    <d v="2025-10-28T00:00:00"/>
    <d v="1899-12-30T17:30:00"/>
    <n v="2"/>
    <n v="1"/>
    <n v="28"/>
    <s v="Establecer programas de soporte_x000a_(herramientas, repositorios, entornos) y_x000a_recursos necesarios."/>
  </r>
  <r>
    <s v="Programas y_x000a_recursos"/>
    <x v="3"/>
    <s v="LE"/>
    <n v="1"/>
    <n v="30"/>
    <d v="2025-10-29T00:00:00"/>
    <d v="1899-12-30T09:00:00"/>
    <d v="2025-10-28T00:00:00"/>
    <d v="1899-12-30T17:30:00"/>
    <n v="2"/>
    <n v="1"/>
    <n v="28"/>
    <s v="Establecer programas de soporte_x000a_(herramientas, repositorios, entornos) y_x000a_recursos necesarios."/>
  </r>
  <r>
    <s v="Plan de_x000a_mantenimiento"/>
    <x v="5"/>
    <s v="LA"/>
    <n v="1"/>
    <n v="30"/>
    <d v="2025-10-29T00:00:00"/>
    <d v="1899-12-30T09:00:00"/>
    <d v="2025-10-28T00:00:00"/>
    <d v="1899-12-30T18:00:00"/>
    <n v="2"/>
    <n v="1"/>
    <n v="28"/>
    <s v="Definir la estrategia de mantenimiento y_x000a_actualización de los elementos de_x000a_configuración."/>
  </r>
  <r>
    <s v="Plan de_x000a_mantenimiento"/>
    <x v="3"/>
    <s v="LE"/>
    <n v="1"/>
    <n v="30"/>
    <d v="2025-10-29T00:00:00"/>
    <d v="1899-12-30T09:00:00"/>
    <d v="2025-10-28T00:00:00"/>
    <d v="1899-12-30T18:00:00"/>
    <n v="2"/>
    <n v="1"/>
    <n v="28"/>
    <s v="Definir la estrategia de mantenimiento y_x000a_actualización de los elementos de_x000a_configuración."/>
  </r>
  <r>
    <s v="Revisiones del_x000a_estado"/>
    <x v="5"/>
    <s v="LA"/>
    <n v="1"/>
    <n v="30"/>
    <d v="2025-10-29T00:00:00"/>
    <d v="1899-12-30T09:00:00"/>
    <d v="2025-10-28T00:00:00"/>
    <d v="1899-12-30T18:30:00"/>
    <n v="2"/>
    <n v="1"/>
    <n v="28"/>
    <s v="Monitorear y verificar periódicamente el_x000a_estado de los elementos de configuración."/>
  </r>
  <r>
    <s v="Revisiones del_x000a_estado"/>
    <x v="3"/>
    <s v="LE"/>
    <n v="1"/>
    <n v="30"/>
    <d v="2025-10-29T00:00:00"/>
    <d v="1899-12-30T09:00:00"/>
    <d v="2025-10-28T00:00:00"/>
    <d v="1899-12-30T18:30:00"/>
    <n v="2"/>
    <n v="1"/>
    <n v="28"/>
    <s v="Monitorear y verificar periódicamente el_x000a_estado de los elementos de configuración."/>
  </r>
  <r>
    <s v="Control de_x000a_cambios"/>
    <x v="5"/>
    <s v="LA"/>
    <n v="1"/>
    <n v="20"/>
    <d v="2025-10-29T00:00:00"/>
    <d v="1899-12-30T09:00:00"/>
    <d v="2025-10-28T00:00:00"/>
    <d v="1899-12-30T19:00:00"/>
    <n v="2"/>
    <n v="1"/>
    <n v="18"/>
    <s v="Gestionar solicitudes de cambios, su_x000a_evaluación, aprobación/rechazo e_x000a_implantación."/>
  </r>
  <r>
    <s v="Control de_x000a_cambios"/>
    <x v="3"/>
    <s v="LD"/>
    <n v="1"/>
    <n v="20"/>
    <d v="2025-10-29T00:00:00"/>
    <d v="1899-12-30T09:00:00"/>
    <d v="2025-10-28T00:00:00"/>
    <d v="1899-12-30T19:00:00"/>
    <n v="2"/>
    <n v="1"/>
    <n v="18"/>
    <s v="Gestionar solicitudes de cambios, su_x000a_evaluación, aprobación/rechazo e_x000a_implantación."/>
  </r>
  <r>
    <s v="Control de _x000a_cambios "/>
    <x v="0"/>
    <s v="LC"/>
    <n v="1"/>
    <n v="20"/>
    <d v="2025-10-29T00:00:00"/>
    <d v="1899-12-30T09:00:00"/>
    <d v="2025-10-28T00:00:00"/>
    <d v="1899-12-30T19:20:00"/>
    <n v="0"/>
    <n v="1"/>
    <n v="20"/>
    <s v="Gestionar solicitudes de cambios, su evaluación, aprobación/rechazo e implantación. "/>
  </r>
  <r>
    <s v="Control de _x000a_cambios "/>
    <x v="2"/>
    <s v="LS"/>
    <n v="1"/>
    <n v="20"/>
    <d v="2025-10-29T00:00:00"/>
    <d v="1899-12-30T09:00:00"/>
    <d v="2025-10-28T00:00:00"/>
    <d v="1899-12-30T19:20:00"/>
    <n v="0"/>
    <n v="1"/>
    <n v="20"/>
    <s v="Gestionar solicitudes de cambios, su evaluación, aprobación/rechazo e implantación. "/>
  </r>
  <r>
    <s v="Registrar y gestionar riesgos"/>
    <x v="0"/>
    <s v="LC"/>
    <n v="1"/>
    <n v="30"/>
    <d v="2025-10-29T00:00:00"/>
    <d v="1899-12-30T09:00:00"/>
    <d v="2025-10-28T00:00:00"/>
    <d v="1899-12-30T20:00:00"/>
    <n v="6"/>
    <n v="1"/>
    <n v="24"/>
    <s v="Identificar, clasificar y dar seguimiento a_x000a_riesgos del proyecto."/>
  </r>
  <r>
    <s v="Log de defectos(apertura,seguimiento y cierre)"/>
    <x v="4"/>
    <s v="LD"/>
    <n v="1"/>
    <n v="30"/>
    <d v="2025-10-29T00:00:00"/>
    <d v="1899-12-30T09:00:00"/>
    <d v="2025-10-28T00:00:00"/>
    <d v="1899-12-30T20:00:00"/>
    <n v="0"/>
    <n v="1"/>
    <n v="30"/>
    <s v="Registrar incidencias y defectos, dar_x000a_seguimiento y cerrar tras validación."/>
  </r>
  <r>
    <s v="Bitácoras y actas"/>
    <x v="4"/>
    <s v="LD"/>
    <n v="5"/>
    <n v="50"/>
    <d v="2025-10-29T00:00:00"/>
    <d v="1899-12-30T09:00:00"/>
    <d v="2025-10-28T00:00:00"/>
    <d v="1899-12-30T20:50:00"/>
    <n v="5"/>
    <n v="5"/>
    <n v="45"/>
    <s v="Documentar bitácoras de tiempo y actas de_x000a_reuniones, manteniendo control de_x000a_versiones."/>
  </r>
  <r>
    <s v="Elaboración de las bitácoras"/>
    <x v="1"/>
    <s v="LP"/>
    <n v="1"/>
    <n v="60"/>
    <d v="2025-10-29T00:00:00"/>
    <d v="1899-12-30T09:00:00"/>
    <d v="2025-10-28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2"/>
    <s v="LS"/>
    <n v="1"/>
    <n v="60"/>
    <d v="2025-10-29T00:00:00"/>
    <d v="1899-12-30T09:00:00"/>
    <d v="2025-10-28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3"/>
    <s v="LE"/>
    <n v="1"/>
    <n v="60"/>
    <d v="2025-10-29T00:00:00"/>
    <d v="1899-12-30T09:00:00"/>
    <d v="2025-10-28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5"/>
    <s v="LA"/>
    <n v="1"/>
    <n v="60"/>
    <d v="2025-10-29T00:00:00"/>
    <d v="1899-12-30T09:00:00"/>
    <d v="2025-10-28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0"/>
    <s v="LC"/>
    <n v="1"/>
    <n v="60"/>
    <d v="2025-10-29T00:00:00"/>
    <d v="1899-12-30T09:00:00"/>
    <d v="2025-10-28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1"/>
    <s v="LD"/>
    <n v="1"/>
    <n v="60"/>
    <d v="2025-10-29T00:00:00"/>
    <d v="1899-12-30T09:00:00"/>
    <d v="2025-10-28T00:00:00"/>
    <d v="1899-12-30T22:00:00"/>
    <n v="50"/>
    <n v="1"/>
    <n v="10"/>
    <s v="Con las bitácoras llenamos cada espacio con las actividaes correspondientes según el control de asignaciones"/>
  </r>
  <r>
    <s v="Evaluación de log de defectos"/>
    <x v="3"/>
    <s v="LE"/>
    <n v="1"/>
    <n v="30"/>
    <d v="2025-10-29T00:00:00"/>
    <d v="1899-12-30T09:00:00"/>
    <d v="2025-10-28T00:00:00"/>
    <d v="1899-12-30T22:00:00"/>
    <n v="0"/>
    <n v="1"/>
    <n v="30"/>
    <s v="No comentarios"/>
  </r>
  <r>
    <s v="Llenado de log de defectos"/>
    <x v="0"/>
    <s v="LC"/>
    <n v="1"/>
    <n v="30"/>
    <d v="2025-10-29T00:00:00"/>
    <d v="1899-12-30T09:00:00"/>
    <d v="2025-10-28T00:00:00"/>
    <d v="1899-12-30T22:00:00"/>
    <n v="0"/>
    <n v="1"/>
    <n v="30"/>
    <s v="No comentarios"/>
  </r>
  <r>
    <s v="Acta de reunión"/>
    <x v="0"/>
    <s v="LC"/>
    <n v="1"/>
    <n v="45"/>
    <d v="2025-10-29T00:00:00"/>
    <d v="1899-12-30T09:00:00"/>
    <d v="2025-10-28T00:00:00"/>
    <d v="1899-12-30T22:30:00"/>
    <n v="-35"/>
    <n v="1"/>
    <n v="80"/>
    <s v="Ordenar en grupo todos los documentos asignados para la primera entrega"/>
  </r>
  <r>
    <s v="Elaboración de diapositivas(Informe final)"/>
    <x v="3"/>
    <s v="LE"/>
    <n v="1"/>
    <n v="60"/>
    <d v="2025-10-29T00:00:00"/>
    <d v="1899-12-30T09:00:00"/>
    <d v="2025-10-28T00:00:00"/>
    <d v="1899-12-30T22:30:00"/>
    <n v="10"/>
    <n v="1"/>
    <n v="50"/>
    <s v="Diapositivas con los documentos hechos "/>
  </r>
  <r>
    <s v="Maestro de documentos"/>
    <x v="3"/>
    <s v="LE"/>
    <n v="1"/>
    <n v="55"/>
    <d v="2025-10-29T00:00:00"/>
    <d v="1899-12-30T09:00:00"/>
    <d v="2025-10-28T00:00:00"/>
    <d v="1899-12-30T22:30:00"/>
    <n v="0"/>
    <n v="1"/>
    <n v="55"/>
    <s v="Realización de un excel con los documentos hechos "/>
  </r>
  <r>
    <s v="Revisión de _x000a_documentos "/>
    <x v="0"/>
    <s v="LC"/>
    <n v="1"/>
    <n v="30"/>
    <d v="2025-10-29T00:00:00"/>
    <d v="1899-12-30T09:00:00"/>
    <d v="2025-10-28T00:00:00"/>
    <d v="1899-12-30T22:30:00"/>
    <n v="-2"/>
    <n v="1"/>
    <n v="32"/>
    <s v="Se revisan los tres documentos realizados en grupo para consolidar los resultados y corregir errores "/>
  </r>
  <r>
    <s v="Revisión de _x000a_documentos "/>
    <x v="2"/>
    <s v="LS"/>
    <n v="1"/>
    <n v="30"/>
    <d v="2025-10-29T00:00:00"/>
    <d v="1899-12-30T09:00:00"/>
    <d v="2025-10-28T00:00:00"/>
    <d v="1899-12-30T22:30:00"/>
    <n v="-2"/>
    <n v="1"/>
    <n v="32"/>
    <s v="Se revisan los tres documentos realizados en grupo para consolidar los resultados y corregir errores "/>
  </r>
  <r>
    <s v="Revisión de _x000a_documentos "/>
    <x v="1"/>
    <s v="LP"/>
    <n v="1"/>
    <n v="30"/>
    <d v="2025-10-29T00:00:00"/>
    <d v="1899-12-30T09:00:00"/>
    <d v="2025-10-28T00:00:00"/>
    <d v="1899-12-30T22:30:00"/>
    <n v="-2"/>
    <n v="1"/>
    <n v="32"/>
    <s v="Se revisan los tres documentos realizados en grupo para consolidar los resultados y corregir errores "/>
  </r>
  <r>
    <s v="Revisión de _x000a_documentos "/>
    <x v="3"/>
    <s v="LE"/>
    <n v="1"/>
    <n v="30"/>
    <d v="2025-10-29T00:00:00"/>
    <d v="1899-12-30T09:00:00"/>
    <d v="2025-10-28T00:00:00"/>
    <d v="1899-12-30T22:30:00"/>
    <n v="-2"/>
    <n v="1"/>
    <n v="32"/>
    <s v="Se revisan los tres documentos realizados en grupo para consolidar los resultados y corregir errores "/>
  </r>
  <r>
    <s v="Revisión de _x000a_documentos "/>
    <x v="5"/>
    <s v="LA"/>
    <n v="1"/>
    <n v="30"/>
    <d v="2025-10-29T00:00:00"/>
    <d v="1899-12-30T09:00:00"/>
    <d v="2025-10-28T00:00:00"/>
    <d v="1899-12-30T22:30:00"/>
    <n v="-2"/>
    <n v="1"/>
    <n v="32"/>
    <s v="Se revisan los tres documentos realizados en grupo para consolidar los resultados y corregir errores "/>
  </r>
  <r>
    <s v="Revisión de _x000a_documentos "/>
    <x v="4"/>
    <s v="LD"/>
    <n v="1"/>
    <n v="30"/>
    <d v="2025-10-29T00:00:00"/>
    <d v="1899-12-30T09:00:00"/>
    <d v="2025-10-28T00:00:00"/>
    <d v="1899-12-30T22:30:00"/>
    <n v="-2"/>
    <n v="1"/>
    <n v="32"/>
    <s v="Se revisan los tres documentos realizados en grupo para consolidar los resultados y corregir errores "/>
  </r>
  <r>
    <s v="Subir los documentos a la página web"/>
    <x v="3"/>
    <s v="LE"/>
    <n v="3"/>
    <n v="20"/>
    <d v="2025-10-29T00:00:00"/>
    <d v="1899-12-30T09:00:00"/>
    <d v="2025-10-29T00:00:00"/>
    <d v="1899-12-30T09:00:00"/>
    <n v="5"/>
    <n v="3"/>
    <n v="15"/>
    <s v="Todos los documentos subidos _x000a_y actualizados en la pagina 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">
  <r>
    <s v="Script de definición de procesos"/>
    <x v="0"/>
    <s v="LC"/>
    <n v="1"/>
    <n v="30"/>
    <d v="2025-11-07T00:00:00"/>
    <d v="1899-12-30T09:00:00"/>
    <d v="2025-11-05T00:00:00"/>
    <d v="1899-12-30T10:00:00"/>
    <n v="5"/>
    <n v="1"/>
    <n v="25"/>
    <x v="0"/>
  </r>
  <r>
    <s v="Control de asignaciones"/>
    <x v="1"/>
    <s v="LP"/>
    <n v="1"/>
    <n v="30"/>
    <d v="2025-11-07T00:00:00"/>
    <d v="1899-12-30T09:00:00"/>
    <d v="2025-11-05T00:00:00"/>
    <d v="1899-12-30T10:00:00"/>
    <n v="5"/>
    <n v="1"/>
    <n v="25"/>
    <x v="1"/>
  </r>
  <r>
    <s v="Control de asignaciones"/>
    <x v="0"/>
    <s v="LC"/>
    <n v="1"/>
    <n v="30"/>
    <d v="2025-11-07T00:00:00"/>
    <d v="1899-12-30T09:00:00"/>
    <d v="2025-11-05T00:00:00"/>
    <d v="1899-12-30T10:30:00"/>
    <n v="4"/>
    <n v="1"/>
    <n v="26"/>
    <x v="2"/>
  </r>
  <r>
    <s v="Control de asignaciones"/>
    <x v="2"/>
    <s v="LS"/>
    <n v="1"/>
    <n v="30"/>
    <d v="2025-11-07T00:00:00"/>
    <d v="1899-12-30T09:00:00"/>
    <d v="2025-11-05T00:00:00"/>
    <d v="1899-12-30T10:00:00"/>
    <n v="4"/>
    <n v="1"/>
    <n v="26"/>
    <x v="3"/>
  </r>
  <r>
    <s v="Modelo de_x000a_casos de uso"/>
    <x v="3"/>
    <s v="LE"/>
    <n v="1"/>
    <n v="30"/>
    <d v="2025-11-07T00:00:00"/>
    <d v="1899-12-30T09:00:00"/>
    <d v="2025-11-05T00:00:00"/>
    <d v="1899-12-30T10:00:00"/>
    <n v="2"/>
    <n v="2"/>
    <n v="28"/>
    <x v="4"/>
  </r>
  <r>
    <s v="Modelo de_x000a_casos de uso"/>
    <x v="4"/>
    <s v="LA"/>
    <n v="1"/>
    <n v="30"/>
    <d v="2025-11-07T00:00:00"/>
    <d v="1899-12-30T09:00:00"/>
    <d v="2025-11-05T00:00:00"/>
    <d v="1899-12-30T10:00:00"/>
    <n v="2"/>
    <n v="2"/>
    <n v="28"/>
    <x v="4"/>
  </r>
  <r>
    <s v="Modelo de_x000a_casos de uso"/>
    <x v="5"/>
    <s v="LD"/>
    <n v="1"/>
    <n v="30"/>
    <d v="2025-11-07T00:00:00"/>
    <d v="1899-12-30T09:00:00"/>
    <d v="2025-11-05T00:00:00"/>
    <d v="1899-12-30T10:00:00"/>
    <n v="2"/>
    <n v="2"/>
    <n v="28"/>
    <x v="4"/>
  </r>
  <r>
    <s v="Modelo de_x000a_casos de uso"/>
    <x v="1"/>
    <s v="LP"/>
    <n v="1"/>
    <n v="30"/>
    <d v="2025-11-07T00:00:00"/>
    <d v="1899-12-30T09:00:00"/>
    <d v="2025-11-05T00:00:00"/>
    <d v="1899-12-30T11:00:00"/>
    <n v="2"/>
    <n v="2"/>
    <n v="28"/>
    <x v="4"/>
  </r>
  <r>
    <s v="Modelo de_x000a_casos de uso"/>
    <x v="0"/>
    <s v="LC"/>
    <n v="1"/>
    <n v="30"/>
    <d v="2025-11-07T00:00:00"/>
    <d v="1899-12-30T09:00:00"/>
    <d v="2025-11-05T00:00:00"/>
    <d v="1899-12-30T11:00:00"/>
    <n v="2"/>
    <n v="2"/>
    <n v="28"/>
    <x v="4"/>
  </r>
  <r>
    <s v="Modelo de_x000a_casos de uso"/>
    <x v="2"/>
    <s v="LS"/>
    <n v="1"/>
    <n v="30"/>
    <d v="2025-11-07T00:00:00"/>
    <d v="1899-12-30T09:00:00"/>
    <d v="2025-11-05T00:00:00"/>
    <d v="1899-12-30T10:30:00"/>
    <n v="2"/>
    <n v="2"/>
    <n v="28"/>
    <x v="4"/>
  </r>
  <r>
    <s v="Editar perfil de_x000a_usuario"/>
    <x v="5"/>
    <s v="LD"/>
    <n v="1"/>
    <n v="30"/>
    <d v="2025-11-07T00:00:00"/>
    <d v="1899-12-30T09:00:00"/>
    <d v="2025-11-05T00:00:00"/>
    <d v="1899-12-30T10:30:00"/>
    <n v="1"/>
    <n v="1"/>
    <n v="29"/>
    <x v="5"/>
  </r>
  <r>
    <s v="Cambiar_x000a_imagen de_x000a_perfil"/>
    <x v="5"/>
    <s v="LD"/>
    <n v="1"/>
    <n v="30"/>
    <d v="2025-11-07T00:00:00"/>
    <d v="1899-12-30T09:00:00"/>
    <d v="2025-11-05T00:00:00"/>
    <d v="1899-12-30T11:00:00"/>
    <n v="2"/>
    <n v="1"/>
    <n v="28"/>
    <x v="6"/>
  </r>
  <r>
    <s v="Configurar_x000a_tema de color_x000a_del sistema"/>
    <x v="4"/>
    <s v="LA"/>
    <n v="1"/>
    <n v="30"/>
    <d v="2025-11-07T00:00:00"/>
    <d v="1899-12-30T09:00:00"/>
    <d v="2025-11-05T00:00:00"/>
    <d v="1899-12-30T10:30:00"/>
    <n v="4"/>
    <n v="2"/>
    <n v="26"/>
    <x v="7"/>
  </r>
  <r>
    <s v="Configurar_x000a_disposición de_x000a_paneles en la_x000a_vista principal"/>
    <x v="2"/>
    <s v="LS"/>
    <n v="1"/>
    <n v="30"/>
    <d v="2025-11-07T00:00:00"/>
    <d v="1899-12-30T09:00:00"/>
    <d v="2025-11-05T00:00:00"/>
    <d v="1899-12-30T11:00:00"/>
    <n v="5"/>
    <n v="1"/>
    <n v="25"/>
    <x v="8"/>
  </r>
  <r>
    <s v="Configurar_x000a_formato de_x000a_fechas y_x000a_moneda"/>
    <x v="2"/>
    <s v="LS"/>
    <n v="1"/>
    <n v="30"/>
    <d v="2025-11-07T00:00:00"/>
    <d v="1899-12-30T09:00:00"/>
    <d v="2025-11-05T00:00:00"/>
    <d v="1899-12-30T11:30:00"/>
    <n v="2"/>
    <n v="1"/>
    <n v="28"/>
    <x v="9"/>
  </r>
  <r>
    <s v="Configurar_x000a_notificaciones_x000a_preferidas"/>
    <x v="2"/>
    <s v="LS"/>
    <n v="1"/>
    <n v="30"/>
    <d v="2025-11-07T00:00:00"/>
    <d v="1899-12-30T09:00:00"/>
    <d v="2025-11-05T00:00:00"/>
    <d v="1899-12-30T12:00:00"/>
    <n v="0"/>
    <n v="1"/>
    <n v="30"/>
    <x v="10"/>
  </r>
  <r>
    <s v="Ver_x000a_notificaciones"/>
    <x v="3"/>
    <s v="LE"/>
    <n v="1"/>
    <n v="30"/>
    <d v="2025-11-07T00:00:00"/>
    <d v="1899-12-30T09:00:00"/>
    <d v="2025-11-05T00:00:00"/>
    <d v="1899-12-30T10:30:00"/>
    <n v="6"/>
    <n v="2"/>
    <n v="24"/>
    <x v="11"/>
  </r>
  <r>
    <s v="Marcar_x000a_notificación_x000a_como leída"/>
    <x v="5"/>
    <s v="LD"/>
    <n v="1"/>
    <n v="30"/>
    <d v="2025-11-07T00:00:00"/>
    <d v="1899-12-30T09:00:00"/>
    <d v="2025-11-05T00:00:00"/>
    <d v="1899-12-30T11:30:00"/>
    <n v="2"/>
    <n v="1"/>
    <n v="28"/>
    <x v="12"/>
  </r>
  <r>
    <s v="Eliminar_x000a_notificación"/>
    <x v="1"/>
    <s v="LP"/>
    <n v="1"/>
    <n v="30"/>
    <d v="2025-11-07T00:00:00"/>
    <d v="1899-12-30T09:00:00"/>
    <d v="2025-11-05T00:00:00"/>
    <d v="1899-12-30T11:30:00"/>
    <n v="4"/>
    <n v="1"/>
    <n v="26"/>
    <x v="13"/>
  </r>
  <r>
    <s v="Filtrar_x000a_notificaciones"/>
    <x v="1"/>
    <s v="LP"/>
    <n v="1"/>
    <n v="30"/>
    <d v="2025-11-07T00:00:00"/>
    <d v="1899-12-30T09:00:00"/>
    <d v="2025-11-05T00:00:00"/>
    <d v="1899-12-30T12:00:00"/>
    <n v="3"/>
    <n v="2"/>
    <n v="27"/>
    <x v="14"/>
  </r>
  <r>
    <s v="Generar_x000a_reporte_x000a_general"/>
    <x v="4"/>
    <s v="LA"/>
    <n v="1"/>
    <n v="30"/>
    <d v="2025-11-07T00:00:00"/>
    <d v="1899-12-30T09:00:00"/>
    <d v="2025-11-05T00:00:00"/>
    <d v="1899-12-30T11:00:00"/>
    <n v="2"/>
    <n v="1"/>
    <n v="28"/>
    <x v="15"/>
  </r>
  <r>
    <s v="Exportar_x000a_reporte en_x000a_PDF"/>
    <x v="3"/>
    <s v="LE"/>
    <n v="1"/>
    <n v="30"/>
    <d v="2025-11-07T00:00:00"/>
    <d v="1899-12-30T09:00:00"/>
    <d v="2025-11-05T00:00:00"/>
    <d v="1899-12-30T11:00:00"/>
    <n v="3"/>
    <n v="1"/>
    <n v="27"/>
    <x v="16"/>
  </r>
  <r>
    <s v="Exportar_x000a_reporte en_x000a_Excel"/>
    <x v="4"/>
    <s v="LA"/>
    <n v="1"/>
    <n v="30"/>
    <d v="2025-11-07T00:00:00"/>
    <d v="1899-12-30T09:00:00"/>
    <d v="2025-11-05T00:00:00"/>
    <d v="1899-12-30T11:30:00"/>
    <n v="4"/>
    <n v="1"/>
    <n v="26"/>
    <x v="17"/>
  </r>
  <r>
    <s v="Aplicar filtros_x000a_en reportes"/>
    <x v="3"/>
    <s v="LE"/>
    <n v="1"/>
    <n v="30"/>
    <d v="2025-11-07T00:00:00"/>
    <d v="1899-12-30T09:00:00"/>
    <d v="2025-11-05T00:00:00"/>
    <d v="1899-12-30T11:30:00"/>
    <n v="4"/>
    <n v="2"/>
    <n v="26"/>
    <x v="18"/>
  </r>
  <r>
    <s v="Configurar_x000a_formato de_x000a_reportes"/>
    <x v="0"/>
    <s v="LC"/>
    <n v="1"/>
    <n v="30"/>
    <d v="2025-11-07T00:00:00"/>
    <d v="1899-12-30T09:00:00"/>
    <d v="2025-11-05T00:00:00"/>
    <d v="1899-12-30T11:30:00"/>
    <n v="1"/>
    <n v="1"/>
    <n v="29"/>
    <x v="19"/>
  </r>
  <r>
    <s v="Añadir pie de_x000a_página_x000a_institucional a_x000a_reportes"/>
    <x v="0"/>
    <s v="LC"/>
    <n v="1"/>
    <n v="30"/>
    <d v="2025-11-07T00:00:00"/>
    <d v="1899-12-30T09:00:00"/>
    <d v="2025-11-05T00:00:00"/>
    <d v="1899-12-30T12:00:00"/>
    <n v="5"/>
    <n v="1"/>
    <n v="25"/>
    <x v="20"/>
  </r>
  <r>
    <s v="Cambiar_x000a_tamaño de_x000a_letra en_x000a_reportes"/>
    <x v="0"/>
    <s v="LC"/>
    <n v="1"/>
    <n v="30"/>
    <d v="2025-11-07T00:00:00"/>
    <d v="1899-12-30T09:00:00"/>
    <d v="2025-11-05T00:00:00"/>
    <d v="1899-12-30T12:30:00"/>
    <n v="2"/>
    <n v="1"/>
    <n v="28"/>
    <x v="21"/>
  </r>
  <r>
    <s v="Personalizar_x000a_fondo de_x000a_pantalla del_x000a_usuario"/>
    <x v="1"/>
    <s v="LP"/>
    <n v="1"/>
    <n v="30"/>
    <d v="2025-11-07T00:00:00"/>
    <d v="1899-12-30T09:00:00"/>
    <d v="2025-11-05T00:00:00"/>
    <d v="1899-12-30T12:30:00"/>
    <n v="1"/>
    <n v="2"/>
    <n v="29"/>
    <x v="22"/>
  </r>
  <r>
    <s v="Desempeñ o_x000a_(atributo de_x000a_calidad)"/>
    <x v="1"/>
    <s v="LP"/>
    <n v="1"/>
    <n v="30"/>
    <d v="2025-11-07T00:00:00"/>
    <d v="1899-12-30T09:00:00"/>
    <d v="2025-11-05T00:00:00"/>
    <d v="1899-12-30T13:00:00"/>
    <n v="2"/>
    <n v="1"/>
    <n v="28"/>
    <x v="23"/>
  </r>
  <r>
    <s v="Escalabilid ad_x000a_(atributo de_x000a_calidad"/>
    <x v="2"/>
    <s v="LS"/>
    <n v="1"/>
    <n v="30"/>
    <d v="2025-11-07T00:00:00"/>
    <d v="1899-12-30T09:00:00"/>
    <d v="2025-11-05T00:00:00"/>
    <d v="1899-12-30T12:30:00"/>
    <n v="2"/>
    <n v="1"/>
    <n v="28"/>
    <x v="24"/>
  </r>
  <r>
    <s v="Disponibili dad_x000a_(atributo de_x000a_calidad)"/>
    <x v="0"/>
    <s v="LC"/>
    <n v="1"/>
    <n v="30"/>
    <d v="2025-11-07T00:00:00"/>
    <d v="1899-12-30T09:00:00"/>
    <d v="2025-11-05T00:00:00"/>
    <d v="1899-12-30T13:00:00"/>
    <n v="2"/>
    <n v="1"/>
    <n v="28"/>
    <x v="25"/>
  </r>
  <r>
    <s v="Usabilidad_x000a_(atributo de_x000a_calidad)"/>
    <x v="3"/>
    <s v="LE"/>
    <n v="1"/>
    <n v="30"/>
    <d v="2025-11-07T00:00:00"/>
    <d v="1899-12-30T09:00:00"/>
    <d v="2025-11-05T00:00:00"/>
    <d v="1899-12-30T12:00:00"/>
    <n v="1"/>
    <n v="1"/>
    <n v="29"/>
    <x v="26"/>
  </r>
  <r>
    <s v="Seguridad_x000a_(atributo_x000a_de calidad)"/>
    <x v="4"/>
    <s v="LA"/>
    <n v="1"/>
    <n v="30"/>
    <d v="2025-11-07T00:00:00"/>
    <d v="1899-12-30T09:00:00"/>
    <d v="2025-11-05T00:00:00"/>
    <d v="1899-12-30T12:00:00"/>
    <n v="3"/>
    <n v="1"/>
    <n v="27"/>
    <x v="27"/>
  </r>
  <r>
    <s v="Extensibilidad_x000a_(atributo de_x000a_calidad)"/>
    <x v="5"/>
    <s v="LD"/>
    <n v="1"/>
    <n v="30"/>
    <d v="2025-11-07T00:00:00"/>
    <d v="1899-12-30T09:00:00"/>
    <d v="2025-11-05T00:00:00"/>
    <d v="1899-12-30T12:00:00"/>
    <n v="0"/>
    <n v="1"/>
    <n v="30"/>
    <x v="28"/>
  </r>
  <r>
    <s v="Diagrama_x000a_de clases_x000a_(modelo_x000a_de dominio)"/>
    <x v="5"/>
    <s v="LD"/>
    <n v="1"/>
    <n v="30"/>
    <d v="2025-11-07T00:00:00"/>
    <d v="1899-12-30T09:00:00"/>
    <d v="2025-11-05T00:00:00"/>
    <d v="1899-12-30T12:30:00"/>
    <n v="2"/>
    <n v="1"/>
    <n v="28"/>
    <x v="29"/>
  </r>
  <r>
    <s v="Definir objetivo_x000a_y alcance"/>
    <x v="0"/>
    <s v="LC"/>
    <n v="1"/>
    <n v="30"/>
    <d v="2025-11-07T00:00:00"/>
    <d v="1899-12-30T09:00:00"/>
    <d v="2025-11-05T00:00:00"/>
    <d v="1899-12-30T13:30:00"/>
    <n v="4"/>
    <n v="1"/>
    <n v="26"/>
    <x v="30"/>
  </r>
  <r>
    <s v="Definir objetivo_x000a_y alcance"/>
    <x v="2"/>
    <s v="LS"/>
    <n v="1"/>
    <n v="30"/>
    <d v="2025-11-07T00:00:00"/>
    <d v="1899-12-30T09:00:00"/>
    <d v="2025-11-05T00:00:00"/>
    <d v="1899-12-30T13:00:00"/>
    <n v="4"/>
    <n v="1"/>
    <n v="26"/>
    <x v="30"/>
  </r>
  <r>
    <s v="dentificar_x000a_roles y_x000a_recursos"/>
    <x v="0"/>
    <s v="LC"/>
    <n v="1"/>
    <n v="30"/>
    <d v="2025-11-07T00:00:00"/>
    <d v="1899-12-30T09:00:00"/>
    <d v="2025-11-05T00:00:00"/>
    <d v="1899-12-30T14:00:00"/>
    <n v="2"/>
    <n v="1"/>
    <n v="28"/>
    <x v="31"/>
  </r>
  <r>
    <s v="dentificar_x000a_roles y_x000a_recursos"/>
    <x v="2"/>
    <s v="LS"/>
    <n v="1"/>
    <n v="30"/>
    <d v="2025-11-07T00:00:00"/>
    <d v="1899-12-30T09:00:00"/>
    <d v="2025-11-05T00:00:00"/>
    <d v="1899-12-30T13:30:00"/>
    <n v="2"/>
    <n v="1"/>
    <n v="28"/>
    <x v="31"/>
  </r>
  <r>
    <s v="Configurar_x000a_repositorio y_x000a_URL de_x000a_revisiones"/>
    <x v="0"/>
    <s v="LC"/>
    <n v="1"/>
    <n v="30"/>
    <d v="2025-11-07T00:00:00"/>
    <d v="1899-12-30T09:00:00"/>
    <d v="2025-11-05T00:00:00"/>
    <d v="1899-12-30T14:30:00"/>
    <n v="6"/>
    <n v="1"/>
    <n v="24"/>
    <x v="32"/>
  </r>
  <r>
    <s v="Configurar_x000a_repositorio y_x000a_URL de_x000a_revisiones"/>
    <x v="2"/>
    <s v="LS"/>
    <n v="1"/>
    <n v="30"/>
    <d v="2025-11-07T00:00:00"/>
    <d v="1899-12-30T09:00:00"/>
    <d v="2025-11-05T00:00:00"/>
    <d v="1899-12-30T14:00:00"/>
    <n v="6"/>
    <n v="1"/>
    <n v="24"/>
    <x v="32"/>
  </r>
  <r>
    <s v="Diseñar_x000a_plantilla de_x000a_evaluación"/>
    <x v="0"/>
    <s v="LC "/>
    <n v="1"/>
    <n v="30"/>
    <d v="2025-11-07T00:00:00"/>
    <d v="1899-12-30T09:00:00"/>
    <d v="2025-11-05T00:00:00"/>
    <d v="1899-12-30T15:00:00"/>
    <n v="4"/>
    <n v="1"/>
    <n v="26"/>
    <x v="33"/>
  </r>
  <r>
    <s v="Diseñar_x000a_plantilla de_x000a_evaluación"/>
    <x v="2"/>
    <s v="LS"/>
    <n v="1"/>
    <n v="30"/>
    <d v="2025-11-07T00:00:00"/>
    <d v="1899-12-30T09:00:00"/>
    <d v="2025-11-05T00:00:00"/>
    <d v="1899-12-30T14:30:00"/>
    <n v="4"/>
    <n v="1"/>
    <n v="26"/>
    <x v="33"/>
  </r>
  <r>
    <s v="Capturar y_x000a_normalizar_x000a_requerimientos"/>
    <x v="0"/>
    <s v="LC"/>
    <n v="1"/>
    <n v="30"/>
    <d v="2025-11-07T00:00:00"/>
    <d v="1899-12-30T09:00:00"/>
    <d v="2025-11-05T00:00:00"/>
    <d v="1899-12-30T15:30:00"/>
    <n v="3"/>
    <n v="1"/>
    <n v="27"/>
    <x v="34"/>
  </r>
  <r>
    <s v="Capturar y_x000a_normalizar_x000a_requerimientos"/>
    <x v="2"/>
    <s v="LS"/>
    <n v="1"/>
    <n v="30"/>
    <d v="2025-11-07T00:00:00"/>
    <d v="1899-12-30T09:00:00"/>
    <d v="2025-11-05T00:00:00"/>
    <d v="1899-12-30T15:00:00"/>
    <n v="3"/>
    <n v="1"/>
    <n v="27"/>
    <x v="34"/>
  </r>
  <r>
    <s v="Especificar y_x000a_documentar"/>
    <x v="0"/>
    <s v="LC"/>
    <n v="1"/>
    <n v="30"/>
    <d v="2025-11-07T00:00:00"/>
    <d v="1899-12-30T09:00:00"/>
    <d v="2025-11-05T00:00:00"/>
    <d v="1899-12-30T16:00:00"/>
    <n v="2"/>
    <n v="1"/>
    <n v="28"/>
    <x v="35"/>
  </r>
  <r>
    <s v="Especificar y_x000a_documentar"/>
    <x v="2"/>
    <s v="LS"/>
    <n v="1"/>
    <n v="30"/>
    <d v="2025-11-07T00:00:00"/>
    <d v="1899-12-30T09:00:00"/>
    <d v="2025-11-05T00:00:00"/>
    <d v="1899-12-30T15:30:00"/>
    <n v="2"/>
    <n v="1"/>
    <n v="28"/>
    <x v="35"/>
  </r>
  <r>
    <s v="Revisar e_x000a_inspeccionar_x000a_requerimientos"/>
    <x v="0"/>
    <s v="LC"/>
    <n v="1"/>
    <n v="30"/>
    <d v="2025-11-07T00:00:00"/>
    <d v="1899-12-30T09:00:00"/>
    <d v="2025-11-05T00:00:00"/>
    <d v="1899-12-30T16:30:00"/>
    <n v="2"/>
    <n v="1"/>
    <n v="28"/>
    <x v="36"/>
  </r>
  <r>
    <s v="Revisar e_x000a_inspeccionar_x000a_requerimientos"/>
    <x v="2"/>
    <s v="LS"/>
    <n v="1"/>
    <n v="30"/>
    <d v="2025-11-07T00:00:00"/>
    <d v="1899-12-30T09:00:00"/>
    <d v="2025-11-05T00:00:00"/>
    <d v="1899-12-30T16:00:00"/>
    <n v="2"/>
    <n v="1"/>
    <n v="28"/>
    <x v="36"/>
  </r>
  <r>
    <s v="Priorizar y_x000a_aprobar"/>
    <x v="0"/>
    <s v="LC"/>
    <n v="1"/>
    <n v="30"/>
    <d v="2025-11-07T00:00:00"/>
    <d v="1899-12-30T09:00:00"/>
    <d v="2025-11-05T00:00:00"/>
    <d v="1899-12-30T17:00:00"/>
    <n v="2"/>
    <n v="1"/>
    <n v="28"/>
    <x v="37"/>
  </r>
  <r>
    <s v="Priorizar y_x000a_aprobar"/>
    <x v="2"/>
    <s v="LS"/>
    <n v="1"/>
    <n v="30"/>
    <d v="2025-11-07T00:00:00"/>
    <d v="1899-12-30T09:00:00"/>
    <d v="2025-11-05T00:00:00"/>
    <d v="1899-12-30T16:30:00"/>
    <n v="2"/>
    <n v="1"/>
    <n v="28"/>
    <x v="37"/>
  </r>
  <r>
    <s v="Trazabilidad "/>
    <x v="0"/>
    <s v="LC"/>
    <n v="1"/>
    <n v="30"/>
    <d v="2025-11-07T00:00:00"/>
    <d v="1899-12-30T09:00:00"/>
    <d v="2025-11-05T00:00:00"/>
    <d v="1899-12-30T17:30:00"/>
    <n v="3"/>
    <n v="1"/>
    <n v="27"/>
    <x v="38"/>
  </r>
  <r>
    <s v="Trazabilidad "/>
    <x v="2"/>
    <s v="LS"/>
    <n v="1"/>
    <n v="30"/>
    <d v="2025-11-07T00:00:00"/>
    <d v="1899-12-30T09:00:00"/>
    <d v="2025-11-05T00:00:00"/>
    <d v="1899-12-30T17:00:00"/>
    <n v="3"/>
    <n v="1"/>
    <n v="27"/>
    <x v="38"/>
  </r>
  <r>
    <s v="Control de_x000a_cambios_x000a_(RFC/CCB)"/>
    <x v="0"/>
    <s v="LC"/>
    <n v="1"/>
    <n v="30"/>
    <d v="2025-11-07T00:00:00"/>
    <d v="1899-12-30T09:00:00"/>
    <d v="2025-11-05T00:00:00"/>
    <d v="1899-12-30T18:00:00"/>
    <n v="2"/>
    <n v="2"/>
    <n v="28"/>
    <x v="39"/>
  </r>
  <r>
    <s v="Control de_x000a_cambios_x000a_(RFC/CCB)"/>
    <x v="2"/>
    <s v="LS"/>
    <n v="1"/>
    <n v="30"/>
    <d v="2025-11-07T00:00:00"/>
    <d v="1899-12-30T09:00:00"/>
    <d v="2025-11-05T00:00:00"/>
    <d v="1899-12-30T17:30:00"/>
    <n v="2"/>
    <n v="2"/>
    <n v="28"/>
    <x v="39"/>
  </r>
  <r>
    <s v="Versionado y_x000a_publicación"/>
    <x v="0"/>
    <s v="LC"/>
    <n v="1"/>
    <n v="30"/>
    <d v="2025-11-07T00:00:00"/>
    <d v="1899-12-30T09:00:00"/>
    <d v="2025-11-05T00:00:00"/>
    <d v="1899-12-30T18:30:00"/>
    <n v="1"/>
    <n v="1"/>
    <n v="29"/>
    <x v="40"/>
  </r>
  <r>
    <s v="Versionado y_x000a_publicación"/>
    <x v="2"/>
    <s v="LS"/>
    <n v="1"/>
    <n v="30"/>
    <d v="2025-11-07T00:00:00"/>
    <d v="1899-12-30T09:00:00"/>
    <d v="2025-11-05T00:00:00"/>
    <d v="1899-12-30T18:00:00"/>
    <n v="1"/>
    <n v="1"/>
    <n v="29"/>
    <x v="40"/>
  </r>
  <r>
    <s v="Seguimiento y_x000a_métricas"/>
    <x v="0"/>
    <s v="LC"/>
    <n v="1"/>
    <n v="30"/>
    <d v="2025-11-07T00:00:00"/>
    <d v="1899-12-30T09:00:00"/>
    <d v="2025-11-05T00:00:00"/>
    <d v="1899-12-30T19:00:00"/>
    <n v="2"/>
    <n v="1"/>
    <n v="28"/>
    <x v="41"/>
  </r>
  <r>
    <s v="Seguimiento y_x000a_métricas"/>
    <x v="2"/>
    <s v="LS"/>
    <n v="1"/>
    <n v="30"/>
    <d v="2025-11-07T00:00:00"/>
    <d v="1899-12-30T09:00:00"/>
    <d v="2025-11-05T00:00:00"/>
    <d v="1899-12-30T18:30:00"/>
    <n v="2"/>
    <n v="1"/>
    <n v="28"/>
    <x v="41"/>
  </r>
  <r>
    <s v="Definir_x000a_objetivos y_x000a_alcance"/>
    <x v="3"/>
    <s v="LE"/>
    <n v="1"/>
    <n v="30"/>
    <d v="2025-11-07T00:00:00"/>
    <d v="1899-12-30T09:00:00"/>
    <d v="2025-11-05T00:00:00"/>
    <d v="1899-12-30T12:30:00"/>
    <n v="5"/>
    <n v="1"/>
    <n v="25"/>
    <x v="42"/>
  </r>
  <r>
    <s v="Definir_x000a_objetivos y_x000a_alcance"/>
    <x v="4"/>
    <s v="LA"/>
    <n v="1"/>
    <n v="30"/>
    <d v="2025-11-07T00:00:00"/>
    <d v="1899-12-30T09:00:00"/>
    <d v="2025-11-05T00:00:00"/>
    <d v="1899-12-30T12:30:00"/>
    <n v="5"/>
    <n v="1"/>
    <n v="25"/>
    <x v="42"/>
  </r>
  <r>
    <s v="Establecer_x000a_políticas de_x000a_calidad"/>
    <x v="3"/>
    <s v="LE"/>
    <n v="1"/>
    <n v="30"/>
    <d v="2025-11-07T00:00:00"/>
    <d v="1899-12-30T09:00:00"/>
    <d v="2025-11-05T00:00:00"/>
    <d v="1899-12-30T13:00:00"/>
    <n v="2"/>
    <n v="1"/>
    <n v="28"/>
    <x v="43"/>
  </r>
  <r>
    <s v="Establecer_x000a_políticas de_x000a_calidad"/>
    <x v="4"/>
    <s v="LA"/>
    <n v="1"/>
    <n v="30"/>
    <d v="2025-11-07T00:00:00"/>
    <d v="1899-12-30T09:00:00"/>
    <d v="2025-11-05T00:00:00"/>
    <d v="1899-12-30T13:00:00"/>
    <n v="2"/>
    <n v="1"/>
    <n v="28"/>
    <x v="43"/>
  </r>
  <r>
    <s v="Configurar_x000a_recursos y_x000a_herramientas"/>
    <x v="3"/>
    <s v="LE"/>
    <n v="1"/>
    <n v="30"/>
    <d v="2025-11-07T00:00:00"/>
    <d v="1899-12-30T09:00:00"/>
    <d v="2025-11-05T00:00:00"/>
    <d v="1899-12-30T13:30:00"/>
    <n v="2"/>
    <n v="1"/>
    <n v="28"/>
    <x v="44"/>
  </r>
  <r>
    <s v="Configurar_x000a_recursos y_x000a_herramientas"/>
    <x v="4"/>
    <s v="LA"/>
    <n v="1"/>
    <n v="30"/>
    <d v="2025-11-07T00:00:00"/>
    <d v="1899-12-30T09:00:00"/>
    <d v="2025-11-05T00:00:00"/>
    <d v="1899-12-30T13:30:00"/>
    <n v="2"/>
    <n v="1"/>
    <n v="28"/>
    <x v="44"/>
  </r>
  <r>
    <s v="Definir roles y_x000a_responsables_x000a_(RACI)"/>
    <x v="3"/>
    <s v="LE"/>
    <n v="1"/>
    <n v="30"/>
    <d v="2025-11-07T00:00:00"/>
    <d v="1899-12-30T09:00:00"/>
    <d v="2025-11-05T00:00:00"/>
    <d v="1899-12-30T14:00:00"/>
    <n v="2"/>
    <n v="1"/>
    <n v="28"/>
    <x v="45"/>
  </r>
  <r>
    <s v="Definir roles y_x000a_responsables_x000a_(RACI)"/>
    <x v="4"/>
    <s v="LA"/>
    <n v="1"/>
    <n v="30"/>
    <d v="2025-11-07T00:00:00"/>
    <d v="1899-12-30T09:00:00"/>
    <d v="2025-11-05T00:00:00"/>
    <d v="1899-12-30T14:00:00"/>
    <n v="2"/>
    <n v="1"/>
    <n v="28"/>
    <x v="45"/>
  </r>
  <r>
    <s v="Diseñar_x000a_métricas de_x000a_calidad"/>
    <x v="3"/>
    <s v="LE"/>
    <n v="1"/>
    <n v="30"/>
    <d v="2025-11-07T00:00:00"/>
    <d v="1899-12-30T09:00:00"/>
    <d v="2025-11-05T00:00:00"/>
    <d v="1899-12-30T14:30:00"/>
    <n v="2"/>
    <n v="1"/>
    <n v="28"/>
    <x v="46"/>
  </r>
  <r>
    <s v="Diseñar_x000a_métricas de_x000a_calidad"/>
    <x v="4"/>
    <s v="LA"/>
    <n v="1"/>
    <n v="30"/>
    <d v="2025-11-07T00:00:00"/>
    <d v="1899-12-30T09:00:00"/>
    <d v="2025-11-05T00:00:00"/>
    <d v="1899-12-30T14:30:00"/>
    <n v="2"/>
    <n v="1"/>
    <n v="28"/>
    <x v="46"/>
  </r>
  <r>
    <s v="Planear_x000a_revisiones e_x000a_inspecciones"/>
    <x v="3"/>
    <s v="LE"/>
    <n v="1"/>
    <n v="30"/>
    <d v="2025-11-07T00:00:00"/>
    <d v="1899-12-30T09:00:00"/>
    <d v="2025-11-05T00:00:00"/>
    <d v="1899-12-30T15:00:00"/>
    <n v="2"/>
    <n v="1"/>
    <n v="28"/>
    <x v="47"/>
  </r>
  <r>
    <s v="Planear_x000a_revisiones e_x000a_inspecciones"/>
    <x v="4"/>
    <s v="LA"/>
    <n v="1"/>
    <n v="30"/>
    <d v="2025-11-07T00:00:00"/>
    <d v="1899-12-30T09:00:00"/>
    <d v="2025-11-05T00:00:00"/>
    <d v="1899-12-30T15:00:00"/>
    <n v="2"/>
    <n v="1"/>
    <n v="28"/>
    <x v="47"/>
  </r>
  <r>
    <s v="Activar log de_x000a_defectos y flujo_x000a_de vida"/>
    <x v="3"/>
    <s v="LE"/>
    <n v="1"/>
    <n v="30"/>
    <d v="2025-11-07T00:00:00"/>
    <d v="1899-12-30T09:00:00"/>
    <d v="2025-11-05T00:00:00"/>
    <d v="1899-12-30T15:30:00"/>
    <n v="2"/>
    <n v="1"/>
    <n v="28"/>
    <x v="48"/>
  </r>
  <r>
    <s v="Activar log de_x000a_defectos y flujo_x000a_de vida"/>
    <x v="4"/>
    <s v="LA"/>
    <n v="1"/>
    <n v="30"/>
    <d v="2025-11-07T00:00:00"/>
    <d v="1899-12-30T09:00:00"/>
    <d v="2025-11-05T00:00:00"/>
    <d v="1899-12-30T15:30:00"/>
    <n v="2"/>
    <n v="1"/>
    <n v="28"/>
    <x v="48"/>
  </r>
  <r>
    <s v="Ejecutar_x000a_revisiones/insp_x000a_ecciones"/>
    <x v="3"/>
    <s v="LE"/>
    <n v="1"/>
    <n v="30"/>
    <d v="2025-11-07T00:00:00"/>
    <d v="1899-12-30T09:00:00"/>
    <d v="2025-11-05T00:00:00"/>
    <d v="1899-12-30T16:00:00"/>
    <n v="3"/>
    <n v="1"/>
    <n v="27"/>
    <x v="49"/>
  </r>
  <r>
    <s v="Ejecutar_x000a_revisiones/insp_x000a_ecciones"/>
    <x v="4"/>
    <s v="LA"/>
    <n v="1"/>
    <n v="30"/>
    <d v="2025-11-07T00:00:00"/>
    <d v="1899-12-30T09:00:00"/>
    <d v="2025-11-05T00:00:00"/>
    <d v="1899-12-30T16:00:00"/>
    <n v="3"/>
    <n v="1"/>
    <n v="27"/>
    <x v="49"/>
  </r>
  <r>
    <s v="Recolección_x000a_de datos y_x000a_evidencias"/>
    <x v="3"/>
    <s v="LE"/>
    <n v="1"/>
    <n v="30"/>
    <d v="2025-11-07T00:00:00"/>
    <d v="1899-12-30T09:00:00"/>
    <d v="2025-11-05T00:00:00"/>
    <d v="1899-12-30T16:30:00"/>
    <n v="2"/>
    <n v="1"/>
    <n v="28"/>
    <x v="50"/>
  </r>
  <r>
    <s v="Recolección_x000a_de datos y_x000a_evidencias"/>
    <x v="4"/>
    <s v="LA"/>
    <n v="1"/>
    <n v="30"/>
    <d v="2025-11-07T00:00:00"/>
    <d v="1899-12-30T09:00:00"/>
    <d v="2025-11-05T00:00:00"/>
    <d v="1899-12-30T16:30:00"/>
    <n v="2"/>
    <n v="1"/>
    <n v="28"/>
    <x v="50"/>
  </r>
  <r>
    <s v="Seguimiento y_x000a_reportes de_x000a_calidad"/>
    <x v="3"/>
    <s v="LE"/>
    <n v="1"/>
    <n v="30"/>
    <d v="2025-11-07T00:00:00"/>
    <d v="1899-12-30T09:00:00"/>
    <d v="2025-11-05T00:00:00"/>
    <d v="1899-12-30T17:00:00"/>
    <n v="0"/>
    <n v="1"/>
    <n v="30"/>
    <x v="51"/>
  </r>
  <r>
    <s v="Seguimiento y_x000a_reportes de_x000a_calidad"/>
    <x v="4"/>
    <s v="LA"/>
    <n v="1"/>
    <n v="30"/>
    <d v="2025-11-07T00:00:00"/>
    <d v="1899-12-30T09:00:00"/>
    <d v="2025-11-05T00:00:00"/>
    <d v="1899-12-30T17:00:00"/>
    <n v="0"/>
    <n v="1"/>
    <n v="30"/>
    <x v="51"/>
  </r>
  <r>
    <s v="Mejora y cierre_x000a_por sprint"/>
    <x v="3"/>
    <s v="LE"/>
    <n v="1"/>
    <n v="30"/>
    <d v="2025-11-07T00:00:00"/>
    <d v="1899-12-30T09:00:00"/>
    <d v="2025-11-05T00:00:00"/>
    <d v="1899-12-30T17:30:00"/>
    <n v="1"/>
    <n v="1"/>
    <n v="29"/>
    <x v="52"/>
  </r>
  <r>
    <s v="Mejora y cierre_x000a_por sprint"/>
    <x v="4"/>
    <s v="LA"/>
    <n v="1"/>
    <n v="30"/>
    <d v="2025-11-07T00:00:00"/>
    <d v="1899-12-30T09:00:00"/>
    <d v="2025-11-05T00:00:00"/>
    <d v="1899-12-30T17:30:00"/>
    <n v="1"/>
    <n v="1"/>
    <n v="29"/>
    <x v="52"/>
  </r>
  <r>
    <s v="nventario de_x000a_entregables"/>
    <x v="5"/>
    <s v="LD"/>
    <n v="1"/>
    <n v="30"/>
    <d v="2025-11-07T00:00:00"/>
    <d v="1899-12-30T09:00:00"/>
    <d v="2025-11-05T00:00:00"/>
    <d v="1899-12-30T14:00:00"/>
    <n v="1"/>
    <n v="1"/>
    <n v="29"/>
    <x v="53"/>
  </r>
  <r>
    <s v="nventario de_x000a_entregables"/>
    <x v="1"/>
    <s v="LS"/>
    <n v="1"/>
    <n v="30"/>
    <d v="2025-11-07T00:00:00"/>
    <d v="1899-12-30T09:00:00"/>
    <d v="2025-11-05T00:00:00"/>
    <d v="1899-12-30T14:00:00"/>
    <n v="1"/>
    <n v="1"/>
    <n v="29"/>
    <x v="53"/>
  </r>
  <r>
    <s v="Descomposici_x000a_ón en tareas_x000a_(WBS)"/>
    <x v="5"/>
    <s v="LD"/>
    <n v="1"/>
    <n v="30"/>
    <d v="2025-11-07T00:00:00"/>
    <d v="1899-12-30T09:00:00"/>
    <d v="2025-11-05T00:00:00"/>
    <d v="1899-12-30T14:30:00"/>
    <n v="1"/>
    <n v="1"/>
    <n v="29"/>
    <x v="54"/>
  </r>
  <r>
    <s v="Descomposici_x000a_ón en tareas_x000a_(WBS)"/>
    <x v="1"/>
    <s v="LS"/>
    <n v="1"/>
    <n v="30"/>
    <d v="2025-11-07T00:00:00"/>
    <d v="1899-12-30T09:00:00"/>
    <d v="2025-11-05T00:00:00"/>
    <d v="1899-12-30T14:30:00"/>
    <n v="1"/>
    <n v="1"/>
    <n v="29"/>
    <x v="54"/>
  </r>
  <r>
    <s v="Secuenciación_x000a_y_x000a_dependencia"/>
    <x v="5"/>
    <s v="LD"/>
    <n v="1"/>
    <n v="30"/>
    <d v="2025-11-07T00:00:00"/>
    <d v="1899-12-30T09:00:00"/>
    <d v="2025-11-05T00:00:00"/>
    <d v="1899-12-30T15:00:00"/>
    <n v="1"/>
    <n v="1"/>
    <n v="29"/>
    <x v="55"/>
  </r>
  <r>
    <s v="Secuenciación_x000a_y_x000a_dependencia"/>
    <x v="1"/>
    <s v="LS"/>
    <n v="1"/>
    <n v="30"/>
    <d v="2025-11-07T00:00:00"/>
    <d v="1899-12-30T09:00:00"/>
    <d v="2025-11-05T00:00:00"/>
    <d v="1899-12-30T15:00:00"/>
    <n v="1"/>
    <n v="1"/>
    <n v="29"/>
    <x v="55"/>
  </r>
  <r>
    <s v="Estimación de_x000a_esfuerzo"/>
    <x v="5"/>
    <s v="LD"/>
    <n v="1"/>
    <n v="30"/>
    <d v="2025-11-07T00:00:00"/>
    <d v="1899-12-30T09:00:00"/>
    <d v="2025-11-05T00:00:00"/>
    <d v="1899-12-30T15:30:00"/>
    <n v="1"/>
    <n v="1"/>
    <n v="29"/>
    <x v="56"/>
  </r>
  <r>
    <s v="Estimación de_x000a_esfuerzo"/>
    <x v="1"/>
    <s v="LS"/>
    <n v="1"/>
    <n v="30"/>
    <d v="2025-11-07T00:00:00"/>
    <d v="1899-12-30T09:00:00"/>
    <d v="2025-11-05T00:00:00"/>
    <d v="1899-12-30T15:30:00"/>
    <n v="1"/>
    <n v="1"/>
    <n v="29"/>
    <x v="56"/>
  </r>
  <r>
    <s v="Productividad/_x000a_capacidad"/>
    <x v="5"/>
    <s v="LD"/>
    <n v="1"/>
    <n v="30"/>
    <d v="2025-11-07T00:00:00"/>
    <d v="1899-12-30T09:00:00"/>
    <d v="2025-11-05T00:00:00"/>
    <d v="1899-12-30T16:00:00"/>
    <n v="1"/>
    <n v="1"/>
    <n v="29"/>
    <x v="57"/>
  </r>
  <r>
    <s v="Productividad/_x000a_capacidad"/>
    <x v="1"/>
    <s v="LS"/>
    <n v="1"/>
    <n v="30"/>
    <d v="2025-11-07T00:00:00"/>
    <d v="1899-12-30T09:00:00"/>
    <d v="2025-11-05T00:00:00"/>
    <d v="1899-12-30T16:00:00"/>
    <n v="1"/>
    <n v="1"/>
    <n v="29"/>
    <x v="57"/>
  </r>
  <r>
    <s v="Duración y_x000a_calendario"/>
    <x v="5"/>
    <s v="LD"/>
    <n v="1"/>
    <n v="30"/>
    <d v="2025-11-07T00:00:00"/>
    <d v="1899-12-30T09:00:00"/>
    <d v="2025-11-05T00:00:00"/>
    <d v="1899-12-30T16:30:00"/>
    <n v="1"/>
    <n v="1"/>
    <n v="29"/>
    <x v="58"/>
  </r>
  <r>
    <s v="Duración y_x000a_calendario"/>
    <x v="1"/>
    <s v="LS"/>
    <n v="1"/>
    <n v="30"/>
    <d v="2025-11-07T00:00:00"/>
    <d v="1899-12-30T09:00:00"/>
    <d v="2025-11-05T00:00:00"/>
    <d v="1899-12-30T16:30:00"/>
    <n v="1"/>
    <n v="1"/>
    <n v="29"/>
    <x v="58"/>
  </r>
  <r>
    <s v="Asignación de_x000a_responsables"/>
    <x v="5"/>
    <s v="LD"/>
    <n v="1"/>
    <n v="30"/>
    <d v="2025-11-07T00:00:00"/>
    <d v="1899-12-30T09:00:00"/>
    <d v="2025-11-05T00:00:00"/>
    <d v="1899-12-30T17:00:00"/>
    <n v="1"/>
    <n v="1"/>
    <n v="29"/>
    <x v="59"/>
  </r>
  <r>
    <s v="Asignación de_x000a_responsables"/>
    <x v="1"/>
    <s v="LS"/>
    <n v="1"/>
    <n v="30"/>
    <d v="2025-11-07T00:00:00"/>
    <d v="1899-12-30T09:00:00"/>
    <d v="2025-11-05T00:00:00"/>
    <d v="1899-12-30T17:00:00"/>
    <n v="1"/>
    <n v="1"/>
    <n v="29"/>
    <x v="59"/>
  </r>
  <r>
    <s v="Criterios de_x000a_aceptación y_x000a_DoD"/>
    <x v="5"/>
    <s v="LD"/>
    <n v="1"/>
    <n v="30"/>
    <d v="2025-11-07T00:00:00"/>
    <d v="1899-12-30T09:00:00"/>
    <d v="2025-11-05T00:00:00"/>
    <d v="1899-12-30T17:30:00"/>
    <n v="1"/>
    <n v="1"/>
    <n v="29"/>
    <x v="60"/>
  </r>
  <r>
    <s v="Criterios de_x000a_aceptación y_x000a_DoD"/>
    <x v="1"/>
    <s v="LS"/>
    <n v="1"/>
    <n v="30"/>
    <d v="2025-11-07T00:00:00"/>
    <d v="1899-12-30T09:00:00"/>
    <d v="2025-11-05T00:00:00"/>
    <d v="1899-12-30T17:30:00"/>
    <n v="1"/>
    <n v="1"/>
    <n v="29"/>
    <x v="60"/>
  </r>
  <r>
    <s v="Publicación y_x000a_control"/>
    <x v="5"/>
    <s v="LD"/>
    <n v="1"/>
    <n v="30"/>
    <d v="2025-11-07T00:00:00"/>
    <d v="1899-12-30T09:00:00"/>
    <d v="2025-11-05T00:00:00"/>
    <d v="1899-12-30T18:00:00"/>
    <n v="1"/>
    <n v="1"/>
    <n v="29"/>
    <x v="61"/>
  </r>
  <r>
    <s v="Publicación y_x000a_control"/>
    <x v="1"/>
    <s v="LS"/>
    <n v="1"/>
    <n v="30"/>
    <d v="2025-11-07T00:00:00"/>
    <d v="1899-12-30T09:00:00"/>
    <d v="2025-11-06T00:00:00"/>
    <d v="1899-12-30T18:00:00"/>
    <n v="1"/>
    <n v="1"/>
    <n v="29"/>
    <x v="61"/>
  </r>
  <r>
    <s v="Control de_x000a_cambios"/>
    <x v="4"/>
    <s v="LA"/>
    <n v="1"/>
    <n v="20"/>
    <d v="2025-11-07T00:00:00"/>
    <d v="1899-12-30T09:00:00"/>
    <d v="2025-11-06T00:00:00"/>
    <d v="1899-12-30T19:00:00"/>
    <n v="2"/>
    <n v="1"/>
    <n v="18"/>
    <x v="62"/>
  </r>
  <r>
    <s v="Control de_x000a_cambios"/>
    <x v="3"/>
    <s v="LD"/>
    <n v="1"/>
    <n v="20"/>
    <d v="2025-11-07T00:00:00"/>
    <d v="1899-12-30T09:00:00"/>
    <d v="2025-11-06T00:00:00"/>
    <d v="1899-12-30T19:00:00"/>
    <n v="2"/>
    <n v="1"/>
    <n v="18"/>
    <x v="62"/>
  </r>
  <r>
    <s v="Control de _x000a_cambios "/>
    <x v="0"/>
    <s v="LC"/>
    <n v="1"/>
    <n v="20"/>
    <d v="2025-11-07T00:00:00"/>
    <d v="1899-12-30T09:00:00"/>
    <d v="2025-11-06T00:00:00"/>
    <d v="1899-12-30T19:20:00"/>
    <n v="0"/>
    <n v="1"/>
    <n v="20"/>
    <x v="63"/>
  </r>
  <r>
    <s v="Control de _x000a_cambios "/>
    <x v="2"/>
    <s v="LS"/>
    <n v="1"/>
    <n v="20"/>
    <d v="2025-11-07T00:00:00"/>
    <d v="1899-12-30T09:00:00"/>
    <d v="2025-11-06T00:00:00"/>
    <d v="1899-12-30T19:20:00"/>
    <n v="0"/>
    <n v="1"/>
    <n v="20"/>
    <x v="63"/>
  </r>
  <r>
    <s v="Registrar y gestionar riesgos"/>
    <x v="0"/>
    <s v="LC"/>
    <n v="1"/>
    <n v="30"/>
    <d v="2025-11-07T00:00:00"/>
    <d v="1899-12-30T09:00:00"/>
    <d v="2025-11-06T00:00:00"/>
    <d v="1899-12-30T20:00:00"/>
    <n v="6"/>
    <n v="1"/>
    <n v="24"/>
    <x v="64"/>
  </r>
  <r>
    <s v="Log de defectos(apertura,seguimiento y cierre)"/>
    <x v="5"/>
    <s v="LD"/>
    <n v="1"/>
    <n v="30"/>
    <d v="2025-11-07T00:00:00"/>
    <d v="1899-12-30T09:00:00"/>
    <d v="2025-11-06T00:00:00"/>
    <d v="1899-12-30T20:00:00"/>
    <n v="0"/>
    <n v="1"/>
    <n v="30"/>
    <x v="65"/>
  </r>
  <r>
    <s v="Bitácoras y actas"/>
    <x v="5"/>
    <s v="LD"/>
    <n v="5"/>
    <n v="50"/>
    <d v="2025-11-07T00:00:00"/>
    <d v="1899-12-30T09:00:00"/>
    <d v="2025-11-06T00:00:00"/>
    <d v="1899-12-30T20:50:00"/>
    <n v="5"/>
    <n v="5"/>
    <n v="45"/>
    <x v="66"/>
  </r>
  <r>
    <s v="Elaboración de las bitácoras"/>
    <x v="1"/>
    <s v="LP"/>
    <n v="1"/>
    <n v="60"/>
    <d v="2025-11-07T00:00:00"/>
    <d v="1899-12-30T09:00:00"/>
    <d v="2025-11-06T00:00:00"/>
    <d v="1899-12-30T22:00:00"/>
    <n v="50"/>
    <n v="1"/>
    <n v="10"/>
    <x v="67"/>
  </r>
  <r>
    <s v="Elaboración de las bitácoras"/>
    <x v="2"/>
    <s v="LS"/>
    <n v="1"/>
    <n v="60"/>
    <d v="2025-11-07T00:00:00"/>
    <d v="1899-12-30T09:00:00"/>
    <d v="2025-11-06T00:00:00"/>
    <d v="1899-12-30T22:00:00"/>
    <n v="50"/>
    <n v="1"/>
    <n v="10"/>
    <x v="67"/>
  </r>
  <r>
    <s v="Elaboración de las bitácoras"/>
    <x v="3"/>
    <s v="LE"/>
    <n v="1"/>
    <n v="60"/>
    <d v="2025-11-07T00:00:00"/>
    <d v="1899-12-30T09:00:00"/>
    <d v="2025-11-06T00:00:00"/>
    <d v="1899-12-30T22:00:00"/>
    <n v="50"/>
    <n v="1"/>
    <n v="10"/>
    <x v="67"/>
  </r>
  <r>
    <s v="Elaboración de las bitácoras"/>
    <x v="4"/>
    <s v="LA"/>
    <n v="1"/>
    <n v="60"/>
    <d v="2025-11-07T00:00:00"/>
    <d v="1899-12-30T09:00:00"/>
    <d v="2025-11-06T00:00:00"/>
    <d v="1899-12-30T22:00:00"/>
    <n v="50"/>
    <n v="1"/>
    <n v="10"/>
    <x v="67"/>
  </r>
  <r>
    <s v="Elaboración de las bitácoras"/>
    <x v="0"/>
    <s v="LC"/>
    <n v="1"/>
    <n v="60"/>
    <d v="2025-11-07T00:00:00"/>
    <d v="1899-12-30T09:00:00"/>
    <d v="2025-11-06T00:00:00"/>
    <d v="1899-12-30T22:00:00"/>
    <n v="50"/>
    <n v="1"/>
    <n v="10"/>
    <x v="67"/>
  </r>
  <r>
    <s v="Elaboración de las bitácoras"/>
    <x v="1"/>
    <s v="LD"/>
    <n v="1"/>
    <n v="60"/>
    <d v="2025-11-07T00:00:00"/>
    <d v="1899-12-30T09:00:00"/>
    <d v="2025-11-06T00:00:00"/>
    <d v="1899-12-30T22:00:00"/>
    <n v="50"/>
    <n v="1"/>
    <n v="10"/>
    <x v="67"/>
  </r>
  <r>
    <s v="Evaluación de log de defectos"/>
    <x v="3"/>
    <s v="LE"/>
    <n v="1"/>
    <n v="30"/>
    <d v="2025-11-07T00:00:00"/>
    <d v="1899-12-30T09:00:00"/>
    <d v="2025-11-06T00:00:00"/>
    <d v="1899-12-30T22:00:00"/>
    <n v="0"/>
    <n v="1"/>
    <n v="30"/>
    <x v="68"/>
  </r>
  <r>
    <s v="Llenado de log de defectos"/>
    <x v="0"/>
    <s v="LC"/>
    <n v="1"/>
    <n v="30"/>
    <d v="2025-11-07T00:00:00"/>
    <d v="1899-12-30T09:00:00"/>
    <d v="2025-11-06T00:00:00"/>
    <d v="1899-12-30T22:00:00"/>
    <n v="0"/>
    <n v="1"/>
    <n v="30"/>
    <x v="68"/>
  </r>
  <r>
    <s v="Acta de reunión"/>
    <x v="0"/>
    <s v="LC"/>
    <n v="1"/>
    <n v="45"/>
    <d v="2025-11-07T00:00:00"/>
    <d v="1899-12-30T09:00:00"/>
    <d v="2025-11-06T00:00:00"/>
    <d v="1899-12-30T22:30:00"/>
    <n v="-35"/>
    <n v="1"/>
    <n v="80"/>
    <x v="69"/>
  </r>
  <r>
    <s v="Elaboración de diapositivas(Informe final)"/>
    <x v="3"/>
    <s v="LE"/>
    <n v="1"/>
    <n v="60"/>
    <d v="2025-11-07T00:00:00"/>
    <d v="1899-12-30T09:00:00"/>
    <d v="2025-11-06T00:00:00"/>
    <d v="1899-12-30T22:30:00"/>
    <n v="10"/>
    <n v="1"/>
    <n v="50"/>
    <x v="70"/>
  </r>
  <r>
    <s v="Maestro de documentos"/>
    <x v="3"/>
    <s v="LE"/>
    <n v="1"/>
    <n v="55"/>
    <d v="2025-11-07T00:00:00"/>
    <d v="1899-12-30T09:00:00"/>
    <d v="2025-11-06T00:00:00"/>
    <d v="1899-12-30T22:30:00"/>
    <n v="0"/>
    <n v="1"/>
    <n v="55"/>
    <x v="71"/>
  </r>
  <r>
    <s v="Revisión de _x000a_documentos "/>
    <x v="0"/>
    <s v="LC"/>
    <n v="1"/>
    <n v="30"/>
    <d v="2025-11-07T00:00:00"/>
    <d v="1899-12-30T09:00:00"/>
    <d v="2025-11-06T00:00:00"/>
    <d v="1899-12-30T22:30:00"/>
    <n v="-2"/>
    <n v="1"/>
    <n v="32"/>
    <x v="72"/>
  </r>
  <r>
    <s v="Revisión de _x000a_documentos "/>
    <x v="2"/>
    <s v="LS"/>
    <n v="1"/>
    <n v="30"/>
    <d v="2025-11-07T00:00:00"/>
    <d v="1899-12-30T09:00:00"/>
    <d v="2025-11-06T00:00:00"/>
    <d v="1899-12-30T22:30:00"/>
    <n v="-2"/>
    <n v="1"/>
    <n v="32"/>
    <x v="72"/>
  </r>
  <r>
    <s v="Revisión de _x000a_documentos "/>
    <x v="1"/>
    <s v="LP"/>
    <n v="1"/>
    <n v="30"/>
    <d v="2025-11-07T00:00:00"/>
    <d v="1899-12-30T09:00:00"/>
    <d v="2025-11-06T00:00:00"/>
    <d v="1899-12-30T22:30:00"/>
    <n v="-2"/>
    <n v="1"/>
    <n v="32"/>
    <x v="72"/>
  </r>
  <r>
    <s v="Revisión de _x000a_documentos "/>
    <x v="3"/>
    <s v="LE"/>
    <n v="1"/>
    <n v="30"/>
    <d v="2025-11-07T00:00:00"/>
    <d v="1899-12-30T09:00:00"/>
    <d v="2025-11-06T00:00:00"/>
    <d v="1899-12-30T22:30:00"/>
    <n v="-2"/>
    <n v="1"/>
    <n v="32"/>
    <x v="72"/>
  </r>
  <r>
    <s v="Revisión de _x000a_documentos "/>
    <x v="4"/>
    <s v="LA"/>
    <n v="1"/>
    <n v="30"/>
    <d v="2025-11-07T00:00:00"/>
    <d v="1899-12-30T09:00:00"/>
    <d v="2025-11-06T00:00:00"/>
    <d v="1899-12-30T22:30:00"/>
    <n v="-2"/>
    <n v="1"/>
    <n v="32"/>
    <x v="72"/>
  </r>
  <r>
    <s v="Revisión de _x000a_documentos "/>
    <x v="5"/>
    <s v="LD"/>
    <n v="1"/>
    <n v="30"/>
    <d v="2025-11-07T00:00:00"/>
    <d v="1899-12-30T09:00:00"/>
    <d v="2025-11-06T00:00:00"/>
    <d v="1899-12-30T22:30:00"/>
    <n v="-2"/>
    <n v="1"/>
    <n v="32"/>
    <x v="72"/>
  </r>
  <r>
    <s v="Subir los documentos a la página web"/>
    <x v="3"/>
    <s v="LE"/>
    <n v="3"/>
    <n v="20"/>
    <d v="2025-11-07T00:00:00"/>
    <d v="1899-12-30T09:00:00"/>
    <d v="2025-11-07T00:00:00"/>
    <d v="1899-12-30T09:00:00"/>
    <n v="5"/>
    <n v="3"/>
    <n v="15"/>
    <x v="73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s v="Script de definición de procesos"/>
    <x v="0"/>
    <s v="LC"/>
    <n v="1"/>
    <n v="30"/>
    <d v="2025-11-12T00:00:00"/>
    <d v="1899-12-30T09:00:00"/>
    <d v="2025-11-10T00:00:00"/>
    <d v="1899-12-30T10:00:00"/>
    <n v="5"/>
    <n v="1"/>
    <n v="25"/>
    <s v="Diligenciar el formato correspondiente al script de definición de procesos"/>
  </r>
  <r>
    <s v="Control de asignaciones"/>
    <x v="1"/>
    <s v="LP"/>
    <n v="1"/>
    <n v="30"/>
    <d v="2025-11-12T00:00:00"/>
    <d v="1899-12-30T09:00:00"/>
    <d v="2025-11-10T00:00:00"/>
    <d v="1899-12-30T10:00:00"/>
    <n v="5"/>
    <n v="1"/>
    <n v="25"/>
    <s v="Se realizo el llenado del control de asignaciones para asi terminar con éxito la fase 1 del ciclo 2 y para que los demas lideres llenen sus bitácoras"/>
  </r>
  <r>
    <s v="Definir objetivo_x000a_del documento"/>
    <x v="1"/>
    <s v="LP"/>
    <n v="1"/>
    <n v="30"/>
    <d v="2025-11-12T00:00:00"/>
    <d v="1899-12-30T09:00:00"/>
    <d v="2025-11-10T00:00:00"/>
    <d v="1899-12-30T10:30:00"/>
    <n v="5"/>
    <n v="1"/>
    <n v="25"/>
    <s v="Establecer el propósito del SDS y su_x000a_importancia para el proyecto DashKPI."/>
  </r>
  <r>
    <s v="Identificar_x000a_audiencia del_x000a_documento"/>
    <x v="1"/>
    <s v="LP"/>
    <n v="1"/>
    <n v="30"/>
    <d v="2025-11-12T00:00:00"/>
    <d v="1899-12-30T09:00:00"/>
    <d v="2025-11-10T00:00:00"/>
    <d v="1899-12-30T10:00:00"/>
    <n v="5"/>
    <n v="1"/>
    <n v="25"/>
    <s v="Determinar a quién va dirigido el SDS_x000a_(usuarios, desarrolladores, directivos)."/>
  </r>
  <r>
    <s v="Definir_x000a_acrónimos "/>
    <x v="1"/>
    <s v="LP"/>
    <n v="1"/>
    <n v="30"/>
    <d v="2025-11-12T00:00:00"/>
    <d v="1899-12-30T09:00:00"/>
    <d v="2025-11-10T00:00:00"/>
    <d v="1899-12-30T10:00:00"/>
    <n v="5"/>
    <n v="1"/>
    <n v="25"/>
    <s v="Listar acrónimos y abreviaciones_x000a_utilizadas en el proyecto."/>
  </r>
  <r>
    <s v="Descripción_x000a_del problema"/>
    <x v="2"/>
    <s v="LA"/>
    <n v="1"/>
    <n v="30"/>
    <d v="2025-11-12T00:00:00"/>
    <d v="1899-12-30T09:00:00"/>
    <d v="2025-11-10T00:00:00"/>
    <d v="1899-12-30T10:00:00"/>
    <n v="5"/>
    <n v="1"/>
    <n v="25"/>
    <s v="Redactar el problema que resuelve_x000a_DashKPI"/>
  </r>
  <r>
    <s v="Establecer_x000a_objetivos de la_x000a_aplicación"/>
    <x v="2"/>
    <s v="LA"/>
    <n v="1"/>
    <n v="30"/>
    <d v="2025-11-12T00:00:00"/>
    <d v="1899-12-30T09:00:00"/>
    <d v="2025-11-10T00:00:00"/>
    <d v="1899-12-30T10:00:00"/>
    <n v="5"/>
    <n v="1"/>
    <n v="25"/>
    <s v="Documentar los objetivos que cumplirá la_x000a_plataforma DashKPI."/>
  </r>
  <r>
    <s v="Definir_x000a_restricciones "/>
    <x v="2"/>
    <s v="LA"/>
    <n v="1"/>
    <n v="30"/>
    <d v="2025-11-12T00:00:00"/>
    <d v="1899-12-30T09:00:00"/>
    <d v="2025-11-10T00:00:00"/>
    <d v="1899-12-30T11:00:00"/>
    <n v="5"/>
    <n v="1"/>
    <n v="25"/>
    <s v="Identificar limitaciones técnicas, de_x000a_tiempo o recursos."/>
  </r>
  <r>
    <s v="Seleccionar_x000a_estilo de_x000a_arquitectura"/>
    <x v="3"/>
    <s v="LE"/>
    <n v="1"/>
    <n v="30"/>
    <d v="2025-11-12T00:00:00"/>
    <d v="1899-12-30T09:00:00"/>
    <d v="2025-11-10T00:00:00"/>
    <d v="1899-12-30T11:00:00"/>
    <n v="5"/>
    <n v="1"/>
    <n v="25"/>
    <s v="Definir si será cliente-servidor, multicapa,_x000a_etc"/>
  </r>
  <r>
    <s v="Vista de_x000a_contexto (UML_x000a_casos de uso)"/>
    <x v="1"/>
    <s v="LP"/>
    <n v="1"/>
    <n v="30"/>
    <d v="2025-11-12T00:00:00"/>
    <d v="1899-12-30T09:00:00"/>
    <d v="2025-11-10T00:00:00"/>
    <d v="1899-12-30T10:30:00"/>
    <n v="5"/>
    <n v="1"/>
    <n v="25"/>
    <s v="Diseñar el diagrama de casos de uso."/>
  </r>
  <r>
    <s v="Vista funcional_x000a_(UML de_x000a_componentes)"/>
    <x v="2"/>
    <s v="LA"/>
    <n v="1"/>
    <n v="30"/>
    <d v="2025-11-12T00:00:00"/>
    <d v="1899-12-30T09:00:00"/>
    <d v="2025-11-10T00:00:00"/>
    <d v="1899-12-30T10:30:00"/>
    <n v="5"/>
    <n v="1"/>
    <n v="25"/>
    <s v="Modelar los principales componentes del_x000a_sistema."/>
  </r>
  <r>
    <s v="Vista de_x000a_información_x000a_(EntidadRelación, ciclo_x000a_de vida"/>
    <x v="3"/>
    <s v="LP"/>
    <n v="1"/>
    <n v="30"/>
    <d v="2025-11-12T00:00:00"/>
    <d v="1899-12-30T09:00:00"/>
    <d v="2025-11-10T00:00:00"/>
    <d v="1899-12-30T11:00:00"/>
    <n v="5"/>
    <n v="1"/>
    <n v="25"/>
    <s v="Definir el modelo entidad–relación y su_x000a_ciclo de vida."/>
  </r>
  <r>
    <s v="Vista de_x000a_despliegue_x000a_(UML de_x000a_despliegue)"/>
    <x v="0"/>
    <s v="LC"/>
    <n v="1"/>
    <n v="30"/>
    <d v="2025-11-12T00:00:00"/>
    <d v="1899-12-30T09:00:00"/>
    <d v="2025-11-10T00:00:00"/>
    <d v="1899-12-30T10:30:00"/>
    <n v="5"/>
    <n v="1"/>
    <n v="25"/>
    <s v="Representar la distribución física del_x000a_sistema."/>
  </r>
  <r>
    <s v="Vista de_x000a_desarrollo_x000a_(UML de_x000a_paquetes)"/>
    <x v="4"/>
    <s v="LS"/>
    <n v="1"/>
    <n v="30"/>
    <d v="2025-11-12T00:00:00"/>
    <d v="1899-12-30T09:00:00"/>
    <d v="2025-11-10T00:00:00"/>
    <d v="1899-12-30T11:00:00"/>
    <n v="5"/>
    <n v="1"/>
    <n v="25"/>
    <s v="Organizar el sistema en paquetes o_x000a_módulos."/>
  </r>
  <r>
    <s v="Vista de_x000a_concurrencia_x000a_(UML de_x000a_procesos)"/>
    <x v="5"/>
    <s v="LD"/>
    <n v="1"/>
    <n v="30"/>
    <d v="2025-11-12T00:00:00"/>
    <d v="1899-12-30T09:00:00"/>
    <d v="2025-11-10T00:00:00"/>
    <d v="1899-12-30T11:30:00"/>
    <n v="5"/>
    <n v="1"/>
    <n v="25"/>
    <s v="Modelar procesos concurrentes y flujos_x000a_de ejecución."/>
  </r>
  <r>
    <s v="Vista_x000a_operacional_x000a_(Ad hoc o_x000a_descripciones_x000a_textuales)"/>
    <x v="3"/>
    <s v="LE"/>
    <n v="1"/>
    <n v="30"/>
    <d v="2025-11-12T00:00:00"/>
    <d v="1899-12-30T09:00:00"/>
    <d v="2025-11-10T00:00:00"/>
    <d v="1899-12-30T12:00:00"/>
    <n v="5"/>
    <n v="1"/>
    <n v="25"/>
    <s v="Documentar procesos operativos del_x000a_sistema de forma textual."/>
  </r>
  <r>
    <s v="Especificación_x000a_de interfaz de_x000a_usuario"/>
    <x v="0"/>
    <s v="LC"/>
    <n v="1"/>
    <n v="30"/>
    <d v="2025-11-12T00:00:00"/>
    <d v="1899-12-30T09:00:00"/>
    <d v="2025-11-10T00:00:00"/>
    <d v="1899-12-30T10:30:00"/>
    <n v="5"/>
    <n v="1"/>
    <n v="25"/>
    <s v="Definir pantallas, prototipos y flujo de_x000a_navegación."/>
  </r>
  <r>
    <s v="Modelo de_x000a_datos_x000a_(Entidad–_x000a_Relación)"/>
    <x v="4"/>
    <s v="LS"/>
    <n v="1"/>
    <n v="30"/>
    <d v="2025-11-12T00:00:00"/>
    <d v="1899-12-30T09:00:00"/>
    <d v="2025-11-10T00:00:00"/>
    <d v="1899-12-30T11:30:00"/>
    <n v="5"/>
    <n v="1"/>
    <n v="25"/>
    <s v="Crear el modelo de datos definitivo."/>
  </r>
  <r>
    <s v="Modelo de_x000a_clases"/>
    <x v="5"/>
    <s v="LD"/>
    <n v="1"/>
    <n v="30"/>
    <d v="2025-11-12T00:00:00"/>
    <d v="1899-12-30T09:00:00"/>
    <d v="2025-11-10T00:00:00"/>
    <d v="1899-12-30T11:30:00"/>
    <n v="5"/>
    <n v="1"/>
    <n v="25"/>
    <s v="Definir el modelo de clases UML. "/>
  </r>
  <r>
    <s v="Decisión 1_x000a_vista de_x000a_contexto"/>
    <x v="5"/>
    <s v="LD"/>
    <n v="1"/>
    <n v="30"/>
    <d v="2025-11-12T00:00:00"/>
    <d v="1899-12-30T09:00:00"/>
    <d v="2025-11-10T00:00:00"/>
    <d v="1899-12-30T12:00:00"/>
    <n v="5"/>
    <n v="1"/>
    <n v="25"/>
    <s v="Definir decisión 1 de la vista de contexto "/>
  </r>
  <r>
    <s v="Decisión 2_x000a_vista de_x000a_contexto"/>
    <x v="5"/>
    <s v="LD"/>
    <n v="1"/>
    <n v="30"/>
    <d v="2025-11-12T00:00:00"/>
    <d v="1899-12-30T09:00:00"/>
    <d v="2025-11-10T00:00:00"/>
    <d v="1899-12-30T11:00:00"/>
    <n v="5"/>
    <n v="1"/>
    <n v="25"/>
    <s v="Definir decisión 2 de la vista de contexto"/>
  </r>
  <r>
    <s v="Decisión 1_x000a_vista funcional"/>
    <x v="3"/>
    <s v="LE"/>
    <n v="1"/>
    <n v="30"/>
    <d v="2025-11-12T00:00:00"/>
    <d v="1899-12-30T09:00:00"/>
    <d v="2025-11-10T00:00:00"/>
    <d v="1899-12-30T11:00:00"/>
    <n v="7"/>
    <n v="2"/>
    <n v="23"/>
    <s v="Definir decisión 1 de la vista funcional"/>
  </r>
  <r>
    <s v="Decisión 2_x000a_vista funcional"/>
    <x v="3"/>
    <s v="LE"/>
    <n v="1"/>
    <n v="30"/>
    <d v="2025-11-12T00:00:00"/>
    <d v="1899-12-30T09:00:00"/>
    <d v="2025-11-10T00:00:00"/>
    <d v="1899-12-30T11:30:00"/>
    <n v="5"/>
    <n v="1"/>
    <n v="25"/>
    <s v="Definir decisión 2 de la vista funcional "/>
  </r>
  <r>
    <s v="Decisión 1_x000a_vista_x000a_despliegue"/>
    <x v="4"/>
    <s v="LS"/>
    <n v="1"/>
    <n v="30"/>
    <d v="2025-11-12T00:00:00"/>
    <d v="1899-12-30T09:00:00"/>
    <d v="2025-11-10T00:00:00"/>
    <d v="1899-12-30T11:30:00"/>
    <n v="5"/>
    <n v="2"/>
    <n v="25"/>
    <s v="Definir decisión 1 de la vista de_x000a_despliegue"/>
  </r>
  <r>
    <s v="Decisión 2_x000a_vista_x000a_despliegue"/>
    <x v="4"/>
    <s v="LS"/>
    <n v="1"/>
    <n v="30"/>
    <d v="2025-11-12T00:00:00"/>
    <d v="1899-12-30T09:00:00"/>
    <d v="2025-11-10T00:00:00"/>
    <d v="1899-12-30T11:30:00"/>
    <n v="5"/>
    <n v="1"/>
    <n v="25"/>
    <s v="Definir decisión 2 de la vista de_x000a_despliegue"/>
  </r>
  <r>
    <s v="Decisión 1_x000a_vista de_x000a_desarrollo"/>
    <x v="0"/>
    <s v="LC"/>
    <n v="1"/>
    <n v="30"/>
    <d v="2025-11-12T00:00:00"/>
    <d v="1899-12-30T09:00:00"/>
    <d v="2025-11-10T00:00:00"/>
    <d v="1899-12-30T12:00:00"/>
    <n v="5"/>
    <n v="2"/>
    <n v="25"/>
    <s v="Definir decisión 1 de la vista de desarrollo"/>
  </r>
  <r>
    <s v="Decisión 2_x000a_vista de_x000a_desarrollo"/>
    <x v="0"/>
    <s v="LC"/>
    <n v="1"/>
    <n v="30"/>
    <d v="2025-11-12T00:00:00"/>
    <d v="1899-12-30T09:00:00"/>
    <d v="2025-11-10T00:00:00"/>
    <d v="1899-12-30T12:30:00"/>
    <n v="5"/>
    <n v="1"/>
    <n v="25"/>
    <s v="Definir decisión 2 de la vista de desarrollo "/>
  </r>
  <r>
    <s v="Decisión 1_x000a_vista de_x000a_concurrencia"/>
    <x v="1"/>
    <s v="LP"/>
    <n v="1"/>
    <n v="30"/>
    <d v="2025-11-12T00:00:00"/>
    <d v="1899-12-30T09:00:00"/>
    <d v="2025-11-10T00:00:00"/>
    <d v="1899-12-30T12:30:00"/>
    <n v="5"/>
    <n v="1"/>
    <n v="25"/>
    <s v="Definir decisión 1 de la vista de_x000a_concurrencia"/>
  </r>
  <r>
    <s v="Decisión 2_x000a_vista de_x000a_concurrencia"/>
    <x v="1"/>
    <s v="LP"/>
    <n v="1"/>
    <n v="30"/>
    <d v="2025-11-12T00:00:00"/>
    <d v="1899-12-30T09:00:00"/>
    <d v="2025-11-10T00:00:00"/>
    <d v="1899-12-30T13:00:00"/>
    <n v="5"/>
    <n v="1"/>
    <n v="25"/>
    <s v="Definir decisión 2 de la vista de_x000a_concurrencia"/>
  </r>
  <r>
    <s v="Decisión 1_x000a_vista de_x000a_información"/>
    <x v="2"/>
    <s v="LA"/>
    <n v="1"/>
    <n v="30"/>
    <d v="2025-11-12T00:00:00"/>
    <d v="1899-12-30T09:00:00"/>
    <d v="2025-11-10T00:00:00"/>
    <d v="1899-12-30T12:30:00"/>
    <n v="5"/>
    <n v="1"/>
    <n v="25"/>
    <s v="Definir decisión 1 de la vista de_x000a_información"/>
  </r>
  <r>
    <s v="Decisión 2_x000a_vista de_x000a_información"/>
    <x v="2"/>
    <s v="LA"/>
    <n v="1"/>
    <n v="30"/>
    <d v="2025-11-12T00:00:00"/>
    <d v="1899-12-30T09:00:00"/>
    <d v="2025-11-10T00:00:00"/>
    <d v="1899-12-30T13:00:00"/>
    <n v="5"/>
    <n v="1"/>
    <n v="25"/>
    <s v="Definir decisión 2 de la vista de_x000a_información"/>
  </r>
  <r>
    <s v="Revisión del_x000a_documento_x000a_SDS"/>
    <x v="2"/>
    <s v="LA"/>
    <n v="1"/>
    <n v="30"/>
    <d v="2025-11-12T00:00:00"/>
    <d v="1899-12-30T09:00:00"/>
    <d v="2025-11-10T00:00:00"/>
    <d v="1899-12-30T12:00:00"/>
    <n v="5"/>
    <n v="1"/>
    <n v="25"/>
    <s v="Validar consistencia, completitud y_x000a_calidad del documento."/>
  </r>
  <r>
    <s v="Control de_x000a_cambios"/>
    <x v="2"/>
    <s v="LA"/>
    <n v="1"/>
    <n v="20"/>
    <d v="2025-11-12T00:00:00"/>
    <d v="1899-12-30T09:00:00"/>
    <d v="2025-11-11T00:00:00"/>
    <d v="1899-12-30T19:00:00"/>
    <n v="2"/>
    <n v="1"/>
    <n v="18"/>
    <s v="Gestionar solicitudes de cambios, su_x000a_evaluación, aprobación/rechazo e_x000a_implantación."/>
  </r>
  <r>
    <s v="Control de_x000a_cambios"/>
    <x v="3"/>
    <s v="LD"/>
    <n v="1"/>
    <n v="20"/>
    <d v="2025-11-12T00:00:00"/>
    <d v="1899-12-30T09:00:00"/>
    <d v="2025-11-11T00:00:00"/>
    <d v="1899-12-30T19:00:00"/>
    <n v="2"/>
    <n v="1"/>
    <n v="18"/>
    <s v="Gestionar solicitudes de cambios, su_x000a_evaluación, aprobación/rechazo e_x000a_implantación."/>
  </r>
  <r>
    <s v="Control de _x000a_cambios "/>
    <x v="0"/>
    <s v="LC"/>
    <n v="1"/>
    <n v="20"/>
    <d v="2025-11-12T00:00:00"/>
    <d v="1899-12-30T09:00:00"/>
    <d v="2025-11-11T00:00:00"/>
    <d v="1899-12-30T19:20:00"/>
    <n v="0"/>
    <n v="1"/>
    <n v="20"/>
    <s v="Gestionar solicitudes de cambios, su evaluación, aprobación/rechazo e implantación. "/>
  </r>
  <r>
    <s v="Control de _x000a_cambios "/>
    <x v="4"/>
    <s v="LS"/>
    <n v="1"/>
    <n v="20"/>
    <d v="2025-11-12T00:00:00"/>
    <d v="1899-12-30T09:00:00"/>
    <d v="2025-11-11T00:00:00"/>
    <d v="1899-12-30T19:20:00"/>
    <n v="0"/>
    <n v="1"/>
    <n v="20"/>
    <s v="Gestionar solicitudes de cambios, su evaluación, aprobación/rechazo e implantación. "/>
  </r>
  <r>
    <s v="Registrar y gestionar riesgos"/>
    <x v="0"/>
    <s v="LC"/>
    <n v="1"/>
    <n v="30"/>
    <d v="2025-11-12T00:00:00"/>
    <d v="1899-12-30T09:00:00"/>
    <d v="2025-11-11T00:00:00"/>
    <d v="1899-12-30T20:00:00"/>
    <n v="6"/>
    <n v="1"/>
    <n v="24"/>
    <s v="Identificar, clasificar y dar seguimiento a_x000a_riesgos del proyecto."/>
  </r>
  <r>
    <s v="Log de defectos(apertura,seguimiento y cierre)"/>
    <x v="5"/>
    <s v="LD"/>
    <n v="1"/>
    <n v="30"/>
    <d v="2025-11-12T00:00:00"/>
    <d v="1899-12-30T09:00:00"/>
    <d v="2025-11-11T00:00:00"/>
    <d v="1899-12-30T20:00:00"/>
    <n v="0"/>
    <n v="1"/>
    <n v="30"/>
    <s v="Registrar incidencias y defectos, dar_x000a_seguimiento y cerrar tras validación."/>
  </r>
  <r>
    <s v="Bitácoras y actas"/>
    <x v="5"/>
    <s v="LD"/>
    <n v="5"/>
    <n v="50"/>
    <d v="2025-11-12T00:00:00"/>
    <d v="1899-12-30T09:00:00"/>
    <d v="2025-11-11T00:00:00"/>
    <d v="1899-12-30T20:50:00"/>
    <n v="5"/>
    <n v="5"/>
    <n v="45"/>
    <s v="Documentar bitácoras de tiempo y actas de_x000a_reuniones, manteniendo control de_x000a_versiones."/>
  </r>
  <r>
    <s v="Elaboración de las bitácoras"/>
    <x v="1"/>
    <s v="LP"/>
    <n v="1"/>
    <n v="60"/>
    <d v="2025-11-12T00:00:00"/>
    <d v="1899-12-30T09:00:00"/>
    <d v="2025-11-11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4"/>
    <s v="LS"/>
    <n v="1"/>
    <n v="60"/>
    <d v="2025-11-12T00:00:00"/>
    <d v="1899-12-30T09:00:00"/>
    <d v="2025-11-11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3"/>
    <s v="LE"/>
    <n v="1"/>
    <n v="60"/>
    <d v="2025-11-12T00:00:00"/>
    <d v="1899-12-30T09:00:00"/>
    <d v="2025-11-11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2"/>
    <s v="LA"/>
    <n v="1"/>
    <n v="60"/>
    <d v="2025-11-12T00:00:00"/>
    <d v="1899-12-30T09:00:00"/>
    <d v="2025-11-11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0"/>
    <s v="LC"/>
    <n v="1"/>
    <n v="60"/>
    <d v="2025-11-12T00:00:00"/>
    <d v="1899-12-30T09:00:00"/>
    <d v="2025-11-11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1"/>
    <s v="LD"/>
    <n v="1"/>
    <n v="60"/>
    <d v="2025-11-12T00:00:00"/>
    <d v="1899-12-30T09:00:00"/>
    <d v="2025-11-11T00:00:00"/>
    <d v="1899-12-30T22:00:00"/>
    <n v="50"/>
    <n v="1"/>
    <n v="10"/>
    <s v="Con las bitácoras llenamos cada espacio con las actividaes correspondientes según el control de asignaciones"/>
  </r>
  <r>
    <s v="Evaluación de log de defectos"/>
    <x v="3"/>
    <s v="LE"/>
    <n v="1"/>
    <n v="30"/>
    <d v="2025-11-12T00:00:00"/>
    <d v="1899-12-30T09:00:00"/>
    <d v="2025-11-11T00:00:00"/>
    <d v="1899-12-30T22:00:00"/>
    <n v="0"/>
    <n v="1"/>
    <n v="30"/>
    <s v="No comentarios"/>
  </r>
  <r>
    <s v="Llenado de log de defectos"/>
    <x v="0"/>
    <s v="LC"/>
    <n v="1"/>
    <n v="30"/>
    <d v="2025-11-12T00:00:00"/>
    <d v="1899-12-30T09:00:00"/>
    <d v="2025-11-11T00:00:00"/>
    <d v="1899-12-30T22:00:00"/>
    <n v="0"/>
    <n v="1"/>
    <n v="30"/>
    <s v="No comentarios"/>
  </r>
  <r>
    <s v="Acta de reunión"/>
    <x v="0"/>
    <s v="LC"/>
    <n v="1"/>
    <n v="45"/>
    <d v="2025-11-12T00:00:00"/>
    <d v="1899-12-30T09:00:00"/>
    <d v="2025-11-11T00:00:00"/>
    <d v="1899-12-30T22:30:00"/>
    <n v="-35"/>
    <n v="1"/>
    <n v="80"/>
    <s v="Ordenar en grupo todos los documentos asignados para la primera entrega"/>
  </r>
  <r>
    <s v="Elaboración de diapositivas(Informe final)"/>
    <x v="3"/>
    <s v="LE"/>
    <n v="1"/>
    <n v="60"/>
    <d v="2025-11-12T00:00:00"/>
    <d v="1899-12-30T09:00:00"/>
    <d v="2025-11-11T00:00:00"/>
    <d v="1899-12-30T22:30:00"/>
    <n v="10"/>
    <n v="1"/>
    <n v="50"/>
    <s v="Diapositivas con los documentos hechos "/>
  </r>
  <r>
    <s v="Maestro de documentos"/>
    <x v="3"/>
    <s v="LE"/>
    <n v="1"/>
    <n v="55"/>
    <d v="2025-11-12T00:00:00"/>
    <d v="1899-12-30T09:00:00"/>
    <d v="2025-11-11T00:00:00"/>
    <d v="1899-12-30T22:30:00"/>
    <n v="0"/>
    <n v="1"/>
    <n v="55"/>
    <s v="Realización de un excel con los documentos hechos "/>
  </r>
  <r>
    <s v="Revisión de _x000a_documentos "/>
    <x v="0"/>
    <s v="LC"/>
    <n v="1"/>
    <n v="30"/>
    <d v="2025-11-12T00:00:00"/>
    <d v="1899-12-30T09:00:00"/>
    <d v="2025-11-11T00:00:00"/>
    <d v="1899-12-30T22:30:00"/>
    <n v="-2"/>
    <n v="1"/>
    <n v="32"/>
    <s v="Se revisan los tres documentos realizados en grupo para consolidar los resultados y corregir errores "/>
  </r>
  <r>
    <s v="Revisión de _x000a_documentos "/>
    <x v="4"/>
    <s v="LS"/>
    <n v="1"/>
    <n v="30"/>
    <d v="2025-11-12T00:00:00"/>
    <d v="1899-12-30T09:00:00"/>
    <d v="2025-11-11T00:00:00"/>
    <d v="1899-12-30T22:30:00"/>
    <n v="-2"/>
    <n v="1"/>
    <n v="32"/>
    <s v="Se revisan los tres documentos realizados en grupo para consolidar los resultados y corregir errores "/>
  </r>
  <r>
    <s v="Revisión de _x000a_documentos "/>
    <x v="1"/>
    <s v="LP"/>
    <n v="1"/>
    <n v="30"/>
    <d v="2025-11-12T00:00:00"/>
    <d v="1899-12-30T09:00:00"/>
    <d v="2025-11-11T00:00:00"/>
    <d v="1899-12-30T22:30:00"/>
    <n v="-2"/>
    <n v="1"/>
    <n v="32"/>
    <s v="Se revisan los tres documentos realizados en grupo para consolidar los resultados y corregir errores "/>
  </r>
  <r>
    <s v="Revisión de _x000a_documentos "/>
    <x v="3"/>
    <s v="LE"/>
    <n v="1"/>
    <n v="30"/>
    <d v="2025-11-12T00:00:00"/>
    <d v="1899-12-30T09:00:00"/>
    <d v="2025-11-11T00:00:00"/>
    <d v="1899-12-30T22:30:00"/>
    <n v="-2"/>
    <n v="1"/>
    <n v="32"/>
    <s v="Se revisan los tres documentos realizados en grupo para consolidar los resultados y corregir errores "/>
  </r>
  <r>
    <s v="Revisión de _x000a_documentos "/>
    <x v="2"/>
    <s v="LA"/>
    <n v="1"/>
    <n v="30"/>
    <d v="2025-11-12T00:00:00"/>
    <d v="1899-12-30T09:00:00"/>
    <d v="2025-11-11T00:00:00"/>
    <d v="1899-12-30T22:30:00"/>
    <n v="-2"/>
    <n v="1"/>
    <n v="32"/>
    <s v="Se revisan los tres documentos realizados en grupo para consolidar los resultados y corregir errores "/>
  </r>
  <r>
    <s v="Revisión de _x000a_documentos "/>
    <x v="5"/>
    <s v="LD"/>
    <n v="1"/>
    <n v="30"/>
    <d v="2025-11-12T00:00:00"/>
    <d v="1899-12-30T09:00:00"/>
    <d v="2025-11-11T00:00:00"/>
    <d v="1899-12-30T22:30:00"/>
    <n v="-2"/>
    <n v="1"/>
    <n v="32"/>
    <s v="Se revisan los tres documentos realizados en grupo para consolidar los resultados y corregir errores "/>
  </r>
  <r>
    <s v="Subir los documentos a la página web"/>
    <x v="3"/>
    <s v="LE"/>
    <n v="3"/>
    <n v="20"/>
    <d v="2025-11-12T00:00:00"/>
    <d v="1899-12-30T09:00:00"/>
    <d v="2025-11-11T00:00:00"/>
    <d v="1899-12-30T09:00:00"/>
    <n v="5"/>
    <n v="3"/>
    <n v="15"/>
    <s v="Todos los documentos subidos _x000a_y actualizados en la pagina 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8BAD6C-59AE-4FA9-9CEE-286D89C45CFA}" name="TablaDinámica1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93:E100" firstHeaderRow="0" firstDataRow="1" firstDataCol="1"/>
  <pivotFields count="13">
    <pivotField showAll="0"/>
    <pivotField axis="axisRow" showAll="0">
      <items count="8">
        <item h="1" x="6"/>
        <item x="0"/>
        <item x="3"/>
        <item x="4"/>
        <item x="5"/>
        <item x="2"/>
        <item x="1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3" baseField="0" baseItem="0"/>
    <dataField name="Suma de Tiempo estimado (minutos)" fld="4" baseField="0" baseItem="0"/>
    <dataField name="Suma de Tiempo real" fld="11" baseField="0" baseItem="0"/>
    <dataField name="Suma de Tamaño real" fld="10" baseField="0" baseItem="0"/>
  </dataFields>
  <chartFormats count="8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5D4865-06DD-45E9-9421-2EF2031B5932}" name="TablaDinámica4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52:E59" firstHeaderRow="0" firstDataRow="1" firstDataCol="1"/>
  <pivotFields count="11">
    <pivotField axis="axisRow" showAll="0">
      <items count="19">
        <item x="11"/>
        <item h="1" x="6"/>
        <item x="16"/>
        <item x="12"/>
        <item x="14"/>
        <item x="15"/>
        <item x="13"/>
        <item h="1" x="17"/>
        <item h="1" x="3"/>
        <item h="1" x="5"/>
        <item h="1" x="1"/>
        <item h="1" x="9"/>
        <item h="1" x="10"/>
        <item h="1" x="0"/>
        <item h="1" x="8"/>
        <item h="1" x="2"/>
        <item h="1" x="4"/>
        <item h="1" x="7"/>
        <item t="default"/>
      </items>
    </pivotField>
    <pivotField showAll="0"/>
    <pivotField dataField="1" showAll="0"/>
    <pivotField dataField="1" showAll="0"/>
    <pivotField numFmtId="165" showAll="0"/>
    <pivotField numFmtId="164" showAll="0"/>
    <pivotField showAll="0"/>
    <pivotField numFmtId="164" showAll="0"/>
    <pivotField numFmtId="1" showAll="0"/>
    <pivotField dataField="1" numFmtId="1" showAll="0"/>
    <pivotField dataField="1" numFmtId="1" showAll="0"/>
  </pivotFields>
  <rowFields count="1">
    <field x="0"/>
  </rowFields>
  <rowItems count="7">
    <i>
      <x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2" baseField="0" baseItem="0"/>
    <dataField name="Suma de Tiempo estimado (minutos)" fld="3" baseField="0" baseItem="0"/>
    <dataField name="Suma de Tamaño real" fld="9" baseField="0" baseItem="0" numFmtId="1"/>
    <dataField name="Suma de Tiempo real" fld="10" baseField="0" baseItem="0" numFmtId="1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A31C45-D442-41DF-87DE-01E2A3192184}" name="TablaDinámica3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69:E76" firstHeaderRow="0" firstDataRow="1" firstDataCol="1"/>
  <pivotFields count="11">
    <pivotField axis="axisRow" showAll="0">
      <items count="10">
        <item x="1"/>
        <item x="8"/>
        <item x="6"/>
        <item x="5"/>
        <item x="3"/>
        <item h="1" x="0"/>
        <item h="1" x="4"/>
        <item h="1" x="7"/>
        <item x="2"/>
        <item t="default"/>
      </items>
    </pivotField>
    <pivotField showAll="0"/>
    <pivotField dataField="1" showAll="0"/>
    <pivotField dataField="1" showAll="0"/>
    <pivotField numFmtId="165" showAll="0"/>
    <pivotField numFmtId="164" showAll="0"/>
    <pivotField numFmtId="165" showAll="0"/>
    <pivotField numFmtId="164" showAll="0"/>
    <pivotField numFmtId="1" showAll="0"/>
    <pivotField dataField="1" showAll="0"/>
    <pivotField dataField="1" numFmtI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2" baseField="0" baseItem="0"/>
    <dataField name="Suma de Tiempo estimado (minutos)" fld="3" baseField="0" baseItem="0"/>
    <dataField name="Suma de Tiempo real" fld="10" baseField="0" baseItem="0" numFmtId="1"/>
    <dataField name="Suma de Tamaño real" fld="9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32B050-5C62-4E8D-88DF-431DE79FF8AB}" name="TablaDiná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H63:L70" firstHeaderRow="0" firstDataRow="1" firstDataCol="1"/>
  <pivotFields count="11">
    <pivotField axis="axisRow" showAll="0">
      <items count="9">
        <item h="1" x="6"/>
        <item h="1" x="7"/>
        <item x="4"/>
        <item x="1"/>
        <item x="2"/>
        <item x="3"/>
        <item x="5"/>
        <item x="0"/>
        <item t="default"/>
      </items>
    </pivotField>
    <pivotField showAll="0"/>
    <pivotField dataField="1" numFmtId="1" showAll="0"/>
    <pivotField dataField="1" numFmtId="1" showAll="0"/>
    <pivotField numFmtId="165" showAll="0"/>
    <pivotField numFmtId="164" showAll="0"/>
    <pivotField numFmtId="165" showAll="0"/>
    <pivotField numFmtId="164" showAll="0"/>
    <pivotField showAll="0"/>
    <pivotField dataField="1" numFmtId="1" showAll="0"/>
    <pivotField dataField="1" numFmtId="1" showAll="0"/>
  </pivotFields>
  <rowFields count="1">
    <field x="0"/>
  </rowFields>
  <rowItems count="7"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iempo real" fld="10" baseField="0" baseItem="0" numFmtId="1"/>
    <dataField name="Suma de Tamaño real" fld="9" baseField="0" baseItem="0" numFmtId="1"/>
    <dataField name="Suma de Tiempo estimado (minutos)" fld="3" baseField="0" baseItem="0" numFmtId="1"/>
    <dataField name="Suma de Tamaño estimado (hojas, secciones)" fld="2" baseField="0" baseItem="0" numFmtId="1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8170A1-2856-4491-B323-4EF9C610AC28}" name="TablaDinámica5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125:C132" firstHeaderRow="0" firstDataRow="1" firstDataCol="1"/>
  <pivotFields count="11">
    <pivotField axis="axisRow" showAll="0">
      <items count="8">
        <item h="1" x="6"/>
        <item x="1"/>
        <item x="5"/>
        <item x="3"/>
        <item x="4"/>
        <item x="2"/>
        <item x="0"/>
        <item t="default"/>
      </items>
    </pivotField>
    <pivotField showAll="0">
      <items count="13">
        <item x="9"/>
        <item x="10"/>
        <item x="11"/>
        <item x="8"/>
        <item x="7"/>
        <item x="6"/>
        <item x="4"/>
        <item x="1"/>
        <item x="5"/>
        <item x="3"/>
        <item x="0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Tamaño real" fld="9" baseField="0" baseItem="0"/>
    <dataField name="Suma de Tamaño estimado (hojas, secciones)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1996F5-D416-457F-8C05-025C06B0CA26}" name="TablaDinámica4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99:E106" firstHeaderRow="0" firstDataRow="1" firstDataCol="1"/>
  <pivotFields count="11">
    <pivotField axis="axisRow" showAll="0">
      <items count="8">
        <item h="1" x="6"/>
        <item x="1"/>
        <item x="5"/>
        <item x="3"/>
        <item x="4"/>
        <item x="2"/>
        <item x="0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2" baseField="0" baseItem="0"/>
    <dataField name="Suma de Tiempo estimado (minutos)" fld="3" baseField="0" baseItem="0"/>
    <dataField name="Suma de Tiempo real" fld="10" baseField="0" baseItem="0"/>
    <dataField name="Suma de Tamaño real" fld="9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0F6118-7B14-41AF-BE94-6B49998A4454}" name="TablaDinámica5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79:C86" firstHeaderRow="0" firstDataRow="1" firstDataCol="1"/>
  <pivotFields count="13">
    <pivotField showAll="0"/>
    <pivotField axis="axisRow" showAll="0">
      <items count="8">
        <item h="1" x="6"/>
        <item x="0"/>
        <item x="5"/>
        <item x="2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Tamaño estimado (hojas, secciones)" fld="3" baseField="0" baseItem="0"/>
    <dataField name="Suma de Tamaño real" fld="10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096D2D-45FE-46E3-845F-9A9A7DB71542}" name="TablaDinámica3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58:E65" firstHeaderRow="0" firstDataRow="1" firstDataCol="1"/>
  <pivotFields count="13">
    <pivotField showAll="0"/>
    <pivotField axis="axisRow" showAll="0">
      <items count="8">
        <item h="1" x="6"/>
        <item x="0"/>
        <item x="5"/>
        <item x="2"/>
        <item x="3"/>
        <item x="4"/>
        <item x="1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3" baseField="0" baseItem="0"/>
    <dataField name="Suma de Tiempo estimado (minutos)" fld="4" baseField="0" baseItem="0"/>
    <dataField name="Suma de Tiempo real" fld="11" baseField="0" baseItem="0"/>
    <dataField name="Suma de Tamaño real" fld="10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5C5E5E-615A-4A9E-9A9F-6C7204FEE269}" name="TablaDinámica1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67:E74" firstHeaderRow="0" firstDataRow="1" firstDataCol="1"/>
  <pivotFields count="13">
    <pivotField showAll="0"/>
    <pivotField axis="axisRow" showAll="0">
      <items count="8">
        <item h="1" x="6"/>
        <item x="0"/>
        <item x="5"/>
        <item x="2"/>
        <item x="4"/>
        <item x="3"/>
        <item x="1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3" baseField="0" baseItem="0"/>
    <dataField name="Suma de Tiempo estimado (minutos)" fld="4" baseField="0" baseItem="0"/>
    <dataField name="Suma de Tamaño real" fld="10" baseField="0" baseItem="0"/>
    <dataField name="Suma de Tiempo real" fld="11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FB7E28-4A93-4440-92F8-AA191698B596}" name="TablaDinámica1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90:E97" firstHeaderRow="0" firstDataRow="1" firstDataCol="1"/>
  <pivotFields count="13">
    <pivotField showAll="0"/>
    <pivotField axis="axisRow" showAll="0">
      <items count="8">
        <item h="1" x="6"/>
        <item x="0"/>
        <item x="4"/>
        <item x="3"/>
        <item x="5"/>
        <item x="2"/>
        <item x="1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3" baseField="0" baseItem="0"/>
    <dataField name="Suma de Tiempo estimado (minutos)" fld="4" baseField="0" baseItem="0"/>
    <dataField name="Suma de Tamaño real" fld="10" baseField="0" baseItem="0"/>
    <dataField name="Suma de Tiempo real" fld="11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34E0E9-EBC2-48DC-8976-A092406D7D46}" name="TablaDinámica1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93:E100" firstHeaderRow="0" firstDataRow="1" firstDataCol="1"/>
  <pivotFields count="13">
    <pivotField showAll="0"/>
    <pivotField axis="axisRow" showAll="0">
      <items count="8">
        <item h="1" x="6"/>
        <item x="0"/>
        <item x="3"/>
        <item x="4"/>
        <item x="5"/>
        <item x="2"/>
        <item x="1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3" baseField="0" baseItem="0"/>
    <dataField name="Suma de Tiempo estimado (minutos)" fld="4" baseField="0" baseItem="0"/>
    <dataField name="Suma de Tiempo real" fld="11" baseField="0" baseItem="0"/>
    <dataField name="Suma de Tamaño real" fld="10" baseField="0" baseItem="0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42A9EE-695C-4EFA-9370-E6D350C5129C}" name="TablaDinámica10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252:E259" firstHeaderRow="0" firstDataRow="1" firstDataCol="1"/>
  <pivotFields count="11">
    <pivotField axis="axisRow" showAll="0">
      <items count="16">
        <item h="1" x="6"/>
        <item h="1" x="11"/>
        <item h="1" x="3"/>
        <item h="1" x="5"/>
        <item h="1" x="13"/>
        <item h="1" x="14"/>
        <item h="1" x="1"/>
        <item x="9"/>
        <item x="10"/>
        <item x="0"/>
        <item h="1" x="12"/>
        <item h="1" x="8"/>
        <item x="2"/>
        <item x="4"/>
        <item x="7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7">
    <i>
      <x v="7"/>
    </i>
    <i>
      <x v="8"/>
    </i>
    <i>
      <x v="9"/>
    </i>
    <i>
      <x v="12"/>
    </i>
    <i>
      <x v="13"/>
    </i>
    <i>
      <x v="1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2" baseField="0" baseItem="0"/>
    <dataField name="Suma de Tiempo estimado (minutos)" fld="3" baseField="0" baseItem="0"/>
    <dataField name="Suma de Tiempo real" fld="10" baseField="0" baseItem="0"/>
    <dataField name="Suma de Tamaño real" fld="9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1D1A09-C9C7-4730-9F7F-4F32357A236F}" name="TablaDinámica1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116:E123" firstHeaderRow="0" firstDataRow="1" firstDataCol="1"/>
  <pivotFields count="13">
    <pivotField showAll="0"/>
    <pivotField axis="axisRow" showAll="0">
      <items count="7">
        <item x="2"/>
        <item x="1"/>
        <item x="5"/>
        <item x="3"/>
        <item x="0"/>
        <item x="4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3" baseField="0" baseItem="0"/>
    <dataField name="Suma de Tiempo estimado (minutos)" fld="4" baseField="0" baseItem="0"/>
    <dataField name="Suma de Tamaño real" fld="10" baseField="0" baseItem="0"/>
    <dataField name="Suma de Tiempo real" fld="11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12F240-5027-483F-BC06-E94FEF8E09A0}" name="TablaDinámica6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135:E142" firstHeaderRow="0" firstDataRow="1" firstDataCol="1"/>
  <pivotFields count="13">
    <pivotField showAll="0"/>
    <pivotField axis="axisRow" showAll="0">
      <items count="7">
        <item x="2"/>
        <item x="1"/>
        <item x="4"/>
        <item x="3"/>
        <item x="0"/>
        <item x="5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>
      <items count="75">
        <item x="49"/>
        <item x="36"/>
        <item x="28"/>
        <item x="59"/>
        <item x="7"/>
        <item x="17"/>
        <item x="58"/>
        <item x="47"/>
        <item x="61"/>
        <item x="37"/>
        <item x="67"/>
        <item x="15"/>
        <item x="33"/>
        <item x="38"/>
        <item x="32"/>
        <item x="43"/>
        <item x="60"/>
        <item x="39"/>
        <item x="46"/>
        <item x="41"/>
        <item x="27"/>
        <item x="23"/>
        <item x="5"/>
        <item x="70"/>
        <item x="0"/>
        <item x="66"/>
        <item x="6"/>
        <item x="12"/>
        <item x="9"/>
        <item x="19"/>
        <item x="4"/>
        <item x="29"/>
        <item x="26"/>
        <item x="24"/>
        <item x="48"/>
        <item x="56"/>
        <item x="25"/>
        <item x="63"/>
        <item x="62"/>
        <item x="50"/>
        <item x="64"/>
        <item x="52"/>
        <item x="45"/>
        <item x="53"/>
        <item x="31"/>
        <item x="68"/>
        <item x="69"/>
        <item x="55"/>
        <item x="54"/>
        <item x="21"/>
        <item x="14"/>
        <item x="22"/>
        <item x="11"/>
        <item x="16"/>
        <item x="13"/>
        <item x="20"/>
        <item x="8"/>
        <item x="18"/>
        <item x="10"/>
        <item x="42"/>
        <item x="71"/>
        <item x="34"/>
        <item x="35"/>
        <item x="30"/>
        <item x="65"/>
        <item x="57"/>
        <item x="44"/>
        <item x="51"/>
        <item x="1"/>
        <item x="72"/>
        <item x="73"/>
        <item x="3"/>
        <item x="2"/>
        <item x="40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3" baseField="0" baseItem="0"/>
    <dataField name="Suma de Tiempo estimado (minutos)" fld="4" baseField="0" baseItem="0"/>
    <dataField name="Suma de Tiempo real" fld="11" baseField="0" baseItem="0"/>
    <dataField name="Suma de Tamaño real" fld="10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CAD164-395A-4326-B699-C1D7F793DC42}" name="TablaDinámica1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66:E73" firstHeaderRow="0" firstDataRow="1" firstDataCol="1"/>
  <pivotFields count="13">
    <pivotField showAll="0"/>
    <pivotField axis="axisRow" showAll="0">
      <items count="7">
        <item x="4"/>
        <item x="1"/>
        <item x="2"/>
        <item x="3"/>
        <item x="0"/>
        <item x="5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3" baseField="0" baseItem="0"/>
    <dataField name="Suma de Tiempo estimado (minutos)" fld="4" baseField="0" baseItem="0"/>
    <dataField name="Suma de Tiempo real" fld="11" baseField="0" baseItem="0"/>
    <dataField name="Suma de Tamaño real" fld="10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.bin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1" Type="http://schemas.openxmlformats.org/officeDocument/2006/relationships/pivotTable" Target="../pivotTables/pivotTable9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0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1" Type="http://schemas.openxmlformats.org/officeDocument/2006/relationships/pivotTable" Target="../pivotTables/pivotTable11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1" Type="http://schemas.openxmlformats.org/officeDocument/2006/relationships/pivotTable" Target="../pivotTables/pivotTable12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1" Type="http://schemas.openxmlformats.org/officeDocument/2006/relationships/pivotTable" Target="../pivotTables/pivotTable13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1" Type="http://schemas.openxmlformats.org/officeDocument/2006/relationships/pivotTable" Target="../pivotTables/pivotTable14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1" Type="http://schemas.openxmlformats.org/officeDocument/2006/relationships/pivotTable" Target="../pivotTables/pivot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072BB-463C-40F0-8F08-3F37CDDA4A41}">
  <dimension ref="A1:T267"/>
  <sheetViews>
    <sheetView topLeftCell="A241" zoomScale="84" zoomScaleNormal="76" workbookViewId="0">
      <selection activeCell="A255" sqref="A255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26"/>
      <c r="B1" s="128" t="s">
        <v>0</v>
      </c>
      <c r="C1" s="128"/>
      <c r="D1" s="128"/>
      <c r="E1" s="128"/>
      <c r="F1" s="128"/>
      <c r="G1" s="128"/>
      <c r="H1" s="128"/>
      <c r="I1" s="128"/>
      <c r="J1" s="128"/>
      <c r="K1" s="128"/>
      <c r="L1" s="130"/>
      <c r="M1" s="131"/>
    </row>
    <row r="2" spans="1:20" ht="20.25" customHeight="1" x14ac:dyDescent="0.2">
      <c r="A2" s="127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32"/>
      <c r="M2" s="133"/>
    </row>
    <row r="3" spans="1:20" ht="12.75" customHeight="1" x14ac:dyDescent="0.2">
      <c r="A3" s="134" t="s">
        <v>1</v>
      </c>
      <c r="B3" s="136" t="s">
        <v>2</v>
      </c>
      <c r="C3" s="136"/>
      <c r="D3" s="136"/>
      <c r="E3" s="136"/>
      <c r="F3" s="136"/>
      <c r="G3" s="136"/>
      <c r="H3" s="136"/>
      <c r="I3" s="136"/>
      <c r="J3" s="136"/>
      <c r="K3" s="136"/>
      <c r="L3" s="138" t="s">
        <v>3</v>
      </c>
      <c r="M3" s="139"/>
    </row>
    <row r="4" spans="1:20" ht="13.5" thickBot="1" x14ac:dyDescent="0.25">
      <c r="A4" s="135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22" t="s">
        <v>6</v>
      </c>
      <c r="C6" s="122"/>
      <c r="D6" s="122"/>
      <c r="E6" s="122"/>
      <c r="F6" s="122"/>
      <c r="G6" s="122"/>
      <c r="H6" s="123" t="s">
        <v>7</v>
      </c>
      <c r="I6" s="124"/>
      <c r="J6" s="124"/>
      <c r="K6" s="124"/>
      <c r="L6" s="125"/>
      <c r="M6" s="25"/>
    </row>
    <row r="7" spans="1:20" s="14" customFormat="1" ht="49.5" customHeight="1" x14ac:dyDescent="0.2">
      <c r="A7" s="18" cm="1">
        <f t="array" aca="1" ref="A7" ca="1">+#REF!+A1:L7+A7:L108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23" t="s">
        <v>20</v>
      </c>
      <c r="B8" s="17" t="s">
        <v>21</v>
      </c>
      <c r="C8" s="17" t="s">
        <v>22</v>
      </c>
      <c r="D8" s="20">
        <v>1</v>
      </c>
      <c r="E8" s="20">
        <v>45</v>
      </c>
      <c r="F8" s="11">
        <v>45882</v>
      </c>
      <c r="G8" s="10">
        <v>0.375</v>
      </c>
      <c r="H8" s="11">
        <v>45877</v>
      </c>
      <c r="I8" s="10">
        <v>0.4375</v>
      </c>
      <c r="J8" s="9">
        <f t="shared" ref="J8:J70" si="0">E8-L8</f>
        <v>-15</v>
      </c>
      <c r="K8" s="8">
        <v>1</v>
      </c>
      <c r="L8" s="7">
        <v>60</v>
      </c>
      <c r="M8" s="6" t="s">
        <v>23</v>
      </c>
      <c r="Q8" s="20">
        <v>1</v>
      </c>
      <c r="R8" s="20">
        <v>45</v>
      </c>
      <c r="S8" s="8">
        <v>1</v>
      </c>
      <c r="T8" s="7">
        <v>60</v>
      </c>
    </row>
    <row r="9" spans="1:20" s="5" customFormat="1" ht="39" customHeight="1" x14ac:dyDescent="0.2">
      <c r="A9" s="23" t="s">
        <v>24</v>
      </c>
      <c r="B9" s="17" t="s">
        <v>21</v>
      </c>
      <c r="C9" s="17" t="s">
        <v>22</v>
      </c>
      <c r="D9" s="20">
        <v>1</v>
      </c>
      <c r="E9" s="20">
        <v>60</v>
      </c>
      <c r="F9" s="11">
        <v>45882</v>
      </c>
      <c r="G9" s="10">
        <v>0.375</v>
      </c>
      <c r="H9" s="11">
        <v>45877</v>
      </c>
      <c r="I9" s="10">
        <v>0.4375</v>
      </c>
      <c r="J9" s="9">
        <f>E9-L9</f>
        <v>0</v>
      </c>
      <c r="K9" s="8">
        <v>1</v>
      </c>
      <c r="L9" s="7">
        <v>60</v>
      </c>
      <c r="M9" s="6" t="s">
        <v>25</v>
      </c>
      <c r="Q9" s="20">
        <v>1</v>
      </c>
      <c r="R9" s="20">
        <v>60</v>
      </c>
      <c r="S9" s="8">
        <v>1</v>
      </c>
      <c r="T9" s="7">
        <v>60</v>
      </c>
    </row>
    <row r="10" spans="1:20" s="5" customFormat="1" ht="43.5" customHeight="1" x14ac:dyDescent="0.2">
      <c r="A10" s="23" t="s">
        <v>24</v>
      </c>
      <c r="B10" s="17" t="s">
        <v>135</v>
      </c>
      <c r="C10" s="17" t="s">
        <v>31</v>
      </c>
      <c r="D10" s="20">
        <v>1</v>
      </c>
      <c r="E10" s="20">
        <v>60</v>
      </c>
      <c r="F10" s="11">
        <v>45882</v>
      </c>
      <c r="G10" s="10">
        <v>0.375</v>
      </c>
      <c r="H10" s="11">
        <v>45877</v>
      </c>
      <c r="I10" s="10">
        <v>0.4375</v>
      </c>
      <c r="J10" s="9">
        <f>E10-L10</f>
        <v>0</v>
      </c>
      <c r="K10" s="8">
        <v>1</v>
      </c>
      <c r="L10" s="7">
        <v>60</v>
      </c>
      <c r="M10" s="6" t="s">
        <v>25</v>
      </c>
      <c r="Q10" s="20">
        <v>1</v>
      </c>
      <c r="R10" s="20">
        <v>60</v>
      </c>
      <c r="S10" s="8">
        <v>1</v>
      </c>
      <c r="T10" s="7">
        <v>60</v>
      </c>
    </row>
    <row r="11" spans="1:20" s="5" customFormat="1" ht="35.1" customHeight="1" x14ac:dyDescent="0.2">
      <c r="A11" s="23" t="s">
        <v>24</v>
      </c>
      <c r="B11" s="17" t="s">
        <v>136</v>
      </c>
      <c r="C11" s="17" t="s">
        <v>34</v>
      </c>
      <c r="D11" s="20">
        <v>1</v>
      </c>
      <c r="E11" s="20">
        <v>60</v>
      </c>
      <c r="F11" s="11">
        <v>45882</v>
      </c>
      <c r="G11" s="10">
        <v>0.375</v>
      </c>
      <c r="H11" s="11">
        <v>45877</v>
      </c>
      <c r="I11" s="10">
        <v>0.4375</v>
      </c>
      <c r="J11" s="9">
        <f>E11-L11</f>
        <v>0</v>
      </c>
      <c r="K11" s="8">
        <v>1</v>
      </c>
      <c r="L11" s="7">
        <v>60</v>
      </c>
      <c r="M11" s="6" t="s">
        <v>25</v>
      </c>
      <c r="Q11" s="20">
        <v>1</v>
      </c>
      <c r="R11" s="20">
        <v>60</v>
      </c>
      <c r="S11" s="8">
        <v>1</v>
      </c>
      <c r="T11" s="7">
        <v>60</v>
      </c>
    </row>
    <row r="12" spans="1:20" s="5" customFormat="1" ht="35.1" customHeight="1" x14ac:dyDescent="0.2">
      <c r="A12" s="23" t="s">
        <v>24</v>
      </c>
      <c r="B12" s="17" t="s">
        <v>137</v>
      </c>
      <c r="C12" s="17" t="s">
        <v>37</v>
      </c>
      <c r="D12" s="20">
        <v>1</v>
      </c>
      <c r="E12" s="20">
        <v>60</v>
      </c>
      <c r="F12" s="11">
        <v>45882</v>
      </c>
      <c r="G12" s="10">
        <v>0.375</v>
      </c>
      <c r="H12" s="11">
        <v>45877</v>
      </c>
      <c r="I12" s="10">
        <v>0.4375</v>
      </c>
      <c r="J12" s="9">
        <f>E12-L12</f>
        <v>0</v>
      </c>
      <c r="K12" s="8">
        <v>1</v>
      </c>
      <c r="L12" s="7">
        <v>60</v>
      </c>
      <c r="M12" s="6" t="s">
        <v>25</v>
      </c>
      <c r="Q12" s="20">
        <v>1</v>
      </c>
      <c r="R12" s="20">
        <v>60</v>
      </c>
      <c r="S12" s="8">
        <v>1</v>
      </c>
      <c r="T12" s="7">
        <v>60</v>
      </c>
    </row>
    <row r="13" spans="1:20" s="5" customFormat="1" ht="35.1" customHeight="1" x14ac:dyDescent="0.2">
      <c r="A13" s="23" t="s">
        <v>24</v>
      </c>
      <c r="B13" s="17" t="s">
        <v>42</v>
      </c>
      <c r="C13" s="17" t="s">
        <v>43</v>
      </c>
      <c r="D13" s="20">
        <v>1</v>
      </c>
      <c r="E13" s="20">
        <v>60</v>
      </c>
      <c r="F13" s="11">
        <v>45882</v>
      </c>
      <c r="G13" s="10">
        <v>0.375</v>
      </c>
      <c r="H13" s="11">
        <v>45877</v>
      </c>
      <c r="I13" s="10">
        <v>0.4375</v>
      </c>
      <c r="J13" s="9">
        <f>E13-L13</f>
        <v>0</v>
      </c>
      <c r="K13" s="8">
        <v>1</v>
      </c>
      <c r="L13" s="7">
        <v>60</v>
      </c>
      <c r="M13" s="6" t="s">
        <v>25</v>
      </c>
      <c r="Q13" s="20">
        <v>1</v>
      </c>
      <c r="R13" s="20">
        <v>60</v>
      </c>
      <c r="S13" s="8">
        <v>1</v>
      </c>
      <c r="T13" s="7">
        <v>60</v>
      </c>
    </row>
    <row r="14" spans="1:20" s="5" customFormat="1" ht="33.950000000000003" customHeight="1" x14ac:dyDescent="0.2">
      <c r="A14" s="23" t="s">
        <v>24</v>
      </c>
      <c r="B14" s="17" t="s">
        <v>138</v>
      </c>
      <c r="C14" s="17" t="s">
        <v>40</v>
      </c>
      <c r="D14" s="20">
        <v>1</v>
      </c>
      <c r="E14" s="20">
        <v>60</v>
      </c>
      <c r="F14" s="11">
        <v>45882</v>
      </c>
      <c r="G14" s="10">
        <v>0.375</v>
      </c>
      <c r="H14" s="11">
        <v>45877</v>
      </c>
      <c r="I14" s="10">
        <v>0.4375</v>
      </c>
      <c r="J14" s="9">
        <f t="shared" si="0"/>
        <v>0</v>
      </c>
      <c r="K14" s="8">
        <v>1</v>
      </c>
      <c r="L14" s="7">
        <v>60</v>
      </c>
      <c r="M14" s="6" t="s">
        <v>25</v>
      </c>
      <c r="Q14" s="20">
        <v>1</v>
      </c>
      <c r="R14" s="20">
        <v>60</v>
      </c>
      <c r="S14" s="8">
        <v>1</v>
      </c>
      <c r="T14" s="7">
        <v>60</v>
      </c>
    </row>
    <row r="15" spans="1:20" s="5" customFormat="1" ht="38.450000000000003" customHeight="1" x14ac:dyDescent="0.2">
      <c r="A15" s="23" t="s">
        <v>26</v>
      </c>
      <c r="B15" s="5" t="s">
        <v>27</v>
      </c>
      <c r="C15" s="8" t="s">
        <v>28</v>
      </c>
      <c r="D15" s="20">
        <v>1</v>
      </c>
      <c r="E15" s="28">
        <v>50</v>
      </c>
      <c r="F15" s="11">
        <v>45882</v>
      </c>
      <c r="G15" s="10">
        <v>0.375</v>
      </c>
      <c r="H15" s="11">
        <v>45877</v>
      </c>
      <c r="I15" s="10">
        <v>0.45833333333333331</v>
      </c>
      <c r="J15" s="9">
        <f t="shared" si="0"/>
        <v>-10</v>
      </c>
      <c r="K15" s="8">
        <v>1</v>
      </c>
      <c r="L15" s="7">
        <v>60</v>
      </c>
      <c r="M15" s="6" t="s">
        <v>29</v>
      </c>
      <c r="Q15" s="20">
        <v>1</v>
      </c>
      <c r="R15" s="28">
        <v>50</v>
      </c>
      <c r="S15" s="8">
        <v>1</v>
      </c>
      <c r="T15" s="7">
        <v>60</v>
      </c>
    </row>
    <row r="16" spans="1:20" s="5" customFormat="1" ht="30.95" customHeight="1" x14ac:dyDescent="0.2">
      <c r="A16" s="23" t="s">
        <v>26</v>
      </c>
      <c r="B16" s="21" t="s">
        <v>30</v>
      </c>
      <c r="C16" s="21" t="s">
        <v>31</v>
      </c>
      <c r="D16" s="20">
        <v>1</v>
      </c>
      <c r="E16" s="28">
        <v>50</v>
      </c>
      <c r="F16" s="11">
        <v>45882</v>
      </c>
      <c r="G16" s="10">
        <v>0.375</v>
      </c>
      <c r="H16" s="11">
        <v>45877</v>
      </c>
      <c r="I16" s="10">
        <v>0.45833333333333331</v>
      </c>
      <c r="J16" s="9">
        <f t="shared" si="0"/>
        <v>-10</v>
      </c>
      <c r="K16" s="8">
        <v>1</v>
      </c>
      <c r="L16" s="7">
        <v>60</v>
      </c>
      <c r="M16" s="6" t="s">
        <v>32</v>
      </c>
      <c r="Q16" s="20">
        <v>1</v>
      </c>
      <c r="R16" s="28">
        <v>50</v>
      </c>
      <c r="S16" s="8">
        <v>1</v>
      </c>
      <c r="T16" s="7">
        <v>60</v>
      </c>
    </row>
    <row r="17" spans="1:20" s="5" customFormat="1" ht="27" customHeight="1" x14ac:dyDescent="0.2">
      <c r="A17" s="23" t="s">
        <v>26</v>
      </c>
      <c r="B17" s="17" t="s">
        <v>33</v>
      </c>
      <c r="C17" s="17" t="s">
        <v>34</v>
      </c>
      <c r="D17" s="20">
        <v>1</v>
      </c>
      <c r="E17" s="28">
        <v>50</v>
      </c>
      <c r="F17" s="11">
        <v>45882</v>
      </c>
      <c r="G17" s="10">
        <v>0.375</v>
      </c>
      <c r="H17" s="11">
        <v>45877</v>
      </c>
      <c r="I17" s="10">
        <v>0.45833333333333331</v>
      </c>
      <c r="J17" s="9">
        <f t="shared" si="0"/>
        <v>-10</v>
      </c>
      <c r="K17" s="8">
        <v>1</v>
      </c>
      <c r="L17" s="7">
        <v>60</v>
      </c>
      <c r="M17" s="6" t="s">
        <v>35</v>
      </c>
      <c r="Q17" s="20">
        <v>1</v>
      </c>
      <c r="R17" s="28">
        <v>50</v>
      </c>
      <c r="S17" s="8">
        <v>1</v>
      </c>
      <c r="T17" s="7">
        <v>60</v>
      </c>
    </row>
    <row r="18" spans="1:20" s="5" customFormat="1" ht="27.6" customHeight="1" x14ac:dyDescent="0.2">
      <c r="A18" s="23" t="s">
        <v>26</v>
      </c>
      <c r="B18" s="17" t="s">
        <v>36</v>
      </c>
      <c r="C18" s="17" t="s">
        <v>37</v>
      </c>
      <c r="D18" s="20">
        <v>1</v>
      </c>
      <c r="E18" s="28">
        <v>50</v>
      </c>
      <c r="F18" s="11">
        <v>45882</v>
      </c>
      <c r="G18" s="10">
        <v>0.375</v>
      </c>
      <c r="H18" s="11">
        <v>45877</v>
      </c>
      <c r="I18" s="10">
        <v>0.45833333333333331</v>
      </c>
      <c r="J18" s="9">
        <f t="shared" si="0"/>
        <v>-10</v>
      </c>
      <c r="K18" s="8">
        <v>1</v>
      </c>
      <c r="L18" s="7">
        <v>60</v>
      </c>
      <c r="M18" s="6" t="s">
        <v>38</v>
      </c>
      <c r="Q18" s="20">
        <v>1</v>
      </c>
      <c r="R18" s="28">
        <v>50</v>
      </c>
      <c r="S18" s="8">
        <v>1</v>
      </c>
      <c r="T18" s="7">
        <v>60</v>
      </c>
    </row>
    <row r="19" spans="1:20" s="5" customFormat="1" ht="24" customHeight="1" x14ac:dyDescent="0.2">
      <c r="A19" s="23" t="s">
        <v>26</v>
      </c>
      <c r="B19" s="17" t="s">
        <v>39</v>
      </c>
      <c r="C19" s="17" t="s">
        <v>40</v>
      </c>
      <c r="D19" s="20">
        <v>1</v>
      </c>
      <c r="E19" s="28">
        <v>50</v>
      </c>
      <c r="F19" s="11">
        <v>45882</v>
      </c>
      <c r="G19" s="10">
        <v>0.375</v>
      </c>
      <c r="H19" s="11">
        <v>45877</v>
      </c>
      <c r="I19" s="10">
        <v>0.45833333333333331</v>
      </c>
      <c r="J19" s="9">
        <f t="shared" si="0"/>
        <v>-10</v>
      </c>
      <c r="K19" s="8">
        <v>1</v>
      </c>
      <c r="L19" s="7">
        <v>60</v>
      </c>
      <c r="M19" s="6" t="s">
        <v>41</v>
      </c>
      <c r="Q19" s="20">
        <v>1</v>
      </c>
      <c r="R19" s="28">
        <v>50</v>
      </c>
      <c r="S19" s="8">
        <v>1</v>
      </c>
      <c r="T19" s="7">
        <v>60</v>
      </c>
    </row>
    <row r="20" spans="1:20" s="5" customFormat="1" ht="29.45" customHeight="1" x14ac:dyDescent="0.2">
      <c r="A20" s="23" t="s">
        <v>26</v>
      </c>
      <c r="B20" s="17" t="s">
        <v>42</v>
      </c>
      <c r="C20" s="17" t="s">
        <v>43</v>
      </c>
      <c r="D20" s="20">
        <v>1</v>
      </c>
      <c r="E20" s="28">
        <v>50</v>
      </c>
      <c r="F20" s="11">
        <v>45882</v>
      </c>
      <c r="G20" s="10">
        <v>0.375</v>
      </c>
      <c r="H20" s="11">
        <v>45877</v>
      </c>
      <c r="I20" s="10">
        <v>0.45833333333333331</v>
      </c>
      <c r="J20" s="9">
        <f t="shared" si="0"/>
        <v>-10</v>
      </c>
      <c r="K20" s="8">
        <v>1</v>
      </c>
      <c r="L20" s="7">
        <v>60</v>
      </c>
      <c r="M20" s="6" t="s">
        <v>44</v>
      </c>
      <c r="Q20" s="20">
        <v>1</v>
      </c>
      <c r="R20" s="28">
        <v>50</v>
      </c>
      <c r="S20" s="8">
        <v>1</v>
      </c>
      <c r="T20" s="7">
        <v>60</v>
      </c>
    </row>
    <row r="21" spans="1:20" s="5" customFormat="1" ht="33.950000000000003" customHeight="1" x14ac:dyDescent="0.2">
      <c r="A21" s="23" t="s">
        <v>45</v>
      </c>
      <c r="B21" s="17" t="s">
        <v>21</v>
      </c>
      <c r="C21" s="17" t="s">
        <v>22</v>
      </c>
      <c r="D21" s="20">
        <v>1</v>
      </c>
      <c r="E21" s="28">
        <v>70</v>
      </c>
      <c r="F21" s="11">
        <v>45882</v>
      </c>
      <c r="G21" s="10">
        <v>0.375</v>
      </c>
      <c r="H21" s="11">
        <v>45877</v>
      </c>
      <c r="I21" s="10">
        <v>0.5</v>
      </c>
      <c r="J21" s="9">
        <f t="shared" si="0"/>
        <v>10</v>
      </c>
      <c r="K21" s="8">
        <v>1</v>
      </c>
      <c r="L21" s="7">
        <v>60</v>
      </c>
      <c r="M21" s="6" t="s">
        <v>46</v>
      </c>
      <c r="Q21" s="20">
        <v>1</v>
      </c>
      <c r="R21" s="28">
        <v>70</v>
      </c>
      <c r="S21" s="8">
        <v>1</v>
      </c>
      <c r="T21" s="7">
        <v>60</v>
      </c>
    </row>
    <row r="22" spans="1:20" s="5" customFormat="1" ht="33.950000000000003" customHeight="1" x14ac:dyDescent="0.2">
      <c r="A22" s="23" t="s">
        <v>45</v>
      </c>
      <c r="B22" s="17" t="s">
        <v>30</v>
      </c>
      <c r="C22" s="17" t="s">
        <v>31</v>
      </c>
      <c r="D22" s="20">
        <v>1</v>
      </c>
      <c r="E22" s="28">
        <v>70</v>
      </c>
      <c r="F22" s="11">
        <v>45882</v>
      </c>
      <c r="G22" s="10">
        <v>0.375</v>
      </c>
      <c r="H22" s="11">
        <v>45877</v>
      </c>
      <c r="I22" s="10">
        <v>0.5</v>
      </c>
      <c r="J22" s="9">
        <f t="shared" si="0"/>
        <v>10</v>
      </c>
      <c r="K22" s="8">
        <v>1</v>
      </c>
      <c r="L22" s="7">
        <v>60</v>
      </c>
      <c r="M22" s="6" t="s">
        <v>47</v>
      </c>
      <c r="Q22" s="20">
        <v>1</v>
      </c>
      <c r="R22" s="28">
        <v>70</v>
      </c>
      <c r="S22" s="8">
        <v>1</v>
      </c>
      <c r="T22" s="7">
        <v>60</v>
      </c>
    </row>
    <row r="23" spans="1:20" s="5" customFormat="1" ht="28.5" customHeight="1" x14ac:dyDescent="0.2">
      <c r="A23" s="5" t="s">
        <v>45</v>
      </c>
      <c r="B23" s="21" t="s">
        <v>33</v>
      </c>
      <c r="C23" s="21" t="s">
        <v>34</v>
      </c>
      <c r="D23" s="20">
        <v>1</v>
      </c>
      <c r="E23" s="28">
        <v>70</v>
      </c>
      <c r="F23" s="11">
        <v>45882</v>
      </c>
      <c r="G23" s="10">
        <v>0.375</v>
      </c>
      <c r="H23" s="11">
        <v>45877</v>
      </c>
      <c r="I23" s="10">
        <v>0.5</v>
      </c>
      <c r="J23" s="9">
        <f t="shared" si="0"/>
        <v>10</v>
      </c>
      <c r="K23" s="8">
        <v>1</v>
      </c>
      <c r="L23" s="7">
        <v>60</v>
      </c>
      <c r="M23" s="6" t="s">
        <v>48</v>
      </c>
      <c r="Q23" s="20">
        <v>1</v>
      </c>
      <c r="R23" s="28">
        <v>70</v>
      </c>
      <c r="S23" s="8">
        <v>1</v>
      </c>
      <c r="T23" s="7">
        <v>60</v>
      </c>
    </row>
    <row r="24" spans="1:20" s="5" customFormat="1" ht="24.95" customHeight="1" x14ac:dyDescent="0.2">
      <c r="A24" s="23" t="s">
        <v>45</v>
      </c>
      <c r="B24" s="17" t="s">
        <v>36</v>
      </c>
      <c r="C24" s="17" t="s">
        <v>37</v>
      </c>
      <c r="D24" s="20">
        <v>1</v>
      </c>
      <c r="E24" s="28">
        <v>70</v>
      </c>
      <c r="F24" s="11">
        <v>45882</v>
      </c>
      <c r="G24" s="10">
        <v>0.375</v>
      </c>
      <c r="H24" s="11">
        <v>45877</v>
      </c>
      <c r="I24" s="10">
        <v>0.5</v>
      </c>
      <c r="J24" s="9">
        <f t="shared" si="0"/>
        <v>10</v>
      </c>
      <c r="K24" s="8">
        <v>1</v>
      </c>
      <c r="L24" s="7">
        <v>60</v>
      </c>
      <c r="M24" s="6" t="s">
        <v>49</v>
      </c>
      <c r="Q24" s="20">
        <v>1</v>
      </c>
      <c r="R24" s="28">
        <v>70</v>
      </c>
      <c r="S24" s="8">
        <v>1</v>
      </c>
      <c r="T24" s="7">
        <v>60</v>
      </c>
    </row>
    <row r="25" spans="1:20" s="5" customFormat="1" ht="12.75" customHeight="1" x14ac:dyDescent="0.2">
      <c r="A25" s="23" t="s">
        <v>45</v>
      </c>
      <c r="B25" s="21" t="s">
        <v>39</v>
      </c>
      <c r="C25" s="21" t="s">
        <v>40</v>
      </c>
      <c r="D25" s="20">
        <v>1</v>
      </c>
      <c r="E25" s="28">
        <v>70</v>
      </c>
      <c r="F25" s="11">
        <v>45882</v>
      </c>
      <c r="G25" s="10">
        <v>0.375</v>
      </c>
      <c r="H25" s="11">
        <v>45877</v>
      </c>
      <c r="I25" s="10">
        <v>0.5</v>
      </c>
      <c r="J25" s="9">
        <f t="shared" si="0"/>
        <v>10</v>
      </c>
      <c r="K25" s="8">
        <v>1</v>
      </c>
      <c r="L25" s="7">
        <v>60</v>
      </c>
      <c r="M25" s="6" t="s">
        <v>50</v>
      </c>
      <c r="Q25" s="20">
        <v>1</v>
      </c>
      <c r="R25" s="28">
        <v>70</v>
      </c>
      <c r="S25" s="8">
        <v>1</v>
      </c>
      <c r="T25" s="7">
        <v>60</v>
      </c>
    </row>
    <row r="26" spans="1:20" s="5" customFormat="1" ht="12.75" customHeight="1" x14ac:dyDescent="0.2">
      <c r="A26" s="23" t="s">
        <v>45</v>
      </c>
      <c r="B26" s="21" t="s">
        <v>42</v>
      </c>
      <c r="C26" s="21" t="s">
        <v>43</v>
      </c>
      <c r="D26" s="20">
        <v>1</v>
      </c>
      <c r="E26" s="28">
        <v>70</v>
      </c>
      <c r="F26" s="11">
        <v>45882</v>
      </c>
      <c r="G26" s="10">
        <v>0.375</v>
      </c>
      <c r="H26" s="11">
        <v>45877</v>
      </c>
      <c r="I26" s="10">
        <v>0.5</v>
      </c>
      <c r="J26" s="9">
        <f t="shared" si="0"/>
        <v>10</v>
      </c>
      <c r="K26" s="8">
        <v>1</v>
      </c>
      <c r="L26" s="7">
        <v>60</v>
      </c>
      <c r="M26" s="6" t="s">
        <v>51</v>
      </c>
      <c r="Q26" s="20">
        <v>1</v>
      </c>
      <c r="R26" s="28">
        <v>70</v>
      </c>
      <c r="S26" s="8">
        <v>1</v>
      </c>
      <c r="T26" s="7">
        <v>60</v>
      </c>
    </row>
    <row r="27" spans="1:20" s="5" customFormat="1" ht="33.950000000000003" customHeight="1" x14ac:dyDescent="0.2">
      <c r="A27" s="23" t="s">
        <v>52</v>
      </c>
      <c r="B27" s="21" t="s">
        <v>21</v>
      </c>
      <c r="C27" s="21" t="s">
        <v>22</v>
      </c>
      <c r="D27" s="20">
        <v>1</v>
      </c>
      <c r="E27" s="29">
        <v>30</v>
      </c>
      <c r="F27" s="11">
        <v>45882</v>
      </c>
      <c r="G27" s="10">
        <v>0.375</v>
      </c>
      <c r="H27" s="11">
        <v>45877</v>
      </c>
      <c r="I27" s="10">
        <v>4.1666666666666664E-2</v>
      </c>
      <c r="J27" s="9">
        <f t="shared" si="0"/>
        <v>0</v>
      </c>
      <c r="K27" s="8">
        <v>1</v>
      </c>
      <c r="L27" s="7">
        <v>30</v>
      </c>
      <c r="M27" s="6" t="s">
        <v>53</v>
      </c>
      <c r="Q27" s="20">
        <v>1</v>
      </c>
      <c r="R27" s="29">
        <v>30</v>
      </c>
      <c r="S27" s="8">
        <v>1</v>
      </c>
      <c r="T27" s="7">
        <v>30</v>
      </c>
    </row>
    <row r="28" spans="1:20" s="5" customFormat="1" ht="32.450000000000003" customHeight="1" x14ac:dyDescent="0.2">
      <c r="A28" s="23" t="s">
        <v>52</v>
      </c>
      <c r="B28" s="21" t="s">
        <v>36</v>
      </c>
      <c r="C28" s="21" t="s">
        <v>37</v>
      </c>
      <c r="D28" s="20">
        <v>1</v>
      </c>
      <c r="E28" s="5">
        <v>30</v>
      </c>
      <c r="F28" s="11">
        <v>45882</v>
      </c>
      <c r="G28" s="10">
        <v>0.375</v>
      </c>
      <c r="H28" s="11">
        <v>45877</v>
      </c>
      <c r="I28" s="10">
        <v>4.1666666666666664E-2</v>
      </c>
      <c r="J28" s="9">
        <f>E28-L28</f>
        <v>0</v>
      </c>
      <c r="K28" s="8">
        <v>1</v>
      </c>
      <c r="L28" s="7">
        <v>30</v>
      </c>
      <c r="M28" s="6" t="s">
        <v>53</v>
      </c>
      <c r="Q28" s="20">
        <v>1</v>
      </c>
      <c r="R28" s="5">
        <v>30</v>
      </c>
      <c r="S28" s="8">
        <v>1</v>
      </c>
      <c r="T28" s="7">
        <v>30</v>
      </c>
    </row>
    <row r="29" spans="1:20" ht="35.25" customHeight="1" x14ac:dyDescent="0.2">
      <c r="A29" s="23" t="s">
        <v>144</v>
      </c>
      <c r="B29" s="21" t="s">
        <v>30</v>
      </c>
      <c r="C29" s="21" t="s">
        <v>31</v>
      </c>
      <c r="D29" s="20">
        <v>1</v>
      </c>
      <c r="E29" s="8">
        <v>30</v>
      </c>
      <c r="F29" s="11">
        <v>45882</v>
      </c>
      <c r="G29" s="10">
        <v>0.375</v>
      </c>
      <c r="H29" s="11">
        <v>45877</v>
      </c>
      <c r="I29" s="10">
        <v>4.1666666666666664E-2</v>
      </c>
      <c r="J29" s="9">
        <f t="shared" si="0"/>
        <v>0</v>
      </c>
      <c r="K29" s="8">
        <v>1</v>
      </c>
      <c r="L29" s="7">
        <v>30</v>
      </c>
      <c r="M29" s="6" t="s">
        <v>145</v>
      </c>
      <c r="Q29" s="20">
        <v>1</v>
      </c>
      <c r="R29" s="8">
        <v>30</v>
      </c>
      <c r="S29" s="8">
        <v>1</v>
      </c>
      <c r="T29" s="7">
        <v>30</v>
      </c>
    </row>
    <row r="30" spans="1:20" s="5" customFormat="1" ht="47.1" customHeight="1" x14ac:dyDescent="0.2">
      <c r="A30" s="23" t="s">
        <v>54</v>
      </c>
      <c r="B30" s="11" t="s">
        <v>55</v>
      </c>
      <c r="C30" s="11" t="s">
        <v>28</v>
      </c>
      <c r="D30" s="20">
        <v>1</v>
      </c>
      <c r="E30" s="29">
        <v>120</v>
      </c>
      <c r="F30" s="11">
        <v>45882</v>
      </c>
      <c r="G30" s="10">
        <v>0.375</v>
      </c>
      <c r="H30" s="27">
        <v>45879</v>
      </c>
      <c r="I30" s="10">
        <v>0.91666666666666663</v>
      </c>
      <c r="J30" s="9">
        <f t="shared" si="0"/>
        <v>60</v>
      </c>
      <c r="K30" s="8">
        <v>1</v>
      </c>
      <c r="L30" s="7">
        <v>60</v>
      </c>
      <c r="M30" s="6" t="s">
        <v>56</v>
      </c>
      <c r="Q30" s="20">
        <v>1</v>
      </c>
      <c r="R30" s="29">
        <v>120</v>
      </c>
      <c r="S30" s="8">
        <v>1</v>
      </c>
      <c r="T30" s="7">
        <v>60</v>
      </c>
    </row>
    <row r="31" spans="1:20" s="5" customFormat="1" ht="33" customHeight="1" x14ac:dyDescent="0.2">
      <c r="A31" s="23" t="s">
        <v>54</v>
      </c>
      <c r="B31" s="11" t="s">
        <v>57</v>
      </c>
      <c r="C31" s="11" t="s">
        <v>58</v>
      </c>
      <c r="D31" s="20">
        <v>1</v>
      </c>
      <c r="E31" s="29">
        <v>120</v>
      </c>
      <c r="F31" s="11">
        <v>45882</v>
      </c>
      <c r="G31" s="10">
        <v>0.375</v>
      </c>
      <c r="H31" s="11">
        <v>45879</v>
      </c>
      <c r="I31" s="10">
        <v>0.91666666666666663</v>
      </c>
      <c r="J31" s="9">
        <f t="shared" si="0"/>
        <v>60</v>
      </c>
      <c r="K31" s="8">
        <v>1</v>
      </c>
      <c r="L31" s="7">
        <v>60</v>
      </c>
      <c r="M31" s="6" t="s">
        <v>59</v>
      </c>
      <c r="Q31" s="20">
        <v>1</v>
      </c>
      <c r="R31" s="29">
        <v>120</v>
      </c>
      <c r="S31" s="8">
        <v>1</v>
      </c>
      <c r="T31" s="7">
        <v>60</v>
      </c>
    </row>
    <row r="32" spans="1:20" s="5" customFormat="1" ht="27" customHeight="1" x14ac:dyDescent="0.2">
      <c r="A32" s="26" t="s">
        <v>60</v>
      </c>
      <c r="B32" s="11" t="s">
        <v>61</v>
      </c>
      <c r="C32" s="11" t="s">
        <v>62</v>
      </c>
      <c r="D32" s="20">
        <v>1</v>
      </c>
      <c r="E32" s="29">
        <v>30</v>
      </c>
      <c r="F32" s="11">
        <v>45882</v>
      </c>
      <c r="G32" s="10">
        <v>0.375</v>
      </c>
      <c r="H32" s="13">
        <v>45879</v>
      </c>
      <c r="I32" s="12">
        <v>0.91666666666666663</v>
      </c>
      <c r="J32" s="9">
        <f>E32-L32</f>
        <v>-30</v>
      </c>
      <c r="K32" s="8">
        <v>1</v>
      </c>
      <c r="L32" s="30">
        <v>60</v>
      </c>
      <c r="M32" s="31" t="s">
        <v>63</v>
      </c>
      <c r="Q32" s="20">
        <v>1</v>
      </c>
      <c r="R32" s="29">
        <v>30</v>
      </c>
      <c r="S32" s="8">
        <v>1</v>
      </c>
      <c r="T32" s="30">
        <v>60</v>
      </c>
    </row>
    <row r="33" spans="1:20" s="5" customFormat="1" ht="33.6" customHeight="1" x14ac:dyDescent="0.2">
      <c r="A33" s="23" t="s">
        <v>60</v>
      </c>
      <c r="B33" s="11" t="s">
        <v>64</v>
      </c>
      <c r="C33" s="11" t="s">
        <v>65</v>
      </c>
      <c r="D33" s="20">
        <v>1</v>
      </c>
      <c r="E33" s="29">
        <v>30</v>
      </c>
      <c r="F33" s="11">
        <v>45882</v>
      </c>
      <c r="G33" s="10">
        <v>0.375</v>
      </c>
      <c r="H33" s="11">
        <v>45879</v>
      </c>
      <c r="I33" s="10">
        <v>0.875</v>
      </c>
      <c r="J33" s="9">
        <f t="shared" si="0"/>
        <v>-30</v>
      </c>
      <c r="K33" s="8">
        <v>1</v>
      </c>
      <c r="L33" s="7">
        <v>60</v>
      </c>
      <c r="M33" s="6" t="s">
        <v>66</v>
      </c>
      <c r="Q33" s="20">
        <v>1</v>
      </c>
      <c r="R33" s="29">
        <v>30</v>
      </c>
      <c r="S33" s="8">
        <v>1</v>
      </c>
      <c r="T33" s="7">
        <v>60</v>
      </c>
    </row>
    <row r="34" spans="1:20" s="5" customFormat="1" ht="84" customHeight="1" x14ac:dyDescent="0.2">
      <c r="A34" s="23" t="s">
        <v>60</v>
      </c>
      <c r="B34" s="11" t="s">
        <v>67</v>
      </c>
      <c r="C34" s="11" t="s">
        <v>68</v>
      </c>
      <c r="D34" s="20">
        <v>1</v>
      </c>
      <c r="E34" s="29">
        <v>30</v>
      </c>
      <c r="F34" s="11">
        <v>45882</v>
      </c>
      <c r="G34" s="10">
        <v>0.375</v>
      </c>
      <c r="H34" s="11">
        <v>45879</v>
      </c>
      <c r="I34" s="10">
        <v>0.91666666666666663</v>
      </c>
      <c r="J34" s="9">
        <f t="shared" si="0"/>
        <v>-90</v>
      </c>
      <c r="K34" s="8">
        <v>1</v>
      </c>
      <c r="L34" s="7">
        <v>120</v>
      </c>
      <c r="M34" s="6" t="s">
        <v>69</v>
      </c>
      <c r="Q34" s="20">
        <v>1</v>
      </c>
      <c r="R34" s="29">
        <v>30</v>
      </c>
      <c r="S34" s="8">
        <v>1</v>
      </c>
      <c r="T34" s="7">
        <v>120</v>
      </c>
    </row>
    <row r="35" spans="1:20" s="5" customFormat="1" ht="31.5" customHeight="1" x14ac:dyDescent="0.2">
      <c r="A35" s="23" t="s">
        <v>60</v>
      </c>
      <c r="B35" s="11" t="s">
        <v>70</v>
      </c>
      <c r="C35" s="11" t="s">
        <v>71</v>
      </c>
      <c r="D35" s="20">
        <v>1</v>
      </c>
      <c r="E35" s="29">
        <v>30</v>
      </c>
      <c r="F35" s="11">
        <v>45882</v>
      </c>
      <c r="G35" s="10">
        <v>0.375</v>
      </c>
      <c r="H35" s="11">
        <v>45879</v>
      </c>
      <c r="I35" s="10">
        <v>0.46527777777777779</v>
      </c>
      <c r="J35" s="9">
        <f t="shared" si="0"/>
        <v>5</v>
      </c>
      <c r="K35" s="8">
        <v>1</v>
      </c>
      <c r="L35" s="7">
        <v>25</v>
      </c>
      <c r="M35" s="6" t="s">
        <v>72</v>
      </c>
      <c r="Q35" s="20">
        <v>1</v>
      </c>
      <c r="R35" s="29">
        <v>30</v>
      </c>
      <c r="S35" s="8">
        <v>1</v>
      </c>
      <c r="T35" s="7">
        <v>25</v>
      </c>
    </row>
    <row r="36" spans="1:20" s="5" customFormat="1" ht="26.45" customHeight="1" x14ac:dyDescent="0.2">
      <c r="A36" s="23" t="s">
        <v>73</v>
      </c>
      <c r="B36" s="11" t="s">
        <v>74</v>
      </c>
      <c r="C36" s="11" t="s">
        <v>71</v>
      </c>
      <c r="D36" s="20">
        <v>1</v>
      </c>
      <c r="E36" s="29">
        <v>70</v>
      </c>
      <c r="F36" s="11">
        <v>45882</v>
      </c>
      <c r="G36" s="10">
        <v>0.375</v>
      </c>
      <c r="H36" s="11">
        <v>45880</v>
      </c>
      <c r="I36" s="10">
        <v>0.83333333333333337</v>
      </c>
      <c r="J36" s="9">
        <f t="shared" si="0"/>
        <v>-50</v>
      </c>
      <c r="K36" s="8">
        <v>1</v>
      </c>
      <c r="L36" s="7">
        <v>120</v>
      </c>
      <c r="M36" s="6" t="s">
        <v>75</v>
      </c>
      <c r="Q36" s="20">
        <v>1</v>
      </c>
      <c r="R36" s="29">
        <v>70</v>
      </c>
      <c r="S36" s="8">
        <v>1</v>
      </c>
      <c r="T36" s="7">
        <v>120</v>
      </c>
    </row>
    <row r="37" spans="1:20" s="5" customFormat="1" ht="29.1" customHeight="1" x14ac:dyDescent="0.2">
      <c r="A37" s="23" t="s">
        <v>76</v>
      </c>
      <c r="B37" s="11" t="s">
        <v>42</v>
      </c>
      <c r="C37" s="11" t="s">
        <v>77</v>
      </c>
      <c r="D37" s="20">
        <v>1</v>
      </c>
      <c r="E37" s="29">
        <v>50</v>
      </c>
      <c r="F37" s="11">
        <v>45882</v>
      </c>
      <c r="G37" s="10">
        <v>0.375</v>
      </c>
      <c r="H37" s="11">
        <v>45880</v>
      </c>
      <c r="I37" s="10">
        <v>0.91666666666666663</v>
      </c>
      <c r="J37" s="9">
        <f t="shared" si="0"/>
        <v>-70</v>
      </c>
      <c r="K37" s="8">
        <v>1</v>
      </c>
      <c r="L37" s="7">
        <v>120</v>
      </c>
      <c r="M37" s="6" t="s">
        <v>78</v>
      </c>
      <c r="Q37" s="20">
        <v>1</v>
      </c>
      <c r="R37" s="29">
        <v>50</v>
      </c>
      <c r="S37" s="8">
        <v>1</v>
      </c>
      <c r="T37" s="7">
        <v>120</v>
      </c>
    </row>
    <row r="38" spans="1:20" s="5" customFormat="1" ht="31.5" customHeight="1" x14ac:dyDescent="0.2">
      <c r="A38" s="23" t="s">
        <v>79</v>
      </c>
      <c r="B38" s="11" t="s">
        <v>36</v>
      </c>
      <c r="C38" s="11" t="s">
        <v>80</v>
      </c>
      <c r="D38" s="20">
        <v>1</v>
      </c>
      <c r="E38" s="29">
        <v>45</v>
      </c>
      <c r="F38" s="11">
        <v>45882</v>
      </c>
      <c r="G38" s="10">
        <v>0.375</v>
      </c>
      <c r="H38" s="11">
        <v>45880</v>
      </c>
      <c r="I38" s="10">
        <v>0.9375</v>
      </c>
      <c r="J38" s="9">
        <f t="shared" si="0"/>
        <v>-35</v>
      </c>
      <c r="K38" s="8">
        <v>1</v>
      </c>
      <c r="L38" s="7">
        <v>80</v>
      </c>
      <c r="M38" s="6" t="s">
        <v>81</v>
      </c>
      <c r="Q38" s="20">
        <v>1</v>
      </c>
      <c r="R38" s="29">
        <v>45</v>
      </c>
      <c r="S38" s="8">
        <v>1</v>
      </c>
      <c r="T38" s="7">
        <v>80</v>
      </c>
    </row>
    <row r="39" spans="1:20" s="5" customFormat="1" ht="26.1" customHeight="1" x14ac:dyDescent="0.2">
      <c r="A39" s="23" t="s">
        <v>82</v>
      </c>
      <c r="B39" s="11" t="s">
        <v>30</v>
      </c>
      <c r="C39" s="11" t="s">
        <v>83</v>
      </c>
      <c r="D39" s="20">
        <v>1</v>
      </c>
      <c r="E39" s="29">
        <v>50</v>
      </c>
      <c r="F39" s="11">
        <v>45882</v>
      </c>
      <c r="G39" s="10">
        <v>0.375</v>
      </c>
      <c r="H39" s="11">
        <v>45880</v>
      </c>
      <c r="I39" s="10">
        <v>0.95833333333333337</v>
      </c>
      <c r="J39" s="9">
        <f t="shared" si="0"/>
        <v>-4</v>
      </c>
      <c r="K39" s="8">
        <v>1</v>
      </c>
      <c r="L39" s="7">
        <v>54</v>
      </c>
      <c r="M39" s="6" t="s">
        <v>84</v>
      </c>
      <c r="Q39" s="20">
        <v>1</v>
      </c>
      <c r="R39" s="29">
        <v>50</v>
      </c>
      <c r="S39" s="8">
        <v>1</v>
      </c>
      <c r="T39" s="7">
        <v>54</v>
      </c>
    </row>
    <row r="40" spans="1:20" s="5" customFormat="1" ht="27" customHeight="1" x14ac:dyDescent="0.2">
      <c r="A40" s="23" t="s">
        <v>85</v>
      </c>
      <c r="B40" s="11" t="s">
        <v>21</v>
      </c>
      <c r="C40" s="11" t="s">
        <v>86</v>
      </c>
      <c r="D40" s="20">
        <v>1</v>
      </c>
      <c r="E40" s="29">
        <v>60</v>
      </c>
      <c r="F40" s="11">
        <v>45882</v>
      </c>
      <c r="G40" s="10">
        <v>0.375</v>
      </c>
      <c r="H40" s="11">
        <v>45880</v>
      </c>
      <c r="I40" s="10">
        <v>0.95833333333333337</v>
      </c>
      <c r="J40" s="9">
        <f t="shared" si="0"/>
        <v>10</v>
      </c>
      <c r="K40" s="8">
        <v>1</v>
      </c>
      <c r="L40" s="7">
        <v>50</v>
      </c>
      <c r="M40" s="6" t="s">
        <v>87</v>
      </c>
      <c r="Q40" s="20">
        <v>1</v>
      </c>
      <c r="R40" s="29">
        <v>60</v>
      </c>
      <c r="S40" s="8">
        <v>1</v>
      </c>
      <c r="T40" s="7">
        <v>50</v>
      </c>
    </row>
    <row r="41" spans="1:20" s="5" customFormat="1" ht="27" customHeight="1" x14ac:dyDescent="0.2">
      <c r="A41" s="23" t="s">
        <v>88</v>
      </c>
      <c r="B41" s="11" t="s">
        <v>21</v>
      </c>
      <c r="C41" s="11" t="s">
        <v>86</v>
      </c>
      <c r="D41" s="20">
        <v>1</v>
      </c>
      <c r="E41" s="29">
        <v>55</v>
      </c>
      <c r="F41" s="11">
        <v>45882</v>
      </c>
      <c r="G41" s="10">
        <v>0.375</v>
      </c>
      <c r="H41" s="11">
        <v>45880</v>
      </c>
      <c r="I41" s="10">
        <v>0.95833333333333337</v>
      </c>
      <c r="J41" s="9">
        <f t="shared" si="0"/>
        <v>0</v>
      </c>
      <c r="K41" s="8">
        <v>1</v>
      </c>
      <c r="L41" s="7">
        <v>55</v>
      </c>
      <c r="M41" s="6" t="s">
        <v>89</v>
      </c>
      <c r="Q41" s="20">
        <v>1</v>
      </c>
      <c r="R41" s="29">
        <v>55</v>
      </c>
      <c r="S41" s="8">
        <v>1</v>
      </c>
      <c r="T41" s="7">
        <v>55</v>
      </c>
    </row>
    <row r="42" spans="1:20" s="5" customFormat="1" ht="40.5" customHeight="1" x14ac:dyDescent="0.2">
      <c r="A42" s="23" t="s">
        <v>146</v>
      </c>
      <c r="B42" s="11" t="s">
        <v>30</v>
      </c>
      <c r="C42" s="11" t="s">
        <v>83</v>
      </c>
      <c r="D42" s="20">
        <v>1</v>
      </c>
      <c r="E42" s="29">
        <v>60</v>
      </c>
      <c r="F42" s="11">
        <v>45882</v>
      </c>
      <c r="G42" s="10">
        <v>0.375</v>
      </c>
      <c r="H42" s="11">
        <v>45880</v>
      </c>
      <c r="I42" s="10">
        <v>0.875</v>
      </c>
      <c r="J42" s="9">
        <f>E42-L42</f>
        <v>-6</v>
      </c>
      <c r="K42" s="8">
        <v>1</v>
      </c>
      <c r="L42" s="7">
        <v>66</v>
      </c>
      <c r="M42" s="6" t="s">
        <v>149</v>
      </c>
      <c r="Q42" s="20">
        <v>1</v>
      </c>
      <c r="R42" s="29">
        <v>60</v>
      </c>
      <c r="S42" s="8">
        <v>1</v>
      </c>
      <c r="T42" s="7">
        <v>66</v>
      </c>
    </row>
    <row r="43" spans="1:20" s="5" customFormat="1" ht="38.25" customHeight="1" x14ac:dyDescent="0.2">
      <c r="A43" s="23" t="s">
        <v>146</v>
      </c>
      <c r="B43" s="11" t="s">
        <v>21</v>
      </c>
      <c r="C43" s="11" t="s">
        <v>86</v>
      </c>
      <c r="D43" s="20">
        <v>1</v>
      </c>
      <c r="E43" s="29">
        <v>60</v>
      </c>
      <c r="F43" s="11">
        <v>45882</v>
      </c>
      <c r="G43" s="10">
        <v>0.375</v>
      </c>
      <c r="H43" s="11">
        <v>45880</v>
      </c>
      <c r="I43" s="10">
        <v>0.875</v>
      </c>
      <c r="J43" s="9">
        <f>E43-L43</f>
        <v>-6</v>
      </c>
      <c r="K43" s="8">
        <v>1</v>
      </c>
      <c r="L43" s="7">
        <v>66</v>
      </c>
      <c r="M43" s="6" t="s">
        <v>149</v>
      </c>
      <c r="Q43" s="20">
        <v>1</v>
      </c>
      <c r="R43" s="29">
        <v>60</v>
      </c>
      <c r="S43" s="8">
        <v>1</v>
      </c>
      <c r="T43" s="7">
        <v>66</v>
      </c>
    </row>
    <row r="44" spans="1:20" s="5" customFormat="1" ht="38.25" customHeight="1" x14ac:dyDescent="0.2">
      <c r="A44" s="23" t="s">
        <v>146</v>
      </c>
      <c r="B44" s="11" t="s">
        <v>39</v>
      </c>
      <c r="C44" s="11" t="s">
        <v>150</v>
      </c>
      <c r="D44" s="20">
        <v>1</v>
      </c>
      <c r="E44" s="29">
        <v>60</v>
      </c>
      <c r="F44" s="11">
        <v>45882</v>
      </c>
      <c r="G44" s="10">
        <v>0.375</v>
      </c>
      <c r="H44" s="11">
        <v>45880</v>
      </c>
      <c r="I44" s="10">
        <v>0.875</v>
      </c>
      <c r="J44" s="9">
        <f>E44-L44</f>
        <v>-6</v>
      </c>
      <c r="K44" s="8">
        <v>1</v>
      </c>
      <c r="L44" s="7">
        <v>66</v>
      </c>
      <c r="M44" s="6" t="s">
        <v>149</v>
      </c>
      <c r="Q44" s="20">
        <v>1</v>
      </c>
      <c r="R44" s="29">
        <v>60</v>
      </c>
      <c r="S44" s="8">
        <v>1</v>
      </c>
      <c r="T44" s="7">
        <v>66</v>
      </c>
    </row>
    <row r="45" spans="1:20" s="5" customFormat="1" ht="27" customHeight="1" x14ac:dyDescent="0.2">
      <c r="A45" s="23" t="s">
        <v>146</v>
      </c>
      <c r="B45" s="11" t="s">
        <v>136</v>
      </c>
      <c r="C45" s="11" t="s">
        <v>151</v>
      </c>
      <c r="D45" s="20">
        <v>1</v>
      </c>
      <c r="E45" s="29">
        <v>60</v>
      </c>
      <c r="F45" s="11">
        <v>45882</v>
      </c>
      <c r="G45" s="10">
        <v>0.375</v>
      </c>
      <c r="H45" s="11">
        <v>45880</v>
      </c>
      <c r="I45" s="10">
        <v>0.875</v>
      </c>
      <c r="J45" s="9">
        <f>E45-L45</f>
        <v>-6</v>
      </c>
      <c r="K45" s="8">
        <v>1</v>
      </c>
      <c r="L45" s="7">
        <v>66</v>
      </c>
      <c r="M45" s="6" t="s">
        <v>149</v>
      </c>
      <c r="Q45" s="20">
        <v>1</v>
      </c>
      <c r="R45" s="29">
        <v>60</v>
      </c>
      <c r="S45" s="8">
        <v>1</v>
      </c>
      <c r="T45" s="7">
        <v>66</v>
      </c>
    </row>
    <row r="46" spans="1:20" s="5" customFormat="1" ht="33" customHeight="1" x14ac:dyDescent="0.2">
      <c r="A46" s="23" t="s">
        <v>146</v>
      </c>
      <c r="B46" s="11" t="s">
        <v>42</v>
      </c>
      <c r="C46" s="11" t="s">
        <v>77</v>
      </c>
      <c r="D46" s="20">
        <v>1</v>
      </c>
      <c r="E46" s="29">
        <v>60</v>
      </c>
      <c r="F46" s="11">
        <v>45882</v>
      </c>
      <c r="G46" s="10">
        <v>0.375</v>
      </c>
      <c r="H46" s="11">
        <v>45880</v>
      </c>
      <c r="I46" s="10">
        <v>0.875</v>
      </c>
      <c r="J46" s="9">
        <f>E46-L46</f>
        <v>-6</v>
      </c>
      <c r="K46" s="8">
        <v>1</v>
      </c>
      <c r="L46" s="7">
        <v>66</v>
      </c>
      <c r="M46" s="6" t="s">
        <v>149</v>
      </c>
      <c r="Q46" s="20">
        <v>1</v>
      </c>
      <c r="R46" s="29">
        <v>60</v>
      </c>
      <c r="S46" s="8">
        <v>1</v>
      </c>
      <c r="T46" s="7">
        <v>66</v>
      </c>
    </row>
    <row r="47" spans="1:20" s="5" customFormat="1" ht="33.75" customHeight="1" x14ac:dyDescent="0.2">
      <c r="A47" s="23" t="s">
        <v>146</v>
      </c>
      <c r="B47" s="11" t="s">
        <v>36</v>
      </c>
      <c r="C47" s="11" t="s">
        <v>80</v>
      </c>
      <c r="D47" s="20">
        <v>1</v>
      </c>
      <c r="E47" s="29">
        <v>60</v>
      </c>
      <c r="F47" s="11">
        <v>45882</v>
      </c>
      <c r="G47" s="10">
        <v>0.375</v>
      </c>
      <c r="H47" s="11">
        <v>45880</v>
      </c>
      <c r="I47" s="10">
        <v>0.875</v>
      </c>
      <c r="J47" s="9">
        <f t="shared" si="0"/>
        <v>-6</v>
      </c>
      <c r="K47" s="8">
        <v>1</v>
      </c>
      <c r="L47" s="7">
        <v>66</v>
      </c>
      <c r="M47" s="6" t="s">
        <v>149</v>
      </c>
      <c r="Q47" s="20">
        <v>1</v>
      </c>
      <c r="R47" s="29">
        <v>60</v>
      </c>
      <c r="S47" s="8">
        <v>1</v>
      </c>
      <c r="T47" s="7">
        <v>66</v>
      </c>
    </row>
    <row r="48" spans="1:20" s="5" customFormat="1" ht="27" customHeight="1" x14ac:dyDescent="0.2">
      <c r="A48" s="23" t="s">
        <v>147</v>
      </c>
      <c r="B48" s="11" t="s">
        <v>30</v>
      </c>
      <c r="C48" s="11" t="s">
        <v>83</v>
      </c>
      <c r="D48" s="20">
        <v>1</v>
      </c>
      <c r="E48" s="29">
        <v>30</v>
      </c>
      <c r="F48" s="11">
        <v>45882</v>
      </c>
      <c r="G48" s="10">
        <v>0.375</v>
      </c>
      <c r="H48" s="11">
        <v>45880</v>
      </c>
      <c r="I48" s="10">
        <v>0.95833333333333337</v>
      </c>
      <c r="J48" s="9">
        <f t="shared" si="0"/>
        <v>5</v>
      </c>
      <c r="K48" s="8">
        <v>1</v>
      </c>
      <c r="L48" s="7">
        <v>25</v>
      </c>
      <c r="M48" s="6" t="s">
        <v>148</v>
      </c>
      <c r="Q48" s="20">
        <v>1</v>
      </c>
      <c r="R48" s="29">
        <v>30</v>
      </c>
      <c r="S48" s="8">
        <v>1</v>
      </c>
      <c r="T48" s="7">
        <v>25</v>
      </c>
    </row>
    <row r="49" spans="1:20" s="5" customFormat="1" ht="26.1" customHeight="1" x14ac:dyDescent="0.2">
      <c r="A49" s="23" t="s">
        <v>90</v>
      </c>
      <c r="B49" s="11" t="s">
        <v>42</v>
      </c>
      <c r="C49" s="11" t="s">
        <v>77</v>
      </c>
      <c r="D49" s="20">
        <v>1</v>
      </c>
      <c r="E49" s="29">
        <v>20</v>
      </c>
      <c r="F49" s="11">
        <v>45882</v>
      </c>
      <c r="G49" s="10">
        <v>0.375</v>
      </c>
      <c r="H49" s="11">
        <v>45880</v>
      </c>
      <c r="I49" s="10">
        <v>0.95833333333333337</v>
      </c>
      <c r="J49" s="9">
        <f t="shared" si="0"/>
        <v>0</v>
      </c>
      <c r="K49" s="8">
        <v>1</v>
      </c>
      <c r="L49" s="7">
        <v>20</v>
      </c>
      <c r="M49" s="6" t="s">
        <v>91</v>
      </c>
      <c r="Q49" s="20">
        <v>1</v>
      </c>
      <c r="R49" s="29">
        <v>20</v>
      </c>
      <c r="S49" s="8">
        <v>1</v>
      </c>
      <c r="T49" s="7">
        <v>20</v>
      </c>
    </row>
    <row r="50" spans="1:20" s="5" customFormat="1" ht="24.95" customHeight="1" x14ac:dyDescent="0.2">
      <c r="A50" s="32" t="s">
        <v>92</v>
      </c>
      <c r="B50" s="11" t="s">
        <v>140</v>
      </c>
      <c r="C50" s="11" t="s">
        <v>22</v>
      </c>
      <c r="D50" s="20">
        <v>1</v>
      </c>
      <c r="E50" s="29">
        <v>30</v>
      </c>
      <c r="F50" s="11">
        <v>45896</v>
      </c>
      <c r="G50" s="10">
        <v>0.375</v>
      </c>
      <c r="H50" s="11">
        <v>45890</v>
      </c>
      <c r="I50" s="10">
        <v>0.8125</v>
      </c>
      <c r="J50" s="9">
        <f>E50-L50</f>
        <v>5</v>
      </c>
      <c r="K50" s="8">
        <v>1</v>
      </c>
      <c r="L50" s="7">
        <v>25</v>
      </c>
      <c r="M50" s="6" t="s">
        <v>93</v>
      </c>
      <c r="Q50" s="20">
        <v>1</v>
      </c>
      <c r="R50" s="29">
        <v>30</v>
      </c>
      <c r="S50" s="8">
        <v>1</v>
      </c>
      <c r="T50" s="7">
        <v>25</v>
      </c>
    </row>
    <row r="51" spans="1:20" s="5" customFormat="1" ht="22.5" customHeight="1" x14ac:dyDescent="0.2">
      <c r="A51" s="37" t="s">
        <v>92</v>
      </c>
      <c r="B51" s="11" t="s">
        <v>139</v>
      </c>
      <c r="C51" s="11" t="s">
        <v>34</v>
      </c>
      <c r="D51" s="20">
        <v>1</v>
      </c>
      <c r="E51" s="29">
        <v>30</v>
      </c>
      <c r="F51" s="11">
        <v>45896</v>
      </c>
      <c r="G51" s="10">
        <v>0.375</v>
      </c>
      <c r="H51" s="11">
        <v>45890</v>
      </c>
      <c r="I51" s="10">
        <v>0.8125</v>
      </c>
      <c r="J51" s="9">
        <f t="shared" si="0"/>
        <v>5</v>
      </c>
      <c r="K51" s="8">
        <v>1</v>
      </c>
      <c r="L51" s="7">
        <v>25</v>
      </c>
      <c r="M51" s="6" t="s">
        <v>93</v>
      </c>
      <c r="Q51" s="20">
        <v>1</v>
      </c>
      <c r="R51" s="29">
        <v>30</v>
      </c>
      <c r="S51" s="8">
        <v>1</v>
      </c>
      <c r="T51" s="7">
        <v>25</v>
      </c>
    </row>
    <row r="52" spans="1:20" s="5" customFormat="1" ht="35.450000000000003" customHeight="1" x14ac:dyDescent="0.2">
      <c r="A52" s="23" t="s">
        <v>144</v>
      </c>
      <c r="B52" s="21" t="s">
        <v>30</v>
      </c>
      <c r="C52" s="21" t="s">
        <v>31</v>
      </c>
      <c r="D52" s="20">
        <v>1</v>
      </c>
      <c r="E52" s="8">
        <v>30</v>
      </c>
      <c r="F52" s="11">
        <v>45882</v>
      </c>
      <c r="G52" s="10">
        <v>0.375</v>
      </c>
      <c r="H52" s="11">
        <v>45890</v>
      </c>
      <c r="I52" s="10">
        <v>0.83333333333333337</v>
      </c>
      <c r="J52" s="9">
        <f t="shared" si="0"/>
        <v>0</v>
      </c>
      <c r="K52" s="8">
        <v>1</v>
      </c>
      <c r="L52" s="7">
        <v>30</v>
      </c>
      <c r="M52" s="6" t="s">
        <v>152</v>
      </c>
      <c r="Q52" s="20">
        <v>1</v>
      </c>
      <c r="R52" s="8">
        <v>30</v>
      </c>
      <c r="S52" s="8">
        <v>1</v>
      </c>
      <c r="T52" s="7">
        <v>30</v>
      </c>
    </row>
    <row r="53" spans="1:20" s="5" customFormat="1" ht="36.6" customHeight="1" x14ac:dyDescent="0.2">
      <c r="A53" s="33" t="s">
        <v>94</v>
      </c>
      <c r="B53" s="11" t="s">
        <v>139</v>
      </c>
      <c r="C53" s="11" t="s">
        <v>34</v>
      </c>
      <c r="D53" s="20">
        <v>3</v>
      </c>
      <c r="E53" s="29">
        <v>60</v>
      </c>
      <c r="F53" s="11">
        <v>45896</v>
      </c>
      <c r="G53" s="10">
        <v>0.375</v>
      </c>
      <c r="H53" s="11">
        <v>45890</v>
      </c>
      <c r="I53" s="10">
        <v>0.85416666666666663</v>
      </c>
      <c r="J53" s="9">
        <f>E53-L53</f>
        <v>0</v>
      </c>
      <c r="K53" s="8">
        <v>3</v>
      </c>
      <c r="L53" s="7">
        <v>60</v>
      </c>
      <c r="M53" s="6" t="s">
        <v>141</v>
      </c>
      <c r="Q53" s="20">
        <v>3</v>
      </c>
      <c r="R53" s="29">
        <v>60</v>
      </c>
      <c r="S53" s="8">
        <v>3</v>
      </c>
      <c r="T53" s="7">
        <v>60</v>
      </c>
    </row>
    <row r="54" spans="1:20" s="5" customFormat="1" ht="36.6" customHeight="1" x14ac:dyDescent="0.2">
      <c r="A54" s="33" t="s">
        <v>94</v>
      </c>
      <c r="B54" s="11" t="s">
        <v>21</v>
      </c>
      <c r="C54" s="11" t="s">
        <v>22</v>
      </c>
      <c r="D54" s="20">
        <v>3</v>
      </c>
      <c r="E54" s="29">
        <v>60</v>
      </c>
      <c r="F54" s="11">
        <v>45896</v>
      </c>
      <c r="G54" s="10">
        <v>0.375</v>
      </c>
      <c r="H54" s="11">
        <v>45890</v>
      </c>
      <c r="I54" s="10">
        <v>0.85416666666666663</v>
      </c>
      <c r="J54" s="9">
        <f t="shared" si="0"/>
        <v>0</v>
      </c>
      <c r="K54" s="8">
        <v>3</v>
      </c>
      <c r="L54" s="7">
        <v>60</v>
      </c>
      <c r="M54" s="6" t="s">
        <v>141</v>
      </c>
      <c r="Q54" s="20">
        <v>3</v>
      </c>
      <c r="R54" s="29">
        <v>60</v>
      </c>
      <c r="S54" s="8">
        <v>3</v>
      </c>
      <c r="T54" s="7">
        <v>60</v>
      </c>
    </row>
    <row r="55" spans="1:20" s="5" customFormat="1" ht="35.450000000000003" customHeight="1" x14ac:dyDescent="0.2">
      <c r="A55" s="33" t="s">
        <v>95</v>
      </c>
      <c r="B55" s="11" t="s">
        <v>21</v>
      </c>
      <c r="C55" s="11" t="s">
        <v>22</v>
      </c>
      <c r="D55" s="20">
        <v>1</v>
      </c>
      <c r="E55" s="29">
        <v>30</v>
      </c>
      <c r="F55" s="11">
        <v>45896</v>
      </c>
      <c r="G55" s="10">
        <v>0.375</v>
      </c>
      <c r="H55" s="11">
        <v>45890</v>
      </c>
      <c r="I55" s="10">
        <v>0.875</v>
      </c>
      <c r="J55" s="9">
        <f>E55-L55</f>
        <v>0</v>
      </c>
      <c r="K55" s="8">
        <v>1</v>
      </c>
      <c r="L55" s="7">
        <v>30</v>
      </c>
      <c r="M55" s="6" t="s">
        <v>96</v>
      </c>
      <c r="Q55" s="20">
        <v>1</v>
      </c>
      <c r="R55" s="29">
        <v>30</v>
      </c>
      <c r="S55" s="8">
        <v>1</v>
      </c>
      <c r="T55" s="7">
        <v>30</v>
      </c>
    </row>
    <row r="56" spans="1:20" s="5" customFormat="1" ht="35.450000000000003" customHeight="1" x14ac:dyDescent="0.2">
      <c r="A56" s="33" t="s">
        <v>95</v>
      </c>
      <c r="B56" s="11" t="s">
        <v>139</v>
      </c>
      <c r="C56" s="11" t="s">
        <v>34</v>
      </c>
      <c r="D56" s="20">
        <v>1</v>
      </c>
      <c r="E56" s="29">
        <v>30</v>
      </c>
      <c r="F56" s="11">
        <v>45896</v>
      </c>
      <c r="G56" s="10">
        <v>0.375</v>
      </c>
      <c r="H56" s="11">
        <v>45890</v>
      </c>
      <c r="I56" s="10">
        <v>0.875</v>
      </c>
      <c r="J56" s="9">
        <f t="shared" si="0"/>
        <v>0</v>
      </c>
      <c r="K56" s="8">
        <v>1</v>
      </c>
      <c r="L56" s="7">
        <v>30</v>
      </c>
      <c r="M56" s="6" t="s">
        <v>96</v>
      </c>
      <c r="Q56" s="20">
        <v>1</v>
      </c>
      <c r="R56" s="29">
        <v>30</v>
      </c>
      <c r="S56" s="8">
        <v>1</v>
      </c>
      <c r="T56" s="7">
        <v>30</v>
      </c>
    </row>
    <row r="57" spans="1:20" s="5" customFormat="1" ht="35.450000000000003" customHeight="1" x14ac:dyDescent="0.2">
      <c r="A57" s="23" t="s">
        <v>97</v>
      </c>
      <c r="B57" s="11" t="s">
        <v>21</v>
      </c>
      <c r="C57" s="11" t="s">
        <v>22</v>
      </c>
      <c r="D57" s="20">
        <v>1</v>
      </c>
      <c r="E57" s="29">
        <v>20</v>
      </c>
      <c r="F57" s="11">
        <v>45896</v>
      </c>
      <c r="G57" s="10">
        <v>0.375</v>
      </c>
      <c r="H57" s="11">
        <v>45890</v>
      </c>
      <c r="I57" s="10">
        <v>0.88888888888888884</v>
      </c>
      <c r="J57" s="9">
        <f>E57-L57</f>
        <v>0</v>
      </c>
      <c r="K57" s="8">
        <v>1</v>
      </c>
      <c r="L57" s="7">
        <v>20</v>
      </c>
      <c r="M57" s="6" t="s">
        <v>98</v>
      </c>
      <c r="Q57" s="20">
        <v>1</v>
      </c>
      <c r="R57" s="29">
        <v>20</v>
      </c>
      <c r="S57" s="8">
        <v>1</v>
      </c>
      <c r="T57" s="7">
        <v>20</v>
      </c>
    </row>
    <row r="58" spans="1:20" s="5" customFormat="1" ht="35.450000000000003" customHeight="1" x14ac:dyDescent="0.2">
      <c r="A58" s="23" t="s">
        <v>97</v>
      </c>
      <c r="B58" s="11" t="s">
        <v>139</v>
      </c>
      <c r="C58" s="11" t="s">
        <v>34</v>
      </c>
      <c r="D58" s="20">
        <v>1</v>
      </c>
      <c r="E58" s="29">
        <v>20</v>
      </c>
      <c r="F58" s="11">
        <v>45896</v>
      </c>
      <c r="G58" s="10">
        <v>0.375</v>
      </c>
      <c r="H58" s="11">
        <v>45890</v>
      </c>
      <c r="I58" s="10">
        <v>0.88888888888888884</v>
      </c>
      <c r="J58" s="9">
        <f t="shared" si="0"/>
        <v>0</v>
      </c>
      <c r="K58" s="8">
        <v>1</v>
      </c>
      <c r="L58" s="7">
        <v>20</v>
      </c>
      <c r="M58" s="6" t="s">
        <v>98</v>
      </c>
      <c r="Q58" s="20">
        <v>1</v>
      </c>
      <c r="R58" s="29">
        <v>20</v>
      </c>
      <c r="S58" s="8">
        <v>1</v>
      </c>
      <c r="T58" s="7">
        <v>20</v>
      </c>
    </row>
    <row r="59" spans="1:20" s="5" customFormat="1" ht="35.450000000000003" customHeight="1" x14ac:dyDescent="0.2">
      <c r="A59" s="23" t="s">
        <v>99</v>
      </c>
      <c r="B59" s="11" t="s">
        <v>21</v>
      </c>
      <c r="C59" s="11" t="s">
        <v>22</v>
      </c>
      <c r="D59" s="29">
        <v>1</v>
      </c>
      <c r="E59" s="34">
        <v>20</v>
      </c>
      <c r="F59" s="11">
        <v>45896</v>
      </c>
      <c r="G59" s="10">
        <v>0.375</v>
      </c>
      <c r="H59" s="11">
        <v>45890</v>
      </c>
      <c r="I59" s="10">
        <v>0.90277777777777779</v>
      </c>
      <c r="J59" s="9">
        <f>E59-L59</f>
        <v>2</v>
      </c>
      <c r="K59" s="8">
        <v>1</v>
      </c>
      <c r="L59" s="7">
        <v>18</v>
      </c>
      <c r="M59" s="6" t="s">
        <v>100</v>
      </c>
      <c r="Q59" s="29">
        <v>1</v>
      </c>
      <c r="R59" s="34">
        <v>20</v>
      </c>
      <c r="S59" s="8">
        <v>1</v>
      </c>
      <c r="T59" s="7">
        <v>18</v>
      </c>
    </row>
    <row r="60" spans="1:20" s="5" customFormat="1" ht="35.450000000000003" customHeight="1" x14ac:dyDescent="0.2">
      <c r="A60" s="23" t="s">
        <v>99</v>
      </c>
      <c r="B60" s="11" t="s">
        <v>139</v>
      </c>
      <c r="C60" s="11" t="s">
        <v>34</v>
      </c>
      <c r="D60" s="29">
        <v>1</v>
      </c>
      <c r="E60" s="40">
        <v>20</v>
      </c>
      <c r="F60" s="11">
        <v>45896</v>
      </c>
      <c r="G60" s="10">
        <v>0.375</v>
      </c>
      <c r="H60" s="11">
        <v>45890</v>
      </c>
      <c r="I60" s="10">
        <v>0.90277777777777779</v>
      </c>
      <c r="J60" s="9">
        <f t="shared" si="0"/>
        <v>2</v>
      </c>
      <c r="K60" s="8">
        <v>1</v>
      </c>
      <c r="L60" s="7">
        <v>18</v>
      </c>
      <c r="M60" s="6" t="s">
        <v>100</v>
      </c>
      <c r="Q60" s="29">
        <v>1</v>
      </c>
      <c r="R60" s="40">
        <v>20</v>
      </c>
      <c r="S60" s="8">
        <v>1</v>
      </c>
      <c r="T60" s="7">
        <v>18</v>
      </c>
    </row>
    <row r="61" spans="1:20" s="5" customFormat="1" ht="35.450000000000003" customHeight="1" x14ac:dyDescent="0.2">
      <c r="A61" s="5" t="s">
        <v>101</v>
      </c>
      <c r="B61" s="11" t="s">
        <v>21</v>
      </c>
      <c r="C61" s="11" t="s">
        <v>22</v>
      </c>
      <c r="D61" s="29">
        <v>1</v>
      </c>
      <c r="E61" s="29">
        <v>20</v>
      </c>
      <c r="F61" s="11">
        <v>45896</v>
      </c>
      <c r="G61" s="10">
        <v>0.375</v>
      </c>
      <c r="H61" s="11">
        <v>45890</v>
      </c>
      <c r="I61" s="10">
        <v>0.91666666666666663</v>
      </c>
      <c r="J61" s="9">
        <f>E61-L61</f>
        <v>1</v>
      </c>
      <c r="K61" s="8">
        <v>1</v>
      </c>
      <c r="L61" s="7">
        <v>19</v>
      </c>
      <c r="M61" s="6" t="s">
        <v>102</v>
      </c>
      <c r="Q61" s="29">
        <v>1</v>
      </c>
      <c r="R61" s="29">
        <v>20</v>
      </c>
      <c r="S61" s="8">
        <v>1</v>
      </c>
      <c r="T61" s="7">
        <v>19</v>
      </c>
    </row>
    <row r="62" spans="1:20" s="5" customFormat="1" ht="35.450000000000003" customHeight="1" x14ac:dyDescent="0.2">
      <c r="A62" s="41" t="s">
        <v>101</v>
      </c>
      <c r="B62" s="11" t="s">
        <v>136</v>
      </c>
      <c r="C62" s="11" t="s">
        <v>34</v>
      </c>
      <c r="D62" s="29">
        <v>1</v>
      </c>
      <c r="E62" s="29">
        <v>20</v>
      </c>
      <c r="F62" s="11">
        <v>45896</v>
      </c>
      <c r="G62" s="10">
        <v>0.375</v>
      </c>
      <c r="H62" s="11">
        <v>45890</v>
      </c>
      <c r="I62" s="10">
        <v>0.91666666666666663</v>
      </c>
      <c r="J62" s="9">
        <f t="shared" si="0"/>
        <v>1</v>
      </c>
      <c r="K62" s="8">
        <v>1</v>
      </c>
      <c r="L62" s="7">
        <v>19</v>
      </c>
      <c r="M62" s="6" t="s">
        <v>102</v>
      </c>
      <c r="Q62" s="29">
        <v>1</v>
      </c>
      <c r="R62" s="29">
        <v>20</v>
      </c>
      <c r="S62" s="8">
        <v>1</v>
      </c>
      <c r="T62" s="7">
        <v>19</v>
      </c>
    </row>
    <row r="63" spans="1:20" s="5" customFormat="1" ht="35.450000000000003" customHeight="1" x14ac:dyDescent="0.2">
      <c r="A63" s="23" t="s">
        <v>103</v>
      </c>
      <c r="B63" s="11" t="s">
        <v>21</v>
      </c>
      <c r="C63" s="11" t="s">
        <v>22</v>
      </c>
      <c r="D63" s="29">
        <v>1</v>
      </c>
      <c r="E63" s="29">
        <v>30</v>
      </c>
      <c r="F63" s="11">
        <v>45896</v>
      </c>
      <c r="G63" s="10">
        <v>0.375</v>
      </c>
      <c r="H63" s="11">
        <v>45890</v>
      </c>
      <c r="I63" s="10">
        <v>0.9375</v>
      </c>
      <c r="J63" s="9">
        <f>E63-L63</f>
        <v>5</v>
      </c>
      <c r="K63" s="8">
        <v>1</v>
      </c>
      <c r="L63" s="7">
        <v>25</v>
      </c>
      <c r="M63" s="6" t="s">
        <v>104</v>
      </c>
      <c r="Q63" s="29">
        <v>1</v>
      </c>
      <c r="R63" s="29">
        <v>30</v>
      </c>
      <c r="S63" s="8">
        <v>1</v>
      </c>
      <c r="T63" s="7">
        <v>25</v>
      </c>
    </row>
    <row r="64" spans="1:20" s="5" customFormat="1" ht="35.450000000000003" customHeight="1" x14ac:dyDescent="0.2">
      <c r="A64" s="23" t="s">
        <v>103</v>
      </c>
      <c r="B64" s="11" t="s">
        <v>136</v>
      </c>
      <c r="C64" s="11" t="s">
        <v>34</v>
      </c>
      <c r="D64" s="29">
        <v>1</v>
      </c>
      <c r="E64" s="29">
        <v>30</v>
      </c>
      <c r="F64" s="11">
        <v>45896</v>
      </c>
      <c r="G64" s="10">
        <v>0.375</v>
      </c>
      <c r="H64" s="11">
        <v>45890</v>
      </c>
      <c r="I64" s="10">
        <v>0.9375</v>
      </c>
      <c r="J64" s="9">
        <f t="shared" si="0"/>
        <v>5</v>
      </c>
      <c r="K64" s="8">
        <v>1</v>
      </c>
      <c r="L64" s="7">
        <v>25</v>
      </c>
      <c r="M64" s="6" t="s">
        <v>104</v>
      </c>
      <c r="Q64" s="29">
        <v>1</v>
      </c>
      <c r="R64" s="29">
        <v>30</v>
      </c>
      <c r="S64" s="8">
        <v>1</v>
      </c>
      <c r="T64" s="7">
        <v>25</v>
      </c>
    </row>
    <row r="65" spans="1:20" s="5" customFormat="1" ht="35.450000000000003" customHeight="1" x14ac:dyDescent="0.2">
      <c r="A65" s="23" t="s">
        <v>105</v>
      </c>
      <c r="B65" s="11" t="s">
        <v>30</v>
      </c>
      <c r="C65" s="11" t="s">
        <v>31</v>
      </c>
      <c r="D65" s="29">
        <v>1</v>
      </c>
      <c r="E65" s="29">
        <v>30</v>
      </c>
      <c r="F65" s="11">
        <v>45896</v>
      </c>
      <c r="G65" s="10">
        <v>0.375</v>
      </c>
      <c r="H65" s="11">
        <v>45890</v>
      </c>
      <c r="I65" s="10">
        <v>0.8125</v>
      </c>
      <c r="J65" s="9">
        <f>E65-L65</f>
        <v>6</v>
      </c>
      <c r="K65" s="8">
        <v>1</v>
      </c>
      <c r="L65" s="7">
        <v>24</v>
      </c>
      <c r="M65" s="6" t="s">
        <v>106</v>
      </c>
      <c r="Q65" s="29">
        <v>1</v>
      </c>
      <c r="R65" s="29">
        <v>30</v>
      </c>
      <c r="S65" s="8">
        <v>1</v>
      </c>
      <c r="T65" s="7">
        <v>24</v>
      </c>
    </row>
    <row r="66" spans="1:20" s="5" customFormat="1" ht="35.450000000000003" customHeight="1" x14ac:dyDescent="0.2">
      <c r="A66" s="23" t="s">
        <v>105</v>
      </c>
      <c r="B66" s="11" t="s">
        <v>39</v>
      </c>
      <c r="C66" s="11" t="s">
        <v>40</v>
      </c>
      <c r="D66" s="29">
        <v>1</v>
      </c>
      <c r="E66" s="29">
        <v>30</v>
      </c>
      <c r="F66" s="11">
        <v>45896</v>
      </c>
      <c r="G66" s="10">
        <v>0.375</v>
      </c>
      <c r="H66" s="11">
        <v>45890</v>
      </c>
      <c r="I66" s="10">
        <v>0.8125</v>
      </c>
      <c r="J66" s="9">
        <f t="shared" si="0"/>
        <v>6</v>
      </c>
      <c r="K66" s="8">
        <v>1</v>
      </c>
      <c r="L66" s="7">
        <v>24</v>
      </c>
      <c r="M66" s="6" t="s">
        <v>106</v>
      </c>
      <c r="Q66" s="29">
        <v>1</v>
      </c>
      <c r="R66" s="29">
        <v>30</v>
      </c>
      <c r="S66" s="8">
        <v>1</v>
      </c>
      <c r="T66" s="7">
        <v>24</v>
      </c>
    </row>
    <row r="67" spans="1:20" s="5" customFormat="1" ht="35.450000000000003" customHeight="1" x14ac:dyDescent="0.2">
      <c r="A67" s="33" t="s">
        <v>107</v>
      </c>
      <c r="B67" s="11" t="s">
        <v>30</v>
      </c>
      <c r="C67" s="11" t="s">
        <v>31</v>
      </c>
      <c r="D67" s="29">
        <v>1</v>
      </c>
      <c r="E67" s="29">
        <v>60</v>
      </c>
      <c r="F67" s="11">
        <v>45896</v>
      </c>
      <c r="G67" s="10">
        <v>0.375</v>
      </c>
      <c r="H67" s="11">
        <v>45890</v>
      </c>
      <c r="I67" s="10">
        <v>0.85416666666666663</v>
      </c>
      <c r="J67" s="9">
        <f>E67-L67</f>
        <v>15</v>
      </c>
      <c r="K67" s="8">
        <v>1</v>
      </c>
      <c r="L67" s="7">
        <v>45</v>
      </c>
      <c r="M67" s="6" t="s">
        <v>108</v>
      </c>
      <c r="Q67" s="29">
        <v>1</v>
      </c>
      <c r="R67" s="29">
        <v>60</v>
      </c>
      <c r="S67" s="8">
        <v>1</v>
      </c>
      <c r="T67" s="7">
        <v>45</v>
      </c>
    </row>
    <row r="68" spans="1:20" s="5" customFormat="1" ht="37.5" customHeight="1" x14ac:dyDescent="0.2">
      <c r="A68" s="33" t="s">
        <v>107</v>
      </c>
      <c r="B68" s="11" t="s">
        <v>39</v>
      </c>
      <c r="C68" s="11" t="s">
        <v>40</v>
      </c>
      <c r="D68" s="29">
        <v>1</v>
      </c>
      <c r="E68" s="29">
        <v>60</v>
      </c>
      <c r="F68" s="11">
        <v>45896</v>
      </c>
      <c r="G68" s="10">
        <v>0.375</v>
      </c>
      <c r="H68" s="11">
        <v>45890</v>
      </c>
      <c r="I68" s="10">
        <v>0.85416666666666663</v>
      </c>
      <c r="J68" s="9">
        <f t="shared" si="0"/>
        <v>15</v>
      </c>
      <c r="K68" s="8">
        <v>1</v>
      </c>
      <c r="L68" s="7">
        <v>45</v>
      </c>
      <c r="M68" s="6" t="s">
        <v>108</v>
      </c>
      <c r="Q68" s="29">
        <v>1</v>
      </c>
      <c r="R68" s="29">
        <v>60</v>
      </c>
      <c r="S68" s="8">
        <v>1</v>
      </c>
      <c r="T68" s="7">
        <v>45</v>
      </c>
    </row>
    <row r="69" spans="1:20" ht="24" x14ac:dyDescent="0.2">
      <c r="A69" s="23" t="s">
        <v>109</v>
      </c>
      <c r="B69" s="11" t="s">
        <v>30</v>
      </c>
      <c r="C69" s="11" t="s">
        <v>31</v>
      </c>
      <c r="D69" s="29">
        <v>1</v>
      </c>
      <c r="E69" s="29">
        <v>30</v>
      </c>
      <c r="F69" s="11">
        <v>45896</v>
      </c>
      <c r="G69" s="10">
        <v>0.375</v>
      </c>
      <c r="H69" s="11">
        <v>45890</v>
      </c>
      <c r="I69" s="10">
        <v>0.875</v>
      </c>
      <c r="J69" s="9">
        <f>E69-L69</f>
        <v>10</v>
      </c>
      <c r="K69" s="8">
        <v>1</v>
      </c>
      <c r="L69" s="7">
        <v>20</v>
      </c>
      <c r="M69" s="6" t="s">
        <v>110</v>
      </c>
      <c r="Q69" s="29">
        <v>1</v>
      </c>
      <c r="R69" s="29">
        <v>30</v>
      </c>
      <c r="S69" s="8">
        <v>1</v>
      </c>
      <c r="T69" s="7">
        <v>20</v>
      </c>
    </row>
    <row r="70" spans="1:20" ht="24" x14ac:dyDescent="0.2">
      <c r="A70" s="23" t="s">
        <v>109</v>
      </c>
      <c r="B70" s="11" t="s">
        <v>39</v>
      </c>
      <c r="C70" s="11" t="s">
        <v>40</v>
      </c>
      <c r="D70" s="29">
        <v>1</v>
      </c>
      <c r="E70" s="29">
        <v>30</v>
      </c>
      <c r="F70" s="11">
        <v>45896</v>
      </c>
      <c r="G70" s="10">
        <v>0.375</v>
      </c>
      <c r="H70" s="11">
        <v>45890</v>
      </c>
      <c r="I70" s="10">
        <v>0.875</v>
      </c>
      <c r="J70" s="9">
        <f t="shared" si="0"/>
        <v>10</v>
      </c>
      <c r="K70" s="8">
        <v>1</v>
      </c>
      <c r="L70" s="7">
        <v>20</v>
      </c>
      <c r="M70" s="6" t="s">
        <v>110</v>
      </c>
      <c r="Q70" s="29">
        <v>1</v>
      </c>
      <c r="R70" s="29">
        <v>30</v>
      </c>
      <c r="S70" s="8">
        <v>1</v>
      </c>
      <c r="T70" s="7">
        <v>20</v>
      </c>
    </row>
    <row r="71" spans="1:20" ht="24" x14ac:dyDescent="0.2">
      <c r="A71" s="23" t="s">
        <v>111</v>
      </c>
      <c r="B71" s="11" t="s">
        <v>39</v>
      </c>
      <c r="C71" s="11" t="s">
        <v>142</v>
      </c>
      <c r="D71" s="29">
        <v>1</v>
      </c>
      <c r="E71" s="29">
        <v>30</v>
      </c>
      <c r="F71" s="11">
        <v>45896</v>
      </c>
      <c r="G71" s="10">
        <v>0.375</v>
      </c>
      <c r="H71" s="11">
        <v>45890</v>
      </c>
      <c r="I71" s="10">
        <v>0.89583333333333337</v>
      </c>
      <c r="J71" s="9">
        <f t="shared" ref="J71:J77" si="1">E71-L71</f>
        <v>0</v>
      </c>
      <c r="K71" s="8">
        <v>1</v>
      </c>
      <c r="L71" s="7">
        <v>30</v>
      </c>
      <c r="M71" s="6" t="s">
        <v>112</v>
      </c>
      <c r="Q71" s="29">
        <v>1</v>
      </c>
      <c r="R71" s="29">
        <v>30</v>
      </c>
      <c r="S71" s="8">
        <v>1</v>
      </c>
      <c r="T71" s="7">
        <v>30</v>
      </c>
    </row>
    <row r="72" spans="1:20" ht="24" x14ac:dyDescent="0.2">
      <c r="A72" s="23" t="s">
        <v>111</v>
      </c>
      <c r="B72" s="11" t="s">
        <v>30</v>
      </c>
      <c r="C72" s="11" t="s">
        <v>31</v>
      </c>
      <c r="D72" s="29">
        <v>1</v>
      </c>
      <c r="E72" s="29">
        <v>30</v>
      </c>
      <c r="F72" s="11">
        <v>45896</v>
      </c>
      <c r="G72" s="10">
        <v>0.375</v>
      </c>
      <c r="H72" s="11">
        <v>45890</v>
      </c>
      <c r="I72" s="10">
        <v>0.89583333333333337</v>
      </c>
      <c r="J72" s="9">
        <f t="shared" si="1"/>
        <v>0</v>
      </c>
      <c r="K72" s="8">
        <v>1</v>
      </c>
      <c r="L72" s="7">
        <v>30</v>
      </c>
      <c r="M72" s="6" t="s">
        <v>112</v>
      </c>
      <c r="Q72" s="29">
        <v>1</v>
      </c>
      <c r="R72" s="29">
        <v>30</v>
      </c>
      <c r="S72" s="8">
        <v>1</v>
      </c>
      <c r="T72" s="7">
        <v>30</v>
      </c>
    </row>
    <row r="73" spans="1:20" ht="24" x14ac:dyDescent="0.2">
      <c r="A73" s="33" t="s">
        <v>113</v>
      </c>
      <c r="B73" s="11" t="s">
        <v>30</v>
      </c>
      <c r="C73" s="11" t="s">
        <v>31</v>
      </c>
      <c r="D73" s="29">
        <v>1</v>
      </c>
      <c r="E73" s="29">
        <v>30</v>
      </c>
      <c r="F73" s="11">
        <v>45896</v>
      </c>
      <c r="G73" s="10">
        <v>0.375</v>
      </c>
      <c r="H73" s="11">
        <v>45890</v>
      </c>
      <c r="I73" s="10">
        <v>0.91666666666666663</v>
      </c>
      <c r="J73" s="9">
        <f t="shared" si="1"/>
        <v>-2</v>
      </c>
      <c r="K73" s="8">
        <v>1</v>
      </c>
      <c r="L73" s="7">
        <v>32</v>
      </c>
      <c r="M73" s="6" t="s">
        <v>114</v>
      </c>
      <c r="Q73" s="29">
        <v>1</v>
      </c>
      <c r="R73" s="29">
        <v>30</v>
      </c>
      <c r="S73" s="8">
        <v>1</v>
      </c>
      <c r="T73" s="7">
        <v>32</v>
      </c>
    </row>
    <row r="74" spans="1:20" ht="24" x14ac:dyDescent="0.2">
      <c r="A74" s="33" t="s">
        <v>113</v>
      </c>
      <c r="B74" s="11" t="s">
        <v>39</v>
      </c>
      <c r="C74" s="11" t="s">
        <v>40</v>
      </c>
      <c r="D74" s="29">
        <v>1</v>
      </c>
      <c r="E74" s="29">
        <v>30</v>
      </c>
      <c r="F74" s="11">
        <v>45896</v>
      </c>
      <c r="G74" s="10">
        <v>0.375</v>
      </c>
      <c r="H74" s="11">
        <v>45890</v>
      </c>
      <c r="I74" s="10">
        <v>0.91666666666666663</v>
      </c>
      <c r="J74" s="9">
        <f t="shared" si="1"/>
        <v>-2</v>
      </c>
      <c r="K74" s="8">
        <v>1</v>
      </c>
      <c r="L74" s="7">
        <v>32</v>
      </c>
      <c r="M74" s="6" t="s">
        <v>114</v>
      </c>
      <c r="Q74" s="29">
        <v>1</v>
      </c>
      <c r="R74" s="29">
        <v>30</v>
      </c>
      <c r="S74" s="8">
        <v>1</v>
      </c>
      <c r="T74" s="7">
        <v>32</v>
      </c>
    </row>
    <row r="75" spans="1:20" ht="24" x14ac:dyDescent="0.2">
      <c r="A75" s="33" t="s">
        <v>115</v>
      </c>
      <c r="B75" s="11" t="s">
        <v>36</v>
      </c>
      <c r="C75" s="11" t="s">
        <v>37</v>
      </c>
      <c r="D75" s="29">
        <v>1</v>
      </c>
      <c r="E75" s="29">
        <v>20</v>
      </c>
      <c r="F75" s="11">
        <v>45896</v>
      </c>
      <c r="G75" s="10">
        <v>0.375</v>
      </c>
      <c r="H75" s="11">
        <v>45890</v>
      </c>
      <c r="I75" s="10">
        <v>0.80555555555555558</v>
      </c>
      <c r="J75" s="9">
        <f t="shared" si="1"/>
        <v>0</v>
      </c>
      <c r="K75" s="8">
        <v>1</v>
      </c>
      <c r="L75" s="7">
        <v>20</v>
      </c>
      <c r="M75" s="6" t="s">
        <v>116</v>
      </c>
      <c r="Q75" s="29">
        <v>1</v>
      </c>
      <c r="R75" s="29">
        <v>20</v>
      </c>
      <c r="S75" s="8">
        <v>1</v>
      </c>
      <c r="T75" s="7">
        <v>20</v>
      </c>
    </row>
    <row r="76" spans="1:20" ht="24" x14ac:dyDescent="0.2">
      <c r="A76" s="33" t="s">
        <v>115</v>
      </c>
      <c r="B76" s="11" t="s">
        <v>42</v>
      </c>
      <c r="C76" s="11" t="s">
        <v>43</v>
      </c>
      <c r="D76" s="29">
        <v>1</v>
      </c>
      <c r="E76" s="29">
        <v>20</v>
      </c>
      <c r="F76" s="11">
        <v>45896</v>
      </c>
      <c r="G76" s="10">
        <v>0.375</v>
      </c>
      <c r="H76" s="11">
        <v>45890</v>
      </c>
      <c r="I76" s="10">
        <v>0.80555555555555558</v>
      </c>
      <c r="J76" s="9">
        <f t="shared" si="1"/>
        <v>0</v>
      </c>
      <c r="K76" s="8">
        <v>1</v>
      </c>
      <c r="L76" s="7">
        <v>20</v>
      </c>
      <c r="M76" s="6" t="s">
        <v>116</v>
      </c>
      <c r="Q76" s="29">
        <v>1</v>
      </c>
      <c r="R76" s="29">
        <v>20</v>
      </c>
      <c r="S76" s="8">
        <v>1</v>
      </c>
      <c r="T76" s="7">
        <v>20</v>
      </c>
    </row>
    <row r="77" spans="1:20" ht="24" x14ac:dyDescent="0.2">
      <c r="A77" s="33" t="s">
        <v>117</v>
      </c>
      <c r="B77" s="11" t="s">
        <v>36</v>
      </c>
      <c r="C77" s="11" t="s">
        <v>37</v>
      </c>
      <c r="D77" s="29">
        <v>1</v>
      </c>
      <c r="E77" s="29">
        <v>20</v>
      </c>
      <c r="F77" s="11">
        <v>45896</v>
      </c>
      <c r="G77" s="10">
        <v>0.375</v>
      </c>
      <c r="H77" s="11">
        <v>45890</v>
      </c>
      <c r="I77" s="10">
        <v>0.81944444444444442</v>
      </c>
      <c r="J77" s="9">
        <f t="shared" si="1"/>
        <v>0</v>
      </c>
      <c r="K77" s="8">
        <v>1</v>
      </c>
      <c r="L77" s="7">
        <v>20</v>
      </c>
      <c r="M77" s="6" t="s">
        <v>118</v>
      </c>
      <c r="Q77" s="29">
        <v>1</v>
      </c>
      <c r="R77" s="29">
        <v>20</v>
      </c>
      <c r="S77" s="8">
        <v>1</v>
      </c>
      <c r="T77" s="7">
        <v>20</v>
      </c>
    </row>
    <row r="78" spans="1:20" ht="24" x14ac:dyDescent="0.2">
      <c r="A78" s="33" t="s">
        <v>117</v>
      </c>
      <c r="B78" s="11" t="s">
        <v>42</v>
      </c>
      <c r="C78" s="11" t="s">
        <v>43</v>
      </c>
      <c r="D78" s="29">
        <v>1</v>
      </c>
      <c r="E78" s="29">
        <v>20</v>
      </c>
      <c r="F78" s="11">
        <v>45896</v>
      </c>
      <c r="G78" s="10">
        <v>0.375</v>
      </c>
      <c r="H78" s="11">
        <v>45890</v>
      </c>
      <c r="I78" s="10">
        <v>0.81944444444444442</v>
      </c>
      <c r="J78" s="9">
        <f t="shared" ref="J78:J108" si="2">E78-L78</f>
        <v>0</v>
      </c>
      <c r="K78" s="8">
        <v>1</v>
      </c>
      <c r="L78" s="7">
        <v>20</v>
      </c>
      <c r="M78" s="6" t="s">
        <v>118</v>
      </c>
      <c r="Q78" s="29">
        <v>1</v>
      </c>
      <c r="R78" s="29">
        <v>20</v>
      </c>
      <c r="S78" s="8">
        <v>1</v>
      </c>
      <c r="T78" s="7">
        <v>20</v>
      </c>
    </row>
    <row r="79" spans="1:20" ht="36" x14ac:dyDescent="0.2">
      <c r="A79" s="33" t="s">
        <v>119</v>
      </c>
      <c r="B79" s="11" t="s">
        <v>36</v>
      </c>
      <c r="C79" s="11" t="s">
        <v>37</v>
      </c>
      <c r="D79" s="29">
        <v>1</v>
      </c>
      <c r="E79" s="29">
        <v>20</v>
      </c>
      <c r="F79" s="11">
        <v>45896</v>
      </c>
      <c r="G79" s="10">
        <v>0.375</v>
      </c>
      <c r="H79" s="11">
        <v>45890</v>
      </c>
      <c r="I79" s="10">
        <v>0.83333333333333337</v>
      </c>
      <c r="J79" s="9">
        <f>E79-L79</f>
        <v>0</v>
      </c>
      <c r="K79" s="8">
        <v>1</v>
      </c>
      <c r="L79" s="7">
        <v>20</v>
      </c>
      <c r="M79" s="6" t="s">
        <v>120</v>
      </c>
      <c r="Q79" s="29">
        <v>1</v>
      </c>
      <c r="R79" s="29">
        <v>20</v>
      </c>
      <c r="S79" s="8">
        <v>1</v>
      </c>
      <c r="T79" s="7">
        <v>20</v>
      </c>
    </row>
    <row r="80" spans="1:20" ht="36" x14ac:dyDescent="0.2">
      <c r="A80" s="33" t="s">
        <v>119</v>
      </c>
      <c r="B80" s="11" t="s">
        <v>42</v>
      </c>
      <c r="C80" s="11" t="s">
        <v>43</v>
      </c>
      <c r="D80" s="29">
        <v>1</v>
      </c>
      <c r="E80" s="29">
        <v>20</v>
      </c>
      <c r="F80" s="11">
        <v>45896</v>
      </c>
      <c r="G80" s="10">
        <v>0.375</v>
      </c>
      <c r="H80" s="11">
        <v>45890</v>
      </c>
      <c r="I80" s="10">
        <v>0.83333333333333337</v>
      </c>
      <c r="J80" s="9">
        <f t="shared" si="2"/>
        <v>0</v>
      </c>
      <c r="K80" s="8">
        <v>1</v>
      </c>
      <c r="L80" s="7">
        <v>20</v>
      </c>
      <c r="M80" s="6" t="s">
        <v>120</v>
      </c>
      <c r="Q80" s="29">
        <v>1</v>
      </c>
      <c r="R80" s="29">
        <v>20</v>
      </c>
      <c r="S80" s="8">
        <v>1</v>
      </c>
      <c r="T80" s="7">
        <v>20</v>
      </c>
    </row>
    <row r="81" spans="1:20" ht="24" x14ac:dyDescent="0.2">
      <c r="A81" s="33" t="s">
        <v>121</v>
      </c>
      <c r="B81" s="11" t="s">
        <v>36</v>
      </c>
      <c r="C81" s="11" t="s">
        <v>37</v>
      </c>
      <c r="D81" s="29">
        <v>1</v>
      </c>
      <c r="E81" s="29">
        <v>20</v>
      </c>
      <c r="F81" s="11">
        <v>45896</v>
      </c>
      <c r="G81" s="10">
        <v>0.375</v>
      </c>
      <c r="H81" s="11">
        <v>45890</v>
      </c>
      <c r="I81" s="10">
        <v>0.84722222222222221</v>
      </c>
      <c r="J81" s="9">
        <f>E81-L81</f>
        <v>2</v>
      </c>
      <c r="K81" s="8">
        <v>1</v>
      </c>
      <c r="L81" s="7">
        <v>18</v>
      </c>
      <c r="M81" s="6" t="s">
        <v>122</v>
      </c>
      <c r="Q81" s="29">
        <v>1</v>
      </c>
      <c r="R81" s="29">
        <v>20</v>
      </c>
      <c r="S81" s="8">
        <v>1</v>
      </c>
      <c r="T81" s="7">
        <v>18</v>
      </c>
    </row>
    <row r="82" spans="1:20" ht="24" x14ac:dyDescent="0.2">
      <c r="A82" s="33" t="s">
        <v>121</v>
      </c>
      <c r="B82" s="11" t="s">
        <v>42</v>
      </c>
      <c r="C82" s="11" t="s">
        <v>43</v>
      </c>
      <c r="D82" s="29">
        <v>1</v>
      </c>
      <c r="E82" s="29">
        <v>20</v>
      </c>
      <c r="F82" s="11">
        <v>45896</v>
      </c>
      <c r="G82" s="10">
        <v>0.375</v>
      </c>
      <c r="H82" s="11">
        <v>45890</v>
      </c>
      <c r="I82" s="10">
        <v>0.84722222222222221</v>
      </c>
      <c r="J82" s="9">
        <f t="shared" si="2"/>
        <v>2</v>
      </c>
      <c r="K82" s="8">
        <v>1</v>
      </c>
      <c r="L82" s="7">
        <v>18</v>
      </c>
      <c r="M82" s="6" t="s">
        <v>122</v>
      </c>
      <c r="Q82" s="29">
        <v>1</v>
      </c>
      <c r="R82" s="29">
        <v>20</v>
      </c>
      <c r="S82" s="8">
        <v>1</v>
      </c>
      <c r="T82" s="7">
        <v>18</v>
      </c>
    </row>
    <row r="83" spans="1:20" ht="24" x14ac:dyDescent="0.2">
      <c r="A83" s="38" t="s">
        <v>123</v>
      </c>
      <c r="B83" s="11" t="s">
        <v>36</v>
      </c>
      <c r="C83" s="11" t="s">
        <v>37</v>
      </c>
      <c r="D83" s="29">
        <v>1</v>
      </c>
      <c r="E83" s="29">
        <v>20</v>
      </c>
      <c r="F83" s="11">
        <v>45896</v>
      </c>
      <c r="G83" s="10">
        <v>0.375</v>
      </c>
      <c r="H83" s="11">
        <v>45890</v>
      </c>
      <c r="I83" s="10">
        <v>0.86111111111111116</v>
      </c>
      <c r="J83" s="9">
        <f>E83-L83</f>
        <v>0</v>
      </c>
      <c r="K83" s="8">
        <v>1</v>
      </c>
      <c r="L83" s="7">
        <v>20</v>
      </c>
      <c r="M83" s="36" t="s">
        <v>124</v>
      </c>
      <c r="Q83" s="29">
        <v>1</v>
      </c>
      <c r="R83" s="29">
        <v>20</v>
      </c>
      <c r="S83" s="8">
        <v>1</v>
      </c>
      <c r="T83" s="7">
        <v>20</v>
      </c>
    </row>
    <row r="84" spans="1:20" ht="24" x14ac:dyDescent="0.2">
      <c r="A84" s="35" t="s">
        <v>123</v>
      </c>
      <c r="B84" s="11" t="s">
        <v>143</v>
      </c>
      <c r="C84" s="11" t="s">
        <v>43</v>
      </c>
      <c r="D84" s="29">
        <v>1</v>
      </c>
      <c r="E84" s="29">
        <v>20</v>
      </c>
      <c r="F84" s="11">
        <v>45896</v>
      </c>
      <c r="G84" s="10">
        <v>0.375</v>
      </c>
      <c r="H84" s="11">
        <v>45890</v>
      </c>
      <c r="I84" s="10">
        <v>0.86111111111111116</v>
      </c>
      <c r="J84" s="9">
        <f t="shared" si="2"/>
        <v>0</v>
      </c>
      <c r="K84" s="8">
        <v>1</v>
      </c>
      <c r="L84" s="7">
        <v>20</v>
      </c>
      <c r="M84" s="36" t="s">
        <v>124</v>
      </c>
      <c r="Q84" s="29">
        <v>1</v>
      </c>
      <c r="R84" s="29">
        <v>20</v>
      </c>
      <c r="S84" s="8">
        <v>1</v>
      </c>
      <c r="T84" s="7">
        <v>20</v>
      </c>
    </row>
    <row r="85" spans="1:20" ht="24" x14ac:dyDescent="0.2">
      <c r="A85" s="33" t="s">
        <v>125</v>
      </c>
      <c r="B85" s="11" t="s">
        <v>36</v>
      </c>
      <c r="C85" s="11" t="s">
        <v>37</v>
      </c>
      <c r="D85" s="29">
        <v>1</v>
      </c>
      <c r="E85" s="29">
        <v>20</v>
      </c>
      <c r="F85" s="11">
        <v>45896</v>
      </c>
      <c r="G85" s="10">
        <v>0.375</v>
      </c>
      <c r="H85" s="11">
        <v>45890</v>
      </c>
      <c r="I85" s="10">
        <v>0.875</v>
      </c>
      <c r="J85" s="9">
        <f>E85-L85</f>
        <v>-1</v>
      </c>
      <c r="K85" s="8">
        <v>1</v>
      </c>
      <c r="L85" s="7">
        <v>21</v>
      </c>
      <c r="M85" s="6" t="s">
        <v>126</v>
      </c>
      <c r="Q85" s="29">
        <v>1</v>
      </c>
      <c r="R85" s="29">
        <v>20</v>
      </c>
      <c r="S85" s="8">
        <v>1</v>
      </c>
      <c r="T85" s="7">
        <v>21</v>
      </c>
    </row>
    <row r="86" spans="1:20" ht="24" x14ac:dyDescent="0.2">
      <c r="A86" s="33" t="s">
        <v>125</v>
      </c>
      <c r="B86" s="11" t="s">
        <v>42</v>
      </c>
      <c r="C86" s="11" t="s">
        <v>43</v>
      </c>
      <c r="D86" s="29">
        <v>1</v>
      </c>
      <c r="E86" s="29">
        <v>20</v>
      </c>
      <c r="F86" s="11">
        <v>45896</v>
      </c>
      <c r="G86" s="10">
        <v>0.375</v>
      </c>
      <c r="H86" s="11">
        <v>45890</v>
      </c>
      <c r="I86" s="10">
        <v>0.875</v>
      </c>
      <c r="J86" s="9">
        <f t="shared" si="2"/>
        <v>-1</v>
      </c>
      <c r="K86" s="8">
        <v>1</v>
      </c>
      <c r="L86" s="7">
        <v>21</v>
      </c>
      <c r="M86" s="6" t="s">
        <v>126</v>
      </c>
      <c r="Q86" s="29">
        <v>1</v>
      </c>
      <c r="R86" s="29">
        <v>20</v>
      </c>
      <c r="S86" s="8">
        <v>1</v>
      </c>
      <c r="T86" s="7">
        <v>21</v>
      </c>
    </row>
    <row r="87" spans="1:20" ht="36" x14ac:dyDescent="0.2">
      <c r="A87" s="39" t="s">
        <v>127</v>
      </c>
      <c r="B87" s="11" t="s">
        <v>36</v>
      </c>
      <c r="C87" s="11" t="s">
        <v>37</v>
      </c>
      <c r="D87" s="29">
        <v>1</v>
      </c>
      <c r="E87" s="29">
        <v>30</v>
      </c>
      <c r="F87" s="11">
        <v>45896</v>
      </c>
      <c r="G87" s="10">
        <v>0.375</v>
      </c>
      <c r="H87" s="11">
        <v>45890</v>
      </c>
      <c r="I87" s="10">
        <v>0.89583333333333337</v>
      </c>
      <c r="J87" s="9">
        <f>E87-L87</f>
        <v>5</v>
      </c>
      <c r="K87" s="8">
        <v>1</v>
      </c>
      <c r="L87" s="7">
        <v>25</v>
      </c>
      <c r="M87" s="6" t="s">
        <v>128</v>
      </c>
      <c r="Q87" s="29">
        <v>1</v>
      </c>
      <c r="R87" s="29">
        <v>30</v>
      </c>
      <c r="S87" s="8">
        <v>1</v>
      </c>
      <c r="T87" s="7">
        <v>25</v>
      </c>
    </row>
    <row r="88" spans="1:20" ht="36" x14ac:dyDescent="0.2">
      <c r="A88" t="s">
        <v>127</v>
      </c>
      <c r="B88" s="11" t="s">
        <v>42</v>
      </c>
      <c r="C88" s="11" t="s">
        <v>43</v>
      </c>
      <c r="D88" s="29">
        <v>1</v>
      </c>
      <c r="E88" s="29">
        <v>30</v>
      </c>
      <c r="F88" s="11">
        <v>45896</v>
      </c>
      <c r="G88" s="10">
        <v>0.375</v>
      </c>
      <c r="H88" s="11">
        <v>45890</v>
      </c>
      <c r="I88" s="10">
        <v>0.89583333333333337</v>
      </c>
      <c r="J88" s="9">
        <f t="shared" si="2"/>
        <v>5</v>
      </c>
      <c r="K88" s="8">
        <v>1</v>
      </c>
      <c r="L88" s="7">
        <v>25</v>
      </c>
      <c r="M88" s="6" t="s">
        <v>128</v>
      </c>
      <c r="Q88" s="29">
        <v>1</v>
      </c>
      <c r="R88" s="29">
        <v>30</v>
      </c>
      <c r="S88" s="8">
        <v>1</v>
      </c>
      <c r="T88" s="7">
        <v>25</v>
      </c>
    </row>
    <row r="89" spans="1:20" ht="36" x14ac:dyDescent="0.2">
      <c r="A89" s="33" t="s">
        <v>129</v>
      </c>
      <c r="B89" s="11" t="s">
        <v>36</v>
      </c>
      <c r="C89" s="11" t="s">
        <v>37</v>
      </c>
      <c r="D89" s="29">
        <v>1</v>
      </c>
      <c r="E89" s="29">
        <v>30</v>
      </c>
      <c r="F89" s="11">
        <v>45896</v>
      </c>
      <c r="G89" s="10">
        <v>0.375</v>
      </c>
      <c r="H89" s="11">
        <v>45890</v>
      </c>
      <c r="I89" s="10">
        <v>0.91666666666666663</v>
      </c>
      <c r="J89" s="9">
        <f>E89-L89</f>
        <v>10</v>
      </c>
      <c r="K89" s="8">
        <v>1</v>
      </c>
      <c r="L89" s="7">
        <v>20</v>
      </c>
      <c r="M89" s="6" t="s">
        <v>130</v>
      </c>
      <c r="Q89" s="29">
        <v>1</v>
      </c>
      <c r="R89" s="29">
        <v>30</v>
      </c>
      <c r="S89" s="8">
        <v>1</v>
      </c>
      <c r="T89" s="7">
        <v>20</v>
      </c>
    </row>
    <row r="90" spans="1:20" ht="36" x14ac:dyDescent="0.2">
      <c r="A90" s="33" t="s">
        <v>129</v>
      </c>
      <c r="B90" s="11" t="s">
        <v>42</v>
      </c>
      <c r="C90" s="11" t="s">
        <v>43</v>
      </c>
      <c r="D90" s="29">
        <v>1</v>
      </c>
      <c r="E90" s="29">
        <v>30</v>
      </c>
      <c r="F90" s="11">
        <v>45896</v>
      </c>
      <c r="G90" s="10">
        <v>0.375</v>
      </c>
      <c r="H90" s="11">
        <v>45890</v>
      </c>
      <c r="I90" s="10">
        <v>0.91666666666666663</v>
      </c>
      <c r="J90" s="9">
        <f t="shared" si="2"/>
        <v>10</v>
      </c>
      <c r="K90" s="8">
        <v>1</v>
      </c>
      <c r="L90" s="7">
        <v>20</v>
      </c>
      <c r="M90" s="6" t="s">
        <v>130</v>
      </c>
      <c r="Q90" s="29">
        <v>1</v>
      </c>
      <c r="R90" s="29">
        <v>30</v>
      </c>
      <c r="S90" s="8">
        <v>1</v>
      </c>
      <c r="T90" s="7">
        <v>20</v>
      </c>
    </row>
    <row r="91" spans="1:20" ht="36" x14ac:dyDescent="0.2">
      <c r="A91" s="23" t="s">
        <v>146</v>
      </c>
      <c r="B91" s="11" t="s">
        <v>30</v>
      </c>
      <c r="C91" s="11" t="s">
        <v>83</v>
      </c>
      <c r="D91" s="20">
        <v>1</v>
      </c>
      <c r="E91" s="29">
        <v>60</v>
      </c>
      <c r="F91" s="11">
        <v>45896</v>
      </c>
      <c r="G91" s="10">
        <v>0.375</v>
      </c>
      <c r="H91" s="11">
        <v>45890</v>
      </c>
      <c r="I91" s="10">
        <v>0.91666666666666663</v>
      </c>
      <c r="J91" s="9">
        <f>E91-L91</f>
        <v>50</v>
      </c>
      <c r="K91" s="8">
        <v>1</v>
      </c>
      <c r="L91" s="7">
        <v>10</v>
      </c>
      <c r="M91" s="6" t="s">
        <v>149</v>
      </c>
      <c r="Q91" s="20">
        <v>1</v>
      </c>
      <c r="R91" s="29">
        <v>60</v>
      </c>
      <c r="S91" s="8">
        <v>1</v>
      </c>
      <c r="T91" s="7">
        <v>10</v>
      </c>
    </row>
    <row r="92" spans="1:20" ht="36" x14ac:dyDescent="0.2">
      <c r="A92" s="23" t="s">
        <v>146</v>
      </c>
      <c r="B92" s="11" t="s">
        <v>42</v>
      </c>
      <c r="C92" s="11" t="s">
        <v>77</v>
      </c>
      <c r="D92" s="20">
        <v>1</v>
      </c>
      <c r="E92" s="29">
        <v>60</v>
      </c>
      <c r="F92" s="11">
        <v>45896</v>
      </c>
      <c r="G92" s="10">
        <v>0.375</v>
      </c>
      <c r="H92" s="11">
        <v>45890</v>
      </c>
      <c r="I92" s="10">
        <v>0.91666666666666663</v>
      </c>
      <c r="J92" s="9">
        <f>E92-L92</f>
        <v>50</v>
      </c>
      <c r="K92" s="8">
        <v>1</v>
      </c>
      <c r="L92" s="7">
        <v>10</v>
      </c>
      <c r="M92" s="6" t="s">
        <v>149</v>
      </c>
      <c r="Q92" s="20">
        <v>1</v>
      </c>
      <c r="R92" s="29">
        <v>60</v>
      </c>
      <c r="S92" s="8">
        <v>1</v>
      </c>
      <c r="T92" s="7">
        <v>10</v>
      </c>
    </row>
    <row r="93" spans="1:20" ht="36" x14ac:dyDescent="0.2">
      <c r="A93" s="23" t="s">
        <v>146</v>
      </c>
      <c r="B93" s="11" t="s">
        <v>21</v>
      </c>
      <c r="C93" s="11" t="s">
        <v>86</v>
      </c>
      <c r="D93" s="20">
        <v>1</v>
      </c>
      <c r="E93" s="29">
        <v>60</v>
      </c>
      <c r="F93" s="11">
        <v>45896</v>
      </c>
      <c r="G93" s="10">
        <v>0.375</v>
      </c>
      <c r="H93" s="11">
        <v>45890</v>
      </c>
      <c r="I93" s="10">
        <v>0.91666666666666663</v>
      </c>
      <c r="J93" s="9">
        <f>E93-L93</f>
        <v>50</v>
      </c>
      <c r="K93" s="8">
        <v>1</v>
      </c>
      <c r="L93" s="7">
        <v>10</v>
      </c>
      <c r="M93" s="6" t="s">
        <v>149</v>
      </c>
      <c r="Q93" s="20">
        <v>1</v>
      </c>
      <c r="R93" s="29">
        <v>60</v>
      </c>
      <c r="S93" s="8">
        <v>1</v>
      </c>
      <c r="T93" s="7">
        <v>10</v>
      </c>
    </row>
    <row r="94" spans="1:20" ht="36" x14ac:dyDescent="0.2">
      <c r="A94" s="23" t="s">
        <v>146</v>
      </c>
      <c r="B94" s="11" t="s">
        <v>136</v>
      </c>
      <c r="C94" s="11" t="s">
        <v>151</v>
      </c>
      <c r="D94" s="20">
        <v>1</v>
      </c>
      <c r="E94" s="29">
        <v>60</v>
      </c>
      <c r="F94" s="11">
        <v>45896</v>
      </c>
      <c r="G94" s="10">
        <v>0.375</v>
      </c>
      <c r="H94" s="11">
        <v>45890</v>
      </c>
      <c r="I94" s="10">
        <v>0.91666666666666663</v>
      </c>
      <c r="J94" s="9">
        <f>E94-L94</f>
        <v>50</v>
      </c>
      <c r="K94" s="8">
        <v>1</v>
      </c>
      <c r="L94" s="7">
        <v>10</v>
      </c>
      <c r="M94" s="6" t="s">
        <v>149</v>
      </c>
      <c r="Q94" s="20">
        <v>1</v>
      </c>
      <c r="R94" s="29">
        <v>60</v>
      </c>
      <c r="S94" s="8">
        <v>1</v>
      </c>
      <c r="T94" s="7">
        <v>10</v>
      </c>
    </row>
    <row r="95" spans="1:20" ht="36" x14ac:dyDescent="0.2">
      <c r="A95" s="23" t="s">
        <v>146</v>
      </c>
      <c r="B95" s="11" t="s">
        <v>36</v>
      </c>
      <c r="C95" s="11" t="s">
        <v>80</v>
      </c>
      <c r="D95" s="20">
        <v>1</v>
      </c>
      <c r="E95" s="29">
        <v>60</v>
      </c>
      <c r="F95" s="11">
        <v>45882</v>
      </c>
      <c r="G95" s="10">
        <v>0.375</v>
      </c>
      <c r="H95" s="11">
        <v>45890</v>
      </c>
      <c r="I95" s="10">
        <v>0.91666666666666663</v>
      </c>
      <c r="J95" s="9">
        <f>E95-L95</f>
        <v>50</v>
      </c>
      <c r="K95" s="8">
        <v>1</v>
      </c>
      <c r="L95" s="7">
        <v>10</v>
      </c>
      <c r="M95" s="6" t="s">
        <v>149</v>
      </c>
      <c r="Q95" s="20">
        <v>1</v>
      </c>
      <c r="R95" s="29">
        <v>60</v>
      </c>
      <c r="S95" s="8">
        <v>1</v>
      </c>
      <c r="T95" s="7">
        <v>10</v>
      </c>
    </row>
    <row r="96" spans="1:20" ht="36" x14ac:dyDescent="0.2">
      <c r="A96" s="23" t="s">
        <v>146</v>
      </c>
      <c r="B96" s="11" t="s">
        <v>39</v>
      </c>
      <c r="C96" s="11" t="s">
        <v>150</v>
      </c>
      <c r="D96" s="20">
        <v>1</v>
      </c>
      <c r="E96" s="29">
        <v>60</v>
      </c>
      <c r="F96" s="11">
        <v>45896</v>
      </c>
      <c r="G96" s="10">
        <v>0.375</v>
      </c>
      <c r="H96" s="11">
        <v>45890</v>
      </c>
      <c r="I96" s="10">
        <v>0.91666666666666663</v>
      </c>
      <c r="J96" s="9">
        <f t="shared" si="2"/>
        <v>50</v>
      </c>
      <c r="K96" s="8">
        <v>1</v>
      </c>
      <c r="L96" s="7">
        <v>10</v>
      </c>
      <c r="M96" s="6" t="s">
        <v>149</v>
      </c>
      <c r="Q96" s="20">
        <v>1</v>
      </c>
      <c r="R96" s="29">
        <v>60</v>
      </c>
      <c r="S96" s="8">
        <v>1</v>
      </c>
      <c r="T96" s="7">
        <v>10</v>
      </c>
    </row>
    <row r="97" spans="1:20" ht="30" customHeight="1" x14ac:dyDescent="0.2">
      <c r="A97" s="23" t="s">
        <v>52</v>
      </c>
      <c r="B97" s="21" t="s">
        <v>21</v>
      </c>
      <c r="C97" s="21" t="s">
        <v>22</v>
      </c>
      <c r="D97" s="20">
        <v>1</v>
      </c>
      <c r="E97" s="29">
        <v>30</v>
      </c>
      <c r="F97" s="11">
        <v>45896</v>
      </c>
      <c r="G97" s="10">
        <v>0.375</v>
      </c>
      <c r="H97" s="11">
        <v>45890</v>
      </c>
      <c r="I97" s="10">
        <v>0.91666666666666663</v>
      </c>
      <c r="J97" s="9">
        <f t="shared" si="2"/>
        <v>0</v>
      </c>
      <c r="K97" s="8">
        <v>1</v>
      </c>
      <c r="L97" s="7">
        <v>30</v>
      </c>
      <c r="M97" s="6" t="s">
        <v>53</v>
      </c>
      <c r="Q97" s="20">
        <v>1</v>
      </c>
      <c r="R97" s="29">
        <v>30</v>
      </c>
      <c r="S97" s="8">
        <v>1</v>
      </c>
      <c r="T97" s="7">
        <v>30</v>
      </c>
    </row>
    <row r="98" spans="1:20" ht="23.25" customHeight="1" x14ac:dyDescent="0.2">
      <c r="A98" s="23" t="s">
        <v>153</v>
      </c>
      <c r="B98" s="21" t="s">
        <v>36</v>
      </c>
      <c r="C98" s="21" t="s">
        <v>37</v>
      </c>
      <c r="D98" s="20">
        <v>1</v>
      </c>
      <c r="E98" s="5">
        <v>30</v>
      </c>
      <c r="F98" s="11">
        <v>45896</v>
      </c>
      <c r="G98" s="10">
        <v>0.375</v>
      </c>
      <c r="H98" s="11">
        <v>45890</v>
      </c>
      <c r="I98" s="10">
        <v>0.91666666666666663</v>
      </c>
      <c r="J98" s="9">
        <f t="shared" si="2"/>
        <v>0</v>
      </c>
      <c r="K98" s="8">
        <v>1</v>
      </c>
      <c r="L98" s="7">
        <v>30</v>
      </c>
      <c r="M98" s="6" t="s">
        <v>53</v>
      </c>
      <c r="Q98" s="20">
        <v>1</v>
      </c>
      <c r="R98" s="5">
        <v>30</v>
      </c>
      <c r="S98" s="8">
        <v>1</v>
      </c>
      <c r="T98" s="7">
        <v>30</v>
      </c>
    </row>
    <row r="99" spans="1:20" ht="24" x14ac:dyDescent="0.2">
      <c r="A99" s="23" t="s">
        <v>79</v>
      </c>
      <c r="B99" s="11" t="s">
        <v>36</v>
      </c>
      <c r="C99" s="11" t="s">
        <v>80</v>
      </c>
      <c r="D99" s="20">
        <v>1</v>
      </c>
      <c r="E99" s="29">
        <v>45</v>
      </c>
      <c r="F99" s="11">
        <v>45896</v>
      </c>
      <c r="G99" s="10">
        <v>0.375</v>
      </c>
      <c r="H99" s="11">
        <v>45890</v>
      </c>
      <c r="I99" s="10">
        <v>0.9375</v>
      </c>
      <c r="J99" s="9">
        <f t="shared" si="2"/>
        <v>-35</v>
      </c>
      <c r="K99" s="8">
        <v>1</v>
      </c>
      <c r="L99" s="7">
        <v>80</v>
      </c>
      <c r="M99" s="6" t="s">
        <v>81</v>
      </c>
      <c r="Q99" s="20">
        <v>1</v>
      </c>
      <c r="R99" s="29">
        <v>45</v>
      </c>
      <c r="S99" s="8">
        <v>1</v>
      </c>
      <c r="T99" s="7">
        <v>80</v>
      </c>
    </row>
    <row r="100" spans="1:20" x14ac:dyDescent="0.2">
      <c r="A100" s="23" t="s">
        <v>85</v>
      </c>
      <c r="B100" s="11" t="s">
        <v>21</v>
      </c>
      <c r="C100" s="11" t="s">
        <v>86</v>
      </c>
      <c r="D100" s="20">
        <v>1</v>
      </c>
      <c r="E100" s="29">
        <v>60</v>
      </c>
      <c r="F100" s="11">
        <v>45896</v>
      </c>
      <c r="G100" s="10">
        <v>0.375</v>
      </c>
      <c r="H100" s="11">
        <v>45890</v>
      </c>
      <c r="I100" s="10">
        <v>0.9375</v>
      </c>
      <c r="J100" s="9">
        <f t="shared" si="2"/>
        <v>10</v>
      </c>
      <c r="K100" s="8">
        <v>1</v>
      </c>
      <c r="L100" s="7">
        <v>50</v>
      </c>
      <c r="M100" s="6" t="s">
        <v>87</v>
      </c>
      <c r="Q100" s="20">
        <v>1</v>
      </c>
      <c r="R100" s="29">
        <v>60</v>
      </c>
      <c r="S100" s="8">
        <v>1</v>
      </c>
      <c r="T100" s="7">
        <v>50</v>
      </c>
    </row>
    <row r="101" spans="1:20" x14ac:dyDescent="0.2">
      <c r="A101" s="23" t="s">
        <v>88</v>
      </c>
      <c r="B101" s="11" t="s">
        <v>21</v>
      </c>
      <c r="C101" s="11" t="s">
        <v>86</v>
      </c>
      <c r="D101" s="20">
        <v>1</v>
      </c>
      <c r="E101" s="29">
        <v>55</v>
      </c>
      <c r="F101" s="11">
        <v>45896</v>
      </c>
      <c r="G101" s="10">
        <v>0.375</v>
      </c>
      <c r="H101" s="11">
        <v>45890</v>
      </c>
      <c r="I101" s="10">
        <v>0.9375</v>
      </c>
      <c r="J101" s="9">
        <f t="shared" si="2"/>
        <v>0</v>
      </c>
      <c r="K101" s="8">
        <v>1</v>
      </c>
      <c r="L101" s="7">
        <v>55</v>
      </c>
      <c r="M101" s="6" t="s">
        <v>89</v>
      </c>
      <c r="Q101" s="20">
        <v>1</v>
      </c>
      <c r="R101" s="29">
        <v>55</v>
      </c>
      <c r="S101" s="8">
        <v>1</v>
      </c>
      <c r="T101" s="7">
        <v>55</v>
      </c>
    </row>
    <row r="102" spans="1:20" ht="24" x14ac:dyDescent="0.2">
      <c r="A102" s="33" t="s">
        <v>131</v>
      </c>
      <c r="B102" s="11" t="s">
        <v>36</v>
      </c>
      <c r="C102" s="11" t="s">
        <v>37</v>
      </c>
      <c r="D102" s="29">
        <v>1</v>
      </c>
      <c r="E102" s="29">
        <v>30</v>
      </c>
      <c r="F102" s="11">
        <v>45896</v>
      </c>
      <c r="G102" s="10">
        <v>0.375</v>
      </c>
      <c r="H102" s="11">
        <v>45894</v>
      </c>
      <c r="I102" s="10">
        <v>0.9375</v>
      </c>
      <c r="J102" s="9">
        <f>E102-L102</f>
        <v>-2</v>
      </c>
      <c r="K102" s="8">
        <v>1</v>
      </c>
      <c r="L102" s="7">
        <v>32</v>
      </c>
      <c r="M102" s="6" t="s">
        <v>132</v>
      </c>
      <c r="Q102" s="29">
        <v>1</v>
      </c>
      <c r="R102" s="29">
        <v>30</v>
      </c>
      <c r="S102" s="8">
        <v>1</v>
      </c>
      <c r="T102" s="7">
        <v>32</v>
      </c>
    </row>
    <row r="103" spans="1:20" ht="24" x14ac:dyDescent="0.2">
      <c r="A103" s="33" t="s">
        <v>131</v>
      </c>
      <c r="B103" s="11" t="s">
        <v>42</v>
      </c>
      <c r="C103" s="11" t="s">
        <v>43</v>
      </c>
      <c r="D103" s="29">
        <v>1</v>
      </c>
      <c r="E103" s="29">
        <v>30</v>
      </c>
      <c r="F103" s="11">
        <v>45896</v>
      </c>
      <c r="G103" s="10">
        <v>0.375</v>
      </c>
      <c r="H103" s="11">
        <v>45894</v>
      </c>
      <c r="I103" s="10">
        <v>0.9375</v>
      </c>
      <c r="J103" s="9">
        <f>E103-L103</f>
        <v>-2</v>
      </c>
      <c r="K103" s="8">
        <v>1</v>
      </c>
      <c r="L103" s="7">
        <v>32</v>
      </c>
      <c r="M103" s="6" t="s">
        <v>132</v>
      </c>
      <c r="Q103" s="29">
        <v>1</v>
      </c>
      <c r="R103" s="29">
        <v>30</v>
      </c>
      <c r="S103" s="8">
        <v>1</v>
      </c>
      <c r="T103" s="7">
        <v>32</v>
      </c>
    </row>
    <row r="104" spans="1:20" ht="24" x14ac:dyDescent="0.2">
      <c r="A104" s="33" t="s">
        <v>131</v>
      </c>
      <c r="B104" s="11" t="s">
        <v>30</v>
      </c>
      <c r="C104" s="11" t="s">
        <v>31</v>
      </c>
      <c r="D104" s="29">
        <v>1</v>
      </c>
      <c r="E104" s="29">
        <v>30</v>
      </c>
      <c r="F104" s="11">
        <v>45896</v>
      </c>
      <c r="G104" s="10">
        <v>0.375</v>
      </c>
      <c r="H104" s="11">
        <v>45894</v>
      </c>
      <c r="I104" s="10">
        <v>0.9375</v>
      </c>
      <c r="J104" s="9">
        <f>E104-L104</f>
        <v>-2</v>
      </c>
      <c r="K104" s="8">
        <v>1</v>
      </c>
      <c r="L104" s="7">
        <v>32</v>
      </c>
      <c r="M104" s="6" t="s">
        <v>132</v>
      </c>
      <c r="Q104" s="29">
        <v>1</v>
      </c>
      <c r="R104" s="29">
        <v>30</v>
      </c>
      <c r="S104" s="8">
        <v>1</v>
      </c>
      <c r="T104" s="7">
        <v>32</v>
      </c>
    </row>
    <row r="105" spans="1:20" s="5" customFormat="1" ht="12" customHeight="1" x14ac:dyDescent="0.2">
      <c r="A105" s="33" t="s">
        <v>131</v>
      </c>
      <c r="B105" s="11" t="s">
        <v>21</v>
      </c>
      <c r="C105" s="11" t="s">
        <v>22</v>
      </c>
      <c r="D105" s="29">
        <v>1</v>
      </c>
      <c r="E105" s="29">
        <v>30</v>
      </c>
      <c r="F105" s="11">
        <v>45896</v>
      </c>
      <c r="G105" s="10">
        <v>0.375</v>
      </c>
      <c r="H105" s="11">
        <v>45894</v>
      </c>
      <c r="I105" s="10">
        <v>0.9375</v>
      </c>
      <c r="J105" s="9">
        <f>E105-L105</f>
        <v>-2</v>
      </c>
      <c r="K105" s="8">
        <v>1</v>
      </c>
      <c r="L105" s="7">
        <v>32</v>
      </c>
      <c r="M105" s="6" t="s">
        <v>132</v>
      </c>
      <c r="Q105" s="29">
        <v>1</v>
      </c>
      <c r="R105" s="29">
        <v>30</v>
      </c>
      <c r="S105" s="8">
        <v>1</v>
      </c>
      <c r="T105" s="7">
        <v>32</v>
      </c>
    </row>
    <row r="106" spans="1:20" ht="24" x14ac:dyDescent="0.2">
      <c r="A106" s="33" t="s">
        <v>131</v>
      </c>
      <c r="B106" s="11" t="s">
        <v>136</v>
      </c>
      <c r="C106" s="11" t="s">
        <v>34</v>
      </c>
      <c r="D106" s="29">
        <v>1</v>
      </c>
      <c r="E106" s="29">
        <v>30</v>
      </c>
      <c r="F106" s="11">
        <v>45896</v>
      </c>
      <c r="G106" s="10">
        <v>0.375</v>
      </c>
      <c r="H106" s="11">
        <v>45894</v>
      </c>
      <c r="I106" s="10">
        <v>0.9375</v>
      </c>
      <c r="J106" s="9">
        <f>E106-L106</f>
        <v>-2</v>
      </c>
      <c r="K106" s="8">
        <v>1</v>
      </c>
      <c r="L106" s="7">
        <v>32</v>
      </c>
      <c r="M106" s="6" t="s">
        <v>132</v>
      </c>
      <c r="Q106" s="29">
        <v>1</v>
      </c>
      <c r="R106" s="29">
        <v>30</v>
      </c>
      <c r="S106" s="8">
        <v>1</v>
      </c>
      <c r="T106" s="7">
        <v>32</v>
      </c>
    </row>
    <row r="107" spans="1:20" ht="24" x14ac:dyDescent="0.2">
      <c r="A107" s="33" t="s">
        <v>131</v>
      </c>
      <c r="B107" s="11" t="s">
        <v>39</v>
      </c>
      <c r="C107" s="11" t="s">
        <v>40</v>
      </c>
      <c r="D107" s="29">
        <v>1</v>
      </c>
      <c r="E107" s="29">
        <v>30</v>
      </c>
      <c r="F107" s="11">
        <v>45896</v>
      </c>
      <c r="G107" s="10">
        <v>0.375</v>
      </c>
      <c r="H107" s="11">
        <v>45894</v>
      </c>
      <c r="I107" s="10">
        <v>0.9375</v>
      </c>
      <c r="J107" s="9">
        <f t="shared" si="2"/>
        <v>-2</v>
      </c>
      <c r="K107" s="8">
        <v>1</v>
      </c>
      <c r="L107" s="7">
        <v>32</v>
      </c>
      <c r="M107" s="6" t="s">
        <v>132</v>
      </c>
      <c r="Q107" s="29">
        <v>1</v>
      </c>
      <c r="R107" s="29">
        <v>30</v>
      </c>
      <c r="S107" s="8">
        <v>1</v>
      </c>
      <c r="T107" s="7">
        <v>32</v>
      </c>
    </row>
    <row r="108" spans="1:20" ht="24" x14ac:dyDescent="0.2">
      <c r="A108" s="33" t="s">
        <v>133</v>
      </c>
      <c r="B108" s="11" t="s">
        <v>21</v>
      </c>
      <c r="C108" s="11" t="s">
        <v>22</v>
      </c>
      <c r="D108" s="29">
        <v>3</v>
      </c>
      <c r="E108" s="29">
        <v>20</v>
      </c>
      <c r="F108" s="11">
        <v>45896</v>
      </c>
      <c r="G108" s="10">
        <v>0.375</v>
      </c>
      <c r="H108" s="11">
        <v>45895</v>
      </c>
      <c r="I108" s="10">
        <v>0.58333333333333337</v>
      </c>
      <c r="J108" s="9">
        <f t="shared" si="2"/>
        <v>5</v>
      </c>
      <c r="K108" s="8">
        <v>3</v>
      </c>
      <c r="L108" s="7">
        <v>15</v>
      </c>
      <c r="M108" s="6" t="s">
        <v>134</v>
      </c>
      <c r="Q108" s="29">
        <v>3</v>
      </c>
      <c r="R108" s="29">
        <v>20</v>
      </c>
      <c r="S108" s="8">
        <v>3</v>
      </c>
      <c r="T108" s="7">
        <v>15</v>
      </c>
    </row>
    <row r="109" spans="1:20" ht="24" x14ac:dyDescent="0.2">
      <c r="A109" s="43" t="s">
        <v>154</v>
      </c>
      <c r="B109" s="11" t="s">
        <v>30</v>
      </c>
      <c r="C109" s="11" t="s">
        <v>31</v>
      </c>
      <c r="D109" s="29">
        <v>2</v>
      </c>
      <c r="E109" s="29">
        <v>50</v>
      </c>
      <c r="F109" s="11">
        <v>45903</v>
      </c>
      <c r="G109" s="10">
        <v>0.375</v>
      </c>
      <c r="H109" s="11">
        <v>45902</v>
      </c>
      <c r="I109" s="10">
        <v>0.16666666666666666</v>
      </c>
      <c r="J109" s="9">
        <f t="shared" ref="J109:J140" si="3">E109-L109</f>
        <v>0</v>
      </c>
      <c r="K109" s="8">
        <v>1</v>
      </c>
      <c r="L109" s="7">
        <v>50</v>
      </c>
      <c r="M109" s="36" t="s">
        <v>155</v>
      </c>
      <c r="Q109" s="42">
        <f>SUM(Q8:Q108)</f>
        <v>107</v>
      </c>
      <c r="R109" s="42">
        <f>SUM(R8:R108)</f>
        <v>4265</v>
      </c>
      <c r="S109" s="42">
        <f>SUM(S8:S108)</f>
        <v>107</v>
      </c>
      <c r="T109" s="42">
        <f>SUM(T8:T108)</f>
        <v>4101</v>
      </c>
    </row>
    <row r="110" spans="1:20" ht="35.25" customHeight="1" x14ac:dyDescent="0.2">
      <c r="A110" s="43" t="s">
        <v>154</v>
      </c>
      <c r="B110" s="11" t="s">
        <v>39</v>
      </c>
      <c r="C110" s="11" t="s">
        <v>40</v>
      </c>
      <c r="D110" s="29">
        <v>2</v>
      </c>
      <c r="E110" s="29">
        <v>50</v>
      </c>
      <c r="F110" s="11">
        <v>45903</v>
      </c>
      <c r="G110" s="10">
        <v>0.375</v>
      </c>
      <c r="H110" s="11">
        <v>45902</v>
      </c>
      <c r="I110" s="10">
        <v>0.16666666666666666</v>
      </c>
      <c r="J110" s="9">
        <f t="shared" si="3"/>
        <v>0</v>
      </c>
      <c r="K110" s="8">
        <v>1</v>
      </c>
      <c r="L110" s="7">
        <v>50</v>
      </c>
      <c r="M110" s="36" t="s">
        <v>155</v>
      </c>
    </row>
    <row r="111" spans="1:20" ht="36.75" customHeight="1" x14ac:dyDescent="0.2">
      <c r="A111" s="43" t="s">
        <v>154</v>
      </c>
      <c r="B111" s="11" t="s">
        <v>21</v>
      </c>
      <c r="C111" s="11" t="s">
        <v>22</v>
      </c>
      <c r="D111" s="29">
        <v>2</v>
      </c>
      <c r="E111" s="29">
        <v>50</v>
      </c>
      <c r="F111" s="11">
        <v>45903</v>
      </c>
      <c r="G111" s="10">
        <v>0.375</v>
      </c>
      <c r="H111" s="11">
        <v>45902</v>
      </c>
      <c r="I111" s="10">
        <v>0.16666666666666666</v>
      </c>
      <c r="J111" s="9">
        <f t="shared" si="3"/>
        <v>0</v>
      </c>
      <c r="K111" s="8">
        <v>1</v>
      </c>
      <c r="L111" s="7">
        <v>50</v>
      </c>
      <c r="M111" s="36" t="s">
        <v>155</v>
      </c>
    </row>
    <row r="112" spans="1:20" ht="33.75" customHeight="1" x14ac:dyDescent="0.2">
      <c r="A112" s="43" t="s">
        <v>154</v>
      </c>
      <c r="B112" s="11" t="s">
        <v>136</v>
      </c>
      <c r="C112" s="11" t="s">
        <v>34</v>
      </c>
      <c r="D112" s="29">
        <v>2</v>
      </c>
      <c r="E112" s="29">
        <v>50</v>
      </c>
      <c r="F112" s="11">
        <v>45903</v>
      </c>
      <c r="G112" s="10">
        <v>0.375</v>
      </c>
      <c r="H112" s="11">
        <v>45902</v>
      </c>
      <c r="I112" s="10">
        <v>0.16666666666666666</v>
      </c>
      <c r="J112" s="9">
        <f t="shared" si="3"/>
        <v>0</v>
      </c>
      <c r="K112" s="8">
        <v>1</v>
      </c>
      <c r="L112" s="7">
        <v>50</v>
      </c>
      <c r="M112" s="36" t="s">
        <v>155</v>
      </c>
    </row>
    <row r="113" spans="1:13" ht="26.25" customHeight="1" x14ac:dyDescent="0.2">
      <c r="A113" s="43" t="s">
        <v>154</v>
      </c>
      <c r="B113" s="11" t="s">
        <v>36</v>
      </c>
      <c r="C113" s="11" t="s">
        <v>37</v>
      </c>
      <c r="D113" s="29">
        <v>2</v>
      </c>
      <c r="E113" s="29">
        <v>50</v>
      </c>
      <c r="F113" s="11">
        <v>45903</v>
      </c>
      <c r="G113" s="10">
        <v>0.375</v>
      </c>
      <c r="H113" s="11">
        <v>45902</v>
      </c>
      <c r="I113" s="10">
        <v>0.16666666666666666</v>
      </c>
      <c r="J113" s="9">
        <f t="shared" si="3"/>
        <v>0</v>
      </c>
      <c r="K113" s="8">
        <v>1</v>
      </c>
      <c r="L113" s="7">
        <v>50</v>
      </c>
      <c r="M113" s="36" t="s">
        <v>155</v>
      </c>
    </row>
    <row r="114" spans="1:13" ht="27.75" customHeight="1" x14ac:dyDescent="0.2">
      <c r="A114" s="43" t="s">
        <v>154</v>
      </c>
      <c r="B114" s="11" t="s">
        <v>42</v>
      </c>
      <c r="C114" s="11" t="s">
        <v>43</v>
      </c>
      <c r="D114" s="29">
        <v>2</v>
      </c>
      <c r="E114" s="29">
        <v>50</v>
      </c>
      <c r="F114" s="11">
        <v>45903</v>
      </c>
      <c r="G114" s="10">
        <v>0.375</v>
      </c>
      <c r="H114" s="11">
        <v>45902</v>
      </c>
      <c r="I114" s="10">
        <v>0.16666666666666666</v>
      </c>
      <c r="J114" s="9">
        <f t="shared" si="3"/>
        <v>0</v>
      </c>
      <c r="K114" s="8">
        <v>1</v>
      </c>
      <c r="L114" s="7">
        <v>50</v>
      </c>
      <c r="M114" s="36" t="s">
        <v>155</v>
      </c>
    </row>
    <row r="115" spans="1:13" ht="40.5" customHeight="1" x14ac:dyDescent="0.2">
      <c r="A115" s="23" t="s">
        <v>144</v>
      </c>
      <c r="B115" s="21" t="s">
        <v>30</v>
      </c>
      <c r="C115" s="21" t="s">
        <v>31</v>
      </c>
      <c r="D115" s="20">
        <v>1</v>
      </c>
      <c r="E115" s="40">
        <v>30</v>
      </c>
      <c r="F115" s="11">
        <v>45903</v>
      </c>
      <c r="G115" s="10">
        <v>0.375</v>
      </c>
      <c r="H115" s="11">
        <v>45899</v>
      </c>
      <c r="I115" s="10">
        <v>0.79166666666666663</v>
      </c>
      <c r="J115" s="9">
        <f t="shared" si="3"/>
        <v>0</v>
      </c>
      <c r="K115" s="8">
        <v>1</v>
      </c>
      <c r="L115" s="7">
        <v>30</v>
      </c>
      <c r="M115" s="6" t="s">
        <v>156</v>
      </c>
    </row>
    <row r="116" spans="1:13" ht="24" x14ac:dyDescent="0.2">
      <c r="A116" s="38" t="s">
        <v>123</v>
      </c>
      <c r="B116" s="11" t="s">
        <v>36</v>
      </c>
      <c r="C116" s="11" t="s">
        <v>37</v>
      </c>
      <c r="D116" s="29">
        <v>1</v>
      </c>
      <c r="E116" s="29">
        <v>20</v>
      </c>
      <c r="F116" s="11">
        <v>45903</v>
      </c>
      <c r="G116" s="10">
        <v>0.375</v>
      </c>
      <c r="H116" s="11">
        <v>45902</v>
      </c>
      <c r="I116" s="10">
        <v>0.80555555555555558</v>
      </c>
      <c r="J116" s="9">
        <f t="shared" si="3"/>
        <v>0</v>
      </c>
      <c r="K116" s="8">
        <v>1</v>
      </c>
      <c r="L116" s="7">
        <v>20</v>
      </c>
      <c r="M116" s="36" t="s">
        <v>124</v>
      </c>
    </row>
    <row r="117" spans="1:13" ht="24" x14ac:dyDescent="0.2">
      <c r="A117" s="38" t="s">
        <v>123</v>
      </c>
      <c r="B117" s="11" t="s">
        <v>143</v>
      </c>
      <c r="C117" s="11" t="s">
        <v>43</v>
      </c>
      <c r="D117" s="29">
        <v>1</v>
      </c>
      <c r="E117" s="29">
        <v>20</v>
      </c>
      <c r="F117" s="11">
        <v>45903</v>
      </c>
      <c r="G117" s="10">
        <v>0.375</v>
      </c>
      <c r="H117" s="11">
        <v>45902</v>
      </c>
      <c r="I117" s="10">
        <v>0.80555555555555558</v>
      </c>
      <c r="J117" s="9">
        <f t="shared" si="3"/>
        <v>0</v>
      </c>
      <c r="K117" s="8">
        <v>1</v>
      </c>
      <c r="L117" s="7">
        <v>20</v>
      </c>
      <c r="M117" s="36" t="s">
        <v>124</v>
      </c>
    </row>
    <row r="118" spans="1:13" ht="24" x14ac:dyDescent="0.2">
      <c r="A118" s="38" t="s">
        <v>157</v>
      </c>
      <c r="B118" s="11" t="s">
        <v>39</v>
      </c>
      <c r="C118" s="11" t="s">
        <v>40</v>
      </c>
      <c r="D118" s="29">
        <v>1</v>
      </c>
      <c r="E118" s="29">
        <v>30</v>
      </c>
      <c r="F118" s="11">
        <v>45903</v>
      </c>
      <c r="G118" s="10">
        <v>0.375</v>
      </c>
      <c r="H118" s="11">
        <v>45902</v>
      </c>
      <c r="I118" s="10">
        <v>0.8125</v>
      </c>
      <c r="J118" s="9">
        <f t="shared" si="3"/>
        <v>2</v>
      </c>
      <c r="K118" s="8">
        <v>2</v>
      </c>
      <c r="L118" s="7">
        <v>28</v>
      </c>
      <c r="M118" s="36" t="s">
        <v>158</v>
      </c>
    </row>
    <row r="119" spans="1:13" ht="38.25" x14ac:dyDescent="0.2">
      <c r="A119" s="49" t="s">
        <v>159</v>
      </c>
      <c r="B119" s="54" t="s">
        <v>21</v>
      </c>
      <c r="C119" s="54" t="s">
        <v>22</v>
      </c>
      <c r="D119" s="55">
        <v>1</v>
      </c>
      <c r="E119" s="55">
        <v>30</v>
      </c>
      <c r="F119" s="54">
        <v>45903</v>
      </c>
      <c r="G119" s="10">
        <v>0.375</v>
      </c>
      <c r="H119" s="54">
        <v>45902</v>
      </c>
      <c r="I119" s="57">
        <v>0.8125</v>
      </c>
      <c r="J119" s="55">
        <f t="shared" si="3"/>
        <v>0</v>
      </c>
      <c r="K119" s="58">
        <v>2</v>
      </c>
      <c r="L119" s="59">
        <v>30</v>
      </c>
      <c r="M119" s="31" t="s">
        <v>160</v>
      </c>
    </row>
    <row r="120" spans="1:13" ht="25.5" x14ac:dyDescent="0.2">
      <c r="A120" s="60" t="s">
        <v>162</v>
      </c>
      <c r="B120" s="56" t="s">
        <v>30</v>
      </c>
      <c r="C120" s="56" t="s">
        <v>31</v>
      </c>
      <c r="D120" s="55">
        <v>1</v>
      </c>
      <c r="E120" s="55">
        <v>30</v>
      </c>
      <c r="F120" s="54">
        <v>45903</v>
      </c>
      <c r="G120" s="10">
        <v>0.375</v>
      </c>
      <c r="H120" s="54">
        <v>45902</v>
      </c>
      <c r="I120" s="57">
        <v>0.8125</v>
      </c>
      <c r="J120" s="55">
        <f t="shared" si="3"/>
        <v>3</v>
      </c>
      <c r="K120" s="58">
        <v>1</v>
      </c>
      <c r="L120" s="59">
        <v>27</v>
      </c>
      <c r="M120" s="31" t="s">
        <v>161</v>
      </c>
    </row>
    <row r="121" spans="1:13" ht="25.5" x14ac:dyDescent="0.2">
      <c r="A121" s="60" t="s">
        <v>163</v>
      </c>
      <c r="B121" s="54" t="s">
        <v>30</v>
      </c>
      <c r="C121" s="54" t="s">
        <v>31</v>
      </c>
      <c r="D121" s="55">
        <v>1</v>
      </c>
      <c r="E121" s="55">
        <v>30</v>
      </c>
      <c r="F121" s="54">
        <v>45903</v>
      </c>
      <c r="G121" s="10">
        <v>0.375</v>
      </c>
      <c r="H121" s="54">
        <v>45902</v>
      </c>
      <c r="I121" s="57">
        <v>0.83333333333333337</v>
      </c>
      <c r="J121" s="55">
        <f t="shared" si="3"/>
        <v>2</v>
      </c>
      <c r="K121" s="58">
        <v>1</v>
      </c>
      <c r="L121" s="59">
        <v>28</v>
      </c>
      <c r="M121" s="52" t="s">
        <v>164</v>
      </c>
    </row>
    <row r="122" spans="1:13" ht="25.5" x14ac:dyDescent="0.2">
      <c r="A122" s="61" t="s">
        <v>165</v>
      </c>
      <c r="B122" s="54" t="s">
        <v>30</v>
      </c>
      <c r="C122" s="54" t="s">
        <v>31</v>
      </c>
      <c r="D122" s="55">
        <v>1</v>
      </c>
      <c r="E122" s="55">
        <v>30</v>
      </c>
      <c r="F122" s="54">
        <v>45903</v>
      </c>
      <c r="G122" s="10">
        <v>0.375</v>
      </c>
      <c r="H122" s="54">
        <v>45902</v>
      </c>
      <c r="I122" s="57">
        <v>0.85416666666666663</v>
      </c>
      <c r="J122" s="55">
        <f t="shared" si="3"/>
        <v>10</v>
      </c>
      <c r="K122" s="58">
        <v>2</v>
      </c>
      <c r="L122" s="59">
        <v>20</v>
      </c>
      <c r="M122" s="31" t="s">
        <v>166</v>
      </c>
    </row>
    <row r="123" spans="1:13" ht="25.5" x14ac:dyDescent="0.2">
      <c r="A123" s="61" t="s">
        <v>167</v>
      </c>
      <c r="B123" s="54" t="s">
        <v>42</v>
      </c>
      <c r="C123" s="54" t="s">
        <v>43</v>
      </c>
      <c r="D123" s="55">
        <v>1</v>
      </c>
      <c r="E123" s="55">
        <v>30</v>
      </c>
      <c r="F123" s="54">
        <v>45903</v>
      </c>
      <c r="G123" s="10">
        <v>0.375</v>
      </c>
      <c r="H123" s="54">
        <v>45900</v>
      </c>
      <c r="I123" s="57">
        <v>0.79166666666666663</v>
      </c>
      <c r="J123" s="55">
        <f t="shared" si="3"/>
        <v>5</v>
      </c>
      <c r="K123" s="58">
        <v>2</v>
      </c>
      <c r="L123" s="59">
        <v>25</v>
      </c>
      <c r="M123" s="31" t="s">
        <v>168</v>
      </c>
    </row>
    <row r="124" spans="1:13" ht="25.5" x14ac:dyDescent="0.2">
      <c r="A124" s="61" t="s">
        <v>169</v>
      </c>
      <c r="B124" s="13" t="s">
        <v>136</v>
      </c>
      <c r="C124" s="13" t="s">
        <v>34</v>
      </c>
      <c r="D124" s="55">
        <v>1</v>
      </c>
      <c r="E124" s="53">
        <v>30</v>
      </c>
      <c r="F124" s="54">
        <v>45903</v>
      </c>
      <c r="G124" s="10">
        <v>0.375</v>
      </c>
      <c r="H124" s="13">
        <v>45900</v>
      </c>
      <c r="I124" s="12">
        <v>0.79166666666666663</v>
      </c>
      <c r="J124" s="53">
        <f t="shared" si="3"/>
        <v>4</v>
      </c>
      <c r="K124" s="50">
        <v>1</v>
      </c>
      <c r="L124" s="51">
        <v>26</v>
      </c>
      <c r="M124" s="52" t="s">
        <v>170</v>
      </c>
    </row>
    <row r="125" spans="1:13" ht="25.5" x14ac:dyDescent="0.2">
      <c r="A125" s="13" t="s">
        <v>171</v>
      </c>
      <c r="B125" s="13" t="s">
        <v>36</v>
      </c>
      <c r="C125" s="13" t="s">
        <v>37</v>
      </c>
      <c r="D125" s="55">
        <v>1</v>
      </c>
      <c r="E125" s="53">
        <v>30</v>
      </c>
      <c r="F125" s="54">
        <v>45903</v>
      </c>
      <c r="G125" s="10">
        <v>0.375</v>
      </c>
      <c r="H125" s="13">
        <v>45899</v>
      </c>
      <c r="I125" s="12">
        <v>0.79166666666666663</v>
      </c>
      <c r="J125" s="53">
        <f t="shared" si="3"/>
        <v>0</v>
      </c>
      <c r="K125" s="50">
        <v>1</v>
      </c>
      <c r="L125" s="51">
        <v>30</v>
      </c>
      <c r="M125" s="52" t="s">
        <v>172</v>
      </c>
    </row>
    <row r="126" spans="1:13" ht="25.5" x14ac:dyDescent="0.2">
      <c r="A126" s="13" t="s">
        <v>174</v>
      </c>
      <c r="B126" s="13" t="s">
        <v>36</v>
      </c>
      <c r="C126" s="13" t="s">
        <v>37</v>
      </c>
      <c r="D126" s="55">
        <v>1</v>
      </c>
      <c r="E126" s="53">
        <v>30</v>
      </c>
      <c r="F126" s="54">
        <v>45903</v>
      </c>
      <c r="G126" s="10">
        <v>0.375</v>
      </c>
      <c r="H126" s="13">
        <v>45899</v>
      </c>
      <c r="I126" s="12">
        <v>0.8125</v>
      </c>
      <c r="J126" s="53">
        <f t="shared" si="3"/>
        <v>2</v>
      </c>
      <c r="K126" s="50">
        <v>1</v>
      </c>
      <c r="L126" s="51">
        <v>28</v>
      </c>
      <c r="M126" s="52" t="s">
        <v>173</v>
      </c>
    </row>
    <row r="127" spans="1:13" ht="25.5" x14ac:dyDescent="0.2">
      <c r="A127" s="13" t="s">
        <v>175</v>
      </c>
      <c r="B127" s="13" t="s">
        <v>36</v>
      </c>
      <c r="C127" s="13" t="s">
        <v>37</v>
      </c>
      <c r="D127" s="55">
        <v>1</v>
      </c>
      <c r="E127" s="53">
        <v>30</v>
      </c>
      <c r="F127" s="54">
        <v>45903</v>
      </c>
      <c r="G127" s="10">
        <v>0.375</v>
      </c>
      <c r="H127" s="13">
        <v>45899</v>
      </c>
      <c r="I127" s="12">
        <v>0.83333333333333337</v>
      </c>
      <c r="J127" s="53">
        <f t="shared" si="3"/>
        <v>6</v>
      </c>
      <c r="K127" s="50">
        <v>1</v>
      </c>
      <c r="L127" s="51">
        <v>24</v>
      </c>
      <c r="M127" s="52" t="s">
        <v>176</v>
      </c>
    </row>
    <row r="128" spans="1:13" ht="25.5" x14ac:dyDescent="0.2">
      <c r="A128" s="13" t="s">
        <v>177</v>
      </c>
      <c r="B128" s="13" t="s">
        <v>39</v>
      </c>
      <c r="C128" s="13" t="s">
        <v>40</v>
      </c>
      <c r="D128" s="55">
        <v>1</v>
      </c>
      <c r="E128" s="53">
        <v>30</v>
      </c>
      <c r="F128" s="54">
        <v>45903</v>
      </c>
      <c r="G128" s="10">
        <v>0.375</v>
      </c>
      <c r="H128" s="13">
        <v>45902</v>
      </c>
      <c r="I128" s="12">
        <v>0.83333333333333337</v>
      </c>
      <c r="J128" s="53">
        <f t="shared" si="3"/>
        <v>0</v>
      </c>
      <c r="K128" s="50">
        <v>1</v>
      </c>
      <c r="L128" s="51">
        <v>30</v>
      </c>
      <c r="M128" s="52" t="s">
        <v>178</v>
      </c>
    </row>
    <row r="129" spans="1:13" ht="38.25" x14ac:dyDescent="0.2">
      <c r="A129" s="61" t="s">
        <v>179</v>
      </c>
      <c r="B129" s="13" t="s">
        <v>39</v>
      </c>
      <c r="C129" s="13" t="s">
        <v>40</v>
      </c>
      <c r="D129" s="55">
        <v>5</v>
      </c>
      <c r="E129" s="53">
        <v>50</v>
      </c>
      <c r="F129" s="54">
        <v>45903</v>
      </c>
      <c r="G129" s="10">
        <v>0.375</v>
      </c>
      <c r="H129" s="13">
        <v>45902</v>
      </c>
      <c r="I129" s="12">
        <v>0.86805555555555558</v>
      </c>
      <c r="J129" s="53">
        <f t="shared" si="3"/>
        <v>5</v>
      </c>
      <c r="K129" s="50">
        <v>5</v>
      </c>
      <c r="L129" s="51">
        <v>45</v>
      </c>
      <c r="M129" s="52" t="s">
        <v>180</v>
      </c>
    </row>
    <row r="130" spans="1:13" ht="25.5" x14ac:dyDescent="0.2">
      <c r="A130" s="13" t="s">
        <v>181</v>
      </c>
      <c r="B130" s="13" t="s">
        <v>136</v>
      </c>
      <c r="C130" s="13" t="s">
        <v>34</v>
      </c>
      <c r="D130" s="55">
        <v>1</v>
      </c>
      <c r="E130" s="53">
        <v>30</v>
      </c>
      <c r="F130" s="54">
        <v>45903</v>
      </c>
      <c r="G130" s="10">
        <v>0.375</v>
      </c>
      <c r="H130" s="13">
        <v>45900</v>
      </c>
      <c r="I130" s="12">
        <v>0.8125</v>
      </c>
      <c r="J130" s="53">
        <f t="shared" si="3"/>
        <v>8</v>
      </c>
      <c r="K130" s="50">
        <v>1</v>
      </c>
      <c r="L130" s="51">
        <v>22</v>
      </c>
      <c r="M130" s="52" t="s">
        <v>184</v>
      </c>
    </row>
    <row r="131" spans="1:13" ht="25.5" x14ac:dyDescent="0.2">
      <c r="A131" s="13" t="s">
        <v>182</v>
      </c>
      <c r="B131" s="13" t="s">
        <v>21</v>
      </c>
      <c r="C131" s="13" t="s">
        <v>22</v>
      </c>
      <c r="D131" s="55">
        <v>1</v>
      </c>
      <c r="E131" s="53">
        <v>30</v>
      </c>
      <c r="F131" s="54">
        <v>45903</v>
      </c>
      <c r="G131" s="10">
        <v>0.375</v>
      </c>
      <c r="H131" s="13">
        <v>45902</v>
      </c>
      <c r="I131" s="12">
        <v>0.83333333333333337</v>
      </c>
      <c r="J131" s="53">
        <f t="shared" si="3"/>
        <v>7</v>
      </c>
      <c r="K131" s="50">
        <v>1</v>
      </c>
      <c r="L131" s="51">
        <v>23</v>
      </c>
      <c r="M131" s="52" t="s">
        <v>183</v>
      </c>
    </row>
    <row r="132" spans="1:13" ht="25.5" x14ac:dyDescent="0.2">
      <c r="A132" s="61" t="s">
        <v>185</v>
      </c>
      <c r="B132" s="13" t="s">
        <v>21</v>
      </c>
      <c r="C132" s="13" t="s">
        <v>22</v>
      </c>
      <c r="D132" s="55">
        <v>1</v>
      </c>
      <c r="E132" s="53">
        <v>40</v>
      </c>
      <c r="F132" s="54">
        <v>45903</v>
      </c>
      <c r="G132" s="10">
        <v>0.375</v>
      </c>
      <c r="H132" s="13">
        <v>45902</v>
      </c>
      <c r="I132" s="12">
        <v>0.86111111111111116</v>
      </c>
      <c r="J132" s="53">
        <f t="shared" si="3"/>
        <v>9</v>
      </c>
      <c r="K132" s="50">
        <v>2</v>
      </c>
      <c r="L132" s="51">
        <v>31</v>
      </c>
      <c r="M132" s="52" t="s">
        <v>186</v>
      </c>
    </row>
    <row r="133" spans="1:13" ht="25.5" x14ac:dyDescent="0.2">
      <c r="A133" s="13" t="s">
        <v>187</v>
      </c>
      <c r="B133" s="13" t="s">
        <v>136</v>
      </c>
      <c r="C133" s="13" t="s">
        <v>34</v>
      </c>
      <c r="D133" s="55">
        <v>1</v>
      </c>
      <c r="E133" s="53">
        <v>25</v>
      </c>
      <c r="F133" s="54">
        <v>45903</v>
      </c>
      <c r="G133" s="10">
        <v>0.375</v>
      </c>
      <c r="H133" s="13">
        <v>45900</v>
      </c>
      <c r="I133" s="12">
        <v>0.82986111111111116</v>
      </c>
      <c r="J133" s="53">
        <f t="shared" si="3"/>
        <v>5</v>
      </c>
      <c r="K133" s="50">
        <v>2</v>
      </c>
      <c r="L133" s="51">
        <v>20</v>
      </c>
      <c r="M133" s="52" t="s">
        <v>188</v>
      </c>
    </row>
    <row r="134" spans="1:13" ht="25.5" x14ac:dyDescent="0.2">
      <c r="A134" s="61" t="s">
        <v>88</v>
      </c>
      <c r="B134" s="13" t="s">
        <v>42</v>
      </c>
      <c r="C134" s="13" t="s">
        <v>43</v>
      </c>
      <c r="D134" s="55">
        <v>1</v>
      </c>
      <c r="E134" s="53">
        <v>20</v>
      </c>
      <c r="F134" s="54">
        <v>45903</v>
      </c>
      <c r="G134" s="10">
        <v>0.375</v>
      </c>
      <c r="H134" s="13">
        <v>45900</v>
      </c>
      <c r="I134" s="12">
        <v>0.80555555555555558</v>
      </c>
      <c r="J134" s="53">
        <f t="shared" si="3"/>
        <v>0</v>
      </c>
      <c r="K134" s="50">
        <v>1</v>
      </c>
      <c r="L134" s="51">
        <v>20</v>
      </c>
      <c r="M134" s="52" t="s">
        <v>189</v>
      </c>
    </row>
    <row r="135" spans="1:13" ht="25.5" x14ac:dyDescent="0.2">
      <c r="A135" s="13" t="s">
        <v>190</v>
      </c>
      <c r="B135" s="13" t="s">
        <v>42</v>
      </c>
      <c r="C135" s="13" t="s">
        <v>43</v>
      </c>
      <c r="D135" s="55">
        <v>1</v>
      </c>
      <c r="E135" s="53">
        <v>20</v>
      </c>
      <c r="F135" s="54">
        <v>45903</v>
      </c>
      <c r="G135" s="10">
        <v>0.375</v>
      </c>
      <c r="H135" s="13">
        <v>45900</v>
      </c>
      <c r="I135" s="12">
        <v>0.81944444444444442</v>
      </c>
      <c r="J135" s="53">
        <f t="shared" si="3"/>
        <v>0</v>
      </c>
      <c r="K135" s="50">
        <v>1</v>
      </c>
      <c r="L135" s="51">
        <v>20</v>
      </c>
      <c r="M135" s="52" t="s">
        <v>191</v>
      </c>
    </row>
    <row r="136" spans="1:13" ht="25.5" x14ac:dyDescent="0.2">
      <c r="A136" s="13" t="s">
        <v>193</v>
      </c>
      <c r="B136" s="13" t="s">
        <v>30</v>
      </c>
      <c r="C136" s="13" t="s">
        <v>31</v>
      </c>
      <c r="D136" s="55">
        <v>1</v>
      </c>
      <c r="E136" s="53">
        <v>30</v>
      </c>
      <c r="F136" s="54">
        <v>45903</v>
      </c>
      <c r="G136" s="10">
        <v>0.375</v>
      </c>
      <c r="H136" s="13">
        <v>45902</v>
      </c>
      <c r="I136" s="12">
        <v>0.875</v>
      </c>
      <c r="J136" s="53">
        <f t="shared" si="3"/>
        <v>5</v>
      </c>
      <c r="K136" s="50">
        <v>1</v>
      </c>
      <c r="L136" s="51">
        <v>25</v>
      </c>
      <c r="M136" s="52" t="s">
        <v>192</v>
      </c>
    </row>
    <row r="137" spans="1:13" ht="25.5" x14ac:dyDescent="0.2">
      <c r="A137" s="13" t="s">
        <v>194</v>
      </c>
      <c r="B137" s="13" t="s">
        <v>42</v>
      </c>
      <c r="C137" s="13" t="s">
        <v>43</v>
      </c>
      <c r="D137" s="55">
        <v>1</v>
      </c>
      <c r="E137" s="53">
        <v>30</v>
      </c>
      <c r="F137" s="54">
        <v>45903</v>
      </c>
      <c r="G137" s="10">
        <v>0.375</v>
      </c>
      <c r="H137" s="13">
        <v>45900</v>
      </c>
      <c r="I137" s="12">
        <v>0.84027777777777779</v>
      </c>
      <c r="J137" s="53">
        <f t="shared" si="3"/>
        <v>0</v>
      </c>
      <c r="K137" s="50">
        <v>1</v>
      </c>
      <c r="L137" s="51">
        <v>30</v>
      </c>
      <c r="M137" s="52" t="s">
        <v>195</v>
      </c>
    </row>
    <row r="138" spans="1:13" ht="25.5" x14ac:dyDescent="0.2">
      <c r="A138" s="13" t="s">
        <v>198</v>
      </c>
      <c r="B138" s="13" t="s">
        <v>36</v>
      </c>
      <c r="C138" s="13" t="s">
        <v>37</v>
      </c>
      <c r="D138" s="55">
        <v>1</v>
      </c>
      <c r="E138" s="53">
        <v>30</v>
      </c>
      <c r="F138" s="54">
        <v>45903</v>
      </c>
      <c r="G138" s="10">
        <v>0.375</v>
      </c>
      <c r="H138" s="13">
        <v>45899</v>
      </c>
      <c r="I138" s="12">
        <v>0.85416666666666663</v>
      </c>
      <c r="J138" s="53">
        <f t="shared" si="3"/>
        <v>5</v>
      </c>
      <c r="K138" s="50">
        <v>1</v>
      </c>
      <c r="L138" s="51">
        <v>25</v>
      </c>
      <c r="M138" s="52" t="s">
        <v>196</v>
      </c>
    </row>
    <row r="139" spans="1:13" ht="25.5" x14ac:dyDescent="0.2">
      <c r="A139" s="13" t="s">
        <v>197</v>
      </c>
      <c r="B139" s="13" t="s">
        <v>21</v>
      </c>
      <c r="C139" s="13" t="s">
        <v>22</v>
      </c>
      <c r="D139" s="55">
        <v>1</v>
      </c>
      <c r="E139" s="53">
        <v>30</v>
      </c>
      <c r="F139" s="54">
        <v>45903</v>
      </c>
      <c r="G139" s="10">
        <v>0.375</v>
      </c>
      <c r="H139" s="13">
        <v>45902</v>
      </c>
      <c r="I139" s="12">
        <v>0.88194444444444442</v>
      </c>
      <c r="J139" s="53">
        <f t="shared" si="3"/>
        <v>6</v>
      </c>
      <c r="K139" s="50">
        <v>1</v>
      </c>
      <c r="L139" s="51">
        <v>24</v>
      </c>
      <c r="M139" s="52" t="s">
        <v>199</v>
      </c>
    </row>
    <row r="140" spans="1:13" ht="25.5" x14ac:dyDescent="0.2">
      <c r="A140" s="13" t="s">
        <v>200</v>
      </c>
      <c r="B140" s="13" t="s">
        <v>136</v>
      </c>
      <c r="C140" s="13" t="s">
        <v>34</v>
      </c>
      <c r="D140" s="55">
        <v>1</v>
      </c>
      <c r="E140" s="53">
        <v>30</v>
      </c>
      <c r="F140" s="54">
        <v>45903</v>
      </c>
      <c r="G140" s="10">
        <v>0.375</v>
      </c>
      <c r="H140" s="13">
        <v>45900</v>
      </c>
      <c r="I140" s="12">
        <v>0.85069444444444442</v>
      </c>
      <c r="J140" s="53">
        <f t="shared" si="3"/>
        <v>7</v>
      </c>
      <c r="K140" s="50">
        <v>1</v>
      </c>
      <c r="L140" s="51">
        <v>23</v>
      </c>
      <c r="M140" s="52" t="s">
        <v>201</v>
      </c>
    </row>
    <row r="141" spans="1:13" ht="25.5" x14ac:dyDescent="0.2">
      <c r="A141" s="13" t="s">
        <v>202</v>
      </c>
      <c r="B141" s="13" t="s">
        <v>39</v>
      </c>
      <c r="C141" s="13" t="s">
        <v>40</v>
      </c>
      <c r="D141" s="55">
        <v>1</v>
      </c>
      <c r="E141" s="53">
        <v>30</v>
      </c>
      <c r="F141" s="54">
        <v>45903</v>
      </c>
      <c r="G141" s="10">
        <v>0.375</v>
      </c>
      <c r="H141" s="13">
        <v>45902</v>
      </c>
      <c r="I141" s="12">
        <v>0.88888888888888884</v>
      </c>
      <c r="J141" s="53">
        <f t="shared" ref="J141:J161" si="4">E141-L141</f>
        <v>4</v>
      </c>
      <c r="K141" s="50">
        <v>1</v>
      </c>
      <c r="L141" s="51">
        <v>26</v>
      </c>
      <c r="M141" s="52" t="s">
        <v>203</v>
      </c>
    </row>
    <row r="142" spans="1:13" ht="25.5" x14ac:dyDescent="0.2">
      <c r="A142" s="13" t="s">
        <v>204</v>
      </c>
      <c r="B142" s="13" t="s">
        <v>39</v>
      </c>
      <c r="C142" s="13" t="s">
        <v>40</v>
      </c>
      <c r="D142" s="55">
        <v>1</v>
      </c>
      <c r="E142" s="53">
        <v>60</v>
      </c>
      <c r="F142" s="54">
        <v>45903</v>
      </c>
      <c r="G142" s="10">
        <v>0.375</v>
      </c>
      <c r="H142" s="13">
        <v>45902</v>
      </c>
      <c r="I142" s="12">
        <v>0.93055555555555558</v>
      </c>
      <c r="J142" s="53">
        <f t="shared" si="4"/>
        <v>-2</v>
      </c>
      <c r="K142" s="50">
        <v>1</v>
      </c>
      <c r="L142" s="51">
        <v>62</v>
      </c>
      <c r="M142" s="52" t="s">
        <v>205</v>
      </c>
    </row>
    <row r="143" spans="1:13" ht="36" x14ac:dyDescent="0.2">
      <c r="A143" s="23" t="s">
        <v>146</v>
      </c>
      <c r="B143" s="11" t="s">
        <v>30</v>
      </c>
      <c r="C143" s="11" t="s">
        <v>83</v>
      </c>
      <c r="D143" s="20">
        <v>1</v>
      </c>
      <c r="E143" s="29">
        <v>60</v>
      </c>
      <c r="F143" s="11">
        <v>45903</v>
      </c>
      <c r="G143" s="10">
        <v>0.375</v>
      </c>
      <c r="H143" s="11">
        <v>45902</v>
      </c>
      <c r="I143" s="10">
        <v>0.91666666666666663</v>
      </c>
      <c r="J143" s="9">
        <f t="shared" si="4"/>
        <v>50</v>
      </c>
      <c r="K143" s="8">
        <v>1</v>
      </c>
      <c r="L143" s="7">
        <v>10</v>
      </c>
      <c r="M143" s="6" t="s">
        <v>149</v>
      </c>
    </row>
    <row r="144" spans="1:13" ht="36" x14ac:dyDescent="0.2">
      <c r="A144" s="23" t="s">
        <v>146</v>
      </c>
      <c r="B144" s="11" t="s">
        <v>42</v>
      </c>
      <c r="C144" s="11" t="s">
        <v>77</v>
      </c>
      <c r="D144" s="20">
        <v>1</v>
      </c>
      <c r="E144" s="29">
        <v>60</v>
      </c>
      <c r="F144" s="11">
        <v>45903</v>
      </c>
      <c r="G144" s="10">
        <v>0.375</v>
      </c>
      <c r="H144" s="11">
        <v>45902</v>
      </c>
      <c r="I144" s="10">
        <v>0.91666666666666663</v>
      </c>
      <c r="J144" s="9">
        <f t="shared" si="4"/>
        <v>50</v>
      </c>
      <c r="K144" s="8">
        <v>1</v>
      </c>
      <c r="L144" s="7">
        <v>10</v>
      </c>
      <c r="M144" s="6" t="s">
        <v>149</v>
      </c>
    </row>
    <row r="145" spans="1:13" ht="36" x14ac:dyDescent="0.2">
      <c r="A145" s="23" t="s">
        <v>146</v>
      </c>
      <c r="B145" s="11" t="s">
        <v>21</v>
      </c>
      <c r="C145" s="11" t="s">
        <v>86</v>
      </c>
      <c r="D145" s="20">
        <v>1</v>
      </c>
      <c r="E145" s="29">
        <v>60</v>
      </c>
      <c r="F145" s="11">
        <v>45903</v>
      </c>
      <c r="G145" s="10">
        <v>0.375</v>
      </c>
      <c r="H145" s="11">
        <v>45902</v>
      </c>
      <c r="I145" s="10">
        <v>0.91666666666666663</v>
      </c>
      <c r="J145" s="9">
        <f t="shared" si="4"/>
        <v>50</v>
      </c>
      <c r="K145" s="8">
        <v>1</v>
      </c>
      <c r="L145" s="7">
        <v>10</v>
      </c>
      <c r="M145" s="6" t="s">
        <v>149</v>
      </c>
    </row>
    <row r="146" spans="1:13" ht="36" x14ac:dyDescent="0.2">
      <c r="A146" s="23" t="s">
        <v>146</v>
      </c>
      <c r="B146" s="11" t="s">
        <v>136</v>
      </c>
      <c r="C146" s="11" t="s">
        <v>151</v>
      </c>
      <c r="D146" s="20">
        <v>1</v>
      </c>
      <c r="E146" s="29">
        <v>60</v>
      </c>
      <c r="F146" s="11">
        <v>45903</v>
      </c>
      <c r="G146" s="10">
        <v>0.375</v>
      </c>
      <c r="H146" s="11">
        <v>45902</v>
      </c>
      <c r="I146" s="10">
        <v>0.91666666666666663</v>
      </c>
      <c r="J146" s="9">
        <f t="shared" si="4"/>
        <v>50</v>
      </c>
      <c r="K146" s="8">
        <v>1</v>
      </c>
      <c r="L146" s="7">
        <v>10</v>
      </c>
      <c r="M146" s="6" t="s">
        <v>149</v>
      </c>
    </row>
    <row r="147" spans="1:13" ht="36" x14ac:dyDescent="0.2">
      <c r="A147" s="23" t="s">
        <v>146</v>
      </c>
      <c r="B147" s="11" t="s">
        <v>36</v>
      </c>
      <c r="C147" s="11" t="s">
        <v>80</v>
      </c>
      <c r="D147" s="20">
        <v>1</v>
      </c>
      <c r="E147" s="29">
        <v>60</v>
      </c>
      <c r="F147" s="11">
        <v>45903</v>
      </c>
      <c r="G147" s="10">
        <v>0.375</v>
      </c>
      <c r="H147" s="11">
        <v>45902</v>
      </c>
      <c r="I147" s="10">
        <v>0.91666666666666663</v>
      </c>
      <c r="J147" s="9">
        <f t="shared" si="4"/>
        <v>50</v>
      </c>
      <c r="K147" s="8">
        <v>1</v>
      </c>
      <c r="L147" s="7">
        <v>10</v>
      </c>
      <c r="M147" s="6" t="s">
        <v>149</v>
      </c>
    </row>
    <row r="148" spans="1:13" ht="36" x14ac:dyDescent="0.2">
      <c r="A148" s="23" t="s">
        <v>146</v>
      </c>
      <c r="B148" s="11" t="s">
        <v>39</v>
      </c>
      <c r="C148" s="11" t="s">
        <v>150</v>
      </c>
      <c r="D148" s="20">
        <v>1</v>
      </c>
      <c r="E148" s="29">
        <v>60</v>
      </c>
      <c r="F148" s="11">
        <v>45903</v>
      </c>
      <c r="G148" s="10">
        <v>0.375</v>
      </c>
      <c r="H148" s="11">
        <v>45902</v>
      </c>
      <c r="I148" s="10">
        <v>0.91666666666666663</v>
      </c>
      <c r="J148" s="9">
        <f t="shared" si="4"/>
        <v>50</v>
      </c>
      <c r="K148" s="8">
        <v>1</v>
      </c>
      <c r="L148" s="7">
        <v>10</v>
      </c>
      <c r="M148" s="6" t="s">
        <v>149</v>
      </c>
    </row>
    <row r="149" spans="1:13" x14ac:dyDescent="0.2">
      <c r="A149" s="23" t="s">
        <v>52</v>
      </c>
      <c r="B149" s="21" t="s">
        <v>21</v>
      </c>
      <c r="C149" s="63" t="s">
        <v>22</v>
      </c>
      <c r="D149" s="20">
        <v>1</v>
      </c>
      <c r="E149" s="29">
        <v>30</v>
      </c>
      <c r="F149" s="11">
        <v>45903</v>
      </c>
      <c r="G149" s="10">
        <v>0.375</v>
      </c>
      <c r="H149" s="11">
        <v>45902</v>
      </c>
      <c r="I149" s="10">
        <v>0.91666666666666663</v>
      </c>
      <c r="J149" s="9">
        <f t="shared" si="4"/>
        <v>0</v>
      </c>
      <c r="K149" s="8">
        <v>1</v>
      </c>
      <c r="L149" s="7">
        <v>30</v>
      </c>
      <c r="M149" s="6" t="s">
        <v>53</v>
      </c>
    </row>
    <row r="150" spans="1:13" x14ac:dyDescent="0.2">
      <c r="A150" s="23" t="s">
        <v>153</v>
      </c>
      <c r="B150" s="21" t="s">
        <v>36</v>
      </c>
      <c r="C150" s="63" t="s">
        <v>37</v>
      </c>
      <c r="D150" s="20">
        <v>1</v>
      </c>
      <c r="E150" s="5">
        <v>30</v>
      </c>
      <c r="F150" s="11">
        <v>45903</v>
      </c>
      <c r="G150" s="10">
        <v>0.375</v>
      </c>
      <c r="H150" s="11">
        <v>45902</v>
      </c>
      <c r="I150" s="10">
        <v>0.91666666666666663</v>
      </c>
      <c r="J150" s="9">
        <f t="shared" si="4"/>
        <v>0</v>
      </c>
      <c r="K150" s="8">
        <v>1</v>
      </c>
      <c r="L150" s="7">
        <v>30</v>
      </c>
      <c r="M150" s="6" t="s">
        <v>53</v>
      </c>
    </row>
    <row r="151" spans="1:13" ht="24" x14ac:dyDescent="0.2">
      <c r="A151" s="23" t="s">
        <v>79</v>
      </c>
      <c r="B151" s="11" t="s">
        <v>36</v>
      </c>
      <c r="C151" s="62" t="s">
        <v>37</v>
      </c>
      <c r="D151" s="20">
        <v>1</v>
      </c>
      <c r="E151" s="29">
        <v>45</v>
      </c>
      <c r="F151" s="11">
        <v>45903</v>
      </c>
      <c r="G151" s="10">
        <v>0.375</v>
      </c>
      <c r="H151" s="11">
        <v>45902</v>
      </c>
      <c r="I151" s="10">
        <v>0.9375</v>
      </c>
      <c r="J151" s="9">
        <f t="shared" si="4"/>
        <v>-35</v>
      </c>
      <c r="K151" s="8">
        <v>1</v>
      </c>
      <c r="L151" s="7">
        <v>80</v>
      </c>
      <c r="M151" s="6" t="s">
        <v>81</v>
      </c>
    </row>
    <row r="152" spans="1:13" x14ac:dyDescent="0.2">
      <c r="A152" s="23" t="s">
        <v>85</v>
      </c>
      <c r="B152" s="11" t="s">
        <v>21</v>
      </c>
      <c r="C152" s="62" t="s">
        <v>22</v>
      </c>
      <c r="D152" s="20">
        <v>1</v>
      </c>
      <c r="E152" s="29">
        <v>60</v>
      </c>
      <c r="F152" s="11">
        <v>45903</v>
      </c>
      <c r="G152" s="10">
        <v>0.375</v>
      </c>
      <c r="H152" s="11">
        <v>45902</v>
      </c>
      <c r="I152" s="10">
        <v>0.9375</v>
      </c>
      <c r="J152" s="9">
        <f t="shared" si="4"/>
        <v>10</v>
      </c>
      <c r="K152" s="8">
        <v>1</v>
      </c>
      <c r="L152" s="7">
        <v>50</v>
      </c>
      <c r="M152" s="6" t="s">
        <v>87</v>
      </c>
    </row>
    <row r="153" spans="1:13" x14ac:dyDescent="0.2">
      <c r="A153" s="23" t="s">
        <v>88</v>
      </c>
      <c r="B153" s="11" t="s">
        <v>21</v>
      </c>
      <c r="C153" s="11" t="s">
        <v>22</v>
      </c>
      <c r="D153" s="20">
        <v>1</v>
      </c>
      <c r="E153" s="29">
        <v>55</v>
      </c>
      <c r="F153" s="11">
        <v>45903</v>
      </c>
      <c r="G153" s="10">
        <v>0.375</v>
      </c>
      <c r="H153" s="11">
        <v>45902</v>
      </c>
      <c r="I153" s="10">
        <v>0.9375</v>
      </c>
      <c r="J153" s="9">
        <f t="shared" si="4"/>
        <v>0</v>
      </c>
      <c r="K153" s="8">
        <v>1</v>
      </c>
      <c r="L153" s="7">
        <v>55</v>
      </c>
      <c r="M153" s="6" t="s">
        <v>89</v>
      </c>
    </row>
    <row r="154" spans="1:13" ht="24" x14ac:dyDescent="0.2">
      <c r="A154" s="33" t="s">
        <v>131</v>
      </c>
      <c r="B154" s="11" t="s">
        <v>36</v>
      </c>
      <c r="C154" s="11" t="s">
        <v>37</v>
      </c>
      <c r="D154" s="29">
        <v>1</v>
      </c>
      <c r="E154" s="29">
        <v>30</v>
      </c>
      <c r="F154" s="11">
        <v>45903</v>
      </c>
      <c r="G154" s="10">
        <v>0.375</v>
      </c>
      <c r="H154" s="11">
        <v>45902</v>
      </c>
      <c r="I154" s="10">
        <v>0.9375</v>
      </c>
      <c r="J154" s="9">
        <f t="shared" si="4"/>
        <v>-2</v>
      </c>
      <c r="K154" s="8">
        <v>1</v>
      </c>
      <c r="L154" s="7">
        <v>32</v>
      </c>
      <c r="M154" s="6" t="s">
        <v>132</v>
      </c>
    </row>
    <row r="155" spans="1:13" ht="24" x14ac:dyDescent="0.2">
      <c r="A155" s="33" t="s">
        <v>131</v>
      </c>
      <c r="B155" s="11" t="s">
        <v>42</v>
      </c>
      <c r="C155" s="11" t="s">
        <v>43</v>
      </c>
      <c r="D155" s="29">
        <v>1</v>
      </c>
      <c r="E155" s="29">
        <v>30</v>
      </c>
      <c r="F155" s="11">
        <v>45903</v>
      </c>
      <c r="G155" s="10">
        <v>0.375</v>
      </c>
      <c r="H155" s="11">
        <v>45902</v>
      </c>
      <c r="I155" s="10">
        <v>0.9375</v>
      </c>
      <c r="J155" s="9">
        <f t="shared" si="4"/>
        <v>-2</v>
      </c>
      <c r="K155" s="8">
        <v>1</v>
      </c>
      <c r="L155" s="7">
        <v>32</v>
      </c>
      <c r="M155" s="6" t="s">
        <v>132</v>
      </c>
    </row>
    <row r="156" spans="1:13" ht="24" x14ac:dyDescent="0.2">
      <c r="A156" s="33" t="s">
        <v>131</v>
      </c>
      <c r="B156" s="11" t="s">
        <v>30</v>
      </c>
      <c r="C156" s="11" t="s">
        <v>31</v>
      </c>
      <c r="D156" s="29">
        <v>1</v>
      </c>
      <c r="E156" s="29">
        <v>30</v>
      </c>
      <c r="F156" s="11">
        <v>45903</v>
      </c>
      <c r="G156" s="10">
        <v>0.375</v>
      </c>
      <c r="H156" s="11">
        <v>45902</v>
      </c>
      <c r="I156" s="10">
        <v>0.9375</v>
      </c>
      <c r="J156" s="9">
        <f t="shared" si="4"/>
        <v>-2</v>
      </c>
      <c r="K156" s="8">
        <v>1</v>
      </c>
      <c r="L156" s="7">
        <v>32</v>
      </c>
      <c r="M156" s="6" t="s">
        <v>132</v>
      </c>
    </row>
    <row r="157" spans="1:13" ht="24" x14ac:dyDescent="0.2">
      <c r="A157" s="33" t="s">
        <v>131</v>
      </c>
      <c r="B157" s="11" t="s">
        <v>21</v>
      </c>
      <c r="C157" s="11" t="s">
        <v>22</v>
      </c>
      <c r="D157" s="29">
        <v>1</v>
      </c>
      <c r="E157" s="29">
        <v>30</v>
      </c>
      <c r="F157" s="11">
        <v>45903</v>
      </c>
      <c r="G157" s="10">
        <v>0.375</v>
      </c>
      <c r="H157" s="11">
        <v>45902</v>
      </c>
      <c r="I157" s="10">
        <v>0.9375</v>
      </c>
      <c r="J157" s="9">
        <f t="shared" si="4"/>
        <v>-2</v>
      </c>
      <c r="K157" s="8">
        <v>1</v>
      </c>
      <c r="L157" s="7">
        <v>32</v>
      </c>
      <c r="M157" s="6" t="s">
        <v>132</v>
      </c>
    </row>
    <row r="158" spans="1:13" ht="24" x14ac:dyDescent="0.2">
      <c r="A158" s="33" t="s">
        <v>131</v>
      </c>
      <c r="B158" s="11" t="s">
        <v>136</v>
      </c>
      <c r="C158" s="11" t="s">
        <v>34</v>
      </c>
      <c r="D158" s="29">
        <v>1</v>
      </c>
      <c r="E158" s="29">
        <v>30</v>
      </c>
      <c r="F158" s="11">
        <v>45903</v>
      </c>
      <c r="G158" s="10">
        <v>0.375</v>
      </c>
      <c r="H158" s="11">
        <v>45902</v>
      </c>
      <c r="I158" s="10">
        <v>0.9375</v>
      </c>
      <c r="J158" s="9">
        <f t="shared" si="4"/>
        <v>-2</v>
      </c>
      <c r="K158" s="8">
        <v>1</v>
      </c>
      <c r="L158" s="7">
        <v>32</v>
      </c>
      <c r="M158" s="6" t="s">
        <v>132</v>
      </c>
    </row>
    <row r="159" spans="1:13" ht="24" x14ac:dyDescent="0.2">
      <c r="A159" s="33" t="s">
        <v>131</v>
      </c>
      <c r="B159" s="11" t="s">
        <v>39</v>
      </c>
      <c r="C159" s="11" t="s">
        <v>40</v>
      </c>
      <c r="D159" s="29">
        <v>1</v>
      </c>
      <c r="E159" s="29">
        <v>30</v>
      </c>
      <c r="F159" s="11">
        <v>45903</v>
      </c>
      <c r="G159" s="10">
        <v>0.375</v>
      </c>
      <c r="H159" s="11">
        <v>45902</v>
      </c>
      <c r="I159" s="10">
        <v>0.9375</v>
      </c>
      <c r="J159" s="9">
        <f t="shared" si="4"/>
        <v>-2</v>
      </c>
      <c r="K159" s="8">
        <v>1</v>
      </c>
      <c r="L159" s="7">
        <v>32</v>
      </c>
      <c r="M159" s="6" t="s">
        <v>132</v>
      </c>
    </row>
    <row r="160" spans="1:13" ht="24" x14ac:dyDescent="0.2">
      <c r="A160" s="33" t="s">
        <v>133</v>
      </c>
      <c r="B160" s="11" t="s">
        <v>21</v>
      </c>
      <c r="C160" s="11" t="s">
        <v>22</v>
      </c>
      <c r="D160" s="29">
        <v>3</v>
      </c>
      <c r="E160" s="29">
        <v>20</v>
      </c>
      <c r="F160" s="11">
        <v>45903</v>
      </c>
      <c r="G160" s="10">
        <v>0.375</v>
      </c>
      <c r="H160" s="11">
        <v>45902</v>
      </c>
      <c r="I160" s="10">
        <v>0.58333333333333337</v>
      </c>
      <c r="J160" s="9">
        <f t="shared" si="4"/>
        <v>5</v>
      </c>
      <c r="K160" s="8">
        <v>3</v>
      </c>
      <c r="L160" s="7">
        <v>15</v>
      </c>
      <c r="M160" s="6" t="s">
        <v>134</v>
      </c>
    </row>
    <row r="161" spans="1:13" ht="36" x14ac:dyDescent="0.2">
      <c r="A161" s="94" t="s">
        <v>144</v>
      </c>
      <c r="B161" s="89" t="s">
        <v>30</v>
      </c>
      <c r="C161" s="90" t="s">
        <v>31</v>
      </c>
      <c r="D161" s="84">
        <v>1</v>
      </c>
      <c r="E161" s="8">
        <v>30</v>
      </c>
      <c r="F161" s="85">
        <v>45909</v>
      </c>
      <c r="G161" s="86">
        <v>0.375</v>
      </c>
      <c r="H161" s="85">
        <v>45905</v>
      </c>
      <c r="I161" s="86">
        <v>0.45833333333333331</v>
      </c>
      <c r="J161" s="87">
        <f t="shared" si="4"/>
        <v>0</v>
      </c>
      <c r="K161" s="8">
        <v>1</v>
      </c>
      <c r="L161" s="88">
        <v>30</v>
      </c>
      <c r="M161" s="91" t="s">
        <v>156</v>
      </c>
    </row>
    <row r="162" spans="1:13" ht="24" x14ac:dyDescent="0.2">
      <c r="A162" s="23" t="s">
        <v>216</v>
      </c>
      <c r="B162" s="85" t="s">
        <v>36</v>
      </c>
      <c r="C162" s="85" t="s">
        <v>37</v>
      </c>
      <c r="D162" s="84">
        <v>1</v>
      </c>
      <c r="E162" s="49">
        <v>30</v>
      </c>
      <c r="F162" s="85">
        <v>45909</v>
      </c>
      <c r="G162" s="86">
        <v>0.375</v>
      </c>
      <c r="H162" s="85">
        <v>45905</v>
      </c>
      <c r="I162" s="86">
        <v>0.79166666666666663</v>
      </c>
      <c r="J162" s="87">
        <f>E162-L162</f>
        <v>0</v>
      </c>
      <c r="K162" s="8">
        <v>1</v>
      </c>
      <c r="L162" s="88">
        <v>30</v>
      </c>
      <c r="M162" s="91" t="s">
        <v>75</v>
      </c>
    </row>
    <row r="163" spans="1:13" ht="25.5" x14ac:dyDescent="0.2">
      <c r="A163" s="53" t="s">
        <v>252</v>
      </c>
      <c r="B163" s="53" t="s">
        <v>36</v>
      </c>
      <c r="C163" s="53" t="s">
        <v>37</v>
      </c>
      <c r="D163" s="53">
        <v>2</v>
      </c>
      <c r="E163" s="53">
        <v>30</v>
      </c>
      <c r="F163" s="80">
        <v>45909</v>
      </c>
      <c r="G163" s="81">
        <v>0.375</v>
      </c>
      <c r="H163" s="80">
        <v>45907</v>
      </c>
      <c r="I163" s="81">
        <v>0.52083333333333337</v>
      </c>
      <c r="J163" s="87">
        <f>E163-L163</f>
        <v>0</v>
      </c>
      <c r="K163" s="53">
        <v>2</v>
      </c>
      <c r="L163" s="53">
        <v>30</v>
      </c>
      <c r="M163" s="79" t="s">
        <v>253</v>
      </c>
    </row>
    <row r="164" spans="1:13" ht="25.5" x14ac:dyDescent="0.2">
      <c r="A164" s="53" t="s">
        <v>252</v>
      </c>
      <c r="B164" s="53" t="s">
        <v>42</v>
      </c>
      <c r="C164" s="53" t="s">
        <v>43</v>
      </c>
      <c r="D164" s="53">
        <v>2</v>
      </c>
      <c r="E164" s="53">
        <v>30</v>
      </c>
      <c r="F164" s="80">
        <v>45909</v>
      </c>
      <c r="G164" s="81">
        <v>0.375</v>
      </c>
      <c r="H164" s="80">
        <v>45907</v>
      </c>
      <c r="I164" s="81">
        <v>0.54166666666666663</v>
      </c>
      <c r="J164" s="87">
        <f t="shared" ref="J164:J227" si="5">E164-L164</f>
        <v>0</v>
      </c>
      <c r="K164" s="53">
        <v>2</v>
      </c>
      <c r="L164" s="53">
        <v>30</v>
      </c>
      <c r="M164" s="79" t="s">
        <v>253</v>
      </c>
    </row>
    <row r="165" spans="1:13" ht="25.5" x14ac:dyDescent="0.2">
      <c r="A165" s="53" t="s">
        <v>254</v>
      </c>
      <c r="B165" s="53" t="s">
        <v>36</v>
      </c>
      <c r="C165" s="53" t="s">
        <v>37</v>
      </c>
      <c r="D165" s="53">
        <v>1</v>
      </c>
      <c r="E165" s="53">
        <v>30</v>
      </c>
      <c r="F165" s="80">
        <v>45909</v>
      </c>
      <c r="G165" s="81">
        <v>0.375</v>
      </c>
      <c r="H165" s="80">
        <v>45907</v>
      </c>
      <c r="I165" s="81">
        <v>0.5625</v>
      </c>
      <c r="J165" s="87">
        <f t="shared" si="5"/>
        <v>0</v>
      </c>
      <c r="K165" s="53">
        <v>1</v>
      </c>
      <c r="L165" s="53">
        <v>30</v>
      </c>
      <c r="M165" s="79" t="s">
        <v>255</v>
      </c>
    </row>
    <row r="166" spans="1:13" ht="25.5" x14ac:dyDescent="0.2">
      <c r="A166" s="79" t="s">
        <v>254</v>
      </c>
      <c r="B166" s="53" t="s">
        <v>42</v>
      </c>
      <c r="C166" s="53" t="s">
        <v>43</v>
      </c>
      <c r="D166" s="53">
        <v>1</v>
      </c>
      <c r="E166" s="53">
        <v>30</v>
      </c>
      <c r="F166" s="80">
        <v>45909</v>
      </c>
      <c r="G166" s="81">
        <v>0.375</v>
      </c>
      <c r="H166" s="80">
        <v>45907</v>
      </c>
      <c r="I166" s="81">
        <v>0.58333333333333337</v>
      </c>
      <c r="J166" s="87">
        <f t="shared" si="5"/>
        <v>0</v>
      </c>
      <c r="K166" s="53">
        <v>2</v>
      </c>
      <c r="L166" s="53">
        <v>30</v>
      </c>
      <c r="M166" s="79" t="s">
        <v>255</v>
      </c>
    </row>
    <row r="167" spans="1:13" ht="25.5" x14ac:dyDescent="0.2">
      <c r="A167" s="53" t="s">
        <v>256</v>
      </c>
      <c r="B167" s="53" t="s">
        <v>36</v>
      </c>
      <c r="C167" s="53" t="s">
        <v>37</v>
      </c>
      <c r="D167" s="53">
        <v>2</v>
      </c>
      <c r="E167" s="53">
        <v>30</v>
      </c>
      <c r="F167" s="80">
        <v>45909</v>
      </c>
      <c r="G167" s="81">
        <v>0.375</v>
      </c>
      <c r="H167" s="80">
        <v>45907</v>
      </c>
      <c r="I167" s="81">
        <v>0.58333333333333337</v>
      </c>
      <c r="J167" s="53">
        <f t="shared" si="5"/>
        <v>0</v>
      </c>
      <c r="K167" s="53">
        <v>2</v>
      </c>
      <c r="L167" s="53">
        <v>30</v>
      </c>
      <c r="M167" s="79" t="s">
        <v>257</v>
      </c>
    </row>
    <row r="168" spans="1:13" ht="25.5" x14ac:dyDescent="0.2">
      <c r="A168" s="79" t="s">
        <v>256</v>
      </c>
      <c r="B168" s="53" t="s">
        <v>42</v>
      </c>
      <c r="C168" s="53" t="s">
        <v>43</v>
      </c>
      <c r="D168" s="53">
        <v>2</v>
      </c>
      <c r="E168" s="53">
        <v>30</v>
      </c>
      <c r="F168" s="80">
        <v>45909</v>
      </c>
      <c r="G168" s="81">
        <v>0.375</v>
      </c>
      <c r="H168" s="80">
        <v>45907</v>
      </c>
      <c r="I168" s="81">
        <v>0.58333333333333337</v>
      </c>
      <c r="J168" s="53">
        <f t="shared" si="5"/>
        <v>0</v>
      </c>
      <c r="K168" s="53">
        <v>2</v>
      </c>
      <c r="L168" s="53">
        <v>30</v>
      </c>
      <c r="M168" s="79" t="s">
        <v>257</v>
      </c>
    </row>
    <row r="169" spans="1:13" ht="38.25" x14ac:dyDescent="0.2">
      <c r="A169" s="79" t="s">
        <v>258</v>
      </c>
      <c r="B169" s="53" t="s">
        <v>36</v>
      </c>
      <c r="C169" s="53" t="s">
        <v>37</v>
      </c>
      <c r="D169" s="53">
        <v>2</v>
      </c>
      <c r="E169" s="53">
        <v>30</v>
      </c>
      <c r="F169" s="80">
        <v>45909</v>
      </c>
      <c r="G169" s="81">
        <v>0.375</v>
      </c>
      <c r="H169" s="80">
        <v>45907</v>
      </c>
      <c r="I169" s="81">
        <v>0.58333333333333337</v>
      </c>
      <c r="J169" s="53">
        <f t="shared" si="5"/>
        <v>0</v>
      </c>
      <c r="K169" s="53">
        <v>1</v>
      </c>
      <c r="L169" s="53">
        <v>30</v>
      </c>
      <c r="M169" s="79" t="s">
        <v>259</v>
      </c>
    </row>
    <row r="170" spans="1:13" ht="38.25" x14ac:dyDescent="0.2">
      <c r="A170" s="79" t="s">
        <v>258</v>
      </c>
      <c r="B170" s="53" t="s">
        <v>42</v>
      </c>
      <c r="C170" s="53" t="s">
        <v>43</v>
      </c>
      <c r="D170" s="53">
        <v>2</v>
      </c>
      <c r="E170" s="53">
        <v>30</v>
      </c>
      <c r="F170" s="80">
        <v>45909</v>
      </c>
      <c r="G170" s="81">
        <v>0.375</v>
      </c>
      <c r="H170" s="80">
        <v>45907</v>
      </c>
      <c r="I170" s="81">
        <v>0.58333333333333337</v>
      </c>
      <c r="J170" s="53">
        <f t="shared" si="5"/>
        <v>0</v>
      </c>
      <c r="K170" s="53">
        <v>1</v>
      </c>
      <c r="L170" s="53">
        <v>30</v>
      </c>
      <c r="M170" s="79" t="s">
        <v>259</v>
      </c>
    </row>
    <row r="171" spans="1:13" ht="25.5" x14ac:dyDescent="0.2">
      <c r="A171" s="53" t="s">
        <v>260</v>
      </c>
      <c r="B171" s="53" t="s">
        <v>36</v>
      </c>
      <c r="C171" s="53" t="s">
        <v>37</v>
      </c>
      <c r="D171" s="53">
        <v>1</v>
      </c>
      <c r="E171" s="53">
        <v>30</v>
      </c>
      <c r="F171" s="80">
        <v>45909</v>
      </c>
      <c r="G171" s="81">
        <v>0.375</v>
      </c>
      <c r="H171" s="80">
        <v>45907</v>
      </c>
      <c r="I171" s="81">
        <v>0.58333333333333337</v>
      </c>
      <c r="J171" s="53">
        <f t="shared" si="5"/>
        <v>0</v>
      </c>
      <c r="K171" s="53">
        <v>3</v>
      </c>
      <c r="L171" s="53">
        <v>30</v>
      </c>
      <c r="M171" s="79" t="s">
        <v>261</v>
      </c>
    </row>
    <row r="172" spans="1:13" ht="25.5" x14ac:dyDescent="0.2">
      <c r="A172" s="53" t="s">
        <v>260</v>
      </c>
      <c r="B172" s="53" t="s">
        <v>42</v>
      </c>
      <c r="C172" s="53" t="s">
        <v>43</v>
      </c>
      <c r="D172" s="53">
        <v>1</v>
      </c>
      <c r="E172" s="53">
        <v>30</v>
      </c>
      <c r="F172" s="80">
        <v>45909</v>
      </c>
      <c r="G172" s="81">
        <v>0.375</v>
      </c>
      <c r="H172" s="80">
        <v>45907</v>
      </c>
      <c r="I172" s="81">
        <v>0.58333333333333337</v>
      </c>
      <c r="J172" s="53">
        <f t="shared" si="5"/>
        <v>0</v>
      </c>
      <c r="K172" s="53">
        <v>2</v>
      </c>
      <c r="L172" s="53">
        <v>30</v>
      </c>
      <c r="M172" s="79" t="s">
        <v>261</v>
      </c>
    </row>
    <row r="173" spans="1:13" ht="38.25" x14ac:dyDescent="0.2">
      <c r="A173" s="53" t="s">
        <v>262</v>
      </c>
      <c r="B173" s="53" t="s">
        <v>36</v>
      </c>
      <c r="C173" s="53" t="s">
        <v>37</v>
      </c>
      <c r="D173" s="53">
        <v>1</v>
      </c>
      <c r="E173" s="53">
        <v>30</v>
      </c>
      <c r="F173" s="80">
        <v>45909</v>
      </c>
      <c r="G173" s="81">
        <v>0.375</v>
      </c>
      <c r="H173" s="80">
        <v>45907</v>
      </c>
      <c r="I173" s="81">
        <v>0.58333333333333337</v>
      </c>
      <c r="J173" s="53">
        <f t="shared" si="5"/>
        <v>0</v>
      </c>
      <c r="K173" s="53">
        <v>2</v>
      </c>
      <c r="L173" s="53">
        <v>30</v>
      </c>
      <c r="M173" s="79" t="s">
        <v>263</v>
      </c>
    </row>
    <row r="174" spans="1:13" ht="38.25" x14ac:dyDescent="0.2">
      <c r="A174" s="79" t="s">
        <v>262</v>
      </c>
      <c r="B174" s="53" t="s">
        <v>42</v>
      </c>
      <c r="C174" s="53" t="s">
        <v>43</v>
      </c>
      <c r="D174" s="53">
        <v>1</v>
      </c>
      <c r="E174" s="53">
        <v>30</v>
      </c>
      <c r="F174" s="80">
        <v>45909</v>
      </c>
      <c r="G174" s="81">
        <v>0.375</v>
      </c>
      <c r="H174" s="80">
        <v>45907</v>
      </c>
      <c r="I174" s="81">
        <v>0.58333333333333337</v>
      </c>
      <c r="J174" s="53">
        <f t="shared" si="5"/>
        <v>0</v>
      </c>
      <c r="K174" s="53">
        <v>1</v>
      </c>
      <c r="L174" s="53">
        <v>30</v>
      </c>
      <c r="M174" s="79" t="s">
        <v>263</v>
      </c>
    </row>
    <row r="175" spans="1:13" ht="25.5" x14ac:dyDescent="0.2">
      <c r="A175" s="79" t="s">
        <v>264</v>
      </c>
      <c r="B175" s="53" t="s">
        <v>36</v>
      </c>
      <c r="C175" s="53" t="s">
        <v>37</v>
      </c>
      <c r="D175" s="53">
        <v>1</v>
      </c>
      <c r="E175" s="53">
        <v>30</v>
      </c>
      <c r="F175" s="80">
        <v>45909</v>
      </c>
      <c r="G175" s="81">
        <v>0.375</v>
      </c>
      <c r="H175" s="80">
        <v>45907</v>
      </c>
      <c r="I175" s="81">
        <v>0.58333333333333337</v>
      </c>
      <c r="J175" s="53">
        <f t="shared" si="5"/>
        <v>0</v>
      </c>
      <c r="K175" s="53">
        <v>1</v>
      </c>
      <c r="L175" s="53">
        <v>30</v>
      </c>
      <c r="M175" s="79" t="s">
        <v>265</v>
      </c>
    </row>
    <row r="176" spans="1:13" ht="25.5" x14ac:dyDescent="0.2">
      <c r="A176" s="79" t="s">
        <v>264</v>
      </c>
      <c r="B176" s="53" t="s">
        <v>42</v>
      </c>
      <c r="C176" s="53" t="s">
        <v>43</v>
      </c>
      <c r="D176" s="53">
        <v>1</v>
      </c>
      <c r="E176" s="53">
        <v>30</v>
      </c>
      <c r="F176" s="80">
        <v>45909</v>
      </c>
      <c r="G176" s="81">
        <v>0.375</v>
      </c>
      <c r="H176" s="80">
        <v>45907</v>
      </c>
      <c r="I176" s="81">
        <v>0.58333333333333337</v>
      </c>
      <c r="J176" s="53">
        <f t="shared" si="5"/>
        <v>0</v>
      </c>
      <c r="K176" s="53">
        <v>1</v>
      </c>
      <c r="L176" s="53">
        <v>30</v>
      </c>
      <c r="M176" s="79" t="s">
        <v>265</v>
      </c>
    </row>
    <row r="177" spans="1:13" ht="25.5" x14ac:dyDescent="0.2">
      <c r="A177" s="79" t="s">
        <v>266</v>
      </c>
      <c r="B177" s="53" t="s">
        <v>36</v>
      </c>
      <c r="C177" s="53" t="s">
        <v>37</v>
      </c>
      <c r="D177" s="53">
        <v>1</v>
      </c>
      <c r="E177" s="53">
        <v>20</v>
      </c>
      <c r="F177" s="80">
        <v>45909</v>
      </c>
      <c r="G177" s="81">
        <v>0.375</v>
      </c>
      <c r="H177" s="80">
        <v>45907</v>
      </c>
      <c r="I177" s="81">
        <v>0.58333333333333337</v>
      </c>
      <c r="J177" s="53">
        <f t="shared" si="5"/>
        <v>-10</v>
      </c>
      <c r="K177" s="53">
        <v>1</v>
      </c>
      <c r="L177" s="53">
        <v>30</v>
      </c>
      <c r="M177" s="79" t="s">
        <v>267</v>
      </c>
    </row>
    <row r="178" spans="1:13" ht="25.5" x14ac:dyDescent="0.2">
      <c r="A178" s="79" t="s">
        <v>266</v>
      </c>
      <c r="B178" s="53" t="s">
        <v>42</v>
      </c>
      <c r="C178" s="53" t="s">
        <v>43</v>
      </c>
      <c r="D178" s="53">
        <v>1</v>
      </c>
      <c r="E178" s="53">
        <v>20</v>
      </c>
      <c r="F178" s="80">
        <v>45909</v>
      </c>
      <c r="G178" s="81">
        <v>0.375</v>
      </c>
      <c r="H178" s="80">
        <v>45907</v>
      </c>
      <c r="I178" s="81">
        <v>0.58333333333333337</v>
      </c>
      <c r="J178" s="53">
        <f t="shared" si="5"/>
        <v>-10</v>
      </c>
      <c r="K178" s="53">
        <v>1</v>
      </c>
      <c r="L178" s="53">
        <v>30</v>
      </c>
      <c r="M178" s="79" t="s">
        <v>267</v>
      </c>
    </row>
    <row r="179" spans="1:13" ht="25.5" x14ac:dyDescent="0.2">
      <c r="A179" s="79" t="s">
        <v>268</v>
      </c>
      <c r="B179" s="53" t="s">
        <v>36</v>
      </c>
      <c r="C179" s="53" t="s">
        <v>37</v>
      </c>
      <c r="D179" s="53">
        <v>1</v>
      </c>
      <c r="E179" s="53">
        <v>20</v>
      </c>
      <c r="F179" s="80">
        <v>45909</v>
      </c>
      <c r="G179" s="81">
        <v>0.375</v>
      </c>
      <c r="H179" s="80">
        <v>45907</v>
      </c>
      <c r="I179" s="81">
        <v>0.58333333333333337</v>
      </c>
      <c r="J179" s="53">
        <f t="shared" si="5"/>
        <v>-10</v>
      </c>
      <c r="K179" s="53">
        <v>1</v>
      </c>
      <c r="L179" s="53">
        <v>30</v>
      </c>
      <c r="M179" s="79" t="s">
        <v>269</v>
      </c>
    </row>
    <row r="180" spans="1:13" ht="25.5" x14ac:dyDescent="0.2">
      <c r="A180" s="79" t="s">
        <v>268</v>
      </c>
      <c r="B180" s="53" t="s">
        <v>42</v>
      </c>
      <c r="C180" s="53" t="s">
        <v>43</v>
      </c>
      <c r="D180" s="53">
        <v>1</v>
      </c>
      <c r="E180" s="53">
        <v>20</v>
      </c>
      <c r="F180" s="80">
        <v>45909</v>
      </c>
      <c r="G180" s="81">
        <v>0.375</v>
      </c>
      <c r="H180" s="80">
        <v>45907</v>
      </c>
      <c r="I180" s="81">
        <v>0.58333333333333337</v>
      </c>
      <c r="J180" s="53">
        <f t="shared" si="5"/>
        <v>0</v>
      </c>
      <c r="K180" s="53">
        <v>1</v>
      </c>
      <c r="L180" s="53">
        <v>20</v>
      </c>
      <c r="M180" s="79" t="s">
        <v>269</v>
      </c>
    </row>
    <row r="181" spans="1:13" ht="25.5" x14ac:dyDescent="0.2">
      <c r="A181" s="79" t="s">
        <v>270</v>
      </c>
      <c r="B181" s="53" t="s">
        <v>36</v>
      </c>
      <c r="C181" s="53" t="s">
        <v>37</v>
      </c>
      <c r="D181" s="53">
        <v>1</v>
      </c>
      <c r="E181" s="53">
        <v>20</v>
      </c>
      <c r="F181" s="80">
        <v>45909</v>
      </c>
      <c r="G181" s="81">
        <v>0.375</v>
      </c>
      <c r="H181" s="80">
        <v>45907</v>
      </c>
      <c r="I181" s="81">
        <v>0.58333333333333337</v>
      </c>
      <c r="J181" s="53">
        <f t="shared" si="5"/>
        <v>1</v>
      </c>
      <c r="K181" s="53">
        <v>2</v>
      </c>
      <c r="L181" s="53">
        <v>19</v>
      </c>
      <c r="M181" s="79" t="s">
        <v>273</v>
      </c>
    </row>
    <row r="182" spans="1:13" ht="25.5" x14ac:dyDescent="0.2">
      <c r="A182" s="79" t="s">
        <v>271</v>
      </c>
      <c r="B182" s="53" t="s">
        <v>42</v>
      </c>
      <c r="C182" s="53" t="s">
        <v>43</v>
      </c>
      <c r="D182" s="53">
        <v>1</v>
      </c>
      <c r="E182" s="53">
        <v>20</v>
      </c>
      <c r="F182" s="80">
        <v>45909</v>
      </c>
      <c r="G182" s="81">
        <v>0.375</v>
      </c>
      <c r="H182" s="80">
        <v>45907</v>
      </c>
      <c r="I182" s="81">
        <v>0.58333333333333337</v>
      </c>
      <c r="J182" s="53">
        <f t="shared" si="5"/>
        <v>0</v>
      </c>
      <c r="K182" s="53">
        <v>2</v>
      </c>
      <c r="L182" s="53">
        <v>20</v>
      </c>
      <c r="M182" s="79" t="s">
        <v>273</v>
      </c>
    </row>
    <row r="183" spans="1:13" ht="38.25" x14ac:dyDescent="0.2">
      <c r="A183" s="79" t="s">
        <v>272</v>
      </c>
      <c r="B183" s="53" t="s">
        <v>36</v>
      </c>
      <c r="C183" s="53" t="s">
        <v>37</v>
      </c>
      <c r="D183" s="53">
        <v>1</v>
      </c>
      <c r="E183" s="53">
        <v>15</v>
      </c>
      <c r="F183" s="80">
        <v>45909</v>
      </c>
      <c r="G183" s="81">
        <v>0.375</v>
      </c>
      <c r="H183" s="80">
        <v>45907</v>
      </c>
      <c r="I183" s="81">
        <v>0.58333333333333337</v>
      </c>
      <c r="J183" s="53">
        <f t="shared" si="5"/>
        <v>5</v>
      </c>
      <c r="K183" s="53">
        <v>1</v>
      </c>
      <c r="L183" s="53">
        <v>10</v>
      </c>
      <c r="M183" s="79" t="s">
        <v>274</v>
      </c>
    </row>
    <row r="184" spans="1:13" ht="38.25" x14ac:dyDescent="0.2">
      <c r="A184" s="79" t="s">
        <v>272</v>
      </c>
      <c r="B184" s="53" t="s">
        <v>42</v>
      </c>
      <c r="C184" s="53" t="s">
        <v>43</v>
      </c>
      <c r="D184" s="53">
        <v>1</v>
      </c>
      <c r="E184" s="53">
        <v>15</v>
      </c>
      <c r="F184" s="80">
        <v>45909</v>
      </c>
      <c r="G184" s="81">
        <v>0.375</v>
      </c>
      <c r="H184" s="80">
        <v>45907</v>
      </c>
      <c r="I184" s="81">
        <v>0.58333333333333337</v>
      </c>
      <c r="J184" s="53">
        <f t="shared" si="5"/>
        <v>5</v>
      </c>
      <c r="K184" s="53">
        <v>1</v>
      </c>
      <c r="L184" s="53">
        <v>10</v>
      </c>
      <c r="M184" s="79" t="s">
        <v>274</v>
      </c>
    </row>
    <row r="185" spans="1:13" ht="38.25" x14ac:dyDescent="0.2">
      <c r="A185" s="79" t="s">
        <v>275</v>
      </c>
      <c r="B185" s="53" t="s">
        <v>36</v>
      </c>
      <c r="C185" s="53" t="s">
        <v>37</v>
      </c>
      <c r="D185" s="53">
        <v>1</v>
      </c>
      <c r="E185" s="53">
        <v>20</v>
      </c>
      <c r="F185" s="80">
        <v>45909</v>
      </c>
      <c r="G185" s="81">
        <v>0.375</v>
      </c>
      <c r="H185" s="80">
        <v>45907</v>
      </c>
      <c r="I185" s="81">
        <v>0.58333333333333337</v>
      </c>
      <c r="J185" s="53">
        <f t="shared" si="5"/>
        <v>10</v>
      </c>
      <c r="K185" s="53">
        <v>1</v>
      </c>
      <c r="L185" s="53">
        <v>10</v>
      </c>
      <c r="M185" s="79" t="s">
        <v>276</v>
      </c>
    </row>
    <row r="186" spans="1:13" ht="38.25" x14ac:dyDescent="0.2">
      <c r="A186" s="79" t="s">
        <v>275</v>
      </c>
      <c r="B186" s="53" t="s">
        <v>42</v>
      </c>
      <c r="C186" s="53" t="s">
        <v>43</v>
      </c>
      <c r="D186" s="53">
        <v>1</v>
      </c>
      <c r="E186" s="53">
        <v>20</v>
      </c>
      <c r="F186" s="80">
        <v>45909</v>
      </c>
      <c r="G186" s="81">
        <v>0.375</v>
      </c>
      <c r="H186" s="80">
        <v>45907</v>
      </c>
      <c r="I186" s="81">
        <v>0.58333333333333337</v>
      </c>
      <c r="J186" s="53">
        <f t="shared" si="5"/>
        <v>10</v>
      </c>
      <c r="K186" s="53">
        <v>1</v>
      </c>
      <c r="L186" s="53">
        <v>10</v>
      </c>
      <c r="M186" s="79" t="s">
        <v>276</v>
      </c>
    </row>
    <row r="187" spans="1:13" ht="38.25" x14ac:dyDescent="0.2">
      <c r="A187" s="79" t="s">
        <v>277</v>
      </c>
      <c r="B187" s="53" t="s">
        <v>21</v>
      </c>
      <c r="C187" s="53" t="s">
        <v>22</v>
      </c>
      <c r="D187" s="53">
        <v>1</v>
      </c>
      <c r="E187" s="53">
        <v>55</v>
      </c>
      <c r="F187" s="80">
        <v>45909</v>
      </c>
      <c r="G187" s="81">
        <v>0.375</v>
      </c>
      <c r="H187" s="80">
        <v>45906</v>
      </c>
      <c r="I187" s="81">
        <v>0.35416666666666669</v>
      </c>
      <c r="J187" s="53">
        <f t="shared" si="5"/>
        <v>-5</v>
      </c>
      <c r="K187" s="53">
        <v>2</v>
      </c>
      <c r="L187" s="53">
        <v>60</v>
      </c>
      <c r="M187" s="79" t="s">
        <v>278</v>
      </c>
    </row>
    <row r="188" spans="1:13" ht="38.25" x14ac:dyDescent="0.2">
      <c r="A188" s="79" t="s">
        <v>277</v>
      </c>
      <c r="B188" s="53" t="s">
        <v>136</v>
      </c>
      <c r="C188" s="53" t="s">
        <v>34</v>
      </c>
      <c r="D188" s="53">
        <v>1</v>
      </c>
      <c r="E188" s="53">
        <v>55</v>
      </c>
      <c r="F188" s="80">
        <v>45909</v>
      </c>
      <c r="G188" s="81">
        <v>0.375</v>
      </c>
      <c r="H188" s="80">
        <v>45906</v>
      </c>
      <c r="I188" s="81">
        <v>0.39583333333333298</v>
      </c>
      <c r="J188" s="53">
        <f t="shared" si="5"/>
        <v>-5</v>
      </c>
      <c r="K188" s="53">
        <v>1</v>
      </c>
      <c r="L188" s="53">
        <v>60</v>
      </c>
      <c r="M188" s="79" t="s">
        <v>278</v>
      </c>
    </row>
    <row r="189" spans="1:13" ht="38.25" x14ac:dyDescent="0.2">
      <c r="A189" s="79" t="s">
        <v>279</v>
      </c>
      <c r="B189" s="53" t="s">
        <v>21</v>
      </c>
      <c r="C189" s="53" t="s">
        <v>22</v>
      </c>
      <c r="D189" s="53">
        <v>1</v>
      </c>
      <c r="E189" s="53">
        <v>60</v>
      </c>
      <c r="F189" s="80">
        <v>45909</v>
      </c>
      <c r="G189" s="81">
        <v>0.375</v>
      </c>
      <c r="H189" s="80">
        <v>45906</v>
      </c>
      <c r="I189" s="81">
        <v>0.4375</v>
      </c>
      <c r="J189" s="53">
        <f t="shared" si="5"/>
        <v>0</v>
      </c>
      <c r="K189" s="53">
        <v>3</v>
      </c>
      <c r="L189" s="53">
        <v>60</v>
      </c>
      <c r="M189" s="79" t="s">
        <v>280</v>
      </c>
    </row>
    <row r="190" spans="1:13" ht="38.25" x14ac:dyDescent="0.2">
      <c r="A190" s="79" t="s">
        <v>279</v>
      </c>
      <c r="B190" s="53" t="s">
        <v>136</v>
      </c>
      <c r="C190" s="53" t="s">
        <v>34</v>
      </c>
      <c r="D190" s="53">
        <v>1</v>
      </c>
      <c r="E190" s="53">
        <v>60</v>
      </c>
      <c r="F190" s="80">
        <v>45909</v>
      </c>
      <c r="G190" s="81">
        <v>0.375</v>
      </c>
      <c r="H190" s="80">
        <v>45906</v>
      </c>
      <c r="I190" s="81">
        <v>0.47916666666666702</v>
      </c>
      <c r="J190" s="53">
        <f t="shared" si="5"/>
        <v>0</v>
      </c>
      <c r="K190" s="53">
        <v>1</v>
      </c>
      <c r="L190" s="53">
        <v>60</v>
      </c>
      <c r="M190" s="79" t="s">
        <v>280</v>
      </c>
    </row>
    <row r="191" spans="1:13" ht="25.5" x14ac:dyDescent="0.2">
      <c r="A191" s="79" t="s">
        <v>281</v>
      </c>
      <c r="B191" s="53" t="s">
        <v>21</v>
      </c>
      <c r="C191" s="53" t="s">
        <v>22</v>
      </c>
      <c r="D191" s="53">
        <v>1</v>
      </c>
      <c r="E191" s="53">
        <v>30</v>
      </c>
      <c r="F191" s="80">
        <v>45909</v>
      </c>
      <c r="G191" s="81">
        <v>0.375</v>
      </c>
      <c r="H191" s="80">
        <v>45906</v>
      </c>
      <c r="I191" s="81">
        <v>0.5</v>
      </c>
      <c r="J191" s="53">
        <f t="shared" si="5"/>
        <v>0</v>
      </c>
      <c r="K191" s="53">
        <v>1</v>
      </c>
      <c r="L191" s="53">
        <v>30</v>
      </c>
      <c r="M191" s="79" t="s">
        <v>282</v>
      </c>
    </row>
    <row r="192" spans="1:13" ht="25.5" x14ac:dyDescent="0.2">
      <c r="A192" s="79" t="s">
        <v>281</v>
      </c>
      <c r="B192" s="53" t="s">
        <v>136</v>
      </c>
      <c r="C192" s="53" t="s">
        <v>34</v>
      </c>
      <c r="D192" s="53">
        <v>1</v>
      </c>
      <c r="E192" s="53">
        <v>30</v>
      </c>
      <c r="F192" s="80">
        <v>45909</v>
      </c>
      <c r="G192" s="81">
        <v>0.375</v>
      </c>
      <c r="H192" s="80">
        <v>45906</v>
      </c>
      <c r="I192" s="81">
        <v>0.52083333333333337</v>
      </c>
      <c r="J192" s="53">
        <f t="shared" si="5"/>
        <v>2</v>
      </c>
      <c r="K192" s="53">
        <v>1</v>
      </c>
      <c r="L192" s="53">
        <v>28</v>
      </c>
      <c r="M192" s="79" t="s">
        <v>282</v>
      </c>
    </row>
    <row r="193" spans="1:13" ht="38.25" x14ac:dyDescent="0.2">
      <c r="A193" s="79" t="s">
        <v>283</v>
      </c>
      <c r="B193" s="53" t="s">
        <v>21</v>
      </c>
      <c r="C193" s="53" t="s">
        <v>22</v>
      </c>
      <c r="D193" s="53">
        <v>1</v>
      </c>
      <c r="E193" s="53">
        <v>30</v>
      </c>
      <c r="F193" s="80">
        <v>45909</v>
      </c>
      <c r="G193" s="81">
        <v>0.375</v>
      </c>
      <c r="H193" s="80">
        <v>45906</v>
      </c>
      <c r="I193" s="81">
        <v>0.54166666666666663</v>
      </c>
      <c r="J193" s="53">
        <f t="shared" si="5"/>
        <v>0</v>
      </c>
      <c r="K193" s="53">
        <v>1</v>
      </c>
      <c r="L193" s="53">
        <v>30</v>
      </c>
      <c r="M193" s="79" t="s">
        <v>284</v>
      </c>
    </row>
    <row r="194" spans="1:13" ht="38.25" x14ac:dyDescent="0.2">
      <c r="A194" s="79" t="s">
        <v>283</v>
      </c>
      <c r="B194" s="53" t="s">
        <v>136</v>
      </c>
      <c r="C194" s="53" t="s">
        <v>34</v>
      </c>
      <c r="D194" s="53">
        <v>1</v>
      </c>
      <c r="E194" s="53">
        <v>30</v>
      </c>
      <c r="F194" s="80">
        <v>45909</v>
      </c>
      <c r="G194" s="81">
        <v>0.375</v>
      </c>
      <c r="H194" s="80">
        <v>45906</v>
      </c>
      <c r="I194" s="81">
        <v>0.5625</v>
      </c>
      <c r="J194" s="53">
        <f t="shared" si="5"/>
        <v>1</v>
      </c>
      <c r="K194" s="53">
        <v>1</v>
      </c>
      <c r="L194" s="53">
        <v>29</v>
      </c>
      <c r="M194" s="79" t="s">
        <v>284</v>
      </c>
    </row>
    <row r="195" spans="1:13" ht="38.25" x14ac:dyDescent="0.2">
      <c r="A195" s="79" t="s">
        <v>285</v>
      </c>
      <c r="B195" s="53" t="s">
        <v>21</v>
      </c>
      <c r="C195" s="53" t="s">
        <v>22</v>
      </c>
      <c r="D195" s="53">
        <v>1</v>
      </c>
      <c r="E195" s="53">
        <v>30</v>
      </c>
      <c r="F195" s="80">
        <v>45909</v>
      </c>
      <c r="G195" s="81">
        <v>0.375</v>
      </c>
      <c r="H195" s="80">
        <v>45906</v>
      </c>
      <c r="I195" s="81">
        <v>0.58333333333333337</v>
      </c>
      <c r="J195" s="53">
        <f t="shared" si="5"/>
        <v>0</v>
      </c>
      <c r="K195" s="53">
        <v>1</v>
      </c>
      <c r="L195" s="53">
        <v>30</v>
      </c>
      <c r="M195" s="79" t="s">
        <v>286</v>
      </c>
    </row>
    <row r="196" spans="1:13" ht="38.25" x14ac:dyDescent="0.2">
      <c r="A196" s="79" t="s">
        <v>285</v>
      </c>
      <c r="B196" s="53" t="s">
        <v>136</v>
      </c>
      <c r="C196" s="53" t="s">
        <v>34</v>
      </c>
      <c r="D196" s="53">
        <v>1</v>
      </c>
      <c r="E196" s="53">
        <v>30</v>
      </c>
      <c r="F196" s="80">
        <v>45909</v>
      </c>
      <c r="G196" s="81">
        <v>0.375</v>
      </c>
      <c r="H196" s="80">
        <v>45906</v>
      </c>
      <c r="I196" s="81">
        <v>0.58333333333333337</v>
      </c>
      <c r="J196" s="53">
        <f t="shared" si="5"/>
        <v>0</v>
      </c>
      <c r="K196" s="53">
        <v>1</v>
      </c>
      <c r="L196" s="53">
        <v>30</v>
      </c>
      <c r="M196" s="79" t="s">
        <v>286</v>
      </c>
    </row>
    <row r="197" spans="1:13" ht="25.5" x14ac:dyDescent="0.2">
      <c r="A197" s="79" t="s">
        <v>287</v>
      </c>
      <c r="B197" s="53" t="s">
        <v>21</v>
      </c>
      <c r="C197" s="53" t="s">
        <v>22</v>
      </c>
      <c r="D197" s="53">
        <v>1</v>
      </c>
      <c r="E197" s="53">
        <v>30</v>
      </c>
      <c r="F197" s="80">
        <v>45909</v>
      </c>
      <c r="G197" s="81">
        <v>0.375</v>
      </c>
      <c r="H197" s="80">
        <v>45906</v>
      </c>
      <c r="I197" s="81">
        <v>0.60416666666666663</v>
      </c>
      <c r="J197" s="53">
        <f t="shared" si="5"/>
        <v>0</v>
      </c>
      <c r="K197" s="53">
        <v>1</v>
      </c>
      <c r="L197" s="53">
        <v>30</v>
      </c>
      <c r="M197" s="79" t="s">
        <v>288</v>
      </c>
    </row>
    <row r="198" spans="1:13" ht="25.5" x14ac:dyDescent="0.2">
      <c r="A198" s="79" t="s">
        <v>287</v>
      </c>
      <c r="B198" s="53" t="s">
        <v>136</v>
      </c>
      <c r="C198" s="53" t="s">
        <v>34</v>
      </c>
      <c r="D198" s="53">
        <v>1</v>
      </c>
      <c r="E198" s="53">
        <v>30</v>
      </c>
      <c r="F198" s="80">
        <v>45909</v>
      </c>
      <c r="G198" s="81">
        <v>0.375</v>
      </c>
      <c r="H198" s="80">
        <v>45906</v>
      </c>
      <c r="I198" s="81">
        <v>0.60416666666666663</v>
      </c>
      <c r="J198" s="53">
        <f t="shared" si="5"/>
        <v>5</v>
      </c>
      <c r="K198" s="53">
        <v>1</v>
      </c>
      <c r="L198" s="53">
        <v>25</v>
      </c>
      <c r="M198" s="79" t="s">
        <v>288</v>
      </c>
    </row>
    <row r="199" spans="1:13" ht="38.25" x14ac:dyDescent="0.2">
      <c r="A199" s="79" t="s">
        <v>289</v>
      </c>
      <c r="B199" s="53" t="s">
        <v>21</v>
      </c>
      <c r="C199" s="53" t="s">
        <v>22</v>
      </c>
      <c r="D199" s="53">
        <v>1</v>
      </c>
      <c r="E199" s="53">
        <v>30</v>
      </c>
      <c r="F199" s="80">
        <v>45909</v>
      </c>
      <c r="G199" s="81">
        <v>0.375</v>
      </c>
      <c r="H199" s="80">
        <v>45906</v>
      </c>
      <c r="I199" s="81">
        <v>0.625</v>
      </c>
      <c r="J199" s="53">
        <f t="shared" si="5"/>
        <v>5</v>
      </c>
      <c r="K199" s="53">
        <v>1</v>
      </c>
      <c r="L199" s="53">
        <v>25</v>
      </c>
      <c r="M199" s="79" t="s">
        <v>290</v>
      </c>
    </row>
    <row r="200" spans="1:13" ht="38.25" x14ac:dyDescent="0.2">
      <c r="A200" s="53" t="s">
        <v>289</v>
      </c>
      <c r="B200" s="53" t="s">
        <v>136</v>
      </c>
      <c r="C200" s="53" t="s">
        <v>34</v>
      </c>
      <c r="D200" s="53">
        <v>1</v>
      </c>
      <c r="E200" s="53">
        <v>30</v>
      </c>
      <c r="F200" s="80">
        <v>45909</v>
      </c>
      <c r="G200" s="81">
        <v>0.375</v>
      </c>
      <c r="H200" s="80">
        <v>45906</v>
      </c>
      <c r="I200" s="81">
        <v>0.625</v>
      </c>
      <c r="J200" s="53">
        <f t="shared" si="5"/>
        <v>0</v>
      </c>
      <c r="K200" s="53">
        <v>1</v>
      </c>
      <c r="L200" s="53">
        <v>30</v>
      </c>
      <c r="M200" s="79" t="s">
        <v>290</v>
      </c>
    </row>
    <row r="201" spans="1:13" ht="38.25" x14ac:dyDescent="0.2">
      <c r="A201" s="79" t="s">
        <v>291</v>
      </c>
      <c r="B201" s="53" t="s">
        <v>21</v>
      </c>
      <c r="C201" s="53" t="s">
        <v>22</v>
      </c>
      <c r="D201" s="53">
        <v>1</v>
      </c>
      <c r="E201" s="53">
        <v>30</v>
      </c>
      <c r="F201" s="80">
        <v>45909</v>
      </c>
      <c r="G201" s="81">
        <v>0.375</v>
      </c>
      <c r="H201" s="80">
        <v>45906</v>
      </c>
      <c r="I201" s="81">
        <v>0.64583333333333337</v>
      </c>
      <c r="J201" s="53">
        <f t="shared" si="5"/>
        <v>0</v>
      </c>
      <c r="K201" s="53">
        <v>1</v>
      </c>
      <c r="L201" s="53">
        <v>30</v>
      </c>
      <c r="M201" s="79" t="s">
        <v>292</v>
      </c>
    </row>
    <row r="202" spans="1:13" ht="38.25" x14ac:dyDescent="0.2">
      <c r="A202" s="79" t="s">
        <v>291</v>
      </c>
      <c r="B202" s="53" t="s">
        <v>136</v>
      </c>
      <c r="C202" s="53" t="s">
        <v>34</v>
      </c>
      <c r="D202" s="53">
        <v>1</v>
      </c>
      <c r="E202" s="53">
        <v>30</v>
      </c>
      <c r="F202" s="80">
        <v>45909</v>
      </c>
      <c r="G202" s="81">
        <v>0.375</v>
      </c>
      <c r="H202" s="80">
        <v>45906</v>
      </c>
      <c r="I202" s="81">
        <v>0.64583333333333337</v>
      </c>
      <c r="J202" s="53">
        <f t="shared" si="5"/>
        <v>0</v>
      </c>
      <c r="K202" s="53">
        <v>1</v>
      </c>
      <c r="L202" s="53">
        <v>30</v>
      </c>
      <c r="M202" s="79" t="s">
        <v>292</v>
      </c>
    </row>
    <row r="203" spans="1:13" ht="25.5" x14ac:dyDescent="0.2">
      <c r="A203" s="79" t="s">
        <v>293</v>
      </c>
      <c r="B203" s="53" t="s">
        <v>21</v>
      </c>
      <c r="C203" s="53" t="s">
        <v>22</v>
      </c>
      <c r="D203" s="53">
        <v>2</v>
      </c>
      <c r="E203" s="53">
        <v>60</v>
      </c>
      <c r="F203" s="80">
        <v>45909</v>
      </c>
      <c r="G203" s="81">
        <v>0.375</v>
      </c>
      <c r="H203" s="80">
        <v>45906</v>
      </c>
      <c r="I203" s="81">
        <v>0.66666666666666663</v>
      </c>
      <c r="J203" s="53">
        <f t="shared" si="5"/>
        <v>35</v>
      </c>
      <c r="K203" s="53">
        <v>1</v>
      </c>
      <c r="L203" s="53">
        <v>25</v>
      </c>
      <c r="M203" s="79" t="s">
        <v>294</v>
      </c>
    </row>
    <row r="204" spans="1:13" ht="25.5" x14ac:dyDescent="0.2">
      <c r="A204" s="79" t="s">
        <v>293</v>
      </c>
      <c r="B204" s="53" t="s">
        <v>136</v>
      </c>
      <c r="C204" s="53" t="s">
        <v>34</v>
      </c>
      <c r="D204" s="53">
        <v>2</v>
      </c>
      <c r="E204" s="53">
        <v>60</v>
      </c>
      <c r="F204" s="80">
        <v>45909</v>
      </c>
      <c r="G204" s="81">
        <v>0.375</v>
      </c>
      <c r="H204" s="80">
        <v>45906</v>
      </c>
      <c r="I204" s="81">
        <v>0.66666666666666663</v>
      </c>
      <c r="J204" s="53">
        <f t="shared" si="5"/>
        <v>35</v>
      </c>
      <c r="K204" s="53">
        <v>1</v>
      </c>
      <c r="L204" s="53">
        <v>25</v>
      </c>
      <c r="M204" s="79" t="s">
        <v>294</v>
      </c>
    </row>
    <row r="205" spans="1:13" ht="25.5" x14ac:dyDescent="0.2">
      <c r="A205" s="79" t="s">
        <v>295</v>
      </c>
      <c r="B205" s="53" t="s">
        <v>21</v>
      </c>
      <c r="C205" s="53" t="s">
        <v>22</v>
      </c>
      <c r="D205" s="53">
        <v>2</v>
      </c>
      <c r="E205" s="53">
        <v>60</v>
      </c>
      <c r="F205" s="80">
        <v>45909</v>
      </c>
      <c r="G205" s="81">
        <v>0.375</v>
      </c>
      <c r="H205" s="80">
        <v>45906</v>
      </c>
      <c r="I205" s="81">
        <v>0.70833333333333337</v>
      </c>
      <c r="J205" s="53">
        <f t="shared" si="5"/>
        <v>38</v>
      </c>
      <c r="K205" s="53">
        <v>1</v>
      </c>
      <c r="L205" s="53">
        <v>22</v>
      </c>
      <c r="M205" s="79" t="s">
        <v>296</v>
      </c>
    </row>
    <row r="206" spans="1:13" ht="25.5" x14ac:dyDescent="0.2">
      <c r="A206" s="79" t="s">
        <v>295</v>
      </c>
      <c r="B206" s="53" t="s">
        <v>136</v>
      </c>
      <c r="C206" s="53" t="s">
        <v>34</v>
      </c>
      <c r="D206" s="53">
        <v>2</v>
      </c>
      <c r="E206" s="53">
        <v>60</v>
      </c>
      <c r="F206" s="80">
        <v>45909</v>
      </c>
      <c r="G206" s="81">
        <v>0.375</v>
      </c>
      <c r="H206" s="80">
        <v>45906</v>
      </c>
      <c r="I206" s="81">
        <v>0.75</v>
      </c>
      <c r="J206" s="53">
        <f t="shared" si="5"/>
        <v>38</v>
      </c>
      <c r="K206" s="53">
        <v>2</v>
      </c>
      <c r="L206" s="53">
        <v>22</v>
      </c>
      <c r="M206" s="79" t="s">
        <v>296</v>
      </c>
    </row>
    <row r="207" spans="1:13" ht="25.5" x14ac:dyDescent="0.2">
      <c r="A207" s="79" t="s">
        <v>297</v>
      </c>
      <c r="B207" s="53" t="s">
        <v>21</v>
      </c>
      <c r="C207" s="53" t="s">
        <v>22</v>
      </c>
      <c r="D207" s="53">
        <v>2</v>
      </c>
      <c r="E207" s="53">
        <v>60</v>
      </c>
      <c r="F207" s="80">
        <v>45909</v>
      </c>
      <c r="G207" s="81">
        <v>0.375</v>
      </c>
      <c r="H207" s="80">
        <v>45906</v>
      </c>
      <c r="I207" s="81">
        <v>0.79166666666666696</v>
      </c>
      <c r="J207" s="53">
        <f t="shared" si="5"/>
        <v>39</v>
      </c>
      <c r="K207" s="53">
        <v>2</v>
      </c>
      <c r="L207" s="53">
        <v>21</v>
      </c>
      <c r="M207" s="79" t="s">
        <v>298</v>
      </c>
    </row>
    <row r="208" spans="1:13" ht="25.5" x14ac:dyDescent="0.2">
      <c r="A208" s="79" t="s">
        <v>297</v>
      </c>
      <c r="B208" s="53" t="s">
        <v>136</v>
      </c>
      <c r="C208" s="53" t="s">
        <v>34</v>
      </c>
      <c r="D208" s="53">
        <v>2</v>
      </c>
      <c r="E208" s="53">
        <v>60</v>
      </c>
      <c r="F208" s="80">
        <v>45909</v>
      </c>
      <c r="G208" s="81">
        <v>0.375</v>
      </c>
      <c r="H208" s="80">
        <v>45906</v>
      </c>
      <c r="I208" s="81">
        <v>0.83333333333333304</v>
      </c>
      <c r="J208" s="53">
        <f t="shared" si="5"/>
        <v>39</v>
      </c>
      <c r="K208" s="53">
        <v>2</v>
      </c>
      <c r="L208" s="53">
        <v>21</v>
      </c>
      <c r="M208" s="79" t="s">
        <v>298</v>
      </c>
    </row>
    <row r="209" spans="1:13" ht="38.25" x14ac:dyDescent="0.2">
      <c r="A209" s="79" t="s">
        <v>299</v>
      </c>
      <c r="B209" s="53" t="s">
        <v>30</v>
      </c>
      <c r="C209" s="53" t="s">
        <v>31</v>
      </c>
      <c r="D209" s="53">
        <v>1</v>
      </c>
      <c r="E209" s="53">
        <v>30</v>
      </c>
      <c r="F209" s="80">
        <v>45909</v>
      </c>
      <c r="G209" s="81">
        <v>0.375</v>
      </c>
      <c r="H209" s="80">
        <v>45907</v>
      </c>
      <c r="I209" s="81">
        <v>0.5</v>
      </c>
      <c r="J209" s="53">
        <f t="shared" si="5"/>
        <v>0</v>
      </c>
      <c r="K209" s="53">
        <v>2</v>
      </c>
      <c r="L209" s="53">
        <v>30</v>
      </c>
      <c r="M209" s="79" t="s">
        <v>300</v>
      </c>
    </row>
    <row r="210" spans="1:13" ht="38.25" x14ac:dyDescent="0.2">
      <c r="A210" s="53" t="s">
        <v>299</v>
      </c>
      <c r="B210" s="53" t="s">
        <v>39</v>
      </c>
      <c r="C210" s="53" t="s">
        <v>40</v>
      </c>
      <c r="D210" s="53">
        <v>1</v>
      </c>
      <c r="E210" s="53">
        <v>30</v>
      </c>
      <c r="F210" s="80">
        <v>45909</v>
      </c>
      <c r="G210" s="81">
        <v>0.375</v>
      </c>
      <c r="H210" s="80">
        <v>45907</v>
      </c>
      <c r="I210" s="81">
        <v>0.52083333333333337</v>
      </c>
      <c r="J210" s="53">
        <f t="shared" si="5"/>
        <v>0</v>
      </c>
      <c r="K210" s="53">
        <v>2</v>
      </c>
      <c r="L210" s="53">
        <v>30</v>
      </c>
      <c r="M210" s="79" t="s">
        <v>300</v>
      </c>
    </row>
    <row r="211" spans="1:13" ht="25.5" x14ac:dyDescent="0.2">
      <c r="A211" s="79" t="s">
        <v>301</v>
      </c>
      <c r="B211" s="53" t="s">
        <v>30</v>
      </c>
      <c r="C211" s="53" t="s">
        <v>31</v>
      </c>
      <c r="D211" s="53">
        <v>1</v>
      </c>
      <c r="E211" s="53">
        <v>30</v>
      </c>
      <c r="F211" s="80">
        <v>45909</v>
      </c>
      <c r="G211" s="81">
        <v>0.375</v>
      </c>
      <c r="H211" s="80">
        <v>45907</v>
      </c>
      <c r="I211" s="81">
        <v>0.54166666666666663</v>
      </c>
      <c r="J211" s="53">
        <f t="shared" si="5"/>
        <v>0</v>
      </c>
      <c r="K211" s="53">
        <v>2</v>
      </c>
      <c r="L211" s="53">
        <v>30</v>
      </c>
      <c r="M211" s="79" t="s">
        <v>302</v>
      </c>
    </row>
    <row r="212" spans="1:13" ht="25.5" x14ac:dyDescent="0.2">
      <c r="A212" s="79" t="s">
        <v>301</v>
      </c>
      <c r="B212" s="53" t="s">
        <v>39</v>
      </c>
      <c r="C212" s="53" t="s">
        <v>40</v>
      </c>
      <c r="D212" s="53">
        <v>1</v>
      </c>
      <c r="E212" s="53">
        <v>30</v>
      </c>
      <c r="F212" s="80">
        <v>45909</v>
      </c>
      <c r="G212" s="81">
        <v>0.375</v>
      </c>
      <c r="H212" s="80">
        <v>45907</v>
      </c>
      <c r="I212" s="81">
        <v>0.5625</v>
      </c>
      <c r="J212" s="53">
        <f t="shared" si="5"/>
        <v>0</v>
      </c>
      <c r="K212" s="53">
        <v>1</v>
      </c>
      <c r="L212" s="53">
        <v>30</v>
      </c>
      <c r="M212" s="79" t="s">
        <v>302</v>
      </c>
    </row>
    <row r="213" spans="1:13" ht="25.5" x14ac:dyDescent="0.2">
      <c r="A213" s="79" t="s">
        <v>303</v>
      </c>
      <c r="B213" s="53" t="s">
        <v>30</v>
      </c>
      <c r="C213" s="53" t="s">
        <v>31</v>
      </c>
      <c r="D213" s="53">
        <v>1</v>
      </c>
      <c r="E213" s="53">
        <v>30</v>
      </c>
      <c r="F213" s="80">
        <v>45909</v>
      </c>
      <c r="G213" s="81">
        <v>0.375</v>
      </c>
      <c r="H213" s="80">
        <v>45907</v>
      </c>
      <c r="I213" s="81">
        <v>0.58333333333333337</v>
      </c>
      <c r="J213" s="53">
        <f t="shared" si="5"/>
        <v>-5</v>
      </c>
      <c r="K213" s="53">
        <v>1</v>
      </c>
      <c r="L213" s="53">
        <v>35</v>
      </c>
      <c r="M213" s="79" t="s">
        <v>304</v>
      </c>
    </row>
    <row r="214" spans="1:13" ht="25.5" x14ac:dyDescent="0.2">
      <c r="A214" s="79" t="s">
        <v>303</v>
      </c>
      <c r="B214" s="53" t="s">
        <v>39</v>
      </c>
      <c r="C214" s="53" t="s">
        <v>40</v>
      </c>
      <c r="D214" s="53">
        <v>1</v>
      </c>
      <c r="E214" s="53">
        <v>30</v>
      </c>
      <c r="F214" s="80">
        <v>45909</v>
      </c>
      <c r="G214" s="81">
        <v>0.375</v>
      </c>
      <c r="H214" s="80">
        <v>45907</v>
      </c>
      <c r="I214" s="81">
        <v>0.60416666666666663</v>
      </c>
      <c r="J214" s="53">
        <f t="shared" si="5"/>
        <v>6</v>
      </c>
      <c r="K214" s="53">
        <v>1</v>
      </c>
      <c r="L214" s="53">
        <v>24</v>
      </c>
      <c r="M214" s="79" t="s">
        <v>304</v>
      </c>
    </row>
    <row r="215" spans="1:13" ht="25.5" x14ac:dyDescent="0.2">
      <c r="A215" s="79" t="s">
        <v>305</v>
      </c>
      <c r="B215" s="53" t="s">
        <v>30</v>
      </c>
      <c r="C215" s="53" t="s">
        <v>31</v>
      </c>
      <c r="D215" s="53">
        <v>2</v>
      </c>
      <c r="E215" s="53">
        <v>20</v>
      </c>
      <c r="F215" s="80">
        <v>45909</v>
      </c>
      <c r="G215" s="81">
        <v>0.375</v>
      </c>
      <c r="H215" s="80">
        <v>45907</v>
      </c>
      <c r="I215" s="81">
        <v>0.625</v>
      </c>
      <c r="J215" s="53">
        <f t="shared" si="5"/>
        <v>0</v>
      </c>
      <c r="K215" s="53">
        <v>1</v>
      </c>
      <c r="L215" s="53">
        <v>20</v>
      </c>
      <c r="M215" s="53" t="s">
        <v>306</v>
      </c>
    </row>
    <row r="216" spans="1:13" ht="25.5" x14ac:dyDescent="0.2">
      <c r="A216" s="79" t="s">
        <v>305</v>
      </c>
      <c r="B216" s="53" t="s">
        <v>39</v>
      </c>
      <c r="C216" s="53" t="s">
        <v>40</v>
      </c>
      <c r="D216" s="53">
        <v>2</v>
      </c>
      <c r="E216" s="53">
        <v>20</v>
      </c>
      <c r="F216" s="80">
        <v>45909</v>
      </c>
      <c r="G216" s="81">
        <v>0.375</v>
      </c>
      <c r="H216" s="80">
        <v>45907</v>
      </c>
      <c r="I216" s="81">
        <v>0.63888888888888884</v>
      </c>
      <c r="J216" s="53">
        <f t="shared" si="5"/>
        <v>0</v>
      </c>
      <c r="K216" s="53">
        <v>1</v>
      </c>
      <c r="L216" s="53">
        <v>20</v>
      </c>
      <c r="M216" t="s">
        <v>306</v>
      </c>
    </row>
    <row r="217" spans="1:13" ht="25.5" x14ac:dyDescent="0.2">
      <c r="A217" s="79" t="s">
        <v>308</v>
      </c>
      <c r="B217" s="53" t="s">
        <v>30</v>
      </c>
      <c r="C217" s="53" t="s">
        <v>31</v>
      </c>
      <c r="D217" s="53">
        <v>1</v>
      </c>
      <c r="E217" s="53">
        <v>20</v>
      </c>
      <c r="F217" s="80">
        <v>45909</v>
      </c>
      <c r="G217" s="81">
        <v>0.375</v>
      </c>
      <c r="H217" s="80">
        <v>45907</v>
      </c>
      <c r="I217" s="81">
        <v>0.65277777777777779</v>
      </c>
      <c r="J217" s="53">
        <f t="shared" si="5"/>
        <v>0</v>
      </c>
      <c r="K217" s="53">
        <v>1</v>
      </c>
      <c r="L217" s="53">
        <v>20</v>
      </c>
      <c r="M217" s="79" t="s">
        <v>307</v>
      </c>
    </row>
    <row r="218" spans="1:13" ht="25.5" x14ac:dyDescent="0.2">
      <c r="A218" s="79" t="s">
        <v>308</v>
      </c>
      <c r="B218" s="53" t="s">
        <v>39</v>
      </c>
      <c r="C218" s="53" t="s">
        <v>40</v>
      </c>
      <c r="D218" s="53">
        <v>1</v>
      </c>
      <c r="E218" s="53">
        <v>20</v>
      </c>
      <c r="F218" s="80">
        <v>45909</v>
      </c>
      <c r="G218" s="81">
        <v>0.375</v>
      </c>
      <c r="H218" s="80">
        <v>45907</v>
      </c>
      <c r="I218" s="81">
        <v>0.66666666666666663</v>
      </c>
      <c r="J218" s="53">
        <f t="shared" si="5"/>
        <v>-5</v>
      </c>
      <c r="K218" s="53">
        <v>1</v>
      </c>
      <c r="L218" s="53">
        <v>25</v>
      </c>
      <c r="M218" s="79" t="s">
        <v>307</v>
      </c>
    </row>
    <row r="219" spans="1:13" ht="25.5" x14ac:dyDescent="0.2">
      <c r="A219" s="79" t="s">
        <v>309</v>
      </c>
      <c r="B219" s="53" t="s">
        <v>30</v>
      </c>
      <c r="C219" s="53" t="s">
        <v>31</v>
      </c>
      <c r="D219" s="53">
        <v>1</v>
      </c>
      <c r="E219" s="53">
        <v>20</v>
      </c>
      <c r="F219" s="80">
        <v>45909</v>
      </c>
      <c r="G219" s="81">
        <v>0.375</v>
      </c>
      <c r="H219" s="80">
        <v>45907</v>
      </c>
      <c r="I219" s="81">
        <v>0.68055555555555558</v>
      </c>
      <c r="J219" s="53">
        <f t="shared" si="5"/>
        <v>-5</v>
      </c>
      <c r="K219" s="53">
        <v>1</v>
      </c>
      <c r="L219" s="53">
        <v>25</v>
      </c>
      <c r="M219" s="79" t="s">
        <v>310</v>
      </c>
    </row>
    <row r="220" spans="1:13" ht="25.5" x14ac:dyDescent="0.2">
      <c r="A220" s="79" t="s">
        <v>309</v>
      </c>
      <c r="B220" s="53" t="s">
        <v>39</v>
      </c>
      <c r="C220" s="53" t="s">
        <v>40</v>
      </c>
      <c r="D220" s="53">
        <v>1</v>
      </c>
      <c r="E220" s="53">
        <v>20</v>
      </c>
      <c r="F220" s="80">
        <v>45909</v>
      </c>
      <c r="G220" s="81">
        <v>0.375</v>
      </c>
      <c r="H220" s="80">
        <v>45907</v>
      </c>
      <c r="I220" s="81">
        <v>0.69444444444444442</v>
      </c>
      <c r="J220" s="53">
        <f t="shared" si="5"/>
        <v>5</v>
      </c>
      <c r="K220" s="53">
        <v>1</v>
      </c>
      <c r="L220" s="53">
        <v>15</v>
      </c>
      <c r="M220" s="79" t="s">
        <v>310</v>
      </c>
    </row>
    <row r="221" spans="1:13" x14ac:dyDescent="0.2">
      <c r="A221" s="79" t="s">
        <v>311</v>
      </c>
      <c r="B221" s="53" t="s">
        <v>30</v>
      </c>
      <c r="C221" s="53" t="s">
        <v>31</v>
      </c>
      <c r="D221" s="53">
        <v>1</v>
      </c>
      <c r="E221" s="53">
        <v>20</v>
      </c>
      <c r="F221" s="80">
        <v>45909</v>
      </c>
      <c r="G221" s="81">
        <v>0.375</v>
      </c>
      <c r="H221" s="80">
        <v>45907</v>
      </c>
      <c r="I221" s="81">
        <v>0.70833333333333337</v>
      </c>
      <c r="J221" s="53">
        <f t="shared" si="5"/>
        <v>10</v>
      </c>
      <c r="K221" s="53">
        <v>1</v>
      </c>
      <c r="L221" s="53">
        <v>10</v>
      </c>
      <c r="M221" s="53" t="s">
        <v>312</v>
      </c>
    </row>
    <row r="222" spans="1:13" x14ac:dyDescent="0.2">
      <c r="A222" s="79" t="s">
        <v>311</v>
      </c>
      <c r="B222" s="53" t="s">
        <v>39</v>
      </c>
      <c r="C222" s="53" t="s">
        <v>40</v>
      </c>
      <c r="D222" s="53">
        <v>1</v>
      </c>
      <c r="E222" s="53">
        <v>20</v>
      </c>
      <c r="F222" s="80">
        <v>45909</v>
      </c>
      <c r="G222" s="81">
        <v>0.375</v>
      </c>
      <c r="H222" s="80">
        <v>45907</v>
      </c>
      <c r="I222" s="81">
        <v>0.72222222222222221</v>
      </c>
      <c r="J222" s="53">
        <f t="shared" si="5"/>
        <v>10</v>
      </c>
      <c r="K222" s="53">
        <v>1</v>
      </c>
      <c r="L222" s="53">
        <v>10</v>
      </c>
      <c r="M222" s="53" t="s">
        <v>312</v>
      </c>
    </row>
    <row r="223" spans="1:13" ht="25.5" x14ac:dyDescent="0.2">
      <c r="A223" s="79" t="s">
        <v>313</v>
      </c>
      <c r="B223" s="53" t="s">
        <v>30</v>
      </c>
      <c r="C223" s="53" t="s">
        <v>31</v>
      </c>
      <c r="D223" s="53">
        <v>1</v>
      </c>
      <c r="E223" s="53">
        <v>20</v>
      </c>
      <c r="F223" s="80">
        <v>45909</v>
      </c>
      <c r="G223" s="81">
        <v>0.375</v>
      </c>
      <c r="H223" s="80">
        <v>45907</v>
      </c>
      <c r="I223" s="81">
        <v>0.73611111111111116</v>
      </c>
      <c r="J223" s="53">
        <f t="shared" si="5"/>
        <v>10</v>
      </c>
      <c r="K223" s="53">
        <v>1</v>
      </c>
      <c r="L223" s="53">
        <v>10</v>
      </c>
      <c r="M223" s="79" t="s">
        <v>314</v>
      </c>
    </row>
    <row r="224" spans="1:13" ht="25.5" x14ac:dyDescent="0.2">
      <c r="A224" s="79" t="s">
        <v>313</v>
      </c>
      <c r="B224" s="53" t="s">
        <v>39</v>
      </c>
      <c r="C224" s="53" t="s">
        <v>40</v>
      </c>
      <c r="D224" s="53">
        <v>1</v>
      </c>
      <c r="E224" s="53">
        <v>20</v>
      </c>
      <c r="F224" s="80">
        <v>45909</v>
      </c>
      <c r="G224" s="81">
        <v>0.375</v>
      </c>
      <c r="H224" s="80">
        <v>45907</v>
      </c>
      <c r="I224" s="81">
        <v>0.75</v>
      </c>
      <c r="J224" s="53">
        <f t="shared" si="5"/>
        <v>5</v>
      </c>
      <c r="K224" s="53">
        <v>1</v>
      </c>
      <c r="L224" s="53">
        <v>15</v>
      </c>
      <c r="M224" s="79" t="s">
        <v>314</v>
      </c>
    </row>
    <row r="225" spans="1:13" ht="25.5" x14ac:dyDescent="0.2">
      <c r="A225" s="79" t="s">
        <v>315</v>
      </c>
      <c r="B225" s="53" t="s">
        <v>30</v>
      </c>
      <c r="C225" s="53" t="s">
        <v>31</v>
      </c>
      <c r="D225" s="53">
        <v>1</v>
      </c>
      <c r="E225" s="53">
        <v>10</v>
      </c>
      <c r="F225" s="80">
        <v>45909</v>
      </c>
      <c r="G225" s="81">
        <v>0.375</v>
      </c>
      <c r="H225" s="80">
        <v>45907</v>
      </c>
      <c r="I225" s="81">
        <v>0.75694444444444442</v>
      </c>
      <c r="J225" s="53">
        <f t="shared" si="5"/>
        <v>0</v>
      </c>
      <c r="K225" s="53">
        <v>1</v>
      </c>
      <c r="L225" s="53">
        <v>10</v>
      </c>
      <c r="M225" s="79" t="s">
        <v>316</v>
      </c>
    </row>
    <row r="226" spans="1:13" ht="25.5" x14ac:dyDescent="0.2">
      <c r="A226" s="79" t="s">
        <v>315</v>
      </c>
      <c r="B226" s="53" t="s">
        <v>39</v>
      </c>
      <c r="C226" s="53" t="s">
        <v>40</v>
      </c>
      <c r="D226" s="53">
        <v>1</v>
      </c>
      <c r="E226" s="53">
        <v>10</v>
      </c>
      <c r="F226" s="80">
        <v>45909</v>
      </c>
      <c r="G226" s="81">
        <v>0.375</v>
      </c>
      <c r="H226" s="80">
        <v>45907</v>
      </c>
      <c r="I226" s="81">
        <v>0.76388888888888884</v>
      </c>
      <c r="J226" s="53">
        <f t="shared" si="5"/>
        <v>0</v>
      </c>
      <c r="K226" s="53">
        <v>1</v>
      </c>
      <c r="L226" s="53">
        <v>10</v>
      </c>
      <c r="M226" s="79" t="s">
        <v>316</v>
      </c>
    </row>
    <row r="227" spans="1:13" ht="24" x14ac:dyDescent="0.2">
      <c r="A227" s="92" t="s">
        <v>123</v>
      </c>
      <c r="B227" s="85" t="s">
        <v>36</v>
      </c>
      <c r="C227" s="85" t="s">
        <v>37</v>
      </c>
      <c r="D227" s="49">
        <v>1</v>
      </c>
      <c r="E227" s="49">
        <v>20</v>
      </c>
      <c r="F227" s="85">
        <v>45909</v>
      </c>
      <c r="G227" s="86">
        <v>0.375</v>
      </c>
      <c r="H227" s="85">
        <v>45907</v>
      </c>
      <c r="I227" s="86">
        <v>0.80555555555555558</v>
      </c>
      <c r="J227" s="87">
        <f t="shared" si="5"/>
        <v>0</v>
      </c>
      <c r="K227" s="8">
        <v>1</v>
      </c>
      <c r="L227" s="88">
        <v>20</v>
      </c>
      <c r="M227" s="93" t="s">
        <v>124</v>
      </c>
    </row>
    <row r="228" spans="1:13" ht="24" x14ac:dyDescent="0.2">
      <c r="A228" s="38" t="s">
        <v>123</v>
      </c>
      <c r="B228" s="85" t="s">
        <v>143</v>
      </c>
      <c r="C228" s="85" t="s">
        <v>43</v>
      </c>
      <c r="D228" s="49">
        <v>1</v>
      </c>
      <c r="E228" s="49">
        <v>20</v>
      </c>
      <c r="F228" s="85">
        <v>45909</v>
      </c>
      <c r="G228" s="86">
        <v>0.375</v>
      </c>
      <c r="H228" s="85">
        <v>45907</v>
      </c>
      <c r="I228" s="86">
        <v>0.80555555555555558</v>
      </c>
      <c r="J228" s="87">
        <f t="shared" ref="J228:J249" si="6">E228-L228</f>
        <v>0</v>
      </c>
      <c r="K228" s="8">
        <v>1</v>
      </c>
      <c r="L228" s="88">
        <v>20</v>
      </c>
      <c r="M228" s="93" t="s">
        <v>124</v>
      </c>
    </row>
    <row r="229" spans="1:13" ht="25.5" x14ac:dyDescent="0.2">
      <c r="A229" s="13" t="s">
        <v>175</v>
      </c>
      <c r="B229" s="13" t="s">
        <v>36</v>
      </c>
      <c r="C229" s="13" t="s">
        <v>37</v>
      </c>
      <c r="D229" s="53">
        <v>1</v>
      </c>
      <c r="E229" s="53">
        <v>30</v>
      </c>
      <c r="F229" s="13">
        <v>45909</v>
      </c>
      <c r="G229" s="86">
        <v>0.375</v>
      </c>
      <c r="H229" s="13">
        <v>45907</v>
      </c>
      <c r="I229" s="12">
        <v>0.83333333333333337</v>
      </c>
      <c r="J229" s="53">
        <f t="shared" si="6"/>
        <v>6</v>
      </c>
      <c r="K229" s="50">
        <v>1</v>
      </c>
      <c r="L229" s="68">
        <v>24</v>
      </c>
      <c r="M229" s="52" t="s">
        <v>176</v>
      </c>
    </row>
    <row r="230" spans="1:13" ht="25.5" x14ac:dyDescent="0.2">
      <c r="A230" s="13" t="s">
        <v>177</v>
      </c>
      <c r="B230" s="13" t="s">
        <v>39</v>
      </c>
      <c r="C230" s="13" t="s">
        <v>40</v>
      </c>
      <c r="D230" s="53">
        <v>1</v>
      </c>
      <c r="E230" s="53">
        <v>30</v>
      </c>
      <c r="F230" s="13">
        <v>45909</v>
      </c>
      <c r="G230" s="86">
        <v>0.375</v>
      </c>
      <c r="H230" s="13">
        <v>45907</v>
      </c>
      <c r="I230" s="12">
        <v>0.83333333333333337</v>
      </c>
      <c r="J230" s="53">
        <f t="shared" si="6"/>
        <v>0</v>
      </c>
      <c r="K230" s="50">
        <v>1</v>
      </c>
      <c r="L230" s="68">
        <v>30</v>
      </c>
      <c r="M230" s="52" t="s">
        <v>178</v>
      </c>
    </row>
    <row r="231" spans="1:13" ht="38.25" x14ac:dyDescent="0.2">
      <c r="A231" s="61" t="s">
        <v>179</v>
      </c>
      <c r="B231" s="13" t="s">
        <v>39</v>
      </c>
      <c r="C231" s="13" t="s">
        <v>40</v>
      </c>
      <c r="D231" s="53">
        <v>5</v>
      </c>
      <c r="E231" s="53">
        <v>50</v>
      </c>
      <c r="F231" s="13">
        <v>45909</v>
      </c>
      <c r="G231" s="86">
        <v>0.375</v>
      </c>
      <c r="H231" s="13">
        <v>45907</v>
      </c>
      <c r="I231" s="12">
        <v>0.86805555555555558</v>
      </c>
      <c r="J231" s="53">
        <f t="shared" si="6"/>
        <v>5</v>
      </c>
      <c r="K231" s="50">
        <v>5</v>
      </c>
      <c r="L231" s="68">
        <v>45</v>
      </c>
      <c r="M231" s="52" t="s">
        <v>180</v>
      </c>
    </row>
    <row r="232" spans="1:13" ht="36" x14ac:dyDescent="0.2">
      <c r="A232" s="23" t="s">
        <v>146</v>
      </c>
      <c r="B232" s="85" t="s">
        <v>30</v>
      </c>
      <c r="C232" s="90" t="s">
        <v>207</v>
      </c>
      <c r="D232" s="84">
        <v>1</v>
      </c>
      <c r="E232" s="49">
        <v>60</v>
      </c>
      <c r="F232" s="85">
        <v>45909</v>
      </c>
      <c r="G232" s="86">
        <v>0.375</v>
      </c>
      <c r="H232" s="85">
        <v>45907</v>
      </c>
      <c r="I232" s="86">
        <v>0.91666666666666663</v>
      </c>
      <c r="J232" s="87">
        <f t="shared" si="6"/>
        <v>50</v>
      </c>
      <c r="K232" s="8">
        <v>1</v>
      </c>
      <c r="L232" s="88">
        <v>10</v>
      </c>
      <c r="M232" s="91" t="s">
        <v>149</v>
      </c>
    </row>
    <row r="233" spans="1:13" ht="36" x14ac:dyDescent="0.2">
      <c r="A233" s="23" t="s">
        <v>146</v>
      </c>
      <c r="B233" s="85" t="s">
        <v>42</v>
      </c>
      <c r="C233" s="85" t="s">
        <v>77</v>
      </c>
      <c r="D233" s="84">
        <v>1</v>
      </c>
      <c r="E233" s="49">
        <v>60</v>
      </c>
      <c r="F233" s="85">
        <v>45909</v>
      </c>
      <c r="G233" s="86">
        <v>0.375</v>
      </c>
      <c r="H233" s="85">
        <v>45907</v>
      </c>
      <c r="I233" s="86">
        <v>0.91666666666666663</v>
      </c>
      <c r="J233" s="87">
        <f t="shared" si="6"/>
        <v>50</v>
      </c>
      <c r="K233" s="8">
        <v>1</v>
      </c>
      <c r="L233" s="88">
        <v>10</v>
      </c>
      <c r="M233" s="91" t="s">
        <v>149</v>
      </c>
    </row>
    <row r="234" spans="1:13" ht="36" x14ac:dyDescent="0.2">
      <c r="A234" s="23" t="s">
        <v>146</v>
      </c>
      <c r="B234" s="85" t="s">
        <v>21</v>
      </c>
      <c r="C234" s="85" t="s">
        <v>86</v>
      </c>
      <c r="D234" s="84">
        <v>1</v>
      </c>
      <c r="E234" s="49">
        <v>60</v>
      </c>
      <c r="F234" s="85">
        <v>45909</v>
      </c>
      <c r="G234" s="86">
        <v>0.375</v>
      </c>
      <c r="H234" s="85">
        <v>45907</v>
      </c>
      <c r="I234" s="86">
        <v>0.91666666666666663</v>
      </c>
      <c r="J234" s="87">
        <f t="shared" si="6"/>
        <v>50</v>
      </c>
      <c r="K234" s="8">
        <v>1</v>
      </c>
      <c r="L234" s="88">
        <v>10</v>
      </c>
      <c r="M234" s="91" t="s">
        <v>149</v>
      </c>
    </row>
    <row r="235" spans="1:13" ht="36" x14ac:dyDescent="0.2">
      <c r="A235" s="23" t="s">
        <v>146</v>
      </c>
      <c r="B235" s="85" t="s">
        <v>136</v>
      </c>
      <c r="C235" s="85" t="s">
        <v>151</v>
      </c>
      <c r="D235" s="84">
        <v>1</v>
      </c>
      <c r="E235" s="49">
        <v>60</v>
      </c>
      <c r="F235" s="85">
        <v>45909</v>
      </c>
      <c r="G235" s="86">
        <v>0.375</v>
      </c>
      <c r="H235" s="85">
        <v>45907</v>
      </c>
      <c r="I235" s="86">
        <v>0.91666666666666663</v>
      </c>
      <c r="J235" s="87">
        <f t="shared" si="6"/>
        <v>50</v>
      </c>
      <c r="K235" s="8">
        <v>1</v>
      </c>
      <c r="L235" s="88">
        <v>10</v>
      </c>
      <c r="M235" s="91" t="s">
        <v>149</v>
      </c>
    </row>
    <row r="236" spans="1:13" ht="36" x14ac:dyDescent="0.2">
      <c r="A236" s="23" t="s">
        <v>146</v>
      </c>
      <c r="B236" s="85" t="s">
        <v>36</v>
      </c>
      <c r="C236" s="85" t="s">
        <v>80</v>
      </c>
      <c r="D236" s="84">
        <v>1</v>
      </c>
      <c r="E236" s="49">
        <v>60</v>
      </c>
      <c r="F236" s="85">
        <v>45909</v>
      </c>
      <c r="G236" s="86">
        <v>0.375</v>
      </c>
      <c r="H236" s="85">
        <v>45907</v>
      </c>
      <c r="I236" s="86">
        <v>0.91666666666666663</v>
      </c>
      <c r="J236" s="87">
        <f t="shared" si="6"/>
        <v>50</v>
      </c>
      <c r="K236" s="8">
        <v>1</v>
      </c>
      <c r="L236" s="88">
        <v>10</v>
      </c>
      <c r="M236" s="91" t="s">
        <v>149</v>
      </c>
    </row>
    <row r="237" spans="1:13" ht="36" x14ac:dyDescent="0.2">
      <c r="A237" s="23" t="s">
        <v>146</v>
      </c>
      <c r="B237" s="85" t="s">
        <v>39</v>
      </c>
      <c r="C237" s="85" t="s">
        <v>150</v>
      </c>
      <c r="D237" s="84">
        <v>1</v>
      </c>
      <c r="E237" s="49">
        <v>60</v>
      </c>
      <c r="F237" s="85">
        <v>45909</v>
      </c>
      <c r="G237" s="86">
        <v>0.375</v>
      </c>
      <c r="H237" s="85">
        <v>45907</v>
      </c>
      <c r="I237" s="86">
        <v>0.91666666666666663</v>
      </c>
      <c r="J237" s="87">
        <f t="shared" si="6"/>
        <v>50</v>
      </c>
      <c r="K237" s="8">
        <v>1</v>
      </c>
      <c r="L237" s="88">
        <v>10</v>
      </c>
      <c r="M237" s="91" t="s">
        <v>149</v>
      </c>
    </row>
    <row r="238" spans="1:13" x14ac:dyDescent="0.2">
      <c r="A238" s="23" t="s">
        <v>52</v>
      </c>
      <c r="B238" s="89" t="s">
        <v>21</v>
      </c>
      <c r="C238" s="90" t="s">
        <v>22</v>
      </c>
      <c r="D238" s="84">
        <v>1</v>
      </c>
      <c r="E238" s="49">
        <v>30</v>
      </c>
      <c r="F238" s="85">
        <v>45909</v>
      </c>
      <c r="G238" s="86">
        <v>0.375</v>
      </c>
      <c r="H238" s="85">
        <v>45907</v>
      </c>
      <c r="I238" s="86">
        <v>0.91666666666666663</v>
      </c>
      <c r="J238" s="87">
        <f t="shared" si="6"/>
        <v>0</v>
      </c>
      <c r="K238" s="8">
        <v>1</v>
      </c>
      <c r="L238" s="88">
        <v>30</v>
      </c>
      <c r="M238" s="91" t="s">
        <v>53</v>
      </c>
    </row>
    <row r="239" spans="1:13" x14ac:dyDescent="0.2">
      <c r="A239" s="23" t="s">
        <v>153</v>
      </c>
      <c r="B239" s="89" t="s">
        <v>36</v>
      </c>
      <c r="C239" s="90" t="s">
        <v>37</v>
      </c>
      <c r="D239" s="84">
        <v>1</v>
      </c>
      <c r="E239" s="5">
        <v>30</v>
      </c>
      <c r="F239" s="85">
        <v>45909</v>
      </c>
      <c r="G239" s="86">
        <v>0.375</v>
      </c>
      <c r="H239" s="85">
        <v>45907</v>
      </c>
      <c r="I239" s="86">
        <v>0.91666666666666663</v>
      </c>
      <c r="J239" s="87">
        <f t="shared" si="6"/>
        <v>0</v>
      </c>
      <c r="K239" s="8">
        <v>1</v>
      </c>
      <c r="L239" s="88">
        <v>30</v>
      </c>
      <c r="M239" s="91" t="s">
        <v>53</v>
      </c>
    </row>
    <row r="240" spans="1:13" ht="24" x14ac:dyDescent="0.2">
      <c r="A240" s="23" t="s">
        <v>79</v>
      </c>
      <c r="B240" s="85" t="s">
        <v>36</v>
      </c>
      <c r="C240" s="90" t="s">
        <v>37</v>
      </c>
      <c r="D240" s="84">
        <v>1</v>
      </c>
      <c r="E240" s="49">
        <v>45</v>
      </c>
      <c r="F240" s="85">
        <v>45909</v>
      </c>
      <c r="G240" s="86">
        <v>0.375</v>
      </c>
      <c r="H240" s="85">
        <v>45907</v>
      </c>
      <c r="I240" s="86">
        <v>0.9375</v>
      </c>
      <c r="J240" s="87">
        <f t="shared" si="6"/>
        <v>-35</v>
      </c>
      <c r="K240" s="8">
        <v>1</v>
      </c>
      <c r="L240" s="88">
        <v>80</v>
      </c>
      <c r="M240" s="91" t="s">
        <v>81</v>
      </c>
    </row>
    <row r="241" spans="1:13" x14ac:dyDescent="0.2">
      <c r="A241" s="23" t="s">
        <v>85</v>
      </c>
      <c r="B241" s="85" t="s">
        <v>21</v>
      </c>
      <c r="C241" s="90" t="s">
        <v>22</v>
      </c>
      <c r="D241" s="84">
        <v>1</v>
      </c>
      <c r="E241" s="49">
        <v>60</v>
      </c>
      <c r="F241" s="85">
        <v>45909</v>
      </c>
      <c r="G241" s="86">
        <v>0.375</v>
      </c>
      <c r="H241" s="85">
        <v>45907</v>
      </c>
      <c r="I241" s="86">
        <v>0.9375</v>
      </c>
      <c r="J241" s="87">
        <f t="shared" si="6"/>
        <v>10</v>
      </c>
      <c r="K241" s="8">
        <v>1</v>
      </c>
      <c r="L241" s="88">
        <v>50</v>
      </c>
      <c r="M241" s="91" t="s">
        <v>87</v>
      </c>
    </row>
    <row r="242" spans="1:13" x14ac:dyDescent="0.2">
      <c r="A242" s="23" t="s">
        <v>88</v>
      </c>
      <c r="B242" s="85" t="s">
        <v>21</v>
      </c>
      <c r="C242" s="85" t="s">
        <v>22</v>
      </c>
      <c r="D242" s="84">
        <v>1</v>
      </c>
      <c r="E242" s="49">
        <v>55</v>
      </c>
      <c r="F242" s="85">
        <v>45909</v>
      </c>
      <c r="G242" s="86">
        <v>0.375</v>
      </c>
      <c r="H242" s="85">
        <v>45907</v>
      </c>
      <c r="I242" s="86">
        <v>0.9375</v>
      </c>
      <c r="J242" s="87">
        <f t="shared" si="6"/>
        <v>0</v>
      </c>
      <c r="K242" s="8">
        <v>1</v>
      </c>
      <c r="L242" s="88">
        <v>55</v>
      </c>
      <c r="M242" s="91" t="s">
        <v>89</v>
      </c>
    </row>
    <row r="243" spans="1:13" ht="24" x14ac:dyDescent="0.2">
      <c r="A243" s="33" t="s">
        <v>131</v>
      </c>
      <c r="B243" s="85" t="s">
        <v>36</v>
      </c>
      <c r="C243" s="85" t="s">
        <v>37</v>
      </c>
      <c r="D243" s="49">
        <v>1</v>
      </c>
      <c r="E243" s="49">
        <v>30</v>
      </c>
      <c r="F243" s="85">
        <v>45909</v>
      </c>
      <c r="G243" s="86">
        <v>0.375</v>
      </c>
      <c r="H243" s="85">
        <v>45907</v>
      </c>
      <c r="I243" s="86">
        <v>0.9375</v>
      </c>
      <c r="J243" s="87">
        <f t="shared" si="6"/>
        <v>-2</v>
      </c>
      <c r="K243" s="8">
        <v>1</v>
      </c>
      <c r="L243" s="88">
        <v>32</v>
      </c>
      <c r="M243" s="91" t="s">
        <v>132</v>
      </c>
    </row>
    <row r="244" spans="1:13" ht="24" x14ac:dyDescent="0.2">
      <c r="A244" s="33" t="s">
        <v>131</v>
      </c>
      <c r="B244" s="85" t="s">
        <v>42</v>
      </c>
      <c r="C244" s="85" t="s">
        <v>43</v>
      </c>
      <c r="D244" s="49">
        <v>1</v>
      </c>
      <c r="E244" s="49">
        <v>30</v>
      </c>
      <c r="F244" s="85">
        <v>45909</v>
      </c>
      <c r="G244" s="86">
        <v>0.375</v>
      </c>
      <c r="H244" s="85">
        <v>45907</v>
      </c>
      <c r="I244" s="86">
        <v>0.9375</v>
      </c>
      <c r="J244" s="87">
        <f t="shared" si="6"/>
        <v>-2</v>
      </c>
      <c r="K244" s="8">
        <v>1</v>
      </c>
      <c r="L244" s="88">
        <v>32</v>
      </c>
      <c r="M244" s="91" t="s">
        <v>132</v>
      </c>
    </row>
    <row r="245" spans="1:13" ht="24" x14ac:dyDescent="0.2">
      <c r="A245" s="33" t="s">
        <v>131</v>
      </c>
      <c r="B245" s="85" t="s">
        <v>30</v>
      </c>
      <c r="C245" s="85" t="s">
        <v>31</v>
      </c>
      <c r="D245" s="49">
        <v>1</v>
      </c>
      <c r="E245" s="49">
        <v>30</v>
      </c>
      <c r="F245" s="85">
        <v>45909</v>
      </c>
      <c r="G245" s="86">
        <v>0.375</v>
      </c>
      <c r="H245" s="85">
        <v>45907</v>
      </c>
      <c r="I245" s="86">
        <v>0.9375</v>
      </c>
      <c r="J245" s="87">
        <f t="shared" si="6"/>
        <v>-2</v>
      </c>
      <c r="K245" s="8">
        <v>1</v>
      </c>
      <c r="L245" s="88">
        <v>32</v>
      </c>
      <c r="M245" s="91" t="s">
        <v>132</v>
      </c>
    </row>
    <row r="246" spans="1:13" ht="24" x14ac:dyDescent="0.2">
      <c r="A246" s="33" t="s">
        <v>131</v>
      </c>
      <c r="B246" s="85" t="s">
        <v>21</v>
      </c>
      <c r="C246" s="85" t="s">
        <v>22</v>
      </c>
      <c r="D246" s="49">
        <v>1</v>
      </c>
      <c r="E246" s="49">
        <v>30</v>
      </c>
      <c r="F246" s="85">
        <v>45909</v>
      </c>
      <c r="G246" s="86">
        <v>0.375</v>
      </c>
      <c r="H246" s="85">
        <v>45907</v>
      </c>
      <c r="I246" s="86">
        <v>0.9375</v>
      </c>
      <c r="J246" s="87">
        <f t="shared" si="6"/>
        <v>-2</v>
      </c>
      <c r="K246" s="8">
        <v>1</v>
      </c>
      <c r="L246" s="88">
        <v>32</v>
      </c>
      <c r="M246" s="91" t="s">
        <v>132</v>
      </c>
    </row>
    <row r="247" spans="1:13" ht="24" x14ac:dyDescent="0.2">
      <c r="A247" s="33" t="s">
        <v>131</v>
      </c>
      <c r="B247" s="85" t="s">
        <v>136</v>
      </c>
      <c r="C247" s="85" t="s">
        <v>34</v>
      </c>
      <c r="D247" s="49">
        <v>1</v>
      </c>
      <c r="E247" s="49">
        <v>30</v>
      </c>
      <c r="F247" s="85">
        <v>45909</v>
      </c>
      <c r="G247" s="86">
        <v>0.375</v>
      </c>
      <c r="H247" s="85">
        <v>45907</v>
      </c>
      <c r="I247" s="86">
        <v>0.9375</v>
      </c>
      <c r="J247" s="87">
        <f t="shared" si="6"/>
        <v>-2</v>
      </c>
      <c r="K247" s="8">
        <v>1</v>
      </c>
      <c r="L247" s="88">
        <v>32</v>
      </c>
      <c r="M247" s="91" t="s">
        <v>132</v>
      </c>
    </row>
    <row r="248" spans="1:13" ht="24" x14ac:dyDescent="0.2">
      <c r="A248" s="33" t="s">
        <v>131</v>
      </c>
      <c r="B248" s="85" t="s">
        <v>39</v>
      </c>
      <c r="C248" s="85" t="s">
        <v>40</v>
      </c>
      <c r="D248" s="49">
        <v>1</v>
      </c>
      <c r="E248" s="49">
        <v>30</v>
      </c>
      <c r="F248" s="85">
        <v>45909</v>
      </c>
      <c r="G248" s="86">
        <v>0.375</v>
      </c>
      <c r="H248" s="85">
        <v>45907</v>
      </c>
      <c r="I248" s="86">
        <v>0.9375</v>
      </c>
      <c r="J248" s="87">
        <f t="shared" si="6"/>
        <v>-2</v>
      </c>
      <c r="K248" s="8">
        <v>1</v>
      </c>
      <c r="L248" s="88">
        <v>32</v>
      </c>
      <c r="M248" s="91" t="s">
        <v>132</v>
      </c>
    </row>
    <row r="249" spans="1:13" ht="24" x14ac:dyDescent="0.2">
      <c r="A249" s="33" t="s">
        <v>133</v>
      </c>
      <c r="B249" s="85" t="s">
        <v>21</v>
      </c>
      <c r="C249" s="85" t="s">
        <v>22</v>
      </c>
      <c r="D249" s="49">
        <v>3</v>
      </c>
      <c r="E249" s="49">
        <v>20</v>
      </c>
      <c r="F249" s="85">
        <v>45909</v>
      </c>
      <c r="G249" s="86">
        <v>0.375</v>
      </c>
      <c r="H249" s="85">
        <v>45908</v>
      </c>
      <c r="I249" s="86">
        <v>0.375</v>
      </c>
      <c r="J249" s="87">
        <f t="shared" si="6"/>
        <v>5</v>
      </c>
      <c r="K249" s="8">
        <v>3</v>
      </c>
      <c r="L249" s="88">
        <v>15</v>
      </c>
      <c r="M249" s="91" t="s">
        <v>134</v>
      </c>
    </row>
    <row r="265" customFormat="1" x14ac:dyDescent="0.2"/>
    <row r="266" customFormat="1" x14ac:dyDescent="0.2"/>
    <row r="267" customFormat="1" x14ac:dyDescent="0.2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5"/>
  <sheetViews>
    <sheetView topLeftCell="A2" zoomScale="84" zoomScaleNormal="76" workbookViewId="0">
      <selection activeCell="F9" sqref="F9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26"/>
      <c r="B1" s="128" t="s">
        <v>0</v>
      </c>
      <c r="C1" s="128"/>
      <c r="D1" s="128"/>
      <c r="E1" s="128"/>
      <c r="F1" s="128"/>
      <c r="G1" s="128"/>
      <c r="H1" s="128"/>
      <c r="I1" s="128"/>
      <c r="J1" s="128"/>
      <c r="K1" s="128"/>
      <c r="L1" s="130"/>
      <c r="M1" s="131"/>
    </row>
    <row r="2" spans="1:20" ht="20.25" customHeight="1" x14ac:dyDescent="0.2">
      <c r="A2" s="127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32"/>
      <c r="M2" s="133"/>
    </row>
    <row r="3" spans="1:20" ht="12.75" customHeight="1" x14ac:dyDescent="0.2">
      <c r="A3" s="134" t="s">
        <v>1</v>
      </c>
      <c r="B3" s="136" t="s">
        <v>2</v>
      </c>
      <c r="C3" s="136"/>
      <c r="D3" s="136"/>
      <c r="E3" s="136"/>
      <c r="F3" s="136"/>
      <c r="G3" s="136"/>
      <c r="H3" s="136"/>
      <c r="I3" s="136"/>
      <c r="J3" s="136"/>
      <c r="K3" s="136"/>
      <c r="L3" s="138" t="s">
        <v>3</v>
      </c>
      <c r="M3" s="139"/>
    </row>
    <row r="4" spans="1:20" ht="13.5" thickBot="1" x14ac:dyDescent="0.25">
      <c r="A4" s="135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22" t="s">
        <v>6</v>
      </c>
      <c r="C6" s="122"/>
      <c r="D6" s="122"/>
      <c r="E6" s="122"/>
      <c r="F6" s="122"/>
      <c r="G6" s="122"/>
      <c r="H6" s="123" t="s">
        <v>7</v>
      </c>
      <c r="I6" s="124"/>
      <c r="J6" s="124"/>
      <c r="K6" s="124"/>
      <c r="L6" s="125"/>
      <c r="M6" s="25"/>
    </row>
    <row r="7" spans="1:20" s="14" customFormat="1" ht="49.5" customHeight="1" x14ac:dyDescent="0.2">
      <c r="A7" s="18" cm="1">
        <f t="array" aca="1" ref="A7" ca="1">+#REF!+A1:L7+A7:L49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23" t="s">
        <v>20</v>
      </c>
      <c r="B8" s="17" t="s">
        <v>21</v>
      </c>
      <c r="C8" s="17" t="s">
        <v>22</v>
      </c>
      <c r="D8" s="20">
        <v>1</v>
      </c>
      <c r="E8" s="20">
        <v>45</v>
      </c>
      <c r="F8" s="11">
        <v>45882</v>
      </c>
      <c r="G8" s="10">
        <v>0.375</v>
      </c>
      <c r="H8" s="11">
        <v>45877</v>
      </c>
      <c r="I8" s="10">
        <v>0.4375</v>
      </c>
      <c r="J8" s="9">
        <f t="shared" ref="J8:J20" si="0">E8-L8</f>
        <v>-15</v>
      </c>
      <c r="K8" s="8">
        <v>1</v>
      </c>
      <c r="L8" s="7">
        <v>60</v>
      </c>
      <c r="M8" s="6" t="s">
        <v>23</v>
      </c>
      <c r="Q8" s="20">
        <v>1</v>
      </c>
      <c r="R8" s="20">
        <v>45</v>
      </c>
      <c r="S8" s="8">
        <v>1</v>
      </c>
      <c r="T8" s="7">
        <v>60</v>
      </c>
    </row>
    <row r="9" spans="1:20" s="5" customFormat="1" ht="39" customHeight="1" x14ac:dyDescent="0.2">
      <c r="A9" s="23" t="s">
        <v>24</v>
      </c>
      <c r="B9" s="17" t="s">
        <v>21</v>
      </c>
      <c r="C9" s="17" t="s">
        <v>22</v>
      </c>
      <c r="D9" s="20">
        <v>1</v>
      </c>
      <c r="E9" s="20">
        <v>60</v>
      </c>
      <c r="F9" s="11">
        <v>45882</v>
      </c>
      <c r="G9" s="10">
        <v>0.375</v>
      </c>
      <c r="H9" s="11">
        <v>45877</v>
      </c>
      <c r="I9" s="10">
        <v>0.4375</v>
      </c>
      <c r="J9" s="9">
        <f>E9-L9</f>
        <v>0</v>
      </c>
      <c r="K9" s="8">
        <v>1</v>
      </c>
      <c r="L9" s="7">
        <v>60</v>
      </c>
      <c r="M9" s="6" t="s">
        <v>25</v>
      </c>
      <c r="Q9" s="20">
        <v>1</v>
      </c>
      <c r="R9" s="20">
        <v>60</v>
      </c>
      <c r="S9" s="8">
        <v>1</v>
      </c>
      <c r="T9" s="7">
        <v>60</v>
      </c>
    </row>
    <row r="10" spans="1:20" s="5" customFormat="1" ht="43.5" customHeight="1" x14ac:dyDescent="0.2">
      <c r="A10" s="23" t="s">
        <v>24</v>
      </c>
      <c r="B10" s="17" t="s">
        <v>135</v>
      </c>
      <c r="C10" s="17" t="s">
        <v>31</v>
      </c>
      <c r="D10" s="20">
        <v>1</v>
      </c>
      <c r="E10" s="20">
        <v>60</v>
      </c>
      <c r="F10" s="11">
        <v>45882</v>
      </c>
      <c r="G10" s="10">
        <v>0.375</v>
      </c>
      <c r="H10" s="11">
        <v>45877</v>
      </c>
      <c r="I10" s="10">
        <v>0.4375</v>
      </c>
      <c r="J10" s="9">
        <f>E10-L10</f>
        <v>0</v>
      </c>
      <c r="K10" s="8">
        <v>1</v>
      </c>
      <c r="L10" s="7">
        <v>60</v>
      </c>
      <c r="M10" s="6" t="s">
        <v>25</v>
      </c>
      <c r="Q10" s="20">
        <v>1</v>
      </c>
      <c r="R10" s="20">
        <v>60</v>
      </c>
      <c r="S10" s="8">
        <v>1</v>
      </c>
      <c r="T10" s="7">
        <v>60</v>
      </c>
    </row>
    <row r="11" spans="1:20" s="5" customFormat="1" ht="35.1" customHeight="1" x14ac:dyDescent="0.2">
      <c r="A11" s="23" t="s">
        <v>24</v>
      </c>
      <c r="B11" s="17" t="s">
        <v>136</v>
      </c>
      <c r="C11" s="17" t="s">
        <v>34</v>
      </c>
      <c r="D11" s="20">
        <v>1</v>
      </c>
      <c r="E11" s="20">
        <v>60</v>
      </c>
      <c r="F11" s="11">
        <v>45882</v>
      </c>
      <c r="G11" s="10">
        <v>0.375</v>
      </c>
      <c r="H11" s="11">
        <v>45877</v>
      </c>
      <c r="I11" s="10">
        <v>0.4375</v>
      </c>
      <c r="J11" s="9">
        <f>E11-L11</f>
        <v>0</v>
      </c>
      <c r="K11" s="8">
        <v>1</v>
      </c>
      <c r="L11" s="7">
        <v>60</v>
      </c>
      <c r="M11" s="6" t="s">
        <v>25</v>
      </c>
      <c r="Q11" s="20">
        <v>1</v>
      </c>
      <c r="R11" s="20">
        <v>60</v>
      </c>
      <c r="S11" s="8">
        <v>1</v>
      </c>
      <c r="T11" s="7">
        <v>60</v>
      </c>
    </row>
    <row r="12" spans="1:20" s="5" customFormat="1" ht="35.1" customHeight="1" x14ac:dyDescent="0.2">
      <c r="A12" s="23" t="s">
        <v>24</v>
      </c>
      <c r="B12" s="17" t="s">
        <v>137</v>
      </c>
      <c r="C12" s="17" t="s">
        <v>37</v>
      </c>
      <c r="D12" s="20">
        <v>1</v>
      </c>
      <c r="E12" s="20">
        <v>60</v>
      </c>
      <c r="F12" s="11">
        <v>45882</v>
      </c>
      <c r="G12" s="10">
        <v>0.375</v>
      </c>
      <c r="H12" s="11">
        <v>45877</v>
      </c>
      <c r="I12" s="10">
        <v>0.4375</v>
      </c>
      <c r="J12" s="9">
        <f>E12-L12</f>
        <v>0</v>
      </c>
      <c r="K12" s="8">
        <v>1</v>
      </c>
      <c r="L12" s="7">
        <v>60</v>
      </c>
      <c r="M12" s="6" t="s">
        <v>25</v>
      </c>
      <c r="Q12" s="20">
        <v>1</v>
      </c>
      <c r="R12" s="20">
        <v>60</v>
      </c>
      <c r="S12" s="8">
        <v>1</v>
      </c>
      <c r="T12" s="7">
        <v>60</v>
      </c>
    </row>
    <row r="13" spans="1:20" s="5" customFormat="1" ht="35.1" customHeight="1" x14ac:dyDescent="0.2">
      <c r="A13" s="23" t="s">
        <v>24</v>
      </c>
      <c r="B13" s="17" t="s">
        <v>42</v>
      </c>
      <c r="C13" s="17" t="s">
        <v>43</v>
      </c>
      <c r="D13" s="20">
        <v>1</v>
      </c>
      <c r="E13" s="20">
        <v>60</v>
      </c>
      <c r="F13" s="11">
        <v>45882</v>
      </c>
      <c r="G13" s="10">
        <v>0.375</v>
      </c>
      <c r="H13" s="11">
        <v>45877</v>
      </c>
      <c r="I13" s="10">
        <v>0.4375</v>
      </c>
      <c r="J13" s="9">
        <f>E13-L13</f>
        <v>0</v>
      </c>
      <c r="K13" s="8">
        <v>1</v>
      </c>
      <c r="L13" s="7">
        <v>60</v>
      </c>
      <c r="M13" s="6" t="s">
        <v>25</v>
      </c>
      <c r="Q13" s="20">
        <v>1</v>
      </c>
      <c r="R13" s="20">
        <v>60</v>
      </c>
      <c r="S13" s="8">
        <v>1</v>
      </c>
      <c r="T13" s="7">
        <v>60</v>
      </c>
    </row>
    <row r="14" spans="1:20" s="5" customFormat="1" ht="33.950000000000003" customHeight="1" x14ac:dyDescent="0.2">
      <c r="A14" s="23" t="s">
        <v>24</v>
      </c>
      <c r="B14" s="17" t="s">
        <v>138</v>
      </c>
      <c r="C14" s="17" t="s">
        <v>40</v>
      </c>
      <c r="D14" s="20">
        <v>1</v>
      </c>
      <c r="E14" s="20">
        <v>60</v>
      </c>
      <c r="F14" s="11">
        <v>45882</v>
      </c>
      <c r="G14" s="10">
        <v>0.375</v>
      </c>
      <c r="H14" s="11">
        <v>45877</v>
      </c>
      <c r="I14" s="10">
        <v>0.4375</v>
      </c>
      <c r="J14" s="9">
        <f t="shared" si="0"/>
        <v>0</v>
      </c>
      <c r="K14" s="8">
        <v>1</v>
      </c>
      <c r="L14" s="7">
        <v>60</v>
      </c>
      <c r="M14" s="6" t="s">
        <v>25</v>
      </c>
      <c r="Q14" s="20">
        <v>1</v>
      </c>
      <c r="R14" s="20">
        <v>60</v>
      </c>
      <c r="S14" s="8">
        <v>1</v>
      </c>
      <c r="T14" s="7">
        <v>60</v>
      </c>
    </row>
    <row r="15" spans="1:20" s="5" customFormat="1" ht="38.450000000000003" customHeight="1" x14ac:dyDescent="0.2">
      <c r="A15" s="23" t="s">
        <v>26</v>
      </c>
      <c r="B15" s="5" t="s">
        <v>27</v>
      </c>
      <c r="C15" s="8" t="s">
        <v>28</v>
      </c>
      <c r="D15" s="20">
        <v>1</v>
      </c>
      <c r="E15" s="28">
        <v>50</v>
      </c>
      <c r="F15" s="11">
        <v>45882</v>
      </c>
      <c r="G15" s="10">
        <v>0.375</v>
      </c>
      <c r="H15" s="11">
        <v>45877</v>
      </c>
      <c r="I15" s="10">
        <v>0.45833333333333331</v>
      </c>
      <c r="J15" s="9">
        <f t="shared" si="0"/>
        <v>-10</v>
      </c>
      <c r="K15" s="8">
        <v>1</v>
      </c>
      <c r="L15" s="7">
        <v>60</v>
      </c>
      <c r="M15" s="6" t="s">
        <v>29</v>
      </c>
      <c r="Q15" s="20">
        <v>1</v>
      </c>
      <c r="R15" s="28">
        <v>50</v>
      </c>
      <c r="S15" s="8">
        <v>1</v>
      </c>
      <c r="T15" s="7">
        <v>60</v>
      </c>
    </row>
    <row r="16" spans="1:20" s="5" customFormat="1" ht="30.95" customHeight="1" x14ac:dyDescent="0.2">
      <c r="A16" s="23" t="s">
        <v>26</v>
      </c>
      <c r="B16" s="21" t="s">
        <v>30</v>
      </c>
      <c r="C16" s="21" t="s">
        <v>31</v>
      </c>
      <c r="D16" s="20">
        <v>1</v>
      </c>
      <c r="E16" s="28">
        <v>50</v>
      </c>
      <c r="F16" s="11">
        <v>45882</v>
      </c>
      <c r="G16" s="10">
        <v>0.375</v>
      </c>
      <c r="H16" s="11">
        <v>45877</v>
      </c>
      <c r="I16" s="10">
        <v>0.45833333333333331</v>
      </c>
      <c r="J16" s="9">
        <f t="shared" si="0"/>
        <v>-10</v>
      </c>
      <c r="K16" s="8">
        <v>1</v>
      </c>
      <c r="L16" s="7">
        <v>60</v>
      </c>
      <c r="M16" s="6" t="s">
        <v>32</v>
      </c>
      <c r="Q16" s="20">
        <v>1</v>
      </c>
      <c r="R16" s="28">
        <v>50</v>
      </c>
      <c r="S16" s="8">
        <v>1</v>
      </c>
      <c r="T16" s="7">
        <v>60</v>
      </c>
    </row>
    <row r="17" spans="1:20" s="5" customFormat="1" ht="27" customHeight="1" x14ac:dyDescent="0.2">
      <c r="A17" s="23" t="s">
        <v>26</v>
      </c>
      <c r="B17" s="17" t="s">
        <v>33</v>
      </c>
      <c r="C17" s="17" t="s">
        <v>34</v>
      </c>
      <c r="D17" s="20">
        <v>1</v>
      </c>
      <c r="E17" s="28">
        <v>50</v>
      </c>
      <c r="F17" s="11">
        <v>45882</v>
      </c>
      <c r="G17" s="10">
        <v>0.375</v>
      </c>
      <c r="H17" s="11">
        <v>45877</v>
      </c>
      <c r="I17" s="10">
        <v>0.45833333333333331</v>
      </c>
      <c r="J17" s="9">
        <f t="shared" si="0"/>
        <v>-10</v>
      </c>
      <c r="K17" s="8">
        <v>1</v>
      </c>
      <c r="L17" s="7">
        <v>60</v>
      </c>
      <c r="M17" s="6" t="s">
        <v>35</v>
      </c>
      <c r="Q17" s="20">
        <v>1</v>
      </c>
      <c r="R17" s="28">
        <v>50</v>
      </c>
      <c r="S17" s="8">
        <v>1</v>
      </c>
      <c r="T17" s="7">
        <v>60</v>
      </c>
    </row>
    <row r="18" spans="1:20" s="5" customFormat="1" ht="27.6" customHeight="1" x14ac:dyDescent="0.2">
      <c r="A18" s="23" t="s">
        <v>26</v>
      </c>
      <c r="B18" s="17" t="s">
        <v>36</v>
      </c>
      <c r="C18" s="17" t="s">
        <v>37</v>
      </c>
      <c r="D18" s="20">
        <v>1</v>
      </c>
      <c r="E18" s="28">
        <v>50</v>
      </c>
      <c r="F18" s="11">
        <v>45882</v>
      </c>
      <c r="G18" s="10">
        <v>0.375</v>
      </c>
      <c r="H18" s="11">
        <v>45877</v>
      </c>
      <c r="I18" s="10">
        <v>0.45833333333333331</v>
      </c>
      <c r="J18" s="9">
        <f t="shared" si="0"/>
        <v>-10</v>
      </c>
      <c r="K18" s="8">
        <v>1</v>
      </c>
      <c r="L18" s="7">
        <v>60</v>
      </c>
      <c r="M18" s="6" t="s">
        <v>38</v>
      </c>
      <c r="Q18" s="20">
        <v>1</v>
      </c>
      <c r="R18" s="28">
        <v>50</v>
      </c>
      <c r="S18" s="8">
        <v>1</v>
      </c>
      <c r="T18" s="7">
        <v>60</v>
      </c>
    </row>
    <row r="19" spans="1:20" s="5" customFormat="1" ht="24" customHeight="1" x14ac:dyDescent="0.2">
      <c r="A19" s="23" t="s">
        <v>26</v>
      </c>
      <c r="B19" s="17" t="s">
        <v>39</v>
      </c>
      <c r="C19" s="17" t="s">
        <v>40</v>
      </c>
      <c r="D19" s="20">
        <v>1</v>
      </c>
      <c r="E19" s="28">
        <v>50</v>
      </c>
      <c r="F19" s="11">
        <v>45882</v>
      </c>
      <c r="G19" s="10">
        <v>0.375</v>
      </c>
      <c r="H19" s="11">
        <v>45877</v>
      </c>
      <c r="I19" s="10">
        <v>0.45833333333333331</v>
      </c>
      <c r="J19" s="9">
        <f t="shared" si="0"/>
        <v>-10</v>
      </c>
      <c r="K19" s="8">
        <v>1</v>
      </c>
      <c r="L19" s="7">
        <v>60</v>
      </c>
      <c r="M19" s="6" t="s">
        <v>41</v>
      </c>
      <c r="Q19" s="20">
        <v>1</v>
      </c>
      <c r="R19" s="28">
        <v>50</v>
      </c>
      <c r="S19" s="8">
        <v>1</v>
      </c>
      <c r="T19" s="7">
        <v>60</v>
      </c>
    </row>
    <row r="20" spans="1:20" s="5" customFormat="1" ht="29.45" customHeight="1" x14ac:dyDescent="0.2">
      <c r="A20" s="23" t="s">
        <v>26</v>
      </c>
      <c r="B20" s="17" t="s">
        <v>42</v>
      </c>
      <c r="C20" s="17" t="s">
        <v>43</v>
      </c>
      <c r="D20" s="20">
        <v>1</v>
      </c>
      <c r="E20" s="28">
        <v>50</v>
      </c>
      <c r="F20" s="11">
        <v>45882</v>
      </c>
      <c r="G20" s="10">
        <v>0.375</v>
      </c>
      <c r="H20" s="11">
        <v>45877</v>
      </c>
      <c r="I20" s="10">
        <v>0.45833333333333331</v>
      </c>
      <c r="J20" s="9">
        <f t="shared" si="0"/>
        <v>-10</v>
      </c>
      <c r="K20" s="8">
        <v>1</v>
      </c>
      <c r="L20" s="7">
        <v>60</v>
      </c>
      <c r="M20" s="6" t="s">
        <v>44</v>
      </c>
      <c r="Q20" s="20">
        <v>1</v>
      </c>
      <c r="R20" s="28">
        <v>50</v>
      </c>
      <c r="S20" s="8">
        <v>1</v>
      </c>
      <c r="T20" s="7">
        <v>60</v>
      </c>
    </row>
    <row r="21" spans="1:20" s="5" customFormat="1" ht="33.950000000000003" customHeight="1" x14ac:dyDescent="0.2">
      <c r="A21" s="23" t="s">
        <v>45</v>
      </c>
      <c r="B21" s="17" t="s">
        <v>21</v>
      </c>
      <c r="C21" s="17" t="s">
        <v>22</v>
      </c>
      <c r="D21" s="20">
        <v>1</v>
      </c>
      <c r="E21" s="28">
        <v>70</v>
      </c>
      <c r="F21" s="11">
        <v>45882</v>
      </c>
      <c r="G21" s="10">
        <v>0.375</v>
      </c>
      <c r="H21" s="11">
        <v>45877</v>
      </c>
      <c r="I21" s="10">
        <v>0.5</v>
      </c>
      <c r="J21" s="9">
        <f t="shared" ref="J21:J35" si="1">E21-L21</f>
        <v>10</v>
      </c>
      <c r="K21" s="8">
        <v>1</v>
      </c>
      <c r="L21" s="7">
        <v>60</v>
      </c>
      <c r="M21" s="6" t="s">
        <v>46</v>
      </c>
      <c r="Q21" s="20">
        <v>1</v>
      </c>
      <c r="R21" s="28">
        <v>70</v>
      </c>
      <c r="S21" s="8">
        <v>1</v>
      </c>
      <c r="T21" s="7">
        <v>60</v>
      </c>
    </row>
    <row r="22" spans="1:20" s="5" customFormat="1" ht="33.950000000000003" customHeight="1" x14ac:dyDescent="0.2">
      <c r="A22" s="23" t="s">
        <v>45</v>
      </c>
      <c r="B22" s="17" t="s">
        <v>30</v>
      </c>
      <c r="C22" s="17" t="s">
        <v>31</v>
      </c>
      <c r="D22" s="20">
        <v>1</v>
      </c>
      <c r="E22" s="28">
        <v>70</v>
      </c>
      <c r="F22" s="11">
        <v>45882</v>
      </c>
      <c r="G22" s="10">
        <v>0.375</v>
      </c>
      <c r="H22" s="11">
        <v>45877</v>
      </c>
      <c r="I22" s="10">
        <v>0.5</v>
      </c>
      <c r="J22" s="9">
        <f t="shared" si="1"/>
        <v>10</v>
      </c>
      <c r="K22" s="8">
        <v>1</v>
      </c>
      <c r="L22" s="7">
        <v>60</v>
      </c>
      <c r="M22" s="6" t="s">
        <v>47</v>
      </c>
      <c r="Q22" s="20">
        <v>1</v>
      </c>
      <c r="R22" s="28">
        <v>70</v>
      </c>
      <c r="S22" s="8">
        <v>1</v>
      </c>
      <c r="T22" s="7">
        <v>60</v>
      </c>
    </row>
    <row r="23" spans="1:20" s="5" customFormat="1" ht="28.5" customHeight="1" x14ac:dyDescent="0.2">
      <c r="A23" s="5" t="s">
        <v>45</v>
      </c>
      <c r="B23" s="21" t="s">
        <v>33</v>
      </c>
      <c r="C23" s="21" t="s">
        <v>34</v>
      </c>
      <c r="D23" s="20">
        <v>1</v>
      </c>
      <c r="E23" s="28">
        <v>70</v>
      </c>
      <c r="F23" s="11">
        <v>45882</v>
      </c>
      <c r="G23" s="10">
        <v>0.375</v>
      </c>
      <c r="H23" s="11">
        <v>45877</v>
      </c>
      <c r="I23" s="10">
        <v>0.5</v>
      </c>
      <c r="J23" s="9">
        <f t="shared" si="1"/>
        <v>10</v>
      </c>
      <c r="K23" s="8">
        <v>1</v>
      </c>
      <c r="L23" s="7">
        <v>60</v>
      </c>
      <c r="M23" s="6" t="s">
        <v>48</v>
      </c>
      <c r="Q23" s="20">
        <v>1</v>
      </c>
      <c r="R23" s="28">
        <v>70</v>
      </c>
      <c r="S23" s="8">
        <v>1</v>
      </c>
      <c r="T23" s="7">
        <v>60</v>
      </c>
    </row>
    <row r="24" spans="1:20" s="5" customFormat="1" ht="24.95" customHeight="1" x14ac:dyDescent="0.2">
      <c r="A24" s="23" t="s">
        <v>45</v>
      </c>
      <c r="B24" s="17" t="s">
        <v>36</v>
      </c>
      <c r="C24" s="17" t="s">
        <v>37</v>
      </c>
      <c r="D24" s="20">
        <v>1</v>
      </c>
      <c r="E24" s="28">
        <v>70</v>
      </c>
      <c r="F24" s="11">
        <v>45882</v>
      </c>
      <c r="G24" s="10">
        <v>0.375</v>
      </c>
      <c r="H24" s="11">
        <v>45877</v>
      </c>
      <c r="I24" s="10">
        <v>0.5</v>
      </c>
      <c r="J24" s="9">
        <f t="shared" si="1"/>
        <v>10</v>
      </c>
      <c r="K24" s="8">
        <v>1</v>
      </c>
      <c r="L24" s="7">
        <v>60</v>
      </c>
      <c r="M24" s="6" t="s">
        <v>49</v>
      </c>
      <c r="Q24" s="20">
        <v>1</v>
      </c>
      <c r="R24" s="28">
        <v>70</v>
      </c>
      <c r="S24" s="8">
        <v>1</v>
      </c>
      <c r="T24" s="7">
        <v>60</v>
      </c>
    </row>
    <row r="25" spans="1:20" s="5" customFormat="1" ht="12.75" customHeight="1" x14ac:dyDescent="0.2">
      <c r="A25" s="23" t="s">
        <v>45</v>
      </c>
      <c r="B25" s="21" t="s">
        <v>39</v>
      </c>
      <c r="C25" s="21" t="s">
        <v>40</v>
      </c>
      <c r="D25" s="20">
        <v>1</v>
      </c>
      <c r="E25" s="28">
        <v>70</v>
      </c>
      <c r="F25" s="11">
        <v>45882</v>
      </c>
      <c r="G25" s="10">
        <v>0.375</v>
      </c>
      <c r="H25" s="11">
        <v>45877</v>
      </c>
      <c r="I25" s="10">
        <v>0.5</v>
      </c>
      <c r="J25" s="9">
        <f t="shared" si="1"/>
        <v>10</v>
      </c>
      <c r="K25" s="8">
        <v>1</v>
      </c>
      <c r="L25" s="7">
        <v>60</v>
      </c>
      <c r="M25" s="6" t="s">
        <v>50</v>
      </c>
      <c r="Q25" s="20">
        <v>1</v>
      </c>
      <c r="R25" s="28">
        <v>70</v>
      </c>
      <c r="S25" s="8">
        <v>1</v>
      </c>
      <c r="T25" s="7">
        <v>60</v>
      </c>
    </row>
    <row r="26" spans="1:20" s="5" customFormat="1" ht="12.75" customHeight="1" x14ac:dyDescent="0.2">
      <c r="A26" s="23" t="s">
        <v>45</v>
      </c>
      <c r="B26" s="21" t="s">
        <v>42</v>
      </c>
      <c r="C26" s="21" t="s">
        <v>43</v>
      </c>
      <c r="D26" s="20">
        <v>1</v>
      </c>
      <c r="E26" s="28">
        <v>70</v>
      </c>
      <c r="F26" s="11">
        <v>45882</v>
      </c>
      <c r="G26" s="10">
        <v>0.375</v>
      </c>
      <c r="H26" s="11">
        <v>45877</v>
      </c>
      <c r="I26" s="10">
        <v>0.5</v>
      </c>
      <c r="J26" s="9">
        <f t="shared" si="1"/>
        <v>10</v>
      </c>
      <c r="K26" s="8">
        <v>1</v>
      </c>
      <c r="L26" s="7">
        <v>60</v>
      </c>
      <c r="M26" s="6" t="s">
        <v>51</v>
      </c>
      <c r="Q26" s="20">
        <v>1</v>
      </c>
      <c r="R26" s="28">
        <v>70</v>
      </c>
      <c r="S26" s="8">
        <v>1</v>
      </c>
      <c r="T26" s="7">
        <v>60</v>
      </c>
    </row>
    <row r="27" spans="1:20" s="5" customFormat="1" ht="33.950000000000003" customHeight="1" x14ac:dyDescent="0.2">
      <c r="A27" s="23" t="s">
        <v>52</v>
      </c>
      <c r="B27" s="21" t="s">
        <v>21</v>
      </c>
      <c r="C27" s="21" t="s">
        <v>22</v>
      </c>
      <c r="D27" s="20">
        <v>1</v>
      </c>
      <c r="E27" s="29">
        <v>30</v>
      </c>
      <c r="F27" s="11">
        <v>45882</v>
      </c>
      <c r="G27" s="10">
        <v>0.375</v>
      </c>
      <c r="H27" s="11">
        <v>45877</v>
      </c>
      <c r="I27" s="10">
        <v>4.1666666666666664E-2</v>
      </c>
      <c r="J27" s="9">
        <f t="shared" si="1"/>
        <v>0</v>
      </c>
      <c r="K27" s="8">
        <v>1</v>
      </c>
      <c r="L27" s="7">
        <v>30</v>
      </c>
      <c r="M27" s="6" t="s">
        <v>53</v>
      </c>
      <c r="Q27" s="20">
        <v>1</v>
      </c>
      <c r="R27" s="29">
        <v>30</v>
      </c>
      <c r="S27" s="8">
        <v>1</v>
      </c>
      <c r="T27" s="7">
        <v>30</v>
      </c>
    </row>
    <row r="28" spans="1:20" s="5" customFormat="1" ht="32.450000000000003" customHeight="1" x14ac:dyDescent="0.2">
      <c r="A28" s="23" t="s">
        <v>52</v>
      </c>
      <c r="B28" s="21" t="s">
        <v>36</v>
      </c>
      <c r="C28" s="21" t="s">
        <v>37</v>
      </c>
      <c r="D28" s="20">
        <v>1</v>
      </c>
      <c r="E28" s="5">
        <v>30</v>
      </c>
      <c r="F28" s="11">
        <v>45882</v>
      </c>
      <c r="G28" s="10">
        <v>0.375</v>
      </c>
      <c r="H28" s="11">
        <v>45877</v>
      </c>
      <c r="I28" s="10">
        <v>4.1666666666666664E-2</v>
      </c>
      <c r="J28" s="9">
        <f>E28-L28</f>
        <v>0</v>
      </c>
      <c r="K28" s="8">
        <v>1</v>
      </c>
      <c r="L28" s="7">
        <v>30</v>
      </c>
      <c r="M28" s="6" t="s">
        <v>53</v>
      </c>
      <c r="Q28" s="20">
        <v>1</v>
      </c>
      <c r="R28" s="5">
        <v>30</v>
      </c>
      <c r="S28" s="8">
        <v>1</v>
      </c>
      <c r="T28" s="7">
        <v>30</v>
      </c>
    </row>
    <row r="29" spans="1:20" ht="35.25" customHeight="1" x14ac:dyDescent="0.2">
      <c r="A29" s="23" t="s">
        <v>144</v>
      </c>
      <c r="B29" s="21" t="s">
        <v>30</v>
      </c>
      <c r="C29" s="21" t="s">
        <v>31</v>
      </c>
      <c r="D29" s="20">
        <v>1</v>
      </c>
      <c r="E29" s="8">
        <v>30</v>
      </c>
      <c r="F29" s="11">
        <v>45882</v>
      </c>
      <c r="G29" s="10">
        <v>0.375</v>
      </c>
      <c r="H29" s="11">
        <v>45877</v>
      </c>
      <c r="I29" s="10">
        <v>4.1666666666666664E-2</v>
      </c>
      <c r="J29" s="9">
        <f t="shared" si="1"/>
        <v>0</v>
      </c>
      <c r="K29" s="8">
        <v>1</v>
      </c>
      <c r="L29" s="7">
        <v>30</v>
      </c>
      <c r="M29" s="6" t="s">
        <v>145</v>
      </c>
      <c r="Q29" s="20">
        <v>1</v>
      </c>
      <c r="R29" s="8">
        <v>30</v>
      </c>
      <c r="S29" s="8">
        <v>1</v>
      </c>
      <c r="T29" s="7">
        <v>30</v>
      </c>
    </row>
    <row r="30" spans="1:20" s="5" customFormat="1" ht="47.1" customHeight="1" x14ac:dyDescent="0.2">
      <c r="A30" s="23" t="s">
        <v>54</v>
      </c>
      <c r="B30" s="11" t="s">
        <v>55</v>
      </c>
      <c r="C30" s="11" t="s">
        <v>28</v>
      </c>
      <c r="D30" s="20">
        <v>1</v>
      </c>
      <c r="E30" s="29">
        <v>120</v>
      </c>
      <c r="F30" s="11">
        <v>45882</v>
      </c>
      <c r="G30" s="10">
        <v>0.375</v>
      </c>
      <c r="H30" s="27">
        <v>45879</v>
      </c>
      <c r="I30" s="10">
        <v>0.91666666666666663</v>
      </c>
      <c r="J30" s="9">
        <f t="shared" si="1"/>
        <v>60</v>
      </c>
      <c r="K30" s="8">
        <v>1</v>
      </c>
      <c r="L30" s="7">
        <v>60</v>
      </c>
      <c r="M30" s="6" t="s">
        <v>56</v>
      </c>
      <c r="Q30" s="20">
        <v>1</v>
      </c>
      <c r="R30" s="29">
        <v>120</v>
      </c>
      <c r="S30" s="8">
        <v>1</v>
      </c>
      <c r="T30" s="7">
        <v>60</v>
      </c>
    </row>
    <row r="31" spans="1:20" s="5" customFormat="1" ht="33" customHeight="1" x14ac:dyDescent="0.2">
      <c r="A31" s="23" t="s">
        <v>54</v>
      </c>
      <c r="B31" s="11" t="s">
        <v>57</v>
      </c>
      <c r="C31" s="11" t="s">
        <v>58</v>
      </c>
      <c r="D31" s="20">
        <v>1</v>
      </c>
      <c r="E31" s="29">
        <v>120</v>
      </c>
      <c r="F31" s="11">
        <v>45882</v>
      </c>
      <c r="G31" s="10">
        <v>0.375</v>
      </c>
      <c r="H31" s="11">
        <v>45879</v>
      </c>
      <c r="I31" s="10">
        <v>0.91666666666666663</v>
      </c>
      <c r="J31" s="9">
        <f t="shared" si="1"/>
        <v>60</v>
      </c>
      <c r="K31" s="8">
        <v>1</v>
      </c>
      <c r="L31" s="7">
        <v>60</v>
      </c>
      <c r="M31" s="6" t="s">
        <v>59</v>
      </c>
      <c r="Q31" s="20">
        <v>1</v>
      </c>
      <c r="R31" s="29">
        <v>120</v>
      </c>
      <c r="S31" s="8">
        <v>1</v>
      </c>
      <c r="T31" s="7">
        <v>60</v>
      </c>
    </row>
    <row r="32" spans="1:20" s="5" customFormat="1" ht="27" customHeight="1" x14ac:dyDescent="0.2">
      <c r="A32" s="26" t="s">
        <v>60</v>
      </c>
      <c r="B32" s="11" t="s">
        <v>61</v>
      </c>
      <c r="C32" s="11" t="s">
        <v>62</v>
      </c>
      <c r="D32" s="20">
        <v>1</v>
      </c>
      <c r="E32" s="29">
        <v>30</v>
      </c>
      <c r="F32" s="11">
        <v>45882</v>
      </c>
      <c r="G32" s="10">
        <v>0.375</v>
      </c>
      <c r="H32" s="13">
        <v>45879</v>
      </c>
      <c r="I32" s="12">
        <v>0.91666666666666663</v>
      </c>
      <c r="J32" s="9">
        <f>E32-L32</f>
        <v>-30</v>
      </c>
      <c r="K32" s="8">
        <v>1</v>
      </c>
      <c r="L32" s="30">
        <v>60</v>
      </c>
      <c r="M32" s="31" t="s">
        <v>63</v>
      </c>
      <c r="Q32" s="20">
        <v>1</v>
      </c>
      <c r="R32" s="29">
        <v>30</v>
      </c>
      <c r="S32" s="8">
        <v>1</v>
      </c>
      <c r="T32" s="30">
        <v>60</v>
      </c>
    </row>
    <row r="33" spans="1:20" s="5" customFormat="1" ht="33.6" customHeight="1" x14ac:dyDescent="0.2">
      <c r="A33" s="23" t="s">
        <v>60</v>
      </c>
      <c r="B33" s="11" t="s">
        <v>64</v>
      </c>
      <c r="C33" s="11" t="s">
        <v>65</v>
      </c>
      <c r="D33" s="20">
        <v>1</v>
      </c>
      <c r="E33" s="29">
        <v>30</v>
      </c>
      <c r="F33" s="11">
        <v>45882</v>
      </c>
      <c r="G33" s="10">
        <v>0.375</v>
      </c>
      <c r="H33" s="11">
        <v>45879</v>
      </c>
      <c r="I33" s="10">
        <v>0.875</v>
      </c>
      <c r="J33" s="9">
        <f t="shared" si="1"/>
        <v>-30</v>
      </c>
      <c r="K33" s="8">
        <v>1</v>
      </c>
      <c r="L33" s="7">
        <v>60</v>
      </c>
      <c r="M33" s="6" t="s">
        <v>66</v>
      </c>
      <c r="Q33" s="20">
        <v>1</v>
      </c>
      <c r="R33" s="29">
        <v>30</v>
      </c>
      <c r="S33" s="8">
        <v>1</v>
      </c>
      <c r="T33" s="7">
        <v>60</v>
      </c>
    </row>
    <row r="34" spans="1:20" s="5" customFormat="1" ht="84" customHeight="1" x14ac:dyDescent="0.2">
      <c r="A34" s="23" t="s">
        <v>60</v>
      </c>
      <c r="B34" s="11" t="s">
        <v>67</v>
      </c>
      <c r="C34" s="11" t="s">
        <v>68</v>
      </c>
      <c r="D34" s="20">
        <v>1</v>
      </c>
      <c r="E34" s="29">
        <v>30</v>
      </c>
      <c r="F34" s="11">
        <v>45882</v>
      </c>
      <c r="G34" s="10">
        <v>0.375</v>
      </c>
      <c r="H34" s="11">
        <v>45879</v>
      </c>
      <c r="I34" s="10">
        <v>0.91666666666666663</v>
      </c>
      <c r="J34" s="9">
        <f t="shared" si="1"/>
        <v>-90</v>
      </c>
      <c r="K34" s="8">
        <v>1</v>
      </c>
      <c r="L34" s="7">
        <v>120</v>
      </c>
      <c r="M34" s="6" t="s">
        <v>69</v>
      </c>
      <c r="Q34" s="20">
        <v>1</v>
      </c>
      <c r="R34" s="29">
        <v>30</v>
      </c>
      <c r="S34" s="8">
        <v>1</v>
      </c>
      <c r="T34" s="7">
        <v>120</v>
      </c>
    </row>
    <row r="35" spans="1:20" s="5" customFormat="1" ht="31.5" customHeight="1" x14ac:dyDescent="0.2">
      <c r="A35" s="23" t="s">
        <v>60</v>
      </c>
      <c r="B35" s="11" t="s">
        <v>70</v>
      </c>
      <c r="C35" s="11" t="s">
        <v>71</v>
      </c>
      <c r="D35" s="20">
        <v>1</v>
      </c>
      <c r="E35" s="29">
        <v>30</v>
      </c>
      <c r="F35" s="11">
        <v>45882</v>
      </c>
      <c r="G35" s="10">
        <v>0.375</v>
      </c>
      <c r="H35" s="11">
        <v>45879</v>
      </c>
      <c r="I35" s="10">
        <v>0.46527777777777779</v>
      </c>
      <c r="J35" s="9">
        <f t="shared" si="1"/>
        <v>5</v>
      </c>
      <c r="K35" s="8">
        <v>1</v>
      </c>
      <c r="L35" s="7">
        <v>25</v>
      </c>
      <c r="M35" s="6" t="s">
        <v>72</v>
      </c>
      <c r="Q35" s="20">
        <v>1</v>
      </c>
      <c r="R35" s="29">
        <v>30</v>
      </c>
      <c r="S35" s="8">
        <v>1</v>
      </c>
      <c r="T35" s="7">
        <v>25</v>
      </c>
    </row>
    <row r="36" spans="1:20" s="5" customFormat="1" ht="26.45" customHeight="1" x14ac:dyDescent="0.2">
      <c r="A36" s="23" t="s">
        <v>73</v>
      </c>
      <c r="B36" s="11" t="s">
        <v>74</v>
      </c>
      <c r="C36" s="11" t="s">
        <v>71</v>
      </c>
      <c r="D36" s="20">
        <v>1</v>
      </c>
      <c r="E36" s="29">
        <v>70</v>
      </c>
      <c r="F36" s="11">
        <v>45882</v>
      </c>
      <c r="G36" s="10">
        <v>0.375</v>
      </c>
      <c r="H36" s="11">
        <v>45880</v>
      </c>
      <c r="I36" s="10">
        <v>0.83333333333333337</v>
      </c>
      <c r="J36" s="9">
        <f t="shared" ref="J36:J49" si="2">E36-L36</f>
        <v>-50</v>
      </c>
      <c r="K36" s="8">
        <v>1</v>
      </c>
      <c r="L36" s="7">
        <v>120</v>
      </c>
      <c r="M36" s="6" t="s">
        <v>75</v>
      </c>
      <c r="Q36" s="20">
        <v>1</v>
      </c>
      <c r="R36" s="29">
        <v>70</v>
      </c>
      <c r="S36" s="8">
        <v>1</v>
      </c>
      <c r="T36" s="7">
        <v>120</v>
      </c>
    </row>
    <row r="37" spans="1:20" s="5" customFormat="1" ht="29.1" customHeight="1" x14ac:dyDescent="0.2">
      <c r="A37" s="23" t="s">
        <v>76</v>
      </c>
      <c r="B37" s="11" t="s">
        <v>42</v>
      </c>
      <c r="C37" s="11" t="s">
        <v>77</v>
      </c>
      <c r="D37" s="20">
        <v>1</v>
      </c>
      <c r="E37" s="29">
        <v>50</v>
      </c>
      <c r="F37" s="11">
        <v>45882</v>
      </c>
      <c r="G37" s="10">
        <v>0.375</v>
      </c>
      <c r="H37" s="11">
        <v>45880</v>
      </c>
      <c r="I37" s="10">
        <v>0.91666666666666663</v>
      </c>
      <c r="J37" s="9">
        <f t="shared" si="2"/>
        <v>-70</v>
      </c>
      <c r="K37" s="8">
        <v>1</v>
      </c>
      <c r="L37" s="7">
        <v>120</v>
      </c>
      <c r="M37" s="6" t="s">
        <v>78</v>
      </c>
      <c r="Q37" s="20">
        <v>1</v>
      </c>
      <c r="R37" s="29">
        <v>50</v>
      </c>
      <c r="S37" s="8">
        <v>1</v>
      </c>
      <c r="T37" s="7">
        <v>120</v>
      </c>
    </row>
    <row r="38" spans="1:20" s="5" customFormat="1" ht="31.5" customHeight="1" x14ac:dyDescent="0.2">
      <c r="A38" s="23" t="s">
        <v>79</v>
      </c>
      <c r="B38" s="11" t="s">
        <v>36</v>
      </c>
      <c r="C38" s="11" t="s">
        <v>80</v>
      </c>
      <c r="D38" s="20">
        <v>1</v>
      </c>
      <c r="E38" s="29">
        <v>45</v>
      </c>
      <c r="F38" s="11">
        <v>45882</v>
      </c>
      <c r="G38" s="10">
        <v>0.375</v>
      </c>
      <c r="H38" s="11">
        <v>45880</v>
      </c>
      <c r="I38" s="10">
        <v>0.9375</v>
      </c>
      <c r="J38" s="9">
        <f t="shared" si="2"/>
        <v>-35</v>
      </c>
      <c r="K38" s="8">
        <v>1</v>
      </c>
      <c r="L38" s="7">
        <v>80</v>
      </c>
      <c r="M38" s="6" t="s">
        <v>81</v>
      </c>
      <c r="Q38" s="20">
        <v>1</v>
      </c>
      <c r="R38" s="29">
        <v>45</v>
      </c>
      <c r="S38" s="8">
        <v>1</v>
      </c>
      <c r="T38" s="7">
        <v>80</v>
      </c>
    </row>
    <row r="39" spans="1:20" s="5" customFormat="1" ht="26.1" customHeight="1" x14ac:dyDescent="0.2">
      <c r="A39" s="23" t="s">
        <v>82</v>
      </c>
      <c r="B39" s="11" t="s">
        <v>30</v>
      </c>
      <c r="C39" s="11" t="s">
        <v>83</v>
      </c>
      <c r="D39" s="20">
        <v>1</v>
      </c>
      <c r="E39" s="29">
        <v>50</v>
      </c>
      <c r="F39" s="11">
        <v>45882</v>
      </c>
      <c r="G39" s="10">
        <v>0.375</v>
      </c>
      <c r="H39" s="11">
        <v>45880</v>
      </c>
      <c r="I39" s="10">
        <v>0.95833333333333337</v>
      </c>
      <c r="J39" s="9">
        <f t="shared" si="2"/>
        <v>-4</v>
      </c>
      <c r="K39" s="8">
        <v>1</v>
      </c>
      <c r="L39" s="7">
        <v>54</v>
      </c>
      <c r="M39" s="6" t="s">
        <v>84</v>
      </c>
      <c r="Q39" s="20">
        <v>1</v>
      </c>
      <c r="R39" s="29">
        <v>50</v>
      </c>
      <c r="S39" s="8">
        <v>1</v>
      </c>
      <c r="T39" s="7">
        <v>54</v>
      </c>
    </row>
    <row r="40" spans="1:20" s="5" customFormat="1" ht="27" customHeight="1" x14ac:dyDescent="0.2">
      <c r="A40" s="23" t="s">
        <v>85</v>
      </c>
      <c r="B40" s="11" t="s">
        <v>21</v>
      </c>
      <c r="C40" s="11" t="s">
        <v>86</v>
      </c>
      <c r="D40" s="20">
        <v>1</v>
      </c>
      <c r="E40" s="29">
        <v>60</v>
      </c>
      <c r="F40" s="11">
        <v>45882</v>
      </c>
      <c r="G40" s="10">
        <v>0.375</v>
      </c>
      <c r="H40" s="11">
        <v>45880</v>
      </c>
      <c r="I40" s="10">
        <v>0.95833333333333337</v>
      </c>
      <c r="J40" s="9">
        <f t="shared" si="2"/>
        <v>10</v>
      </c>
      <c r="K40" s="8">
        <v>1</v>
      </c>
      <c r="L40" s="7">
        <v>50</v>
      </c>
      <c r="M40" s="6" t="s">
        <v>87</v>
      </c>
      <c r="Q40" s="20">
        <v>1</v>
      </c>
      <c r="R40" s="29">
        <v>60</v>
      </c>
      <c r="S40" s="8">
        <v>1</v>
      </c>
      <c r="T40" s="7">
        <v>50</v>
      </c>
    </row>
    <row r="41" spans="1:20" s="5" customFormat="1" ht="27" customHeight="1" x14ac:dyDescent="0.2">
      <c r="A41" s="23" t="s">
        <v>88</v>
      </c>
      <c r="B41" s="11" t="s">
        <v>21</v>
      </c>
      <c r="C41" s="11" t="s">
        <v>86</v>
      </c>
      <c r="D41" s="20">
        <v>1</v>
      </c>
      <c r="E41" s="29">
        <v>55</v>
      </c>
      <c r="F41" s="11">
        <v>45882</v>
      </c>
      <c r="G41" s="10">
        <v>0.375</v>
      </c>
      <c r="H41" s="11">
        <v>45880</v>
      </c>
      <c r="I41" s="10">
        <v>0.95833333333333337</v>
      </c>
      <c r="J41" s="9">
        <f t="shared" si="2"/>
        <v>0</v>
      </c>
      <c r="K41" s="8">
        <v>1</v>
      </c>
      <c r="L41" s="7">
        <v>55</v>
      </c>
      <c r="M41" s="6" t="s">
        <v>89</v>
      </c>
      <c r="Q41" s="20">
        <v>1</v>
      </c>
      <c r="R41" s="29">
        <v>55</v>
      </c>
      <c r="S41" s="8">
        <v>1</v>
      </c>
      <c r="T41" s="7">
        <v>55</v>
      </c>
    </row>
    <row r="42" spans="1:20" s="5" customFormat="1" ht="40.5" customHeight="1" x14ac:dyDescent="0.2">
      <c r="A42" s="23" t="s">
        <v>146</v>
      </c>
      <c r="B42" s="11" t="s">
        <v>30</v>
      </c>
      <c r="C42" s="11" t="s">
        <v>83</v>
      </c>
      <c r="D42" s="20">
        <v>1</v>
      </c>
      <c r="E42" s="29">
        <v>60</v>
      </c>
      <c r="F42" s="11">
        <v>45882</v>
      </c>
      <c r="G42" s="10">
        <v>0.375</v>
      </c>
      <c r="H42" s="11">
        <v>45880</v>
      </c>
      <c r="I42" s="10">
        <v>0.875</v>
      </c>
      <c r="J42" s="9">
        <f>E42-L42</f>
        <v>-6</v>
      </c>
      <c r="K42" s="8">
        <v>1</v>
      </c>
      <c r="L42" s="7">
        <v>66</v>
      </c>
      <c r="M42" s="6" t="s">
        <v>149</v>
      </c>
      <c r="Q42" s="20">
        <v>1</v>
      </c>
      <c r="R42" s="29">
        <v>60</v>
      </c>
      <c r="S42" s="8">
        <v>1</v>
      </c>
      <c r="T42" s="7">
        <v>66</v>
      </c>
    </row>
    <row r="43" spans="1:20" s="5" customFormat="1" ht="38.25" customHeight="1" x14ac:dyDescent="0.2">
      <c r="A43" s="23" t="s">
        <v>146</v>
      </c>
      <c r="B43" s="11" t="s">
        <v>21</v>
      </c>
      <c r="C43" s="11" t="s">
        <v>86</v>
      </c>
      <c r="D43" s="20">
        <v>1</v>
      </c>
      <c r="E43" s="29">
        <v>60</v>
      </c>
      <c r="F43" s="11">
        <v>45882</v>
      </c>
      <c r="G43" s="10">
        <v>0.375</v>
      </c>
      <c r="H43" s="11">
        <v>45880</v>
      </c>
      <c r="I43" s="10">
        <v>0.875</v>
      </c>
      <c r="J43" s="9">
        <f>E43-L43</f>
        <v>-6</v>
      </c>
      <c r="K43" s="8">
        <v>1</v>
      </c>
      <c r="L43" s="7">
        <v>66</v>
      </c>
      <c r="M43" s="6" t="s">
        <v>149</v>
      </c>
      <c r="Q43" s="20">
        <v>1</v>
      </c>
      <c r="R43" s="29">
        <v>60</v>
      </c>
      <c r="S43" s="8">
        <v>1</v>
      </c>
      <c r="T43" s="7">
        <v>66</v>
      </c>
    </row>
    <row r="44" spans="1:20" s="5" customFormat="1" ht="38.25" customHeight="1" x14ac:dyDescent="0.2">
      <c r="A44" s="23" t="s">
        <v>146</v>
      </c>
      <c r="B44" s="11" t="s">
        <v>39</v>
      </c>
      <c r="C44" s="11" t="s">
        <v>150</v>
      </c>
      <c r="D44" s="20">
        <v>1</v>
      </c>
      <c r="E44" s="29">
        <v>60</v>
      </c>
      <c r="F44" s="11">
        <v>45882</v>
      </c>
      <c r="G44" s="10">
        <v>0.375</v>
      </c>
      <c r="H44" s="11">
        <v>45880</v>
      </c>
      <c r="I44" s="10">
        <v>0.875</v>
      </c>
      <c r="J44" s="9">
        <f>E44-L44</f>
        <v>-6</v>
      </c>
      <c r="K44" s="8">
        <v>1</v>
      </c>
      <c r="L44" s="7">
        <v>66</v>
      </c>
      <c r="M44" s="6" t="s">
        <v>149</v>
      </c>
      <c r="Q44" s="20">
        <v>1</v>
      </c>
      <c r="R44" s="29">
        <v>60</v>
      </c>
      <c r="S44" s="8">
        <v>1</v>
      </c>
      <c r="T44" s="7">
        <v>66</v>
      </c>
    </row>
    <row r="45" spans="1:20" s="5" customFormat="1" ht="27" customHeight="1" x14ac:dyDescent="0.2">
      <c r="A45" s="23" t="s">
        <v>146</v>
      </c>
      <c r="B45" s="11" t="s">
        <v>136</v>
      </c>
      <c r="C45" s="11" t="s">
        <v>151</v>
      </c>
      <c r="D45" s="20">
        <v>1</v>
      </c>
      <c r="E45" s="29">
        <v>60</v>
      </c>
      <c r="F45" s="11">
        <v>45882</v>
      </c>
      <c r="G45" s="10">
        <v>0.375</v>
      </c>
      <c r="H45" s="11">
        <v>45880</v>
      </c>
      <c r="I45" s="10">
        <v>0.875</v>
      </c>
      <c r="J45" s="9">
        <f>E45-L45</f>
        <v>-6</v>
      </c>
      <c r="K45" s="8">
        <v>1</v>
      </c>
      <c r="L45" s="7">
        <v>66</v>
      </c>
      <c r="M45" s="6" t="s">
        <v>149</v>
      </c>
      <c r="Q45" s="20">
        <v>1</v>
      </c>
      <c r="R45" s="29">
        <v>60</v>
      </c>
      <c r="S45" s="8">
        <v>1</v>
      </c>
      <c r="T45" s="7">
        <v>66</v>
      </c>
    </row>
    <row r="46" spans="1:20" s="5" customFormat="1" ht="33" customHeight="1" x14ac:dyDescent="0.2">
      <c r="A46" s="23" t="s">
        <v>146</v>
      </c>
      <c r="B46" s="11" t="s">
        <v>42</v>
      </c>
      <c r="C46" s="11" t="s">
        <v>77</v>
      </c>
      <c r="D46" s="20">
        <v>1</v>
      </c>
      <c r="E46" s="29">
        <v>60</v>
      </c>
      <c r="F46" s="11">
        <v>45882</v>
      </c>
      <c r="G46" s="10">
        <v>0.375</v>
      </c>
      <c r="H46" s="11">
        <v>45880</v>
      </c>
      <c r="I46" s="10">
        <v>0.875</v>
      </c>
      <c r="J46" s="9">
        <f>E46-L46</f>
        <v>-6</v>
      </c>
      <c r="K46" s="8">
        <v>1</v>
      </c>
      <c r="L46" s="7">
        <v>66</v>
      </c>
      <c r="M46" s="6" t="s">
        <v>149</v>
      </c>
      <c r="Q46" s="20">
        <v>1</v>
      </c>
      <c r="R46" s="29">
        <v>60</v>
      </c>
      <c r="S46" s="8">
        <v>1</v>
      </c>
      <c r="T46" s="7">
        <v>66</v>
      </c>
    </row>
    <row r="47" spans="1:20" s="5" customFormat="1" ht="33.75" customHeight="1" x14ac:dyDescent="0.2">
      <c r="A47" s="23" t="s">
        <v>146</v>
      </c>
      <c r="B47" s="11" t="s">
        <v>36</v>
      </c>
      <c r="C47" s="11" t="s">
        <v>80</v>
      </c>
      <c r="D47" s="20">
        <v>1</v>
      </c>
      <c r="E47" s="29">
        <v>60</v>
      </c>
      <c r="F47" s="11">
        <v>45882</v>
      </c>
      <c r="G47" s="10">
        <v>0.375</v>
      </c>
      <c r="H47" s="11">
        <v>45880</v>
      </c>
      <c r="I47" s="10">
        <v>0.875</v>
      </c>
      <c r="J47" s="9">
        <f t="shared" si="2"/>
        <v>-6</v>
      </c>
      <c r="K47" s="8">
        <v>1</v>
      </c>
      <c r="L47" s="7">
        <v>66</v>
      </c>
      <c r="M47" s="6" t="s">
        <v>149</v>
      </c>
      <c r="Q47" s="20">
        <v>1</v>
      </c>
      <c r="R47" s="29">
        <v>60</v>
      </c>
      <c r="S47" s="8">
        <v>1</v>
      </c>
      <c r="T47" s="7">
        <v>66</v>
      </c>
    </row>
    <row r="48" spans="1:20" s="5" customFormat="1" ht="27" customHeight="1" x14ac:dyDescent="0.2">
      <c r="A48" s="23" t="s">
        <v>147</v>
      </c>
      <c r="B48" s="11" t="s">
        <v>30</v>
      </c>
      <c r="C48" s="11" t="s">
        <v>83</v>
      </c>
      <c r="D48" s="20">
        <v>1</v>
      </c>
      <c r="E48" s="29">
        <v>30</v>
      </c>
      <c r="F48" s="11">
        <v>45882</v>
      </c>
      <c r="G48" s="10">
        <v>0.375</v>
      </c>
      <c r="H48" s="11">
        <v>45880</v>
      </c>
      <c r="I48" s="10">
        <v>0.95833333333333337</v>
      </c>
      <c r="J48" s="9">
        <f t="shared" si="2"/>
        <v>5</v>
      </c>
      <c r="K48" s="8">
        <v>1</v>
      </c>
      <c r="L48" s="7">
        <v>25</v>
      </c>
      <c r="M48" s="6" t="s">
        <v>148</v>
      </c>
      <c r="Q48" s="20">
        <v>1</v>
      </c>
      <c r="R48" s="29">
        <v>30</v>
      </c>
      <c r="S48" s="8">
        <v>1</v>
      </c>
      <c r="T48" s="7">
        <v>25</v>
      </c>
    </row>
    <row r="49" spans="1:20" s="5" customFormat="1" ht="26.1" customHeight="1" x14ac:dyDescent="0.2">
      <c r="A49" s="23" t="s">
        <v>90</v>
      </c>
      <c r="B49" s="11" t="s">
        <v>42</v>
      </c>
      <c r="C49" s="11" t="s">
        <v>77</v>
      </c>
      <c r="D49" s="20">
        <v>1</v>
      </c>
      <c r="E49" s="29">
        <v>20</v>
      </c>
      <c r="F49" s="11">
        <v>45882</v>
      </c>
      <c r="G49" s="10">
        <v>0.375</v>
      </c>
      <c r="H49" s="11">
        <v>45880</v>
      </c>
      <c r="I49" s="10">
        <v>0.95833333333333337</v>
      </c>
      <c r="J49" s="9">
        <f t="shared" si="2"/>
        <v>0</v>
      </c>
      <c r="K49" s="8">
        <v>1</v>
      </c>
      <c r="L49" s="7">
        <v>20</v>
      </c>
      <c r="M49" s="6" t="s">
        <v>91</v>
      </c>
      <c r="Q49" s="20">
        <v>1</v>
      </c>
      <c r="R49" s="29">
        <v>20</v>
      </c>
      <c r="S49" s="8">
        <v>1</v>
      </c>
      <c r="T49" s="7">
        <v>20</v>
      </c>
    </row>
    <row r="50" spans="1:20" s="5" customFormat="1" ht="24.95" customHeight="1" x14ac:dyDescent="0.2">
      <c r="A50" s="4"/>
      <c r="B50" s="4"/>
      <c r="C50" s="4"/>
      <c r="D50" s="4"/>
      <c r="E50" s="4"/>
      <c r="F50" s="4"/>
      <c r="G50" s="4"/>
      <c r="H50" s="4"/>
      <c r="I50" s="3"/>
      <c r="J50" s="3"/>
      <c r="K50" s="2"/>
      <c r="L50" s="1"/>
      <c r="M50" s="1"/>
      <c r="Q50" s="20">
        <v>1</v>
      </c>
      <c r="R50" s="29">
        <v>30</v>
      </c>
      <c r="S50" s="8">
        <v>1</v>
      </c>
      <c r="T50" s="7">
        <v>25</v>
      </c>
    </row>
    <row r="51" spans="1:20" s="5" customFormat="1" ht="22.5" customHeight="1" x14ac:dyDescent="0.2">
      <c r="A51" s="4"/>
      <c r="B51" s="4"/>
      <c r="C51" s="4"/>
      <c r="D51" s="4"/>
      <c r="E51" s="4"/>
      <c r="F51" s="4"/>
      <c r="G51" s="4"/>
      <c r="H51" s="4"/>
      <c r="I51" s="3"/>
      <c r="J51" s="3"/>
      <c r="K51" s="2"/>
      <c r="L51" s="1"/>
      <c r="M51" s="1"/>
      <c r="Q51" s="20">
        <v>1</v>
      </c>
      <c r="R51" s="29">
        <v>30</v>
      </c>
      <c r="S51" s="8">
        <v>1</v>
      </c>
      <c r="T51" s="7">
        <v>25</v>
      </c>
    </row>
    <row r="52" spans="1:20" s="5" customFormat="1" ht="35.450000000000003" customHeight="1" x14ac:dyDescent="0.2">
      <c r="A52" s="4"/>
      <c r="B52" s="4"/>
      <c r="C52" s="4"/>
      <c r="D52" s="4"/>
      <c r="E52" s="4"/>
      <c r="F52" s="4"/>
      <c r="G52" s="4"/>
      <c r="H52" s="4"/>
      <c r="I52" s="3"/>
      <c r="J52" s="3"/>
      <c r="K52" s="2"/>
      <c r="L52" s="1"/>
      <c r="M52" s="1"/>
      <c r="Q52" s="20">
        <v>1</v>
      </c>
      <c r="R52" s="8">
        <v>30</v>
      </c>
      <c r="S52" s="8">
        <v>1</v>
      </c>
      <c r="T52" s="7">
        <v>30</v>
      </c>
    </row>
    <row r="53" spans="1:20" s="5" customFormat="1" ht="36.6" customHeight="1" x14ac:dyDescent="0.2">
      <c r="A53" s="4"/>
      <c r="B53" s="4"/>
      <c r="C53" s="4"/>
      <c r="D53" s="4"/>
      <c r="E53" s="4"/>
      <c r="F53" s="4"/>
      <c r="G53" s="4"/>
      <c r="H53" s="4"/>
      <c r="I53" s="3"/>
      <c r="J53" s="3"/>
      <c r="K53" s="2"/>
      <c r="L53" s="1"/>
      <c r="M53" s="1"/>
      <c r="Q53" s="20">
        <v>3</v>
      </c>
      <c r="R53" s="29">
        <v>60</v>
      </c>
      <c r="S53" s="8">
        <v>3</v>
      </c>
      <c r="T53" s="7">
        <v>60</v>
      </c>
    </row>
    <row r="54" spans="1:20" s="5" customFormat="1" ht="36.6" customHeight="1" x14ac:dyDescent="0.2">
      <c r="A54" s="4"/>
      <c r="B54" s="4"/>
      <c r="C54" s="4"/>
      <c r="D54" s="4"/>
      <c r="E54" s="4"/>
      <c r="F54" s="4"/>
      <c r="G54" s="4"/>
      <c r="H54" s="4"/>
      <c r="I54" s="3"/>
      <c r="J54" s="3"/>
      <c r="K54" s="2"/>
      <c r="L54" s="1"/>
      <c r="M54" s="1"/>
      <c r="Q54" s="20">
        <v>3</v>
      </c>
      <c r="R54" s="29">
        <v>60</v>
      </c>
      <c r="S54" s="8">
        <v>3</v>
      </c>
      <c r="T54" s="7">
        <v>60</v>
      </c>
    </row>
    <row r="55" spans="1:20" s="5" customFormat="1" ht="35.450000000000003" customHeight="1" x14ac:dyDescent="0.2">
      <c r="A55" s="4"/>
      <c r="B55" s="4"/>
      <c r="C55" s="4"/>
      <c r="D55" s="4"/>
      <c r="E55" s="4"/>
      <c r="F55" s="4"/>
      <c r="G55" s="4"/>
      <c r="H55" s="4"/>
      <c r="I55" s="3"/>
      <c r="J55" s="3"/>
      <c r="K55" s="2"/>
      <c r="L55" s="1"/>
      <c r="M55" s="1"/>
      <c r="Q55" s="20">
        <v>1</v>
      </c>
      <c r="R55" s="29">
        <v>30</v>
      </c>
      <c r="S55" s="8">
        <v>1</v>
      </c>
      <c r="T55" s="7">
        <v>30</v>
      </c>
    </row>
    <row r="56" spans="1:20" s="5" customFormat="1" ht="35.450000000000003" customHeight="1" x14ac:dyDescent="0.2">
      <c r="A56" s="4"/>
      <c r="B56" s="4"/>
      <c r="C56" s="4"/>
      <c r="D56" s="4"/>
      <c r="E56" s="4"/>
      <c r="F56" s="4"/>
      <c r="G56" s="4"/>
      <c r="H56" s="4"/>
      <c r="I56" s="3"/>
      <c r="J56" s="3"/>
      <c r="K56" s="2"/>
      <c r="L56" s="1"/>
      <c r="M56" s="1"/>
      <c r="Q56" s="20">
        <v>1</v>
      </c>
      <c r="R56" s="29">
        <v>30</v>
      </c>
      <c r="S56" s="8">
        <v>1</v>
      </c>
      <c r="T56" s="7">
        <v>30</v>
      </c>
    </row>
    <row r="57" spans="1:20" s="5" customFormat="1" ht="35.450000000000003" customHeight="1" x14ac:dyDescent="0.2">
      <c r="A57" s="4"/>
      <c r="B57" s="4"/>
      <c r="C57" s="4"/>
      <c r="D57" s="4"/>
      <c r="E57" s="4"/>
      <c r="F57" s="4"/>
      <c r="G57" s="4"/>
      <c r="H57" s="4"/>
      <c r="I57" s="3"/>
      <c r="J57" s="3"/>
      <c r="K57" s="2"/>
      <c r="L57" s="1"/>
      <c r="M57" s="1"/>
      <c r="Q57" s="20">
        <v>1</v>
      </c>
      <c r="R57" s="29">
        <v>20</v>
      </c>
      <c r="S57" s="8">
        <v>1</v>
      </c>
      <c r="T57" s="7">
        <v>20</v>
      </c>
    </row>
    <row r="58" spans="1:20" s="5" customFormat="1" ht="35.450000000000003" customHeight="1" x14ac:dyDescent="0.2">
      <c r="A58" s="4"/>
      <c r="B58" s="4"/>
      <c r="C58" s="4"/>
      <c r="D58" s="4"/>
      <c r="E58" s="4"/>
      <c r="F58" s="4"/>
      <c r="G58" s="4"/>
      <c r="H58" s="4"/>
      <c r="I58" s="3"/>
      <c r="J58" s="3"/>
      <c r="K58" s="2"/>
      <c r="L58" s="1"/>
      <c r="M58" s="1"/>
      <c r="Q58" s="20">
        <v>1</v>
      </c>
      <c r="R58" s="29">
        <v>20</v>
      </c>
      <c r="S58" s="8">
        <v>1</v>
      </c>
      <c r="T58" s="7">
        <v>20</v>
      </c>
    </row>
    <row r="59" spans="1:20" s="5" customFormat="1" ht="35.450000000000003" customHeight="1" x14ac:dyDescent="0.2">
      <c r="A59" s="4"/>
      <c r="B59" s="4"/>
      <c r="C59" s="4"/>
      <c r="D59" s="4"/>
      <c r="E59" s="4"/>
      <c r="F59" s="4"/>
      <c r="G59" s="4"/>
      <c r="H59" s="4"/>
      <c r="I59" s="3"/>
      <c r="J59" s="3"/>
      <c r="K59" s="2"/>
      <c r="L59" s="1"/>
      <c r="M59" s="1"/>
      <c r="Q59" s="29">
        <v>1</v>
      </c>
      <c r="R59" s="34">
        <v>20</v>
      </c>
      <c r="S59" s="8">
        <v>1</v>
      </c>
      <c r="T59" s="7">
        <v>18</v>
      </c>
    </row>
    <row r="60" spans="1:20" s="5" customFormat="1" ht="35.450000000000003" customHeight="1" x14ac:dyDescent="0.2">
      <c r="A60" s="4"/>
      <c r="B60" s="4"/>
      <c r="C60" s="4"/>
      <c r="D60" s="4"/>
      <c r="E60" s="4"/>
      <c r="F60" s="4"/>
      <c r="G60" s="4"/>
      <c r="H60" s="4"/>
      <c r="I60" s="3"/>
      <c r="J60" s="3"/>
      <c r="K60" s="2"/>
      <c r="L60" s="1"/>
      <c r="M60" s="1"/>
      <c r="Q60" s="29">
        <v>1</v>
      </c>
      <c r="R60" s="40">
        <v>20</v>
      </c>
      <c r="S60" s="8">
        <v>1</v>
      </c>
      <c r="T60" s="7">
        <v>18</v>
      </c>
    </row>
    <row r="61" spans="1:20" s="5" customFormat="1" ht="35.450000000000003" customHeight="1" x14ac:dyDescent="0.2">
      <c r="A61" s="4"/>
      <c r="B61" s="4"/>
      <c r="C61" s="4"/>
      <c r="D61" s="4"/>
      <c r="E61" s="4"/>
      <c r="F61" s="4"/>
      <c r="G61" s="4"/>
      <c r="H61" s="4"/>
      <c r="I61" s="3"/>
      <c r="J61" s="3"/>
      <c r="K61" s="2"/>
      <c r="L61" s="1"/>
      <c r="M61" s="1"/>
      <c r="Q61" s="29">
        <v>1</v>
      </c>
      <c r="R61" s="29">
        <v>20</v>
      </c>
      <c r="S61" s="8">
        <v>1</v>
      </c>
      <c r="T61" s="7">
        <v>19</v>
      </c>
    </row>
    <row r="62" spans="1:20" s="5" customFormat="1" ht="35.450000000000003" customHeight="1" x14ac:dyDescent="0.2">
      <c r="A62" s="4"/>
      <c r="B62" s="4"/>
      <c r="C62" s="4"/>
      <c r="D62" s="4"/>
      <c r="E62" s="4"/>
      <c r="F62" s="4"/>
      <c r="G62" s="4"/>
      <c r="H62" s="4"/>
      <c r="I62" s="3"/>
      <c r="J62" s="3"/>
      <c r="K62" s="2"/>
      <c r="L62" s="1"/>
      <c r="M62" s="1"/>
      <c r="Q62" s="29">
        <v>1</v>
      </c>
      <c r="R62" s="29">
        <v>20</v>
      </c>
      <c r="S62" s="8">
        <v>1</v>
      </c>
      <c r="T62" s="7">
        <v>19</v>
      </c>
    </row>
    <row r="63" spans="1:20" s="5" customFormat="1" ht="35.450000000000003" customHeight="1" x14ac:dyDescent="0.2">
      <c r="A63" s="4"/>
      <c r="B63" s="4"/>
      <c r="C63" s="4"/>
      <c r="D63" s="4"/>
      <c r="E63" s="4"/>
      <c r="F63" s="4"/>
      <c r="G63" s="4"/>
      <c r="H63" s="4"/>
      <c r="I63" s="3"/>
      <c r="J63" s="3"/>
      <c r="K63" s="2"/>
      <c r="L63" s="1"/>
      <c r="M63" s="1"/>
      <c r="Q63" s="29">
        <v>1</v>
      </c>
      <c r="R63" s="29">
        <v>30</v>
      </c>
      <c r="S63" s="8">
        <v>1</v>
      </c>
      <c r="T63" s="7">
        <v>25</v>
      </c>
    </row>
    <row r="64" spans="1:20" s="5" customFormat="1" ht="35.450000000000003" customHeight="1" x14ac:dyDescent="0.2">
      <c r="A64" s="4"/>
      <c r="B64" s="4"/>
      <c r="C64" s="4"/>
      <c r="D64" s="4"/>
      <c r="E64" s="4"/>
      <c r="F64" s="4"/>
      <c r="G64" s="4"/>
      <c r="H64" s="4"/>
      <c r="I64" s="3"/>
      <c r="J64" s="3"/>
      <c r="K64" s="2"/>
      <c r="L64" s="1"/>
      <c r="M64" s="1"/>
      <c r="Q64" s="29">
        <v>1</v>
      </c>
      <c r="R64" s="29">
        <v>30</v>
      </c>
      <c r="S64" s="8">
        <v>1</v>
      </c>
      <c r="T64" s="7">
        <v>25</v>
      </c>
    </row>
    <row r="65" spans="1:20" s="5" customFormat="1" ht="35.450000000000003" customHeight="1" x14ac:dyDescent="0.2">
      <c r="A65" s="4"/>
      <c r="B65" s="11" t="s">
        <v>30</v>
      </c>
      <c r="C65" s="11" t="s">
        <v>83</v>
      </c>
      <c r="D65" s="20">
        <v>1</v>
      </c>
      <c r="E65" s="29">
        <v>50</v>
      </c>
      <c r="F65" s="11">
        <v>45882</v>
      </c>
      <c r="G65" s="10">
        <v>0.375</v>
      </c>
      <c r="H65" s="11">
        <v>45880</v>
      </c>
      <c r="I65" s="10">
        <v>0.95833333333333337</v>
      </c>
      <c r="J65" s="9">
        <f>E65-L65</f>
        <v>-4</v>
      </c>
      <c r="K65" s="8">
        <v>1</v>
      </c>
      <c r="L65" s="7">
        <v>54</v>
      </c>
      <c r="M65" s="6" t="s">
        <v>84</v>
      </c>
      <c r="Q65" s="29">
        <v>1</v>
      </c>
      <c r="R65" s="29">
        <v>30</v>
      </c>
      <c r="S65" s="8">
        <v>1</v>
      </c>
      <c r="T65" s="7">
        <v>24</v>
      </c>
    </row>
    <row r="66" spans="1:20" s="5" customFormat="1" ht="35.450000000000003" customHeight="1" x14ac:dyDescent="0.2">
      <c r="A66" s="23" t="s">
        <v>82</v>
      </c>
      <c r="B66" s="4"/>
      <c r="C66" s="4"/>
      <c r="D66" s="4"/>
      <c r="E66" s="4"/>
      <c r="F66" s="4"/>
      <c r="G66" s="4"/>
      <c r="H66" s="4"/>
      <c r="I66" s="3"/>
      <c r="J66" s="3"/>
      <c r="K66" s="2"/>
      <c r="L66" s="1"/>
      <c r="M66" s="1"/>
      <c r="Q66" s="29">
        <v>1</v>
      </c>
      <c r="R66" s="29">
        <v>30</v>
      </c>
      <c r="S66" s="8">
        <v>1</v>
      </c>
      <c r="T66" s="7">
        <v>24</v>
      </c>
    </row>
    <row r="67" spans="1:20" s="5" customFormat="1" ht="35.450000000000003" customHeight="1" x14ac:dyDescent="0.2">
      <c r="A67" s="4"/>
      <c r="B67" s="4"/>
      <c r="C67" s="4"/>
      <c r="D67" s="4"/>
      <c r="E67" s="4"/>
      <c r="F67" s="4"/>
      <c r="G67" s="4"/>
      <c r="H67" s="4"/>
      <c r="I67" s="3"/>
      <c r="J67" s="3"/>
      <c r="K67" s="2"/>
      <c r="L67" s="1"/>
      <c r="M67" s="1"/>
      <c r="Q67" s="29">
        <v>1</v>
      </c>
      <c r="R67" s="29">
        <v>60</v>
      </c>
      <c r="S67" s="8">
        <v>1</v>
      </c>
      <c r="T67" s="7">
        <v>45</v>
      </c>
    </row>
    <row r="68" spans="1:20" s="5" customFormat="1" ht="37.5" customHeight="1" x14ac:dyDescent="0.2">
      <c r="A68" s="4"/>
      <c r="B68" s="4"/>
      <c r="C68" s="4"/>
      <c r="D68" s="4"/>
      <c r="E68" s="4"/>
      <c r="F68" s="4"/>
      <c r="G68" s="4"/>
      <c r="H68" s="4"/>
      <c r="I68" s="3"/>
      <c r="J68" s="3"/>
      <c r="K68" s="2"/>
      <c r="L68" s="1"/>
      <c r="M68" s="1"/>
      <c r="Q68" s="29">
        <v>1</v>
      </c>
      <c r="R68" s="29">
        <v>60</v>
      </c>
      <c r="S68" s="8">
        <v>1</v>
      </c>
      <c r="T68" s="7">
        <v>45</v>
      </c>
    </row>
    <row r="69" spans="1:20" x14ac:dyDescent="0.2">
      <c r="Q69" s="29">
        <v>1</v>
      </c>
      <c r="R69" s="29">
        <v>30</v>
      </c>
      <c r="S69" s="8">
        <v>1</v>
      </c>
      <c r="T69" s="7">
        <v>20</v>
      </c>
    </row>
    <row r="70" spans="1:20" x14ac:dyDescent="0.2">
      <c r="Q70" s="29">
        <v>1</v>
      </c>
      <c r="R70" s="29">
        <v>30</v>
      </c>
      <c r="S70" s="8">
        <v>1</v>
      </c>
      <c r="T70" s="7">
        <v>20</v>
      </c>
    </row>
    <row r="71" spans="1:20" x14ac:dyDescent="0.2">
      <c r="Q71" s="29">
        <v>1</v>
      </c>
      <c r="R71" s="29">
        <v>30</v>
      </c>
      <c r="S71" s="8">
        <v>1</v>
      </c>
      <c r="T71" s="7">
        <v>30</v>
      </c>
    </row>
    <row r="72" spans="1:20" x14ac:dyDescent="0.2">
      <c r="Q72" s="29">
        <v>1</v>
      </c>
      <c r="R72" s="29">
        <v>30</v>
      </c>
      <c r="S72" s="8">
        <v>1</v>
      </c>
      <c r="T72" s="7">
        <v>30</v>
      </c>
    </row>
    <row r="73" spans="1:20" x14ac:dyDescent="0.2">
      <c r="Q73" s="29">
        <v>1</v>
      </c>
      <c r="R73" s="29">
        <v>30</v>
      </c>
      <c r="S73" s="8">
        <v>1</v>
      </c>
      <c r="T73" s="7">
        <v>32</v>
      </c>
    </row>
    <row r="74" spans="1:20" x14ac:dyDescent="0.2">
      <c r="Q74" s="29">
        <v>1</v>
      </c>
      <c r="R74" s="29">
        <v>30</v>
      </c>
      <c r="S74" s="8">
        <v>1</v>
      </c>
      <c r="T74" s="7">
        <v>32</v>
      </c>
    </row>
    <row r="75" spans="1:20" x14ac:dyDescent="0.2">
      <c r="Q75" s="29">
        <v>1</v>
      </c>
      <c r="R75" s="29">
        <v>20</v>
      </c>
      <c r="S75" s="8">
        <v>1</v>
      </c>
      <c r="T75" s="7">
        <v>20</v>
      </c>
    </row>
    <row r="76" spans="1:20" x14ac:dyDescent="0.2">
      <c r="Q76" s="29">
        <v>1</v>
      </c>
      <c r="R76" s="29">
        <v>20</v>
      </c>
      <c r="S76" s="8">
        <v>1</v>
      </c>
      <c r="T76" s="7">
        <v>20</v>
      </c>
    </row>
    <row r="77" spans="1:20" x14ac:dyDescent="0.2">
      <c r="Q77" s="29">
        <v>1</v>
      </c>
      <c r="R77" s="29">
        <v>20</v>
      </c>
      <c r="S77" s="8">
        <v>1</v>
      </c>
      <c r="T77" s="7">
        <v>20</v>
      </c>
    </row>
    <row r="78" spans="1:20" x14ac:dyDescent="0.2">
      <c r="Q78" s="29">
        <v>1</v>
      </c>
      <c r="R78" s="29">
        <v>20</v>
      </c>
      <c r="S78" s="8">
        <v>1</v>
      </c>
      <c r="T78" s="7">
        <v>20</v>
      </c>
    </row>
    <row r="79" spans="1:20" x14ac:dyDescent="0.2">
      <c r="Q79" s="29">
        <v>1</v>
      </c>
      <c r="R79" s="29">
        <v>20</v>
      </c>
      <c r="S79" s="8">
        <v>1</v>
      </c>
      <c r="T79" s="7">
        <v>20</v>
      </c>
    </row>
    <row r="80" spans="1:20" x14ac:dyDescent="0.2">
      <c r="Q80" s="29">
        <v>1</v>
      </c>
      <c r="R80" s="29">
        <v>20</v>
      </c>
      <c r="S80" s="8">
        <v>1</v>
      </c>
      <c r="T80" s="7">
        <v>20</v>
      </c>
    </row>
    <row r="81" spans="17:20" x14ac:dyDescent="0.2">
      <c r="Q81" s="29">
        <v>1</v>
      </c>
      <c r="R81" s="29">
        <v>20</v>
      </c>
      <c r="S81" s="8">
        <v>1</v>
      </c>
      <c r="T81" s="7">
        <v>18</v>
      </c>
    </row>
    <row r="82" spans="17:20" x14ac:dyDescent="0.2">
      <c r="Q82" s="29">
        <v>1</v>
      </c>
      <c r="R82" s="29">
        <v>20</v>
      </c>
      <c r="S82" s="8">
        <v>1</v>
      </c>
      <c r="T82" s="7">
        <v>18</v>
      </c>
    </row>
    <row r="83" spans="17:20" x14ac:dyDescent="0.2">
      <c r="Q83" s="29">
        <v>1</v>
      </c>
      <c r="R83" s="29">
        <v>20</v>
      </c>
      <c r="S83" s="8">
        <v>1</v>
      </c>
      <c r="T83" s="7">
        <v>20</v>
      </c>
    </row>
    <row r="84" spans="17:20" x14ac:dyDescent="0.2">
      <c r="Q84" s="29">
        <v>1</v>
      </c>
      <c r="R84" s="29">
        <v>20</v>
      </c>
      <c r="S84" s="8">
        <v>1</v>
      </c>
      <c r="T84" s="7">
        <v>20</v>
      </c>
    </row>
    <row r="85" spans="17:20" x14ac:dyDescent="0.2">
      <c r="Q85" s="29">
        <v>1</v>
      </c>
      <c r="R85" s="29">
        <v>20</v>
      </c>
      <c r="S85" s="8">
        <v>1</v>
      </c>
      <c r="T85" s="7">
        <v>21</v>
      </c>
    </row>
    <row r="86" spans="17:20" x14ac:dyDescent="0.2">
      <c r="Q86" s="29">
        <v>1</v>
      </c>
      <c r="R86" s="29">
        <v>20</v>
      </c>
      <c r="S86" s="8">
        <v>1</v>
      </c>
      <c r="T86" s="7">
        <v>21</v>
      </c>
    </row>
    <row r="87" spans="17:20" x14ac:dyDescent="0.2">
      <c r="Q87" s="29">
        <v>1</v>
      </c>
      <c r="R87" s="29">
        <v>30</v>
      </c>
      <c r="S87" s="8">
        <v>1</v>
      </c>
      <c r="T87" s="7">
        <v>25</v>
      </c>
    </row>
    <row r="88" spans="17:20" x14ac:dyDescent="0.2">
      <c r="Q88" s="29">
        <v>1</v>
      </c>
      <c r="R88" s="29">
        <v>30</v>
      </c>
      <c r="S88" s="8">
        <v>1</v>
      </c>
      <c r="T88" s="7">
        <v>25</v>
      </c>
    </row>
    <row r="89" spans="17:20" x14ac:dyDescent="0.2">
      <c r="Q89" s="29">
        <v>1</v>
      </c>
      <c r="R89" s="29">
        <v>30</v>
      </c>
      <c r="S89" s="8">
        <v>1</v>
      </c>
      <c r="T89" s="7">
        <v>20</v>
      </c>
    </row>
    <row r="90" spans="17:20" x14ac:dyDescent="0.2">
      <c r="Q90" s="29">
        <v>1</v>
      </c>
      <c r="R90" s="29">
        <v>30</v>
      </c>
      <c r="S90" s="8">
        <v>1</v>
      </c>
      <c r="T90" s="7">
        <v>20</v>
      </c>
    </row>
    <row r="91" spans="17:20" x14ac:dyDescent="0.2">
      <c r="Q91" s="20">
        <v>1</v>
      </c>
      <c r="R91" s="29">
        <v>60</v>
      </c>
      <c r="S91" s="8">
        <v>1</v>
      </c>
      <c r="T91" s="7">
        <v>10</v>
      </c>
    </row>
    <row r="92" spans="17:20" x14ac:dyDescent="0.2">
      <c r="Q92" s="20">
        <v>1</v>
      </c>
      <c r="R92" s="29">
        <v>60</v>
      </c>
      <c r="S92" s="8">
        <v>1</v>
      </c>
      <c r="T92" s="7">
        <v>10</v>
      </c>
    </row>
    <row r="93" spans="17:20" x14ac:dyDescent="0.2">
      <c r="Q93" s="20">
        <v>1</v>
      </c>
      <c r="R93" s="29">
        <v>60</v>
      </c>
      <c r="S93" s="8">
        <v>1</v>
      </c>
      <c r="T93" s="7">
        <v>10</v>
      </c>
    </row>
    <row r="94" spans="17:20" x14ac:dyDescent="0.2">
      <c r="Q94" s="20">
        <v>1</v>
      </c>
      <c r="R94" s="29">
        <v>60</v>
      </c>
      <c r="S94" s="8">
        <v>1</v>
      </c>
      <c r="T94" s="7">
        <v>10</v>
      </c>
    </row>
    <row r="95" spans="17:20" x14ac:dyDescent="0.2">
      <c r="Q95" s="20">
        <v>1</v>
      </c>
      <c r="R95" s="29">
        <v>60</v>
      </c>
      <c r="S95" s="8">
        <v>1</v>
      </c>
      <c r="T95" s="7">
        <v>10</v>
      </c>
    </row>
    <row r="96" spans="17:20" x14ac:dyDescent="0.2">
      <c r="Q96" s="20">
        <v>1</v>
      </c>
      <c r="R96" s="29">
        <v>60</v>
      </c>
      <c r="S96" s="8">
        <v>1</v>
      </c>
      <c r="T96" s="7">
        <v>10</v>
      </c>
    </row>
    <row r="97" spans="1:20" ht="30" customHeight="1" x14ac:dyDescent="0.2">
      <c r="Q97" s="20">
        <v>1</v>
      </c>
      <c r="R97" s="29">
        <v>30</v>
      </c>
      <c r="S97" s="8">
        <v>1</v>
      </c>
      <c r="T97" s="7">
        <v>30</v>
      </c>
    </row>
    <row r="98" spans="1:20" ht="23.25" customHeight="1" x14ac:dyDescent="0.2">
      <c r="Q98" s="20">
        <v>1</v>
      </c>
      <c r="R98" s="5">
        <v>30</v>
      </c>
      <c r="S98" s="8">
        <v>1</v>
      </c>
      <c r="T98" s="7">
        <v>30</v>
      </c>
    </row>
    <row r="99" spans="1:20" x14ac:dyDescent="0.2">
      <c r="Q99" s="20">
        <v>1</v>
      </c>
      <c r="R99" s="29">
        <v>45</v>
      </c>
      <c r="S99" s="8">
        <v>1</v>
      </c>
      <c r="T99" s="7">
        <v>80</v>
      </c>
    </row>
    <row r="100" spans="1:20" x14ac:dyDescent="0.2">
      <c r="Q100" s="20">
        <v>1</v>
      </c>
      <c r="R100" s="29">
        <v>60</v>
      </c>
      <c r="S100" s="8">
        <v>1</v>
      </c>
      <c r="T100" s="7">
        <v>50</v>
      </c>
    </row>
    <row r="101" spans="1:20" x14ac:dyDescent="0.2">
      <c r="Q101" s="20">
        <v>1</v>
      </c>
      <c r="R101" s="29">
        <v>55</v>
      </c>
      <c r="S101" s="8">
        <v>1</v>
      </c>
      <c r="T101" s="7">
        <v>55</v>
      </c>
    </row>
    <row r="102" spans="1:20" x14ac:dyDescent="0.2">
      <c r="Q102" s="29">
        <v>1</v>
      </c>
      <c r="R102" s="29">
        <v>30</v>
      </c>
      <c r="S102" s="8">
        <v>1</v>
      </c>
      <c r="T102" s="7">
        <v>32</v>
      </c>
    </row>
    <row r="103" spans="1:20" x14ac:dyDescent="0.2">
      <c r="Q103" s="29">
        <v>1</v>
      </c>
      <c r="R103" s="29">
        <v>30</v>
      </c>
      <c r="S103" s="8">
        <v>1</v>
      </c>
      <c r="T103" s="7">
        <v>32</v>
      </c>
    </row>
    <row r="104" spans="1:20" x14ac:dyDescent="0.2">
      <c r="Q104" s="29">
        <v>1</v>
      </c>
      <c r="R104" s="29">
        <v>30</v>
      </c>
      <c r="S104" s="8">
        <v>1</v>
      </c>
      <c r="T104" s="7">
        <v>32</v>
      </c>
    </row>
    <row r="105" spans="1:20" s="5" customFormat="1" ht="12" customHeight="1" x14ac:dyDescent="0.2">
      <c r="A105" s="4"/>
      <c r="B105" s="4"/>
      <c r="C105" s="4"/>
      <c r="D105" s="4"/>
      <c r="E105" s="4"/>
      <c r="F105" s="4"/>
      <c r="G105" s="4"/>
      <c r="H105" s="4"/>
      <c r="I105" s="3"/>
      <c r="J105" s="3"/>
      <c r="K105" s="2"/>
      <c r="L105" s="1"/>
      <c r="M105" s="1"/>
      <c r="Q105" s="29">
        <v>1</v>
      </c>
      <c r="R105" s="29">
        <v>30</v>
      </c>
      <c r="S105" s="8">
        <v>1</v>
      </c>
      <c r="T105" s="7">
        <v>32</v>
      </c>
    </row>
    <row r="106" spans="1:20" x14ac:dyDescent="0.2">
      <c r="Q106" s="29">
        <v>1</v>
      </c>
      <c r="R106" s="29">
        <v>30</v>
      </c>
      <c r="S106" s="8">
        <v>1</v>
      </c>
      <c r="T106" s="7">
        <v>32</v>
      </c>
    </row>
    <row r="107" spans="1:20" x14ac:dyDescent="0.2">
      <c r="Q107" s="29">
        <v>1</v>
      </c>
      <c r="R107" s="29">
        <v>30</v>
      </c>
      <c r="S107" s="8">
        <v>1</v>
      </c>
      <c r="T107" s="7">
        <v>32</v>
      </c>
    </row>
    <row r="108" spans="1:20" x14ac:dyDescent="0.2">
      <c r="Q108" s="29">
        <v>3</v>
      </c>
      <c r="R108" s="29">
        <v>20</v>
      </c>
      <c r="S108" s="8">
        <v>3</v>
      </c>
      <c r="T108" s="7">
        <v>15</v>
      </c>
    </row>
    <row r="109" spans="1:20" x14ac:dyDescent="0.2">
      <c r="Q109" s="42">
        <f>SUM(Q8:Q108)</f>
        <v>107</v>
      </c>
      <c r="R109" s="42">
        <f>SUM(R8:R108)</f>
        <v>4265</v>
      </c>
      <c r="S109" s="42">
        <f>SUM(S8:S108)</f>
        <v>107</v>
      </c>
      <c r="T109" s="42">
        <f>SUM(T8:T108)</f>
        <v>4101</v>
      </c>
    </row>
    <row r="110" spans="1:20" ht="35.25" customHeight="1" x14ac:dyDescent="0.2"/>
    <row r="111" spans="1:20" ht="36.75" customHeight="1" x14ac:dyDescent="0.2"/>
    <row r="112" spans="1:20" ht="33.75" customHeight="1" x14ac:dyDescent="0.2"/>
    <row r="113" ht="26.25" customHeight="1" x14ac:dyDescent="0.2"/>
    <row r="114" ht="27.75" customHeight="1" x14ac:dyDescent="0.2"/>
    <row r="115" ht="40.5" customHeight="1" x14ac:dyDescent="0.2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D181C-D64D-438D-BAFF-0402011246A7}">
  <dimension ref="A1:T115"/>
  <sheetViews>
    <sheetView topLeftCell="E8" zoomScale="84" zoomScaleNormal="76" workbookViewId="0">
      <selection activeCell="K75" sqref="K75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26"/>
      <c r="B1" s="128" t="s">
        <v>0</v>
      </c>
      <c r="C1" s="128"/>
      <c r="D1" s="128"/>
      <c r="E1" s="128"/>
      <c r="F1" s="128"/>
      <c r="G1" s="128"/>
      <c r="H1" s="128"/>
      <c r="I1" s="128"/>
      <c r="J1" s="128"/>
      <c r="K1" s="128"/>
      <c r="L1" s="130"/>
      <c r="M1" s="131"/>
    </row>
    <row r="2" spans="1:20" ht="20.25" customHeight="1" x14ac:dyDescent="0.2">
      <c r="A2" s="127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32"/>
      <c r="M2" s="133"/>
    </row>
    <row r="3" spans="1:20" ht="12.75" customHeight="1" x14ac:dyDescent="0.2">
      <c r="A3" s="134" t="s">
        <v>1</v>
      </c>
      <c r="B3" s="136" t="s">
        <v>2</v>
      </c>
      <c r="C3" s="136"/>
      <c r="D3" s="136"/>
      <c r="E3" s="136"/>
      <c r="F3" s="136"/>
      <c r="G3" s="136"/>
      <c r="H3" s="136"/>
      <c r="I3" s="136"/>
      <c r="J3" s="136"/>
      <c r="K3" s="136"/>
      <c r="L3" s="138" t="s">
        <v>3</v>
      </c>
      <c r="M3" s="139"/>
    </row>
    <row r="4" spans="1:20" ht="13.5" thickBot="1" x14ac:dyDescent="0.25">
      <c r="A4" s="135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22" t="s">
        <v>6</v>
      </c>
      <c r="C6" s="122"/>
      <c r="D6" s="122"/>
      <c r="E6" s="122"/>
      <c r="F6" s="122"/>
      <c r="G6" s="122"/>
      <c r="H6" s="123" t="s">
        <v>7</v>
      </c>
      <c r="I6" s="124"/>
      <c r="J6" s="124"/>
      <c r="K6" s="124"/>
      <c r="L6" s="125"/>
      <c r="M6" s="25"/>
    </row>
    <row r="7" spans="1:20" s="14" customFormat="1" ht="49.5" customHeight="1" x14ac:dyDescent="0.2">
      <c r="A7" s="18" cm="1">
        <f t="array" aca="1" ref="A7" ca="1">+#REF!+A1:L7+A7:L66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32" t="s">
        <v>92</v>
      </c>
      <c r="B8" s="11" t="s">
        <v>140</v>
      </c>
      <c r="C8" s="11" t="s">
        <v>22</v>
      </c>
      <c r="D8" s="20">
        <v>1</v>
      </c>
      <c r="E8" s="29">
        <v>30</v>
      </c>
      <c r="F8" s="11">
        <v>45896</v>
      </c>
      <c r="G8" s="10">
        <v>0.375</v>
      </c>
      <c r="H8" s="11">
        <v>45890</v>
      </c>
      <c r="I8" s="10">
        <v>0.8125</v>
      </c>
      <c r="J8" s="9">
        <f>E8-L8</f>
        <v>5</v>
      </c>
      <c r="K8" s="8">
        <v>1</v>
      </c>
      <c r="L8" s="7">
        <v>25</v>
      </c>
      <c r="M8" s="6" t="s">
        <v>93</v>
      </c>
      <c r="Q8" s="20">
        <v>1</v>
      </c>
      <c r="R8" s="20">
        <v>45</v>
      </c>
      <c r="S8" s="8">
        <v>1</v>
      </c>
      <c r="T8" s="7">
        <v>60</v>
      </c>
    </row>
    <row r="9" spans="1:20" s="5" customFormat="1" ht="39" customHeight="1" x14ac:dyDescent="0.2">
      <c r="A9" s="37" t="s">
        <v>92</v>
      </c>
      <c r="B9" s="11" t="s">
        <v>139</v>
      </c>
      <c r="C9" s="11" t="s">
        <v>34</v>
      </c>
      <c r="D9" s="20">
        <v>1</v>
      </c>
      <c r="E9" s="29">
        <v>30</v>
      </c>
      <c r="F9" s="11">
        <v>45896</v>
      </c>
      <c r="G9" s="10">
        <v>0.375</v>
      </c>
      <c r="H9" s="11">
        <v>45890</v>
      </c>
      <c r="I9" s="10">
        <v>0.8125</v>
      </c>
      <c r="J9" s="9">
        <f t="shared" ref="J9:J28" si="0">E9-L9</f>
        <v>5</v>
      </c>
      <c r="K9" s="8">
        <v>1</v>
      </c>
      <c r="L9" s="7">
        <v>25</v>
      </c>
      <c r="M9" s="6" t="s">
        <v>93</v>
      </c>
      <c r="Q9" s="20">
        <v>1</v>
      </c>
      <c r="R9" s="20">
        <v>60</v>
      </c>
      <c r="S9" s="8">
        <v>1</v>
      </c>
      <c r="T9" s="7">
        <v>60</v>
      </c>
    </row>
    <row r="10" spans="1:20" s="5" customFormat="1" ht="43.5" customHeight="1" x14ac:dyDescent="0.2">
      <c r="A10" s="23" t="s">
        <v>144</v>
      </c>
      <c r="B10" s="21" t="s">
        <v>30</v>
      </c>
      <c r="C10" s="21" t="s">
        <v>31</v>
      </c>
      <c r="D10" s="20">
        <v>1</v>
      </c>
      <c r="E10" s="8">
        <v>30</v>
      </c>
      <c r="F10" s="11">
        <v>45882</v>
      </c>
      <c r="G10" s="10">
        <v>0.375</v>
      </c>
      <c r="H10" s="11">
        <v>45890</v>
      </c>
      <c r="I10" s="10">
        <v>0.83333333333333337</v>
      </c>
      <c r="J10" s="9">
        <f t="shared" si="0"/>
        <v>0</v>
      </c>
      <c r="K10" s="8">
        <v>1</v>
      </c>
      <c r="L10" s="7">
        <v>30</v>
      </c>
      <c r="M10" s="6" t="s">
        <v>152</v>
      </c>
      <c r="Q10" s="20">
        <v>1</v>
      </c>
      <c r="R10" s="20">
        <v>60</v>
      </c>
      <c r="S10" s="8">
        <v>1</v>
      </c>
      <c r="T10" s="7">
        <v>60</v>
      </c>
    </row>
    <row r="11" spans="1:20" s="5" customFormat="1" ht="35.1" customHeight="1" x14ac:dyDescent="0.2">
      <c r="A11" s="33" t="s">
        <v>94</v>
      </c>
      <c r="B11" s="11" t="s">
        <v>139</v>
      </c>
      <c r="C11" s="11" t="s">
        <v>34</v>
      </c>
      <c r="D11" s="20">
        <v>3</v>
      </c>
      <c r="E11" s="29">
        <v>60</v>
      </c>
      <c r="F11" s="11">
        <v>45896</v>
      </c>
      <c r="G11" s="10">
        <v>0.375</v>
      </c>
      <c r="H11" s="11">
        <v>45890</v>
      </c>
      <c r="I11" s="10">
        <v>0.85416666666666663</v>
      </c>
      <c r="J11" s="9">
        <f>E11-L11</f>
        <v>0</v>
      </c>
      <c r="K11" s="8">
        <v>3</v>
      </c>
      <c r="L11" s="7">
        <v>60</v>
      </c>
      <c r="M11" s="6" t="s">
        <v>141</v>
      </c>
      <c r="Q11" s="20">
        <v>1</v>
      </c>
      <c r="R11" s="20">
        <v>60</v>
      </c>
      <c r="S11" s="8">
        <v>1</v>
      </c>
      <c r="T11" s="7">
        <v>60</v>
      </c>
    </row>
    <row r="12" spans="1:20" s="5" customFormat="1" ht="35.1" customHeight="1" x14ac:dyDescent="0.2">
      <c r="A12" s="33" t="s">
        <v>94</v>
      </c>
      <c r="B12" s="11" t="s">
        <v>21</v>
      </c>
      <c r="C12" s="11" t="s">
        <v>22</v>
      </c>
      <c r="D12" s="20">
        <v>3</v>
      </c>
      <c r="E12" s="29">
        <v>60</v>
      </c>
      <c r="F12" s="11">
        <v>45896</v>
      </c>
      <c r="G12" s="10">
        <v>0.375</v>
      </c>
      <c r="H12" s="11">
        <v>45890</v>
      </c>
      <c r="I12" s="10">
        <v>0.85416666666666663</v>
      </c>
      <c r="J12" s="9">
        <f t="shared" si="0"/>
        <v>0</v>
      </c>
      <c r="K12" s="8">
        <v>3</v>
      </c>
      <c r="L12" s="7">
        <v>60</v>
      </c>
      <c r="M12" s="6" t="s">
        <v>141</v>
      </c>
      <c r="Q12" s="20">
        <v>1</v>
      </c>
      <c r="R12" s="20">
        <v>60</v>
      </c>
      <c r="S12" s="8">
        <v>1</v>
      </c>
      <c r="T12" s="7">
        <v>60</v>
      </c>
    </row>
    <row r="13" spans="1:20" s="5" customFormat="1" ht="35.1" customHeight="1" x14ac:dyDescent="0.2">
      <c r="A13" s="33" t="s">
        <v>95</v>
      </c>
      <c r="B13" s="11" t="s">
        <v>21</v>
      </c>
      <c r="C13" s="11" t="s">
        <v>22</v>
      </c>
      <c r="D13" s="20">
        <v>1</v>
      </c>
      <c r="E13" s="29">
        <v>30</v>
      </c>
      <c r="F13" s="11">
        <v>45896</v>
      </c>
      <c r="G13" s="10">
        <v>0.375</v>
      </c>
      <c r="H13" s="11">
        <v>45890</v>
      </c>
      <c r="I13" s="10">
        <v>0.875</v>
      </c>
      <c r="J13" s="9">
        <f>E13-L13</f>
        <v>0</v>
      </c>
      <c r="K13" s="8">
        <v>1</v>
      </c>
      <c r="L13" s="7">
        <v>30</v>
      </c>
      <c r="M13" s="6" t="s">
        <v>96</v>
      </c>
      <c r="Q13" s="20">
        <v>1</v>
      </c>
      <c r="R13" s="20">
        <v>60</v>
      </c>
      <c r="S13" s="8">
        <v>1</v>
      </c>
      <c r="T13" s="7">
        <v>60</v>
      </c>
    </row>
    <row r="14" spans="1:20" s="5" customFormat="1" ht="33.950000000000003" customHeight="1" x14ac:dyDescent="0.2">
      <c r="A14" s="33" t="s">
        <v>95</v>
      </c>
      <c r="B14" s="11" t="s">
        <v>139</v>
      </c>
      <c r="C14" s="11" t="s">
        <v>34</v>
      </c>
      <c r="D14" s="20">
        <v>1</v>
      </c>
      <c r="E14" s="29">
        <v>30</v>
      </c>
      <c r="F14" s="11">
        <v>45896</v>
      </c>
      <c r="G14" s="10">
        <v>0.375</v>
      </c>
      <c r="H14" s="11">
        <v>45890</v>
      </c>
      <c r="I14" s="10">
        <v>0.875</v>
      </c>
      <c r="J14" s="9">
        <f t="shared" si="0"/>
        <v>0</v>
      </c>
      <c r="K14" s="8">
        <v>1</v>
      </c>
      <c r="L14" s="7">
        <v>30</v>
      </c>
      <c r="M14" s="6" t="s">
        <v>96</v>
      </c>
      <c r="Q14" s="20">
        <v>1</v>
      </c>
      <c r="R14" s="20">
        <v>60</v>
      </c>
      <c r="S14" s="8">
        <v>1</v>
      </c>
      <c r="T14" s="7">
        <v>60</v>
      </c>
    </row>
    <row r="15" spans="1:20" s="5" customFormat="1" ht="38.450000000000003" customHeight="1" x14ac:dyDescent="0.2">
      <c r="A15" s="23" t="s">
        <v>97</v>
      </c>
      <c r="B15" s="11" t="s">
        <v>21</v>
      </c>
      <c r="C15" s="11" t="s">
        <v>22</v>
      </c>
      <c r="D15" s="20">
        <v>1</v>
      </c>
      <c r="E15" s="29">
        <v>20</v>
      </c>
      <c r="F15" s="11">
        <v>45896</v>
      </c>
      <c r="G15" s="10">
        <v>0.375</v>
      </c>
      <c r="H15" s="11">
        <v>45890</v>
      </c>
      <c r="I15" s="10">
        <v>0.88888888888888884</v>
      </c>
      <c r="J15" s="9">
        <f>E15-L15</f>
        <v>0</v>
      </c>
      <c r="K15" s="8">
        <v>1</v>
      </c>
      <c r="L15" s="7">
        <v>20</v>
      </c>
      <c r="M15" s="6" t="s">
        <v>98</v>
      </c>
      <c r="Q15" s="20">
        <v>1</v>
      </c>
      <c r="R15" s="28">
        <v>50</v>
      </c>
      <c r="S15" s="8">
        <v>1</v>
      </c>
      <c r="T15" s="7">
        <v>60</v>
      </c>
    </row>
    <row r="16" spans="1:20" s="5" customFormat="1" ht="30.95" customHeight="1" x14ac:dyDescent="0.2">
      <c r="A16" s="23" t="s">
        <v>97</v>
      </c>
      <c r="B16" s="11" t="s">
        <v>139</v>
      </c>
      <c r="C16" s="11" t="s">
        <v>34</v>
      </c>
      <c r="D16" s="20">
        <v>1</v>
      </c>
      <c r="E16" s="29">
        <v>20</v>
      </c>
      <c r="F16" s="11">
        <v>45896</v>
      </c>
      <c r="G16" s="10">
        <v>0.375</v>
      </c>
      <c r="H16" s="11">
        <v>45890</v>
      </c>
      <c r="I16" s="10">
        <v>0.88888888888888884</v>
      </c>
      <c r="J16" s="9">
        <f t="shared" si="0"/>
        <v>0</v>
      </c>
      <c r="K16" s="8">
        <v>1</v>
      </c>
      <c r="L16" s="7">
        <v>20</v>
      </c>
      <c r="M16" s="6" t="s">
        <v>98</v>
      </c>
      <c r="Q16" s="20">
        <v>1</v>
      </c>
      <c r="R16" s="28">
        <v>50</v>
      </c>
      <c r="S16" s="8">
        <v>1</v>
      </c>
      <c r="T16" s="7">
        <v>60</v>
      </c>
    </row>
    <row r="17" spans="1:20" s="5" customFormat="1" ht="27" customHeight="1" x14ac:dyDescent="0.2">
      <c r="A17" s="23" t="s">
        <v>99</v>
      </c>
      <c r="B17" s="11" t="s">
        <v>21</v>
      </c>
      <c r="C17" s="11" t="s">
        <v>22</v>
      </c>
      <c r="D17" s="29">
        <v>1</v>
      </c>
      <c r="E17" s="34">
        <v>20</v>
      </c>
      <c r="F17" s="11">
        <v>45896</v>
      </c>
      <c r="G17" s="10">
        <v>0.375</v>
      </c>
      <c r="H17" s="11">
        <v>45890</v>
      </c>
      <c r="I17" s="10">
        <v>0.90277777777777779</v>
      </c>
      <c r="J17" s="9">
        <f>E17-L17</f>
        <v>2</v>
      </c>
      <c r="K17" s="8">
        <v>1</v>
      </c>
      <c r="L17" s="7">
        <v>18</v>
      </c>
      <c r="M17" s="6" t="s">
        <v>100</v>
      </c>
      <c r="Q17" s="20">
        <v>1</v>
      </c>
      <c r="R17" s="28">
        <v>50</v>
      </c>
      <c r="S17" s="8">
        <v>1</v>
      </c>
      <c r="T17" s="7">
        <v>60</v>
      </c>
    </row>
    <row r="18" spans="1:20" s="5" customFormat="1" ht="27.6" customHeight="1" x14ac:dyDescent="0.2">
      <c r="A18" s="23" t="s">
        <v>99</v>
      </c>
      <c r="B18" s="11" t="s">
        <v>139</v>
      </c>
      <c r="C18" s="11" t="s">
        <v>34</v>
      </c>
      <c r="D18" s="29">
        <v>1</v>
      </c>
      <c r="E18" s="40">
        <v>20</v>
      </c>
      <c r="F18" s="11">
        <v>45896</v>
      </c>
      <c r="G18" s="10">
        <v>0.375</v>
      </c>
      <c r="H18" s="11">
        <v>45890</v>
      </c>
      <c r="I18" s="10">
        <v>0.90277777777777779</v>
      </c>
      <c r="J18" s="9">
        <f t="shared" si="0"/>
        <v>2</v>
      </c>
      <c r="K18" s="8">
        <v>1</v>
      </c>
      <c r="L18" s="7">
        <v>18</v>
      </c>
      <c r="M18" s="6" t="s">
        <v>100</v>
      </c>
      <c r="Q18" s="20">
        <v>1</v>
      </c>
      <c r="R18" s="28">
        <v>50</v>
      </c>
      <c r="S18" s="8">
        <v>1</v>
      </c>
      <c r="T18" s="7">
        <v>60</v>
      </c>
    </row>
    <row r="19" spans="1:20" s="5" customFormat="1" ht="24" customHeight="1" x14ac:dyDescent="0.2">
      <c r="A19" s="5" t="s">
        <v>101</v>
      </c>
      <c r="B19" s="11" t="s">
        <v>21</v>
      </c>
      <c r="C19" s="11" t="s">
        <v>22</v>
      </c>
      <c r="D19" s="29">
        <v>1</v>
      </c>
      <c r="E19" s="29">
        <v>20</v>
      </c>
      <c r="F19" s="11">
        <v>45896</v>
      </c>
      <c r="G19" s="10">
        <v>0.375</v>
      </c>
      <c r="H19" s="11">
        <v>45890</v>
      </c>
      <c r="I19" s="10">
        <v>0.91666666666666663</v>
      </c>
      <c r="J19" s="9">
        <f>E19-L19</f>
        <v>1</v>
      </c>
      <c r="K19" s="8">
        <v>1</v>
      </c>
      <c r="L19" s="7">
        <v>19</v>
      </c>
      <c r="M19" s="6" t="s">
        <v>102</v>
      </c>
      <c r="Q19" s="20">
        <v>1</v>
      </c>
      <c r="R19" s="28">
        <v>50</v>
      </c>
      <c r="S19" s="8">
        <v>1</v>
      </c>
      <c r="T19" s="7">
        <v>60</v>
      </c>
    </row>
    <row r="20" spans="1:20" s="5" customFormat="1" ht="29.45" customHeight="1" x14ac:dyDescent="0.2">
      <c r="A20" s="41" t="s">
        <v>101</v>
      </c>
      <c r="B20" s="11" t="s">
        <v>136</v>
      </c>
      <c r="C20" s="11" t="s">
        <v>34</v>
      </c>
      <c r="D20" s="29">
        <v>1</v>
      </c>
      <c r="E20" s="29">
        <v>20</v>
      </c>
      <c r="F20" s="11">
        <v>45896</v>
      </c>
      <c r="G20" s="10">
        <v>0.375</v>
      </c>
      <c r="H20" s="11">
        <v>45890</v>
      </c>
      <c r="I20" s="10">
        <v>0.91666666666666663</v>
      </c>
      <c r="J20" s="9">
        <f t="shared" si="0"/>
        <v>1</v>
      </c>
      <c r="K20" s="8">
        <v>1</v>
      </c>
      <c r="L20" s="7">
        <v>19</v>
      </c>
      <c r="M20" s="6" t="s">
        <v>102</v>
      </c>
      <c r="Q20" s="20">
        <v>1</v>
      </c>
      <c r="R20" s="28">
        <v>50</v>
      </c>
      <c r="S20" s="8">
        <v>1</v>
      </c>
      <c r="T20" s="7">
        <v>60</v>
      </c>
    </row>
    <row r="21" spans="1:20" s="5" customFormat="1" ht="33.950000000000003" customHeight="1" x14ac:dyDescent="0.2">
      <c r="A21" s="23" t="s">
        <v>103</v>
      </c>
      <c r="B21" s="11" t="s">
        <v>21</v>
      </c>
      <c r="C21" s="11" t="s">
        <v>22</v>
      </c>
      <c r="D21" s="29">
        <v>1</v>
      </c>
      <c r="E21" s="29">
        <v>30</v>
      </c>
      <c r="F21" s="11">
        <v>45896</v>
      </c>
      <c r="G21" s="10">
        <v>0.375</v>
      </c>
      <c r="H21" s="11">
        <v>45890</v>
      </c>
      <c r="I21" s="10">
        <v>0.9375</v>
      </c>
      <c r="J21" s="9">
        <f>E21-L21</f>
        <v>5</v>
      </c>
      <c r="K21" s="8">
        <v>1</v>
      </c>
      <c r="L21" s="7">
        <v>25</v>
      </c>
      <c r="M21" s="6" t="s">
        <v>104</v>
      </c>
      <c r="Q21" s="20">
        <v>1</v>
      </c>
      <c r="R21" s="28">
        <v>70</v>
      </c>
      <c r="S21" s="8">
        <v>1</v>
      </c>
      <c r="T21" s="7">
        <v>60</v>
      </c>
    </row>
    <row r="22" spans="1:20" s="5" customFormat="1" ht="33.950000000000003" customHeight="1" x14ac:dyDescent="0.2">
      <c r="A22" s="23" t="s">
        <v>103</v>
      </c>
      <c r="B22" s="11" t="s">
        <v>136</v>
      </c>
      <c r="C22" s="11" t="s">
        <v>34</v>
      </c>
      <c r="D22" s="29">
        <v>1</v>
      </c>
      <c r="E22" s="29">
        <v>30</v>
      </c>
      <c r="F22" s="11">
        <v>45896</v>
      </c>
      <c r="G22" s="10">
        <v>0.375</v>
      </c>
      <c r="H22" s="11">
        <v>45890</v>
      </c>
      <c r="I22" s="10">
        <v>0.9375</v>
      </c>
      <c r="J22" s="9">
        <f t="shared" si="0"/>
        <v>5</v>
      </c>
      <c r="K22" s="8">
        <v>1</v>
      </c>
      <c r="L22" s="7">
        <v>25</v>
      </c>
      <c r="M22" s="6" t="s">
        <v>104</v>
      </c>
      <c r="Q22" s="20">
        <v>1</v>
      </c>
      <c r="R22" s="28">
        <v>70</v>
      </c>
      <c r="S22" s="8">
        <v>1</v>
      </c>
      <c r="T22" s="7">
        <v>60</v>
      </c>
    </row>
    <row r="23" spans="1:20" s="5" customFormat="1" ht="28.5" customHeight="1" x14ac:dyDescent="0.2">
      <c r="A23" s="23" t="s">
        <v>105</v>
      </c>
      <c r="B23" s="11" t="s">
        <v>30</v>
      </c>
      <c r="C23" s="11" t="s">
        <v>31</v>
      </c>
      <c r="D23" s="29">
        <v>1</v>
      </c>
      <c r="E23" s="29">
        <v>30</v>
      </c>
      <c r="F23" s="11">
        <v>45896</v>
      </c>
      <c r="G23" s="10">
        <v>0.375</v>
      </c>
      <c r="H23" s="11">
        <v>45890</v>
      </c>
      <c r="I23" s="10">
        <v>0.8125</v>
      </c>
      <c r="J23" s="9">
        <f>E23-L23</f>
        <v>6</v>
      </c>
      <c r="K23" s="8">
        <v>1</v>
      </c>
      <c r="L23" s="7">
        <v>24</v>
      </c>
      <c r="M23" s="6" t="s">
        <v>106</v>
      </c>
      <c r="Q23" s="20">
        <v>1</v>
      </c>
      <c r="R23" s="28">
        <v>70</v>
      </c>
      <c r="S23" s="8">
        <v>1</v>
      </c>
      <c r="T23" s="7">
        <v>60</v>
      </c>
    </row>
    <row r="24" spans="1:20" s="5" customFormat="1" ht="24.95" customHeight="1" x14ac:dyDescent="0.2">
      <c r="A24" s="23" t="s">
        <v>105</v>
      </c>
      <c r="B24" s="11" t="s">
        <v>39</v>
      </c>
      <c r="C24" s="11" t="s">
        <v>40</v>
      </c>
      <c r="D24" s="29">
        <v>1</v>
      </c>
      <c r="E24" s="29">
        <v>30</v>
      </c>
      <c r="F24" s="11">
        <v>45896</v>
      </c>
      <c r="G24" s="10">
        <v>0.375</v>
      </c>
      <c r="H24" s="11">
        <v>45890</v>
      </c>
      <c r="I24" s="10">
        <v>0.8125</v>
      </c>
      <c r="J24" s="9">
        <f t="shared" si="0"/>
        <v>6</v>
      </c>
      <c r="K24" s="8">
        <v>1</v>
      </c>
      <c r="L24" s="7">
        <v>24</v>
      </c>
      <c r="M24" s="6" t="s">
        <v>106</v>
      </c>
      <c r="Q24" s="20">
        <v>1</v>
      </c>
      <c r="R24" s="28">
        <v>70</v>
      </c>
      <c r="S24" s="8">
        <v>1</v>
      </c>
      <c r="T24" s="7">
        <v>60</v>
      </c>
    </row>
    <row r="25" spans="1:20" s="5" customFormat="1" ht="12.75" customHeight="1" x14ac:dyDescent="0.2">
      <c r="A25" s="33" t="s">
        <v>107</v>
      </c>
      <c r="B25" s="11" t="s">
        <v>30</v>
      </c>
      <c r="C25" s="11" t="s">
        <v>31</v>
      </c>
      <c r="D25" s="29">
        <v>1</v>
      </c>
      <c r="E25" s="29">
        <v>60</v>
      </c>
      <c r="F25" s="11">
        <v>45896</v>
      </c>
      <c r="G25" s="10">
        <v>0.375</v>
      </c>
      <c r="H25" s="11">
        <v>45890</v>
      </c>
      <c r="I25" s="10">
        <v>0.85416666666666663</v>
      </c>
      <c r="J25" s="9">
        <f>E25-L25</f>
        <v>15</v>
      </c>
      <c r="K25" s="8">
        <v>1</v>
      </c>
      <c r="L25" s="7">
        <v>45</v>
      </c>
      <c r="M25" s="6" t="s">
        <v>108</v>
      </c>
      <c r="Q25" s="20">
        <v>1</v>
      </c>
      <c r="R25" s="28">
        <v>70</v>
      </c>
      <c r="S25" s="8">
        <v>1</v>
      </c>
      <c r="T25" s="7">
        <v>60</v>
      </c>
    </row>
    <row r="26" spans="1:20" s="5" customFormat="1" ht="12.75" customHeight="1" x14ac:dyDescent="0.2">
      <c r="A26" s="33" t="s">
        <v>107</v>
      </c>
      <c r="B26" s="11" t="s">
        <v>39</v>
      </c>
      <c r="C26" s="11" t="s">
        <v>40</v>
      </c>
      <c r="D26" s="29">
        <v>1</v>
      </c>
      <c r="E26" s="29">
        <v>60</v>
      </c>
      <c r="F26" s="11">
        <v>45896</v>
      </c>
      <c r="G26" s="10">
        <v>0.375</v>
      </c>
      <c r="H26" s="11">
        <v>45890</v>
      </c>
      <c r="I26" s="10">
        <v>0.85416666666666663</v>
      </c>
      <c r="J26" s="9">
        <f t="shared" si="0"/>
        <v>15</v>
      </c>
      <c r="K26" s="8">
        <v>1</v>
      </c>
      <c r="L26" s="7">
        <v>45</v>
      </c>
      <c r="M26" s="6" t="s">
        <v>108</v>
      </c>
      <c r="Q26" s="20">
        <v>1</v>
      </c>
      <c r="R26" s="28">
        <v>70</v>
      </c>
      <c r="S26" s="8">
        <v>1</v>
      </c>
      <c r="T26" s="7">
        <v>60</v>
      </c>
    </row>
    <row r="27" spans="1:20" s="5" customFormat="1" ht="33.950000000000003" customHeight="1" x14ac:dyDescent="0.2">
      <c r="A27" s="23" t="s">
        <v>109</v>
      </c>
      <c r="B27" s="11" t="s">
        <v>30</v>
      </c>
      <c r="C27" s="11" t="s">
        <v>31</v>
      </c>
      <c r="D27" s="29">
        <v>1</v>
      </c>
      <c r="E27" s="29">
        <v>30</v>
      </c>
      <c r="F27" s="11">
        <v>45896</v>
      </c>
      <c r="G27" s="10">
        <v>0.375</v>
      </c>
      <c r="H27" s="11">
        <v>45890</v>
      </c>
      <c r="I27" s="10">
        <v>0.875</v>
      </c>
      <c r="J27" s="9">
        <f>E27-L27</f>
        <v>10</v>
      </c>
      <c r="K27" s="8">
        <v>1</v>
      </c>
      <c r="L27" s="7">
        <v>20</v>
      </c>
      <c r="M27" s="6" t="s">
        <v>110</v>
      </c>
      <c r="Q27" s="20">
        <v>1</v>
      </c>
      <c r="R27" s="29">
        <v>30</v>
      </c>
      <c r="S27" s="8">
        <v>1</v>
      </c>
      <c r="T27" s="7">
        <v>30</v>
      </c>
    </row>
    <row r="28" spans="1:20" s="5" customFormat="1" ht="32.450000000000003" customHeight="1" x14ac:dyDescent="0.2">
      <c r="A28" s="23" t="s">
        <v>109</v>
      </c>
      <c r="B28" s="11" t="s">
        <v>39</v>
      </c>
      <c r="C28" s="11" t="s">
        <v>40</v>
      </c>
      <c r="D28" s="29">
        <v>1</v>
      </c>
      <c r="E28" s="29">
        <v>30</v>
      </c>
      <c r="F28" s="11">
        <v>45896</v>
      </c>
      <c r="G28" s="10">
        <v>0.375</v>
      </c>
      <c r="H28" s="11">
        <v>45890</v>
      </c>
      <c r="I28" s="10">
        <v>0.875</v>
      </c>
      <c r="J28" s="9">
        <f t="shared" si="0"/>
        <v>10</v>
      </c>
      <c r="K28" s="8">
        <v>1</v>
      </c>
      <c r="L28" s="7">
        <v>20</v>
      </c>
      <c r="M28" s="6" t="s">
        <v>110</v>
      </c>
      <c r="Q28" s="20">
        <v>1</v>
      </c>
      <c r="R28" s="5">
        <v>30</v>
      </c>
      <c r="S28" s="8">
        <v>1</v>
      </c>
      <c r="T28" s="7">
        <v>30</v>
      </c>
    </row>
    <row r="29" spans="1:20" ht="35.25" customHeight="1" x14ac:dyDescent="0.2">
      <c r="A29" s="23" t="s">
        <v>111</v>
      </c>
      <c r="B29" s="11" t="s">
        <v>39</v>
      </c>
      <c r="C29" s="11" t="s">
        <v>142</v>
      </c>
      <c r="D29" s="29">
        <v>1</v>
      </c>
      <c r="E29" s="29">
        <v>30</v>
      </c>
      <c r="F29" s="11">
        <v>45896</v>
      </c>
      <c r="G29" s="10">
        <v>0.375</v>
      </c>
      <c r="H29" s="11">
        <v>45890</v>
      </c>
      <c r="I29" s="10">
        <v>0.89583333333333337</v>
      </c>
      <c r="J29" s="9">
        <f t="shared" ref="J29:J35" si="1">E29-L29</f>
        <v>0</v>
      </c>
      <c r="K29" s="8">
        <v>1</v>
      </c>
      <c r="L29" s="7">
        <v>30</v>
      </c>
      <c r="M29" s="6" t="s">
        <v>112</v>
      </c>
      <c r="Q29" s="20">
        <v>1</v>
      </c>
      <c r="R29" s="8">
        <v>30</v>
      </c>
      <c r="S29" s="8">
        <v>1</v>
      </c>
      <c r="T29" s="7">
        <v>30</v>
      </c>
    </row>
    <row r="30" spans="1:20" s="5" customFormat="1" ht="47.1" customHeight="1" x14ac:dyDescent="0.2">
      <c r="A30" s="23" t="s">
        <v>111</v>
      </c>
      <c r="B30" s="11" t="s">
        <v>30</v>
      </c>
      <c r="C30" s="11" t="s">
        <v>31</v>
      </c>
      <c r="D30" s="29">
        <v>1</v>
      </c>
      <c r="E30" s="29">
        <v>30</v>
      </c>
      <c r="F30" s="11">
        <v>45896</v>
      </c>
      <c r="G30" s="10">
        <v>0.375</v>
      </c>
      <c r="H30" s="11">
        <v>45890</v>
      </c>
      <c r="I30" s="10">
        <v>0.89583333333333337</v>
      </c>
      <c r="J30" s="9">
        <f t="shared" si="1"/>
        <v>0</v>
      </c>
      <c r="K30" s="8">
        <v>1</v>
      </c>
      <c r="L30" s="7">
        <v>30</v>
      </c>
      <c r="M30" s="6" t="s">
        <v>112</v>
      </c>
      <c r="Q30" s="20">
        <v>1</v>
      </c>
      <c r="R30" s="29">
        <v>120</v>
      </c>
      <c r="S30" s="8">
        <v>1</v>
      </c>
      <c r="T30" s="7">
        <v>60</v>
      </c>
    </row>
    <row r="31" spans="1:20" s="5" customFormat="1" ht="33" customHeight="1" x14ac:dyDescent="0.2">
      <c r="A31" s="33" t="s">
        <v>113</v>
      </c>
      <c r="B31" s="11" t="s">
        <v>30</v>
      </c>
      <c r="C31" s="11" t="s">
        <v>31</v>
      </c>
      <c r="D31" s="29">
        <v>1</v>
      </c>
      <c r="E31" s="29">
        <v>30</v>
      </c>
      <c r="F31" s="11">
        <v>45896</v>
      </c>
      <c r="G31" s="10">
        <v>0.375</v>
      </c>
      <c r="H31" s="11">
        <v>45890</v>
      </c>
      <c r="I31" s="10">
        <v>0.91666666666666663</v>
      </c>
      <c r="J31" s="9">
        <f t="shared" si="1"/>
        <v>-2</v>
      </c>
      <c r="K31" s="8">
        <v>1</v>
      </c>
      <c r="L31" s="7">
        <v>32</v>
      </c>
      <c r="M31" s="6" t="s">
        <v>114</v>
      </c>
      <c r="Q31" s="20">
        <v>1</v>
      </c>
      <c r="R31" s="29">
        <v>120</v>
      </c>
      <c r="S31" s="8">
        <v>1</v>
      </c>
      <c r="T31" s="7">
        <v>60</v>
      </c>
    </row>
    <row r="32" spans="1:20" s="5" customFormat="1" ht="27" customHeight="1" x14ac:dyDescent="0.2">
      <c r="A32" s="33" t="s">
        <v>113</v>
      </c>
      <c r="B32" s="11" t="s">
        <v>39</v>
      </c>
      <c r="C32" s="11" t="s">
        <v>40</v>
      </c>
      <c r="D32" s="29">
        <v>1</v>
      </c>
      <c r="E32" s="29">
        <v>30</v>
      </c>
      <c r="F32" s="11">
        <v>45896</v>
      </c>
      <c r="G32" s="10">
        <v>0.375</v>
      </c>
      <c r="H32" s="11">
        <v>45890</v>
      </c>
      <c r="I32" s="10">
        <v>0.91666666666666663</v>
      </c>
      <c r="J32" s="9">
        <f t="shared" si="1"/>
        <v>-2</v>
      </c>
      <c r="K32" s="8">
        <v>1</v>
      </c>
      <c r="L32" s="7">
        <v>32</v>
      </c>
      <c r="M32" s="6" t="s">
        <v>114</v>
      </c>
      <c r="Q32" s="20">
        <v>1</v>
      </c>
      <c r="R32" s="29">
        <v>30</v>
      </c>
      <c r="S32" s="8">
        <v>1</v>
      </c>
      <c r="T32" s="30">
        <v>60</v>
      </c>
    </row>
    <row r="33" spans="1:20" s="5" customFormat="1" ht="33.6" customHeight="1" x14ac:dyDescent="0.2">
      <c r="A33" s="33" t="s">
        <v>115</v>
      </c>
      <c r="B33" s="11" t="s">
        <v>36</v>
      </c>
      <c r="C33" s="11" t="s">
        <v>37</v>
      </c>
      <c r="D33" s="29">
        <v>1</v>
      </c>
      <c r="E33" s="29">
        <v>20</v>
      </c>
      <c r="F33" s="11">
        <v>45896</v>
      </c>
      <c r="G33" s="10">
        <v>0.375</v>
      </c>
      <c r="H33" s="11">
        <v>45890</v>
      </c>
      <c r="I33" s="10">
        <v>0.80555555555555558</v>
      </c>
      <c r="J33" s="9">
        <f t="shared" si="1"/>
        <v>0</v>
      </c>
      <c r="K33" s="8">
        <v>1</v>
      </c>
      <c r="L33" s="7">
        <v>20</v>
      </c>
      <c r="M33" s="6" t="s">
        <v>116</v>
      </c>
      <c r="Q33" s="20">
        <v>1</v>
      </c>
      <c r="R33" s="29">
        <v>30</v>
      </c>
      <c r="S33" s="8">
        <v>1</v>
      </c>
      <c r="T33" s="7">
        <v>60</v>
      </c>
    </row>
    <row r="34" spans="1:20" s="5" customFormat="1" ht="84" customHeight="1" x14ac:dyDescent="0.2">
      <c r="A34" s="33" t="s">
        <v>115</v>
      </c>
      <c r="B34" s="11" t="s">
        <v>42</v>
      </c>
      <c r="C34" s="11" t="s">
        <v>43</v>
      </c>
      <c r="D34" s="29">
        <v>1</v>
      </c>
      <c r="E34" s="29">
        <v>20</v>
      </c>
      <c r="F34" s="11">
        <v>45896</v>
      </c>
      <c r="G34" s="10">
        <v>0.375</v>
      </c>
      <c r="H34" s="11">
        <v>45890</v>
      </c>
      <c r="I34" s="10">
        <v>0.80555555555555558</v>
      </c>
      <c r="J34" s="9">
        <f t="shared" si="1"/>
        <v>0</v>
      </c>
      <c r="K34" s="8">
        <v>1</v>
      </c>
      <c r="L34" s="7">
        <v>20</v>
      </c>
      <c r="M34" s="6" t="s">
        <v>116</v>
      </c>
      <c r="Q34" s="20">
        <v>1</v>
      </c>
      <c r="R34" s="29">
        <v>30</v>
      </c>
      <c r="S34" s="8">
        <v>1</v>
      </c>
      <c r="T34" s="7">
        <v>120</v>
      </c>
    </row>
    <row r="35" spans="1:20" s="5" customFormat="1" ht="31.5" customHeight="1" x14ac:dyDescent="0.2">
      <c r="A35" s="33" t="s">
        <v>117</v>
      </c>
      <c r="B35" s="11" t="s">
        <v>36</v>
      </c>
      <c r="C35" s="11" t="s">
        <v>37</v>
      </c>
      <c r="D35" s="29">
        <v>1</v>
      </c>
      <c r="E35" s="29">
        <v>20</v>
      </c>
      <c r="F35" s="11">
        <v>45896</v>
      </c>
      <c r="G35" s="10">
        <v>0.375</v>
      </c>
      <c r="H35" s="11">
        <v>45890</v>
      </c>
      <c r="I35" s="10">
        <v>0.81944444444444442</v>
      </c>
      <c r="J35" s="9">
        <f t="shared" si="1"/>
        <v>0</v>
      </c>
      <c r="K35" s="8">
        <v>1</v>
      </c>
      <c r="L35" s="7">
        <v>20</v>
      </c>
      <c r="M35" s="6" t="s">
        <v>118</v>
      </c>
      <c r="Q35" s="20">
        <v>1</v>
      </c>
      <c r="R35" s="29">
        <v>30</v>
      </c>
      <c r="S35" s="8">
        <v>1</v>
      </c>
      <c r="T35" s="7">
        <v>25</v>
      </c>
    </row>
    <row r="36" spans="1:20" s="5" customFormat="1" ht="26.45" customHeight="1" x14ac:dyDescent="0.2">
      <c r="A36" s="33" t="s">
        <v>117</v>
      </c>
      <c r="B36" s="11" t="s">
        <v>42</v>
      </c>
      <c r="C36" s="11" t="s">
        <v>43</v>
      </c>
      <c r="D36" s="29">
        <v>1</v>
      </c>
      <c r="E36" s="29">
        <v>20</v>
      </c>
      <c r="F36" s="11">
        <v>45896</v>
      </c>
      <c r="G36" s="10">
        <v>0.375</v>
      </c>
      <c r="H36" s="11">
        <v>45890</v>
      </c>
      <c r="I36" s="10">
        <v>0.81944444444444442</v>
      </c>
      <c r="J36" s="9">
        <f t="shared" ref="J36:J66" si="2">E36-L36</f>
        <v>0</v>
      </c>
      <c r="K36" s="8">
        <v>1</v>
      </c>
      <c r="L36" s="7">
        <v>20</v>
      </c>
      <c r="M36" s="6" t="s">
        <v>118</v>
      </c>
      <c r="Q36" s="20">
        <v>1</v>
      </c>
      <c r="R36" s="29">
        <v>70</v>
      </c>
      <c r="S36" s="8">
        <v>1</v>
      </c>
      <c r="T36" s="7">
        <v>120</v>
      </c>
    </row>
    <row r="37" spans="1:20" s="5" customFormat="1" ht="29.1" customHeight="1" x14ac:dyDescent="0.2">
      <c r="A37" s="33" t="s">
        <v>119</v>
      </c>
      <c r="B37" s="11" t="s">
        <v>36</v>
      </c>
      <c r="C37" s="11" t="s">
        <v>37</v>
      </c>
      <c r="D37" s="29">
        <v>1</v>
      </c>
      <c r="E37" s="29">
        <v>20</v>
      </c>
      <c r="F37" s="11">
        <v>45896</v>
      </c>
      <c r="G37" s="10">
        <v>0.375</v>
      </c>
      <c r="H37" s="11">
        <v>45890</v>
      </c>
      <c r="I37" s="10">
        <v>0.83333333333333337</v>
      </c>
      <c r="J37" s="9">
        <f>E37-L37</f>
        <v>0</v>
      </c>
      <c r="K37" s="8">
        <v>1</v>
      </c>
      <c r="L37" s="7">
        <v>20</v>
      </c>
      <c r="M37" s="6" t="s">
        <v>120</v>
      </c>
      <c r="Q37" s="20">
        <v>1</v>
      </c>
      <c r="R37" s="29">
        <v>50</v>
      </c>
      <c r="S37" s="8">
        <v>1</v>
      </c>
      <c r="T37" s="7">
        <v>120</v>
      </c>
    </row>
    <row r="38" spans="1:20" s="5" customFormat="1" ht="31.5" customHeight="1" x14ac:dyDescent="0.2">
      <c r="A38" s="33" t="s">
        <v>119</v>
      </c>
      <c r="B38" s="11" t="s">
        <v>42</v>
      </c>
      <c r="C38" s="11" t="s">
        <v>43</v>
      </c>
      <c r="D38" s="29">
        <v>1</v>
      </c>
      <c r="E38" s="29">
        <v>20</v>
      </c>
      <c r="F38" s="11">
        <v>45896</v>
      </c>
      <c r="G38" s="10">
        <v>0.375</v>
      </c>
      <c r="H38" s="11">
        <v>45890</v>
      </c>
      <c r="I38" s="10">
        <v>0.83333333333333337</v>
      </c>
      <c r="J38" s="9">
        <f t="shared" si="2"/>
        <v>0</v>
      </c>
      <c r="K38" s="8">
        <v>1</v>
      </c>
      <c r="L38" s="7">
        <v>20</v>
      </c>
      <c r="M38" s="6" t="s">
        <v>120</v>
      </c>
      <c r="Q38" s="20">
        <v>1</v>
      </c>
      <c r="R38" s="29">
        <v>45</v>
      </c>
      <c r="S38" s="8">
        <v>1</v>
      </c>
      <c r="T38" s="7">
        <v>80</v>
      </c>
    </row>
    <row r="39" spans="1:20" s="5" customFormat="1" ht="26.1" customHeight="1" x14ac:dyDescent="0.2">
      <c r="A39" s="33" t="s">
        <v>121</v>
      </c>
      <c r="B39" s="11" t="s">
        <v>36</v>
      </c>
      <c r="C39" s="11" t="s">
        <v>37</v>
      </c>
      <c r="D39" s="29">
        <v>1</v>
      </c>
      <c r="E39" s="29">
        <v>20</v>
      </c>
      <c r="F39" s="11">
        <v>45896</v>
      </c>
      <c r="G39" s="10">
        <v>0.375</v>
      </c>
      <c r="H39" s="11">
        <v>45890</v>
      </c>
      <c r="I39" s="10">
        <v>0.84722222222222221</v>
      </c>
      <c r="J39" s="9">
        <f>E39-L39</f>
        <v>2</v>
      </c>
      <c r="K39" s="8">
        <v>1</v>
      </c>
      <c r="L39" s="7">
        <v>18</v>
      </c>
      <c r="M39" s="6" t="s">
        <v>122</v>
      </c>
      <c r="Q39" s="20">
        <v>1</v>
      </c>
      <c r="R39" s="29">
        <v>50</v>
      </c>
      <c r="S39" s="8">
        <v>1</v>
      </c>
      <c r="T39" s="7">
        <v>54</v>
      </c>
    </row>
    <row r="40" spans="1:20" s="5" customFormat="1" ht="27" customHeight="1" x14ac:dyDescent="0.2">
      <c r="A40" s="33" t="s">
        <v>121</v>
      </c>
      <c r="B40" s="11" t="s">
        <v>42</v>
      </c>
      <c r="C40" s="11" t="s">
        <v>43</v>
      </c>
      <c r="D40" s="29">
        <v>1</v>
      </c>
      <c r="E40" s="29">
        <v>20</v>
      </c>
      <c r="F40" s="11">
        <v>45896</v>
      </c>
      <c r="G40" s="10">
        <v>0.375</v>
      </c>
      <c r="H40" s="11">
        <v>45890</v>
      </c>
      <c r="I40" s="10">
        <v>0.84722222222222221</v>
      </c>
      <c r="J40" s="9">
        <f t="shared" si="2"/>
        <v>2</v>
      </c>
      <c r="K40" s="8">
        <v>1</v>
      </c>
      <c r="L40" s="7">
        <v>18</v>
      </c>
      <c r="M40" s="6" t="s">
        <v>122</v>
      </c>
      <c r="Q40" s="20">
        <v>1</v>
      </c>
      <c r="R40" s="29">
        <v>60</v>
      </c>
      <c r="S40" s="8">
        <v>1</v>
      </c>
      <c r="T40" s="7">
        <v>50</v>
      </c>
    </row>
    <row r="41" spans="1:20" s="5" customFormat="1" ht="27" customHeight="1" x14ac:dyDescent="0.2">
      <c r="A41" s="38" t="s">
        <v>123</v>
      </c>
      <c r="B41" s="11" t="s">
        <v>36</v>
      </c>
      <c r="C41" s="11" t="s">
        <v>37</v>
      </c>
      <c r="D41" s="29">
        <v>1</v>
      </c>
      <c r="E41" s="29">
        <v>20</v>
      </c>
      <c r="F41" s="11">
        <v>45896</v>
      </c>
      <c r="G41" s="10">
        <v>0.375</v>
      </c>
      <c r="H41" s="11">
        <v>45890</v>
      </c>
      <c r="I41" s="10">
        <v>0.86111111111111116</v>
      </c>
      <c r="J41" s="9">
        <f>E41-L41</f>
        <v>0</v>
      </c>
      <c r="K41" s="8">
        <v>1</v>
      </c>
      <c r="L41" s="7">
        <v>20</v>
      </c>
      <c r="M41" s="36" t="s">
        <v>124</v>
      </c>
      <c r="Q41" s="20">
        <v>1</v>
      </c>
      <c r="R41" s="29">
        <v>55</v>
      </c>
      <c r="S41" s="8">
        <v>1</v>
      </c>
      <c r="T41" s="7">
        <v>55</v>
      </c>
    </row>
    <row r="42" spans="1:20" s="5" customFormat="1" ht="40.5" customHeight="1" x14ac:dyDescent="0.2">
      <c r="A42" s="35" t="s">
        <v>123</v>
      </c>
      <c r="B42" s="11" t="s">
        <v>143</v>
      </c>
      <c r="C42" s="11" t="s">
        <v>43</v>
      </c>
      <c r="D42" s="29">
        <v>1</v>
      </c>
      <c r="E42" s="29">
        <v>20</v>
      </c>
      <c r="F42" s="11">
        <v>45896</v>
      </c>
      <c r="G42" s="10">
        <v>0.375</v>
      </c>
      <c r="H42" s="11">
        <v>45890</v>
      </c>
      <c r="I42" s="10">
        <v>0.86111111111111116</v>
      </c>
      <c r="J42" s="9">
        <f t="shared" si="2"/>
        <v>0</v>
      </c>
      <c r="K42" s="8">
        <v>1</v>
      </c>
      <c r="L42" s="7">
        <v>20</v>
      </c>
      <c r="M42" s="36" t="s">
        <v>124</v>
      </c>
      <c r="Q42" s="20">
        <v>1</v>
      </c>
      <c r="R42" s="29">
        <v>60</v>
      </c>
      <c r="S42" s="8">
        <v>1</v>
      </c>
      <c r="T42" s="7">
        <v>66</v>
      </c>
    </row>
    <row r="43" spans="1:20" s="5" customFormat="1" ht="38.25" customHeight="1" x14ac:dyDescent="0.2">
      <c r="A43" s="33" t="s">
        <v>125</v>
      </c>
      <c r="B43" s="11" t="s">
        <v>36</v>
      </c>
      <c r="C43" s="11" t="s">
        <v>37</v>
      </c>
      <c r="D43" s="29">
        <v>1</v>
      </c>
      <c r="E43" s="29">
        <v>20</v>
      </c>
      <c r="F43" s="11">
        <v>45896</v>
      </c>
      <c r="G43" s="10">
        <v>0.375</v>
      </c>
      <c r="H43" s="11">
        <v>45890</v>
      </c>
      <c r="I43" s="10">
        <v>0.875</v>
      </c>
      <c r="J43" s="9">
        <f>E43-L43</f>
        <v>-1</v>
      </c>
      <c r="K43" s="8">
        <v>1</v>
      </c>
      <c r="L43" s="7">
        <v>21</v>
      </c>
      <c r="M43" s="6" t="s">
        <v>126</v>
      </c>
      <c r="Q43" s="20">
        <v>1</v>
      </c>
      <c r="R43" s="29">
        <v>60</v>
      </c>
      <c r="S43" s="8">
        <v>1</v>
      </c>
      <c r="T43" s="7">
        <v>66</v>
      </c>
    </row>
    <row r="44" spans="1:20" s="5" customFormat="1" ht="38.25" customHeight="1" x14ac:dyDescent="0.2">
      <c r="A44" s="33" t="s">
        <v>125</v>
      </c>
      <c r="B44" s="11" t="s">
        <v>42</v>
      </c>
      <c r="C44" s="11" t="s">
        <v>43</v>
      </c>
      <c r="D44" s="29">
        <v>1</v>
      </c>
      <c r="E44" s="29">
        <v>20</v>
      </c>
      <c r="F44" s="11">
        <v>45896</v>
      </c>
      <c r="G44" s="10">
        <v>0.375</v>
      </c>
      <c r="H44" s="11">
        <v>45890</v>
      </c>
      <c r="I44" s="10">
        <v>0.875</v>
      </c>
      <c r="J44" s="9">
        <f t="shared" si="2"/>
        <v>-1</v>
      </c>
      <c r="K44" s="8">
        <v>1</v>
      </c>
      <c r="L44" s="7">
        <v>21</v>
      </c>
      <c r="M44" s="6" t="s">
        <v>126</v>
      </c>
      <c r="Q44" s="20">
        <v>1</v>
      </c>
      <c r="R44" s="29">
        <v>60</v>
      </c>
      <c r="S44" s="8">
        <v>1</v>
      </c>
      <c r="T44" s="7">
        <v>66</v>
      </c>
    </row>
    <row r="45" spans="1:20" s="5" customFormat="1" ht="27" customHeight="1" x14ac:dyDescent="0.2">
      <c r="A45" s="39" t="s">
        <v>127</v>
      </c>
      <c r="B45" s="11" t="s">
        <v>36</v>
      </c>
      <c r="C45" s="11" t="s">
        <v>37</v>
      </c>
      <c r="D45" s="29">
        <v>1</v>
      </c>
      <c r="E45" s="29">
        <v>30</v>
      </c>
      <c r="F45" s="11">
        <v>45896</v>
      </c>
      <c r="G45" s="10">
        <v>0.375</v>
      </c>
      <c r="H45" s="11">
        <v>45890</v>
      </c>
      <c r="I45" s="10">
        <v>0.89583333333333337</v>
      </c>
      <c r="J45" s="9">
        <f>E45-L45</f>
        <v>5</v>
      </c>
      <c r="K45" s="8">
        <v>1</v>
      </c>
      <c r="L45" s="7">
        <v>25</v>
      </c>
      <c r="M45" s="6" t="s">
        <v>128</v>
      </c>
      <c r="Q45" s="20">
        <v>1</v>
      </c>
      <c r="R45" s="29">
        <v>60</v>
      </c>
      <c r="S45" s="8">
        <v>1</v>
      </c>
      <c r="T45" s="7">
        <v>66</v>
      </c>
    </row>
    <row r="46" spans="1:20" s="5" customFormat="1" ht="33" customHeight="1" x14ac:dyDescent="0.2">
      <c r="A46" t="s">
        <v>127</v>
      </c>
      <c r="B46" s="11" t="s">
        <v>42</v>
      </c>
      <c r="C46" s="11" t="s">
        <v>43</v>
      </c>
      <c r="D46" s="29">
        <v>1</v>
      </c>
      <c r="E46" s="29">
        <v>30</v>
      </c>
      <c r="F46" s="11">
        <v>45896</v>
      </c>
      <c r="G46" s="10">
        <v>0.375</v>
      </c>
      <c r="H46" s="11">
        <v>45890</v>
      </c>
      <c r="I46" s="10">
        <v>0.89583333333333337</v>
      </c>
      <c r="J46" s="9">
        <f t="shared" si="2"/>
        <v>5</v>
      </c>
      <c r="K46" s="8">
        <v>1</v>
      </c>
      <c r="L46" s="7">
        <v>25</v>
      </c>
      <c r="M46" s="6" t="s">
        <v>128</v>
      </c>
      <c r="Q46" s="20">
        <v>1</v>
      </c>
      <c r="R46" s="29">
        <v>60</v>
      </c>
      <c r="S46" s="8">
        <v>1</v>
      </c>
      <c r="T46" s="7">
        <v>66</v>
      </c>
    </row>
    <row r="47" spans="1:20" s="5" customFormat="1" ht="33.75" customHeight="1" x14ac:dyDescent="0.2">
      <c r="A47" s="33" t="s">
        <v>129</v>
      </c>
      <c r="B47" s="11" t="s">
        <v>36</v>
      </c>
      <c r="C47" s="11" t="s">
        <v>37</v>
      </c>
      <c r="D47" s="29">
        <v>1</v>
      </c>
      <c r="E47" s="29">
        <v>30</v>
      </c>
      <c r="F47" s="11">
        <v>45896</v>
      </c>
      <c r="G47" s="10">
        <v>0.375</v>
      </c>
      <c r="H47" s="11">
        <v>45890</v>
      </c>
      <c r="I47" s="10">
        <v>0.91666666666666663</v>
      </c>
      <c r="J47" s="9">
        <f>E47-L47</f>
        <v>10</v>
      </c>
      <c r="K47" s="8">
        <v>1</v>
      </c>
      <c r="L47" s="7">
        <v>20</v>
      </c>
      <c r="M47" s="6" t="s">
        <v>130</v>
      </c>
      <c r="Q47" s="20">
        <v>1</v>
      </c>
      <c r="R47" s="29">
        <v>60</v>
      </c>
      <c r="S47" s="8">
        <v>1</v>
      </c>
      <c r="T47" s="7">
        <v>66</v>
      </c>
    </row>
    <row r="48" spans="1:20" s="5" customFormat="1" ht="27" customHeight="1" x14ac:dyDescent="0.2">
      <c r="A48" s="33" t="s">
        <v>129</v>
      </c>
      <c r="B48" s="11" t="s">
        <v>42</v>
      </c>
      <c r="C48" s="11" t="s">
        <v>43</v>
      </c>
      <c r="D48" s="29">
        <v>1</v>
      </c>
      <c r="E48" s="29">
        <v>30</v>
      </c>
      <c r="F48" s="11">
        <v>45896</v>
      </c>
      <c r="G48" s="10">
        <v>0.375</v>
      </c>
      <c r="H48" s="11">
        <v>45890</v>
      </c>
      <c r="I48" s="10">
        <v>0.91666666666666663</v>
      </c>
      <c r="J48" s="9">
        <f t="shared" si="2"/>
        <v>10</v>
      </c>
      <c r="K48" s="8">
        <v>1</v>
      </c>
      <c r="L48" s="7">
        <v>20</v>
      </c>
      <c r="M48" s="6" t="s">
        <v>130</v>
      </c>
      <c r="Q48" s="20">
        <v>1</v>
      </c>
      <c r="R48" s="29">
        <v>30</v>
      </c>
      <c r="S48" s="8">
        <v>1</v>
      </c>
      <c r="T48" s="7">
        <v>25</v>
      </c>
    </row>
    <row r="49" spans="1:20" s="5" customFormat="1" ht="26.1" customHeight="1" x14ac:dyDescent="0.2">
      <c r="A49" s="23" t="s">
        <v>146</v>
      </c>
      <c r="B49" s="11" t="s">
        <v>30</v>
      </c>
      <c r="C49" s="11" t="s">
        <v>83</v>
      </c>
      <c r="D49" s="20">
        <v>1</v>
      </c>
      <c r="E49" s="29">
        <v>60</v>
      </c>
      <c r="F49" s="11">
        <v>45896</v>
      </c>
      <c r="G49" s="10">
        <v>0.375</v>
      </c>
      <c r="H49" s="11">
        <v>45890</v>
      </c>
      <c r="I49" s="10">
        <v>0.91666666666666663</v>
      </c>
      <c r="J49" s="9">
        <f>E49-L49</f>
        <v>50</v>
      </c>
      <c r="K49" s="8">
        <v>1</v>
      </c>
      <c r="L49" s="7">
        <v>10</v>
      </c>
      <c r="M49" s="6" t="s">
        <v>149</v>
      </c>
      <c r="Q49" s="20">
        <v>1</v>
      </c>
      <c r="R49" s="29">
        <v>20</v>
      </c>
      <c r="S49" s="8">
        <v>1</v>
      </c>
      <c r="T49" s="7">
        <v>20</v>
      </c>
    </row>
    <row r="50" spans="1:20" s="5" customFormat="1" ht="24.95" customHeight="1" x14ac:dyDescent="0.2">
      <c r="A50" s="23" t="s">
        <v>146</v>
      </c>
      <c r="B50" s="11" t="s">
        <v>42</v>
      </c>
      <c r="C50" s="11" t="s">
        <v>77</v>
      </c>
      <c r="D50" s="20">
        <v>1</v>
      </c>
      <c r="E50" s="29">
        <v>60</v>
      </c>
      <c r="F50" s="11">
        <v>45896</v>
      </c>
      <c r="G50" s="10">
        <v>0.375</v>
      </c>
      <c r="H50" s="11">
        <v>45890</v>
      </c>
      <c r="I50" s="10">
        <v>0.91666666666666663</v>
      </c>
      <c r="J50" s="9">
        <f>E50-L50</f>
        <v>50</v>
      </c>
      <c r="K50" s="8">
        <v>1</v>
      </c>
      <c r="L50" s="7">
        <v>10</v>
      </c>
      <c r="M50" s="6" t="s">
        <v>149</v>
      </c>
      <c r="Q50" s="20">
        <v>1</v>
      </c>
      <c r="R50" s="29">
        <v>30</v>
      </c>
      <c r="S50" s="8">
        <v>1</v>
      </c>
      <c r="T50" s="7">
        <v>25</v>
      </c>
    </row>
    <row r="51" spans="1:20" s="5" customFormat="1" ht="22.5" customHeight="1" x14ac:dyDescent="0.2">
      <c r="A51" s="23" t="s">
        <v>146</v>
      </c>
      <c r="B51" s="11" t="s">
        <v>21</v>
      </c>
      <c r="C51" s="11" t="s">
        <v>86</v>
      </c>
      <c r="D51" s="20">
        <v>1</v>
      </c>
      <c r="E51" s="29">
        <v>60</v>
      </c>
      <c r="F51" s="11">
        <v>45896</v>
      </c>
      <c r="G51" s="10">
        <v>0.375</v>
      </c>
      <c r="H51" s="11">
        <v>45890</v>
      </c>
      <c r="I51" s="10">
        <v>0.91666666666666663</v>
      </c>
      <c r="J51" s="9">
        <f>E51-L51</f>
        <v>50</v>
      </c>
      <c r="K51" s="8">
        <v>1</v>
      </c>
      <c r="L51" s="7">
        <v>10</v>
      </c>
      <c r="M51" s="6" t="s">
        <v>149</v>
      </c>
      <c r="Q51" s="20">
        <v>1</v>
      </c>
      <c r="R51" s="29">
        <v>30</v>
      </c>
      <c r="S51" s="8">
        <v>1</v>
      </c>
      <c r="T51" s="7">
        <v>25</v>
      </c>
    </row>
    <row r="52" spans="1:20" s="5" customFormat="1" ht="35.450000000000003" customHeight="1" x14ac:dyDescent="0.2">
      <c r="A52" s="23" t="s">
        <v>146</v>
      </c>
      <c r="B52" s="11" t="s">
        <v>136</v>
      </c>
      <c r="C52" s="11" t="s">
        <v>151</v>
      </c>
      <c r="D52" s="20">
        <v>1</v>
      </c>
      <c r="E52" s="29">
        <v>60</v>
      </c>
      <c r="F52" s="11">
        <v>45896</v>
      </c>
      <c r="G52" s="10">
        <v>0.375</v>
      </c>
      <c r="H52" s="11">
        <v>45890</v>
      </c>
      <c r="I52" s="10">
        <v>0.91666666666666663</v>
      </c>
      <c r="J52" s="9">
        <f>E52-L52</f>
        <v>50</v>
      </c>
      <c r="K52" s="8">
        <v>1</v>
      </c>
      <c r="L52" s="7">
        <v>10</v>
      </c>
      <c r="M52" s="6" t="s">
        <v>149</v>
      </c>
      <c r="Q52" s="20">
        <v>1</v>
      </c>
      <c r="R52" s="8">
        <v>30</v>
      </c>
      <c r="S52" s="8">
        <v>1</v>
      </c>
      <c r="T52" s="7">
        <v>30</v>
      </c>
    </row>
    <row r="53" spans="1:20" s="5" customFormat="1" ht="36.6" customHeight="1" x14ac:dyDescent="0.2">
      <c r="A53" s="23" t="s">
        <v>146</v>
      </c>
      <c r="B53" s="11" t="s">
        <v>36</v>
      </c>
      <c r="C53" s="11" t="s">
        <v>80</v>
      </c>
      <c r="D53" s="20">
        <v>1</v>
      </c>
      <c r="E53" s="29">
        <v>60</v>
      </c>
      <c r="F53" s="11">
        <v>45882</v>
      </c>
      <c r="G53" s="10">
        <v>0.375</v>
      </c>
      <c r="H53" s="11">
        <v>45890</v>
      </c>
      <c r="I53" s="10">
        <v>0.91666666666666663</v>
      </c>
      <c r="J53" s="9">
        <f>E53-L53</f>
        <v>50</v>
      </c>
      <c r="K53" s="8">
        <v>1</v>
      </c>
      <c r="L53" s="7">
        <v>10</v>
      </c>
      <c r="M53" s="6" t="s">
        <v>149</v>
      </c>
      <c r="Q53" s="20">
        <v>3</v>
      </c>
      <c r="R53" s="29">
        <v>60</v>
      </c>
      <c r="S53" s="8">
        <v>3</v>
      </c>
      <c r="T53" s="7">
        <v>60</v>
      </c>
    </row>
    <row r="54" spans="1:20" s="5" customFormat="1" ht="36.6" customHeight="1" x14ac:dyDescent="0.2">
      <c r="A54" s="23" t="s">
        <v>146</v>
      </c>
      <c r="B54" s="11" t="s">
        <v>39</v>
      </c>
      <c r="C54" s="11" t="s">
        <v>150</v>
      </c>
      <c r="D54" s="20">
        <v>1</v>
      </c>
      <c r="E54" s="29">
        <v>60</v>
      </c>
      <c r="F54" s="11">
        <v>45896</v>
      </c>
      <c r="G54" s="10">
        <v>0.375</v>
      </c>
      <c r="H54" s="11">
        <v>45890</v>
      </c>
      <c r="I54" s="10">
        <v>0.91666666666666663</v>
      </c>
      <c r="J54" s="9">
        <f t="shared" si="2"/>
        <v>50</v>
      </c>
      <c r="K54" s="8">
        <v>1</v>
      </c>
      <c r="L54" s="7">
        <v>10</v>
      </c>
      <c r="M54" s="6" t="s">
        <v>149</v>
      </c>
      <c r="Q54" s="20">
        <v>3</v>
      </c>
      <c r="R54" s="29">
        <v>60</v>
      </c>
      <c r="S54" s="8">
        <v>3</v>
      </c>
      <c r="T54" s="7">
        <v>60</v>
      </c>
    </row>
    <row r="55" spans="1:20" s="5" customFormat="1" ht="35.450000000000003" customHeight="1" x14ac:dyDescent="0.2">
      <c r="A55" s="23" t="s">
        <v>52</v>
      </c>
      <c r="B55" s="21" t="s">
        <v>21</v>
      </c>
      <c r="C55" s="21" t="s">
        <v>22</v>
      </c>
      <c r="D55" s="20">
        <v>1</v>
      </c>
      <c r="E55" s="29">
        <v>30</v>
      </c>
      <c r="F55" s="11">
        <v>45896</v>
      </c>
      <c r="G55" s="10">
        <v>0.375</v>
      </c>
      <c r="H55" s="11">
        <v>45890</v>
      </c>
      <c r="I55" s="10">
        <v>0.91666666666666663</v>
      </c>
      <c r="J55" s="9">
        <f t="shared" si="2"/>
        <v>0</v>
      </c>
      <c r="K55" s="8">
        <v>1</v>
      </c>
      <c r="L55" s="7">
        <v>30</v>
      </c>
      <c r="M55" s="6" t="s">
        <v>53</v>
      </c>
      <c r="Q55" s="20">
        <v>1</v>
      </c>
      <c r="R55" s="29">
        <v>30</v>
      </c>
      <c r="S55" s="8">
        <v>1</v>
      </c>
      <c r="T55" s="7">
        <v>30</v>
      </c>
    </row>
    <row r="56" spans="1:20" s="5" customFormat="1" ht="35.450000000000003" customHeight="1" x14ac:dyDescent="0.2">
      <c r="A56" s="23" t="s">
        <v>153</v>
      </c>
      <c r="B56" s="21" t="s">
        <v>36</v>
      </c>
      <c r="C56" s="21" t="s">
        <v>37</v>
      </c>
      <c r="D56" s="20">
        <v>1</v>
      </c>
      <c r="E56" s="5">
        <v>30</v>
      </c>
      <c r="F56" s="11">
        <v>45896</v>
      </c>
      <c r="G56" s="10">
        <v>0.375</v>
      </c>
      <c r="H56" s="11">
        <v>45890</v>
      </c>
      <c r="I56" s="10">
        <v>0.91666666666666663</v>
      </c>
      <c r="J56" s="9">
        <f t="shared" si="2"/>
        <v>0</v>
      </c>
      <c r="K56" s="8">
        <v>1</v>
      </c>
      <c r="L56" s="7">
        <v>30</v>
      </c>
      <c r="M56" s="6" t="s">
        <v>53</v>
      </c>
      <c r="Q56" s="20">
        <v>1</v>
      </c>
      <c r="R56" s="29">
        <v>30</v>
      </c>
      <c r="S56" s="8">
        <v>1</v>
      </c>
      <c r="T56" s="7">
        <v>30</v>
      </c>
    </row>
    <row r="57" spans="1:20" s="5" customFormat="1" ht="35.450000000000003" customHeight="1" x14ac:dyDescent="0.2">
      <c r="A57" s="23" t="s">
        <v>79</v>
      </c>
      <c r="B57" s="11" t="s">
        <v>36</v>
      </c>
      <c r="C57" s="11" t="s">
        <v>80</v>
      </c>
      <c r="D57" s="20">
        <v>1</v>
      </c>
      <c r="E57" s="29">
        <v>45</v>
      </c>
      <c r="F57" s="11">
        <v>45896</v>
      </c>
      <c r="G57" s="10">
        <v>0.375</v>
      </c>
      <c r="H57" s="11">
        <v>45890</v>
      </c>
      <c r="I57" s="10">
        <v>0.9375</v>
      </c>
      <c r="J57" s="9">
        <f t="shared" si="2"/>
        <v>-35</v>
      </c>
      <c r="K57" s="8">
        <v>1</v>
      </c>
      <c r="L57" s="7">
        <v>80</v>
      </c>
      <c r="M57" s="6" t="s">
        <v>81</v>
      </c>
      <c r="Q57" s="20">
        <v>1</v>
      </c>
      <c r="R57" s="29">
        <v>20</v>
      </c>
      <c r="S57" s="8">
        <v>1</v>
      </c>
      <c r="T57" s="7">
        <v>20</v>
      </c>
    </row>
    <row r="58" spans="1:20" s="5" customFormat="1" ht="35.450000000000003" customHeight="1" x14ac:dyDescent="0.2">
      <c r="A58" s="23" t="s">
        <v>85</v>
      </c>
      <c r="B58" s="11" t="s">
        <v>21</v>
      </c>
      <c r="C58" s="11" t="s">
        <v>86</v>
      </c>
      <c r="D58" s="20">
        <v>1</v>
      </c>
      <c r="E58" s="29">
        <v>60</v>
      </c>
      <c r="F58" s="11">
        <v>45896</v>
      </c>
      <c r="G58" s="10">
        <v>0.375</v>
      </c>
      <c r="H58" s="11">
        <v>45890</v>
      </c>
      <c r="I58" s="10">
        <v>0.9375</v>
      </c>
      <c r="J58" s="9">
        <f t="shared" si="2"/>
        <v>10</v>
      </c>
      <c r="K58" s="8">
        <v>1</v>
      </c>
      <c r="L58" s="7">
        <v>50</v>
      </c>
      <c r="M58" s="6" t="s">
        <v>87</v>
      </c>
      <c r="Q58" s="20">
        <v>1</v>
      </c>
      <c r="R58" s="29">
        <v>20</v>
      </c>
      <c r="S58" s="8">
        <v>1</v>
      </c>
      <c r="T58" s="7">
        <v>20</v>
      </c>
    </row>
    <row r="59" spans="1:20" s="5" customFormat="1" ht="35.450000000000003" customHeight="1" x14ac:dyDescent="0.2">
      <c r="A59" s="23" t="s">
        <v>88</v>
      </c>
      <c r="B59" s="11" t="s">
        <v>21</v>
      </c>
      <c r="C59" s="11" t="s">
        <v>86</v>
      </c>
      <c r="D59" s="20">
        <v>1</v>
      </c>
      <c r="E59" s="29">
        <v>55</v>
      </c>
      <c r="F59" s="11">
        <v>45896</v>
      </c>
      <c r="G59" s="10">
        <v>0.375</v>
      </c>
      <c r="H59" s="11">
        <v>45890</v>
      </c>
      <c r="I59" s="10">
        <v>0.9375</v>
      </c>
      <c r="J59" s="9">
        <f t="shared" si="2"/>
        <v>0</v>
      </c>
      <c r="K59" s="8">
        <v>1</v>
      </c>
      <c r="L59" s="7">
        <v>55</v>
      </c>
      <c r="M59" s="6" t="s">
        <v>89</v>
      </c>
      <c r="Q59" s="29">
        <v>1</v>
      </c>
      <c r="R59" s="34">
        <v>20</v>
      </c>
      <c r="S59" s="8">
        <v>1</v>
      </c>
      <c r="T59" s="7">
        <v>18</v>
      </c>
    </row>
    <row r="60" spans="1:20" s="5" customFormat="1" ht="35.450000000000003" customHeight="1" x14ac:dyDescent="0.2">
      <c r="A60" s="33" t="s">
        <v>131</v>
      </c>
      <c r="B60" s="11" t="s">
        <v>36</v>
      </c>
      <c r="C60" s="11" t="s">
        <v>37</v>
      </c>
      <c r="D60" s="29">
        <v>1</v>
      </c>
      <c r="E60" s="29">
        <v>30</v>
      </c>
      <c r="F60" s="11">
        <v>45896</v>
      </c>
      <c r="G60" s="10">
        <v>0.375</v>
      </c>
      <c r="H60" s="11">
        <v>45894</v>
      </c>
      <c r="I60" s="10">
        <v>0.9375</v>
      </c>
      <c r="J60" s="9">
        <f>E60-L60</f>
        <v>-2</v>
      </c>
      <c r="K60" s="8">
        <v>1</v>
      </c>
      <c r="L60" s="7">
        <v>32</v>
      </c>
      <c r="M60" s="6" t="s">
        <v>132</v>
      </c>
      <c r="Q60" s="29">
        <v>1</v>
      </c>
      <c r="R60" s="40">
        <v>20</v>
      </c>
      <c r="S60" s="8">
        <v>1</v>
      </c>
      <c r="T60" s="7">
        <v>18</v>
      </c>
    </row>
    <row r="61" spans="1:20" s="5" customFormat="1" ht="35.450000000000003" customHeight="1" x14ac:dyDescent="0.2">
      <c r="A61" s="33" t="s">
        <v>131</v>
      </c>
      <c r="B61" s="11" t="s">
        <v>42</v>
      </c>
      <c r="C61" s="11" t="s">
        <v>43</v>
      </c>
      <c r="D61" s="29">
        <v>1</v>
      </c>
      <c r="E61" s="29">
        <v>30</v>
      </c>
      <c r="F61" s="11">
        <v>45896</v>
      </c>
      <c r="G61" s="10">
        <v>0.375</v>
      </c>
      <c r="H61" s="11">
        <v>45894</v>
      </c>
      <c r="I61" s="10">
        <v>0.9375</v>
      </c>
      <c r="J61" s="9">
        <f>E61-L61</f>
        <v>-2</v>
      </c>
      <c r="K61" s="8">
        <v>1</v>
      </c>
      <c r="L61" s="7">
        <v>32</v>
      </c>
      <c r="M61" s="6" t="s">
        <v>132</v>
      </c>
      <c r="Q61" s="29">
        <v>1</v>
      </c>
      <c r="R61" s="29">
        <v>20</v>
      </c>
      <c r="S61" s="8">
        <v>1</v>
      </c>
      <c r="T61" s="7">
        <v>19</v>
      </c>
    </row>
    <row r="62" spans="1:20" s="5" customFormat="1" ht="35.450000000000003" customHeight="1" x14ac:dyDescent="0.2">
      <c r="A62" s="33" t="s">
        <v>131</v>
      </c>
      <c r="B62" s="11" t="s">
        <v>30</v>
      </c>
      <c r="C62" s="11" t="s">
        <v>31</v>
      </c>
      <c r="D62" s="29">
        <v>1</v>
      </c>
      <c r="E62" s="29">
        <v>30</v>
      </c>
      <c r="F62" s="11">
        <v>45896</v>
      </c>
      <c r="G62" s="10">
        <v>0.375</v>
      </c>
      <c r="H62" s="11">
        <v>45894</v>
      </c>
      <c r="I62" s="10">
        <v>0.9375</v>
      </c>
      <c r="J62" s="9">
        <f>E62-L62</f>
        <v>-2</v>
      </c>
      <c r="K62" s="8">
        <v>1</v>
      </c>
      <c r="L62" s="7">
        <v>32</v>
      </c>
      <c r="M62" s="6" t="s">
        <v>132</v>
      </c>
      <c r="Q62" s="29">
        <v>1</v>
      </c>
      <c r="R62" s="29">
        <v>20</v>
      </c>
      <c r="S62" s="8">
        <v>1</v>
      </c>
      <c r="T62" s="7">
        <v>19</v>
      </c>
    </row>
    <row r="63" spans="1:20" s="5" customFormat="1" ht="35.450000000000003" customHeight="1" x14ac:dyDescent="0.2">
      <c r="A63" s="33" t="s">
        <v>131</v>
      </c>
      <c r="B63" s="11" t="s">
        <v>21</v>
      </c>
      <c r="C63" s="11" t="s">
        <v>22</v>
      </c>
      <c r="D63" s="29">
        <v>1</v>
      </c>
      <c r="E63" s="29">
        <v>30</v>
      </c>
      <c r="F63" s="11">
        <v>45896</v>
      </c>
      <c r="G63" s="10">
        <v>0.375</v>
      </c>
      <c r="H63" s="11">
        <v>45894</v>
      </c>
      <c r="I63" s="10">
        <v>0.9375</v>
      </c>
      <c r="J63" s="9">
        <f>E63-L63</f>
        <v>-2</v>
      </c>
      <c r="K63" s="8">
        <v>1</v>
      </c>
      <c r="L63" s="7">
        <v>32</v>
      </c>
      <c r="M63" s="6" t="s">
        <v>132</v>
      </c>
      <c r="Q63" s="29">
        <v>1</v>
      </c>
      <c r="R63" s="29">
        <v>30</v>
      </c>
      <c r="S63" s="8">
        <v>1</v>
      </c>
      <c r="T63" s="7">
        <v>25</v>
      </c>
    </row>
    <row r="64" spans="1:20" s="5" customFormat="1" ht="35.450000000000003" customHeight="1" x14ac:dyDescent="0.2">
      <c r="A64" s="33" t="s">
        <v>131</v>
      </c>
      <c r="B64" s="11" t="s">
        <v>136</v>
      </c>
      <c r="C64" s="11" t="s">
        <v>34</v>
      </c>
      <c r="D64" s="29">
        <v>1</v>
      </c>
      <c r="E64" s="29">
        <v>30</v>
      </c>
      <c r="F64" s="11">
        <v>45896</v>
      </c>
      <c r="G64" s="10">
        <v>0.375</v>
      </c>
      <c r="H64" s="11">
        <v>45894</v>
      </c>
      <c r="I64" s="10">
        <v>0.9375</v>
      </c>
      <c r="J64" s="9">
        <f>E64-L64</f>
        <v>-2</v>
      </c>
      <c r="K64" s="8">
        <v>1</v>
      </c>
      <c r="L64" s="7">
        <v>32</v>
      </c>
      <c r="M64" s="6" t="s">
        <v>132</v>
      </c>
      <c r="Q64" s="29">
        <v>1</v>
      </c>
      <c r="R64" s="29">
        <v>30</v>
      </c>
      <c r="S64" s="8">
        <v>1</v>
      </c>
      <c r="T64" s="7">
        <v>25</v>
      </c>
    </row>
    <row r="65" spans="1:20" s="5" customFormat="1" ht="35.450000000000003" customHeight="1" x14ac:dyDescent="0.2">
      <c r="A65" s="33" t="s">
        <v>131</v>
      </c>
      <c r="B65" s="11" t="s">
        <v>39</v>
      </c>
      <c r="C65" s="11" t="s">
        <v>40</v>
      </c>
      <c r="D65" s="29">
        <v>1</v>
      </c>
      <c r="E65" s="29">
        <v>30</v>
      </c>
      <c r="F65" s="11">
        <v>45896</v>
      </c>
      <c r="G65" s="10">
        <v>0.375</v>
      </c>
      <c r="H65" s="11">
        <v>45894</v>
      </c>
      <c r="I65" s="10">
        <v>0.9375</v>
      </c>
      <c r="J65" s="9">
        <f t="shared" si="2"/>
        <v>-2</v>
      </c>
      <c r="K65" s="8">
        <v>1</v>
      </c>
      <c r="L65" s="7">
        <v>32</v>
      </c>
      <c r="M65" s="6" t="s">
        <v>132</v>
      </c>
      <c r="Q65" s="29">
        <v>1</v>
      </c>
      <c r="R65" s="29">
        <v>30</v>
      </c>
      <c r="S65" s="8">
        <v>1</v>
      </c>
      <c r="T65" s="7">
        <v>24</v>
      </c>
    </row>
    <row r="66" spans="1:20" s="5" customFormat="1" ht="35.450000000000003" customHeight="1" x14ac:dyDescent="0.2">
      <c r="A66" s="33" t="s">
        <v>133</v>
      </c>
      <c r="B66" s="11" t="s">
        <v>21</v>
      </c>
      <c r="C66" s="11" t="s">
        <v>22</v>
      </c>
      <c r="D66" s="29">
        <v>3</v>
      </c>
      <c r="E66" s="29">
        <v>20</v>
      </c>
      <c r="F66" s="11">
        <v>45896</v>
      </c>
      <c r="G66" s="10">
        <v>0.375</v>
      </c>
      <c r="H66" s="11">
        <v>45895</v>
      </c>
      <c r="I66" s="10">
        <v>0.58333333333333337</v>
      </c>
      <c r="J66" s="9">
        <f t="shared" si="2"/>
        <v>5</v>
      </c>
      <c r="K66" s="8">
        <v>3</v>
      </c>
      <c r="L66" s="7">
        <v>15</v>
      </c>
      <c r="M66" s="6" t="s">
        <v>134</v>
      </c>
      <c r="Q66" s="29">
        <v>1</v>
      </c>
      <c r="R66" s="29">
        <v>30</v>
      </c>
      <c r="S66" s="8">
        <v>1</v>
      </c>
      <c r="T66" s="7">
        <v>24</v>
      </c>
    </row>
    <row r="67" spans="1:20" s="5" customFormat="1" ht="35.450000000000003" customHeight="1" x14ac:dyDescent="0.2"/>
    <row r="68" spans="1:20" s="5" customFormat="1" ht="37.5" customHeight="1" x14ac:dyDescent="0.2"/>
    <row r="69" spans="1:20" x14ac:dyDescent="0.2">
      <c r="A69"/>
      <c r="B69"/>
      <c r="C69"/>
      <c r="D69"/>
      <c r="E69"/>
      <c r="F69"/>
      <c r="G69"/>
      <c r="H69"/>
      <c r="I69"/>
      <c r="J69"/>
      <c r="K69"/>
      <c r="L69"/>
      <c r="M69"/>
    </row>
    <row r="70" spans="1:20" x14ac:dyDescent="0.2">
      <c r="A70"/>
      <c r="B70"/>
      <c r="C70"/>
      <c r="D70"/>
      <c r="E70"/>
      <c r="F70"/>
      <c r="G70"/>
      <c r="H70"/>
      <c r="I70"/>
      <c r="J70"/>
      <c r="K70"/>
      <c r="L70"/>
      <c r="M70"/>
    </row>
    <row r="71" spans="1:20" x14ac:dyDescent="0.2">
      <c r="A71"/>
      <c r="B71"/>
      <c r="C71"/>
      <c r="D71"/>
      <c r="E71"/>
      <c r="F71"/>
      <c r="G71"/>
      <c r="H71"/>
      <c r="I71"/>
      <c r="J71"/>
      <c r="K71"/>
      <c r="L71"/>
      <c r="M71"/>
    </row>
    <row r="72" spans="1:20" x14ac:dyDescent="0.2">
      <c r="A72"/>
      <c r="B72"/>
      <c r="C72"/>
      <c r="D72"/>
      <c r="E72"/>
      <c r="F72"/>
      <c r="G72"/>
      <c r="H72"/>
      <c r="I72"/>
      <c r="J72"/>
      <c r="K72"/>
      <c r="L72"/>
      <c r="M72"/>
    </row>
    <row r="73" spans="1:20" x14ac:dyDescent="0.2">
      <c r="A73"/>
      <c r="B73"/>
      <c r="C73"/>
      <c r="D73"/>
      <c r="E73"/>
      <c r="F73"/>
      <c r="G73"/>
      <c r="H73"/>
      <c r="I73"/>
      <c r="J73"/>
      <c r="K73"/>
      <c r="L73"/>
      <c r="M73"/>
    </row>
    <row r="74" spans="1:20" x14ac:dyDescent="0.2">
      <c r="A74"/>
      <c r="B74"/>
      <c r="C74"/>
      <c r="D74"/>
      <c r="E74"/>
      <c r="F74"/>
      <c r="G74"/>
      <c r="H74"/>
      <c r="I74"/>
      <c r="J74"/>
      <c r="K74"/>
      <c r="L74"/>
      <c r="M74"/>
    </row>
    <row r="75" spans="1:20" x14ac:dyDescent="0.2">
      <c r="A75"/>
      <c r="B75"/>
      <c r="C75"/>
      <c r="D75"/>
      <c r="E75"/>
      <c r="F75"/>
      <c r="G75"/>
      <c r="H75"/>
      <c r="I75"/>
      <c r="J75"/>
      <c r="K75"/>
      <c r="L75"/>
      <c r="M75"/>
    </row>
    <row r="76" spans="1:20" x14ac:dyDescent="0.2">
      <c r="A76"/>
      <c r="B76"/>
      <c r="C76"/>
      <c r="D76"/>
      <c r="E76"/>
      <c r="F76"/>
      <c r="G76"/>
      <c r="H76"/>
      <c r="I76"/>
      <c r="J76"/>
      <c r="K76"/>
      <c r="L76"/>
      <c r="M76"/>
    </row>
    <row r="77" spans="1:20" x14ac:dyDescent="0.2">
      <c r="A77"/>
      <c r="B77"/>
      <c r="C77"/>
      <c r="D77"/>
      <c r="E77"/>
      <c r="F77"/>
      <c r="G77"/>
      <c r="H77"/>
      <c r="I77"/>
      <c r="J77"/>
      <c r="K77"/>
      <c r="L77"/>
      <c r="M77"/>
    </row>
    <row r="78" spans="1:20" x14ac:dyDescent="0.2">
      <c r="A78"/>
      <c r="B78"/>
      <c r="C78"/>
      <c r="D78"/>
      <c r="E78"/>
      <c r="F78"/>
      <c r="G78"/>
      <c r="H78"/>
      <c r="I78"/>
      <c r="J78"/>
      <c r="K78"/>
      <c r="L78"/>
      <c r="M78"/>
    </row>
    <row r="79" spans="1:20" x14ac:dyDescent="0.2">
      <c r="A79"/>
      <c r="B79"/>
      <c r="C79"/>
      <c r="D79"/>
      <c r="E79"/>
      <c r="F79"/>
      <c r="G79"/>
      <c r="H79"/>
      <c r="I79"/>
      <c r="J79"/>
      <c r="K79"/>
      <c r="L79"/>
      <c r="M79"/>
    </row>
    <row r="80" spans="1:20" x14ac:dyDescent="0.2">
      <c r="A80"/>
      <c r="B80"/>
      <c r="C80"/>
      <c r="D80"/>
      <c r="E80"/>
      <c r="F80"/>
      <c r="G80"/>
      <c r="H80"/>
      <c r="I80"/>
      <c r="J80"/>
      <c r="K80"/>
      <c r="L80"/>
      <c r="M80"/>
    </row>
    <row r="81" spans="1:20" x14ac:dyDescent="0.2">
      <c r="A81"/>
      <c r="B81"/>
      <c r="C81"/>
      <c r="D81"/>
      <c r="E81"/>
      <c r="F81"/>
      <c r="G81"/>
      <c r="H81"/>
      <c r="I81"/>
      <c r="J81"/>
      <c r="K81"/>
      <c r="L81"/>
      <c r="M81"/>
    </row>
    <row r="82" spans="1:20" x14ac:dyDescent="0.2">
      <c r="A82"/>
      <c r="B82"/>
      <c r="C82"/>
      <c r="D82"/>
      <c r="E82"/>
      <c r="F82"/>
      <c r="G82"/>
      <c r="H82"/>
      <c r="I82"/>
      <c r="J82"/>
      <c r="K82"/>
      <c r="L82"/>
      <c r="M82"/>
    </row>
    <row r="83" spans="1:20" x14ac:dyDescent="0.2">
      <c r="A83"/>
      <c r="B83"/>
      <c r="C83"/>
      <c r="D83"/>
      <c r="E83"/>
      <c r="F83"/>
      <c r="G83"/>
      <c r="H83"/>
      <c r="I83"/>
      <c r="J83"/>
      <c r="K83"/>
      <c r="L83"/>
      <c r="M83"/>
    </row>
    <row r="84" spans="1:20" x14ac:dyDescent="0.2">
      <c r="A84"/>
      <c r="B84"/>
      <c r="C84"/>
      <c r="D84"/>
      <c r="E84"/>
      <c r="F84"/>
      <c r="G84"/>
      <c r="H84"/>
      <c r="I84"/>
      <c r="J84"/>
      <c r="K84"/>
      <c r="L84"/>
      <c r="M84"/>
    </row>
    <row r="85" spans="1:20" x14ac:dyDescent="0.2">
      <c r="A85"/>
      <c r="B85"/>
      <c r="C85"/>
      <c r="D85"/>
      <c r="E85"/>
      <c r="F85"/>
      <c r="G85"/>
      <c r="H85"/>
      <c r="I85"/>
      <c r="J85"/>
      <c r="K85"/>
      <c r="L85"/>
      <c r="M85"/>
    </row>
    <row r="86" spans="1:20" x14ac:dyDescent="0.2">
      <c r="A86"/>
      <c r="B86"/>
      <c r="C86"/>
      <c r="D86"/>
      <c r="E86"/>
      <c r="F86"/>
      <c r="G86"/>
      <c r="H86"/>
      <c r="I86"/>
      <c r="J86"/>
      <c r="K86"/>
      <c r="L86"/>
      <c r="M86"/>
    </row>
    <row r="87" spans="1:20" x14ac:dyDescent="0.2">
      <c r="A87"/>
      <c r="B87"/>
      <c r="C87"/>
      <c r="D87"/>
      <c r="E87"/>
      <c r="F87"/>
      <c r="G87"/>
      <c r="H87"/>
      <c r="I87"/>
      <c r="J87"/>
      <c r="K87"/>
      <c r="L87"/>
      <c r="M87"/>
    </row>
    <row r="88" spans="1:20" x14ac:dyDescent="0.2">
      <c r="A88"/>
      <c r="B88"/>
      <c r="C88"/>
      <c r="D88"/>
      <c r="E88"/>
      <c r="F88"/>
      <c r="G88"/>
      <c r="H88"/>
      <c r="I88"/>
      <c r="J88"/>
      <c r="K88"/>
      <c r="L88"/>
      <c r="M88"/>
    </row>
    <row r="89" spans="1:20" x14ac:dyDescent="0.2">
      <c r="Q89" s="29">
        <v>1</v>
      </c>
      <c r="R89" s="29">
        <v>30</v>
      </c>
      <c r="S89" s="8">
        <v>1</v>
      </c>
      <c r="T89" s="7">
        <v>20</v>
      </c>
    </row>
    <row r="90" spans="1:20" x14ac:dyDescent="0.2">
      <c r="Q90" s="29">
        <v>1</v>
      </c>
      <c r="R90" s="29">
        <v>30</v>
      </c>
      <c r="S90" s="8">
        <v>1</v>
      </c>
      <c r="T90" s="7">
        <v>20</v>
      </c>
    </row>
    <row r="91" spans="1:20" x14ac:dyDescent="0.2">
      <c r="Q91" s="20">
        <v>1</v>
      </c>
      <c r="R91" s="29">
        <v>60</v>
      </c>
      <c r="S91" s="8">
        <v>1</v>
      </c>
      <c r="T91" s="7">
        <v>10</v>
      </c>
    </row>
    <row r="92" spans="1:20" x14ac:dyDescent="0.2">
      <c r="Q92" s="20">
        <v>1</v>
      </c>
      <c r="R92" s="29">
        <v>60</v>
      </c>
      <c r="S92" s="8">
        <v>1</v>
      </c>
      <c r="T92" s="7">
        <v>10</v>
      </c>
    </row>
    <row r="93" spans="1:20" x14ac:dyDescent="0.2">
      <c r="Q93" s="20">
        <v>1</v>
      </c>
      <c r="R93" s="29">
        <v>60</v>
      </c>
      <c r="S93" s="8">
        <v>1</v>
      </c>
      <c r="T93" s="7">
        <v>10</v>
      </c>
    </row>
    <row r="94" spans="1:20" x14ac:dyDescent="0.2">
      <c r="Q94" s="20">
        <v>1</v>
      </c>
      <c r="R94" s="29">
        <v>60</v>
      </c>
      <c r="S94" s="8">
        <v>1</v>
      </c>
      <c r="T94" s="7">
        <v>10</v>
      </c>
    </row>
    <row r="95" spans="1:20" x14ac:dyDescent="0.2">
      <c r="Q95" s="20">
        <v>1</v>
      </c>
      <c r="R95" s="29">
        <v>60</v>
      </c>
      <c r="S95" s="8">
        <v>1</v>
      </c>
      <c r="T95" s="7">
        <v>10</v>
      </c>
    </row>
    <row r="96" spans="1:20" x14ac:dyDescent="0.2">
      <c r="Q96" s="20">
        <v>1</v>
      </c>
      <c r="R96" s="29">
        <v>60</v>
      </c>
      <c r="S96" s="8">
        <v>1</v>
      </c>
      <c r="T96" s="7">
        <v>10</v>
      </c>
    </row>
    <row r="97" spans="1:20" ht="30" customHeight="1" x14ac:dyDescent="0.2">
      <c r="Q97" s="20">
        <v>1</v>
      </c>
      <c r="R97" s="29">
        <v>30</v>
      </c>
      <c r="S97" s="8">
        <v>1</v>
      </c>
      <c r="T97" s="7">
        <v>30</v>
      </c>
    </row>
    <row r="98" spans="1:20" ht="23.25" customHeight="1" x14ac:dyDescent="0.2">
      <c r="Q98" s="20">
        <v>1</v>
      </c>
      <c r="R98" s="5">
        <v>30</v>
      </c>
      <c r="S98" s="8">
        <v>1</v>
      </c>
      <c r="T98" s="7">
        <v>30</v>
      </c>
    </row>
    <row r="99" spans="1:20" x14ac:dyDescent="0.2">
      <c r="Q99" s="20">
        <v>1</v>
      </c>
      <c r="R99" s="29">
        <v>45</v>
      </c>
      <c r="S99" s="8">
        <v>1</v>
      </c>
      <c r="T99" s="7">
        <v>80</v>
      </c>
    </row>
    <row r="100" spans="1:20" x14ac:dyDescent="0.2">
      <c r="Q100" s="20">
        <v>1</v>
      </c>
      <c r="R100" s="29">
        <v>60</v>
      </c>
      <c r="S100" s="8">
        <v>1</v>
      </c>
      <c r="T100" s="7">
        <v>50</v>
      </c>
    </row>
    <row r="101" spans="1:20" x14ac:dyDescent="0.2">
      <c r="Q101" s="20">
        <v>1</v>
      </c>
      <c r="R101" s="29">
        <v>55</v>
      </c>
      <c r="S101" s="8">
        <v>1</v>
      </c>
      <c r="T101" s="7">
        <v>55</v>
      </c>
    </row>
    <row r="102" spans="1:20" x14ac:dyDescent="0.2">
      <c r="Q102" s="29">
        <v>1</v>
      </c>
      <c r="R102" s="29">
        <v>30</v>
      </c>
      <c r="S102" s="8">
        <v>1</v>
      </c>
      <c r="T102" s="7">
        <v>32</v>
      </c>
    </row>
    <row r="103" spans="1:20" x14ac:dyDescent="0.2">
      <c r="Q103" s="29">
        <v>1</v>
      </c>
      <c r="R103" s="29">
        <v>30</v>
      </c>
      <c r="S103" s="8">
        <v>1</v>
      </c>
      <c r="T103" s="7">
        <v>32</v>
      </c>
    </row>
    <row r="104" spans="1:20" ht="36" x14ac:dyDescent="0.2">
      <c r="B104" s="11" t="s">
        <v>30</v>
      </c>
      <c r="C104" s="11" t="s">
        <v>83</v>
      </c>
      <c r="D104" s="20">
        <v>1</v>
      </c>
      <c r="E104" s="29">
        <v>50</v>
      </c>
      <c r="F104" s="11">
        <v>45882</v>
      </c>
      <c r="G104" s="10">
        <v>0.375</v>
      </c>
      <c r="H104" s="11">
        <v>45880</v>
      </c>
      <c r="I104" s="10">
        <v>0.95833333333333337</v>
      </c>
      <c r="J104" s="9">
        <f>E104-L104</f>
        <v>-4</v>
      </c>
      <c r="K104" s="8">
        <v>1</v>
      </c>
      <c r="L104" s="7">
        <v>54</v>
      </c>
      <c r="M104" s="6" t="s">
        <v>84</v>
      </c>
      <c r="Q104" s="29">
        <v>1</v>
      </c>
      <c r="R104" s="29">
        <v>30</v>
      </c>
      <c r="S104" s="8">
        <v>1</v>
      </c>
      <c r="T104" s="7">
        <v>32</v>
      </c>
    </row>
    <row r="105" spans="1:20" s="5" customFormat="1" ht="12" customHeight="1" x14ac:dyDescent="0.2">
      <c r="A105" s="23" t="s">
        <v>82</v>
      </c>
      <c r="B105" s="4"/>
      <c r="C105" s="4"/>
      <c r="D105" s="4"/>
      <c r="E105" s="4"/>
      <c r="F105" s="4"/>
      <c r="G105" s="4"/>
      <c r="H105" s="4"/>
      <c r="I105" s="3"/>
      <c r="J105" s="3"/>
      <c r="K105" s="2"/>
      <c r="L105" s="1"/>
      <c r="M105" s="1"/>
      <c r="Q105" s="29">
        <v>1</v>
      </c>
      <c r="R105" s="29">
        <v>30</v>
      </c>
      <c r="S105" s="8">
        <v>1</v>
      </c>
      <c r="T105" s="7">
        <v>32</v>
      </c>
    </row>
    <row r="106" spans="1:20" x14ac:dyDescent="0.2">
      <c r="Q106" s="29">
        <v>1</v>
      </c>
      <c r="R106" s="29">
        <v>30</v>
      </c>
      <c r="S106" s="8">
        <v>1</v>
      </c>
      <c r="T106" s="7">
        <v>32</v>
      </c>
    </row>
    <row r="107" spans="1:20" x14ac:dyDescent="0.2">
      <c r="Q107" s="29">
        <v>1</v>
      </c>
      <c r="R107" s="29">
        <v>30</v>
      </c>
      <c r="S107" s="8">
        <v>1</v>
      </c>
      <c r="T107" s="7">
        <v>32</v>
      </c>
    </row>
    <row r="108" spans="1:20" x14ac:dyDescent="0.2">
      <c r="Q108" s="29">
        <v>3</v>
      </c>
      <c r="R108" s="29">
        <v>20</v>
      </c>
      <c r="S108" s="8">
        <v>3</v>
      </c>
      <c r="T108" s="7">
        <v>15</v>
      </c>
    </row>
    <row r="109" spans="1:20" x14ac:dyDescent="0.2">
      <c r="Q109" s="42">
        <f>SUM(Q8:Q108)</f>
        <v>85</v>
      </c>
      <c r="R109" s="42">
        <f>SUM(R8:R108)</f>
        <v>3665</v>
      </c>
      <c r="S109" s="42">
        <f>SUM(S8:S108)</f>
        <v>85</v>
      </c>
      <c r="T109" s="42">
        <f>SUM(T8:T108)</f>
        <v>3559</v>
      </c>
    </row>
    <row r="110" spans="1:20" ht="35.25" customHeight="1" x14ac:dyDescent="0.2"/>
    <row r="111" spans="1:20" ht="36.75" customHeight="1" x14ac:dyDescent="0.2"/>
    <row r="112" spans="1:20" ht="33.75" customHeight="1" x14ac:dyDescent="0.2"/>
    <row r="113" ht="26.25" customHeight="1" x14ac:dyDescent="0.2"/>
    <row r="114" ht="27.75" customHeight="1" x14ac:dyDescent="0.2"/>
    <row r="115" ht="40.5" customHeight="1" x14ac:dyDescent="0.2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3549E-76EB-4E93-9D3E-E375825B3C73}">
  <dimension ref="A1:T115"/>
  <sheetViews>
    <sheetView topLeftCell="A43" zoomScale="84" zoomScaleNormal="84" workbookViewId="0">
      <selection activeCell="O22" sqref="O22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26"/>
      <c r="B1" s="128" t="s">
        <v>0</v>
      </c>
      <c r="C1" s="128"/>
      <c r="D1" s="128"/>
      <c r="E1" s="128"/>
      <c r="F1" s="128"/>
      <c r="G1" s="128"/>
      <c r="H1" s="128"/>
      <c r="I1" s="128"/>
      <c r="J1" s="128"/>
      <c r="K1" s="128"/>
      <c r="L1" s="130"/>
      <c r="M1" s="131"/>
    </row>
    <row r="2" spans="1:20" ht="20.25" customHeight="1" x14ac:dyDescent="0.2">
      <c r="A2" s="127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32"/>
      <c r="M2" s="133"/>
    </row>
    <row r="3" spans="1:20" ht="12.75" customHeight="1" x14ac:dyDescent="0.2">
      <c r="A3" s="134" t="s">
        <v>1</v>
      </c>
      <c r="B3" s="136" t="s">
        <v>2</v>
      </c>
      <c r="C3" s="136"/>
      <c r="D3" s="136"/>
      <c r="E3" s="136"/>
      <c r="F3" s="136"/>
      <c r="G3" s="136"/>
      <c r="H3" s="136"/>
      <c r="I3" s="136"/>
      <c r="J3" s="136"/>
      <c r="K3" s="136"/>
      <c r="L3" s="138" t="s">
        <v>3</v>
      </c>
      <c r="M3" s="139"/>
    </row>
    <row r="4" spans="1:20" ht="13.5" thickBot="1" x14ac:dyDescent="0.25">
      <c r="A4" s="135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22" t="s">
        <v>6</v>
      </c>
      <c r="C6" s="122"/>
      <c r="D6" s="122"/>
      <c r="E6" s="122"/>
      <c r="F6" s="122"/>
      <c r="G6" s="122"/>
      <c r="H6" s="123" t="s">
        <v>7</v>
      </c>
      <c r="I6" s="124"/>
      <c r="J6" s="124"/>
      <c r="K6" s="124"/>
      <c r="L6" s="125"/>
      <c r="M6" s="25"/>
    </row>
    <row r="7" spans="1:20" s="14" customFormat="1" ht="49.5" customHeight="1" x14ac:dyDescent="0.2">
      <c r="A7" s="18" cm="1">
        <f t="array" aca="1" ref="A7" ca="1">+A28+A1:L7+A7:L7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43" t="s">
        <v>154</v>
      </c>
      <c r="B8" s="11" t="s">
        <v>30</v>
      </c>
      <c r="C8" s="11" t="s">
        <v>31</v>
      </c>
      <c r="D8" s="29">
        <v>2</v>
      </c>
      <c r="E8" s="29">
        <v>50</v>
      </c>
      <c r="F8" s="11">
        <v>45903</v>
      </c>
      <c r="G8" s="10">
        <v>0.375</v>
      </c>
      <c r="H8" s="11">
        <v>45902</v>
      </c>
      <c r="I8" s="10">
        <v>0.66666666666666663</v>
      </c>
      <c r="J8" s="9">
        <f t="shared" ref="J8:J39" si="0">E8-L8</f>
        <v>0</v>
      </c>
      <c r="K8" s="8">
        <v>1</v>
      </c>
      <c r="L8" s="7">
        <v>50</v>
      </c>
      <c r="M8" s="36" t="s">
        <v>155</v>
      </c>
      <c r="O8" s="5" t="s">
        <v>155</v>
      </c>
    </row>
    <row r="9" spans="1:20" s="5" customFormat="1" ht="39" customHeight="1" x14ac:dyDescent="0.2">
      <c r="A9" s="43" t="s">
        <v>154</v>
      </c>
      <c r="B9" s="11" t="s">
        <v>39</v>
      </c>
      <c r="C9" s="11" t="s">
        <v>40</v>
      </c>
      <c r="D9" s="29">
        <v>2</v>
      </c>
      <c r="E9" s="29">
        <v>50</v>
      </c>
      <c r="F9" s="11">
        <v>45903</v>
      </c>
      <c r="G9" s="10">
        <v>0.375</v>
      </c>
      <c r="H9" s="11">
        <v>45902</v>
      </c>
      <c r="I9" s="10">
        <v>0.66666666666666663</v>
      </c>
      <c r="J9" s="9">
        <f t="shared" si="0"/>
        <v>0</v>
      </c>
      <c r="K9" s="8">
        <v>1</v>
      </c>
      <c r="L9" s="7">
        <v>50</v>
      </c>
      <c r="M9" s="36" t="s">
        <v>155</v>
      </c>
    </row>
    <row r="10" spans="1:20" s="5" customFormat="1" ht="43.5" customHeight="1" x14ac:dyDescent="0.2">
      <c r="A10" s="43" t="s">
        <v>154</v>
      </c>
      <c r="B10" s="11" t="s">
        <v>21</v>
      </c>
      <c r="C10" s="11" t="s">
        <v>22</v>
      </c>
      <c r="D10" s="29">
        <v>2</v>
      </c>
      <c r="E10" s="29">
        <v>50</v>
      </c>
      <c r="F10" s="11">
        <v>45903</v>
      </c>
      <c r="G10" s="10">
        <v>0.375</v>
      </c>
      <c r="H10" s="11">
        <v>45902</v>
      </c>
      <c r="I10" s="10">
        <v>0.66666666666666663</v>
      </c>
      <c r="J10" s="9">
        <f t="shared" si="0"/>
        <v>0</v>
      </c>
      <c r="K10" s="8">
        <v>1</v>
      </c>
      <c r="L10" s="7">
        <v>50</v>
      </c>
      <c r="M10" s="36" t="s">
        <v>155</v>
      </c>
    </row>
    <row r="11" spans="1:20" s="5" customFormat="1" ht="35.1" customHeight="1" x14ac:dyDescent="0.2">
      <c r="A11" s="43" t="s">
        <v>154</v>
      </c>
      <c r="B11" s="11" t="s">
        <v>136</v>
      </c>
      <c r="C11" s="11" t="s">
        <v>34</v>
      </c>
      <c r="D11" s="29">
        <v>2</v>
      </c>
      <c r="E11" s="29">
        <v>50</v>
      </c>
      <c r="F11" s="11">
        <v>45903</v>
      </c>
      <c r="G11" s="10">
        <v>0.375</v>
      </c>
      <c r="H11" s="11">
        <v>45902</v>
      </c>
      <c r="I11" s="10">
        <v>0.66666666666666663</v>
      </c>
      <c r="J11" s="9">
        <f t="shared" si="0"/>
        <v>0</v>
      </c>
      <c r="K11" s="8">
        <v>1</v>
      </c>
      <c r="L11" s="7">
        <v>50</v>
      </c>
      <c r="M11" s="36" t="s">
        <v>155</v>
      </c>
    </row>
    <row r="12" spans="1:20" s="5" customFormat="1" ht="35.1" customHeight="1" x14ac:dyDescent="0.2">
      <c r="A12" s="43" t="s">
        <v>154</v>
      </c>
      <c r="B12" s="11" t="s">
        <v>36</v>
      </c>
      <c r="C12" s="11" t="s">
        <v>37</v>
      </c>
      <c r="D12" s="29">
        <v>2</v>
      </c>
      <c r="E12" s="29">
        <v>50</v>
      </c>
      <c r="F12" s="11">
        <v>45903</v>
      </c>
      <c r="G12" s="10">
        <v>0.375</v>
      </c>
      <c r="H12" s="11">
        <v>45902</v>
      </c>
      <c r="I12" s="10">
        <v>0.66666666666666663</v>
      </c>
      <c r="J12" s="9">
        <f t="shared" si="0"/>
        <v>0</v>
      </c>
      <c r="K12" s="8">
        <v>1</v>
      </c>
      <c r="L12" s="7">
        <v>50</v>
      </c>
      <c r="M12" s="36" t="s">
        <v>155</v>
      </c>
    </row>
    <row r="13" spans="1:20" s="5" customFormat="1" ht="35.1" customHeight="1" x14ac:dyDescent="0.2">
      <c r="A13" s="43" t="s">
        <v>154</v>
      </c>
      <c r="B13" s="11" t="s">
        <v>42</v>
      </c>
      <c r="C13" s="11" t="s">
        <v>43</v>
      </c>
      <c r="D13" s="29">
        <v>2</v>
      </c>
      <c r="E13" s="29">
        <v>50</v>
      </c>
      <c r="F13" s="11">
        <v>45903</v>
      </c>
      <c r="G13" s="10">
        <v>0.375</v>
      </c>
      <c r="H13" s="11">
        <v>45902</v>
      </c>
      <c r="I13" s="10">
        <v>0.66666666666666663</v>
      </c>
      <c r="J13" s="9">
        <f t="shared" si="0"/>
        <v>0</v>
      </c>
      <c r="K13" s="8">
        <v>1</v>
      </c>
      <c r="L13" s="7">
        <v>50</v>
      </c>
      <c r="M13" s="36" t="s">
        <v>155</v>
      </c>
    </row>
    <row r="14" spans="1:20" s="5" customFormat="1" ht="33.950000000000003" customHeight="1" x14ac:dyDescent="0.2">
      <c r="A14" s="23" t="s">
        <v>144</v>
      </c>
      <c r="B14" s="21" t="s">
        <v>30</v>
      </c>
      <c r="C14" s="63" t="s">
        <v>31</v>
      </c>
      <c r="D14" s="20">
        <v>1</v>
      </c>
      <c r="E14" s="40">
        <v>30</v>
      </c>
      <c r="F14" s="11">
        <v>45903</v>
      </c>
      <c r="G14" s="10">
        <v>0.375</v>
      </c>
      <c r="H14" s="11">
        <v>45899</v>
      </c>
      <c r="I14" s="10">
        <v>0.79166666666666663</v>
      </c>
      <c r="J14" s="9">
        <f t="shared" si="0"/>
        <v>0</v>
      </c>
      <c r="K14" s="8">
        <v>1</v>
      </c>
      <c r="L14" s="7">
        <v>30</v>
      </c>
      <c r="M14" s="6" t="s">
        <v>156</v>
      </c>
    </row>
    <row r="15" spans="1:20" s="5" customFormat="1" ht="38.450000000000003" customHeight="1" x14ac:dyDescent="0.2">
      <c r="A15" s="23" t="s">
        <v>206</v>
      </c>
      <c r="B15" s="11" t="s">
        <v>74</v>
      </c>
      <c r="C15" s="11" t="s">
        <v>71</v>
      </c>
      <c r="D15" s="20">
        <v>1</v>
      </c>
      <c r="E15" s="29">
        <v>30</v>
      </c>
      <c r="F15" s="11">
        <v>45903</v>
      </c>
      <c r="G15" s="10">
        <v>0.375</v>
      </c>
      <c r="H15" s="11">
        <v>45899</v>
      </c>
      <c r="I15" s="10">
        <v>0.79166666666666663</v>
      </c>
      <c r="J15" s="9">
        <f t="shared" si="0"/>
        <v>0</v>
      </c>
      <c r="K15" s="8">
        <v>1</v>
      </c>
      <c r="L15" s="7">
        <v>30</v>
      </c>
      <c r="M15" s="6" t="s">
        <v>75</v>
      </c>
    </row>
    <row r="16" spans="1:20" s="5" customFormat="1" ht="30.95" customHeight="1" x14ac:dyDescent="0.2">
      <c r="A16" s="38" t="s">
        <v>123</v>
      </c>
      <c r="B16" s="11" t="s">
        <v>36</v>
      </c>
      <c r="C16" s="11" t="s">
        <v>37</v>
      </c>
      <c r="D16" s="29">
        <v>1</v>
      </c>
      <c r="E16" s="29">
        <v>20</v>
      </c>
      <c r="F16" s="11">
        <v>45903</v>
      </c>
      <c r="G16" s="10">
        <v>0.375</v>
      </c>
      <c r="H16" s="11">
        <v>45902</v>
      </c>
      <c r="I16" s="10">
        <v>0.80555555555555558</v>
      </c>
      <c r="J16" s="9">
        <f t="shared" si="0"/>
        <v>0</v>
      </c>
      <c r="K16" s="8">
        <v>1</v>
      </c>
      <c r="L16" s="7">
        <v>20</v>
      </c>
      <c r="M16" s="36" t="s">
        <v>124</v>
      </c>
    </row>
    <row r="17" spans="1:13" s="5" customFormat="1" ht="27" customHeight="1" x14ac:dyDescent="0.2">
      <c r="A17" s="38" t="s">
        <v>123</v>
      </c>
      <c r="B17" s="11" t="s">
        <v>143</v>
      </c>
      <c r="C17" s="11" t="s">
        <v>43</v>
      </c>
      <c r="D17" s="29">
        <v>1</v>
      </c>
      <c r="E17" s="29">
        <v>20</v>
      </c>
      <c r="F17" s="11">
        <v>45903</v>
      </c>
      <c r="G17" s="10">
        <v>0.375</v>
      </c>
      <c r="H17" s="11">
        <v>45902</v>
      </c>
      <c r="I17" s="10">
        <v>0.80555555555555558</v>
      </c>
      <c r="J17" s="9">
        <f t="shared" si="0"/>
        <v>0</v>
      </c>
      <c r="K17" s="8">
        <v>1</v>
      </c>
      <c r="L17" s="7">
        <v>20</v>
      </c>
      <c r="M17" s="36" t="s">
        <v>124</v>
      </c>
    </row>
    <row r="18" spans="1:13" s="5" customFormat="1" ht="27.6" customHeight="1" x14ac:dyDescent="0.2">
      <c r="A18" s="38" t="s">
        <v>217</v>
      </c>
      <c r="B18" s="11" t="s">
        <v>39</v>
      </c>
      <c r="C18" s="11" t="s">
        <v>40</v>
      </c>
      <c r="D18" s="29">
        <v>1</v>
      </c>
      <c r="E18" s="29">
        <v>30</v>
      </c>
      <c r="F18" s="11">
        <v>45903</v>
      </c>
      <c r="G18" s="10">
        <v>0.375</v>
      </c>
      <c r="H18" s="11">
        <v>45902</v>
      </c>
      <c r="I18" s="10">
        <v>0.8125</v>
      </c>
      <c r="J18" s="9">
        <f t="shared" si="0"/>
        <v>2</v>
      </c>
      <c r="K18" s="8">
        <v>2</v>
      </c>
      <c r="L18" s="7">
        <v>28</v>
      </c>
      <c r="M18" s="36" t="s">
        <v>158</v>
      </c>
    </row>
    <row r="19" spans="1:13" s="5" customFormat="1" ht="24" customHeight="1" x14ac:dyDescent="0.2">
      <c r="A19" s="49" t="s">
        <v>218</v>
      </c>
      <c r="B19" s="54" t="s">
        <v>21</v>
      </c>
      <c r="C19" s="54" t="s">
        <v>22</v>
      </c>
      <c r="D19" s="55">
        <v>1</v>
      </c>
      <c r="E19" s="55">
        <v>30</v>
      </c>
      <c r="F19" s="54">
        <v>45903</v>
      </c>
      <c r="G19" s="10">
        <v>0.375</v>
      </c>
      <c r="H19" s="54">
        <v>45902</v>
      </c>
      <c r="I19" s="57">
        <v>0.8125</v>
      </c>
      <c r="J19" s="55">
        <f t="shared" si="0"/>
        <v>0</v>
      </c>
      <c r="K19" s="58">
        <v>2</v>
      </c>
      <c r="L19" s="59">
        <v>30</v>
      </c>
      <c r="M19" s="31" t="s">
        <v>235</v>
      </c>
    </row>
    <row r="20" spans="1:13" s="5" customFormat="1" ht="42" customHeight="1" x14ac:dyDescent="0.2">
      <c r="A20" s="60" t="s">
        <v>219</v>
      </c>
      <c r="B20" s="56" t="s">
        <v>30</v>
      </c>
      <c r="C20" s="56" t="s">
        <v>31</v>
      </c>
      <c r="D20" s="55">
        <v>1</v>
      </c>
      <c r="E20" s="55">
        <v>30</v>
      </c>
      <c r="F20" s="54">
        <v>45903</v>
      </c>
      <c r="G20" s="10">
        <v>0.375</v>
      </c>
      <c r="H20" s="54">
        <v>45902</v>
      </c>
      <c r="I20" s="57">
        <v>0.8125</v>
      </c>
      <c r="J20" s="55">
        <f t="shared" si="0"/>
        <v>3</v>
      </c>
      <c r="K20" s="58">
        <v>1</v>
      </c>
      <c r="L20" s="59">
        <v>27</v>
      </c>
      <c r="M20" s="31" t="s">
        <v>236</v>
      </c>
    </row>
    <row r="21" spans="1:13" s="5" customFormat="1" ht="33.950000000000003" customHeight="1" x14ac:dyDescent="0.2">
      <c r="A21" s="60" t="s">
        <v>220</v>
      </c>
      <c r="B21" s="54" t="s">
        <v>30</v>
      </c>
      <c r="C21" s="54" t="s">
        <v>31</v>
      </c>
      <c r="D21" s="55">
        <v>1</v>
      </c>
      <c r="E21" s="55">
        <v>30</v>
      </c>
      <c r="F21" s="54">
        <v>45903</v>
      </c>
      <c r="G21" s="10">
        <v>0.375</v>
      </c>
      <c r="H21" s="54">
        <v>45902</v>
      </c>
      <c r="I21" s="57">
        <v>0.83333333333333337</v>
      </c>
      <c r="J21" s="55">
        <f t="shared" si="0"/>
        <v>2</v>
      </c>
      <c r="K21" s="58">
        <v>1</v>
      </c>
      <c r="L21" s="59">
        <v>28</v>
      </c>
      <c r="M21" s="52" t="s">
        <v>237</v>
      </c>
    </row>
    <row r="22" spans="1:13" s="5" customFormat="1" ht="33.950000000000003" customHeight="1" x14ac:dyDescent="0.2">
      <c r="A22" s="61" t="s">
        <v>221</v>
      </c>
      <c r="B22" s="54" t="s">
        <v>30</v>
      </c>
      <c r="C22" s="54" t="s">
        <v>31</v>
      </c>
      <c r="D22" s="55">
        <v>1</v>
      </c>
      <c r="E22" s="55">
        <v>30</v>
      </c>
      <c r="F22" s="54">
        <v>45903</v>
      </c>
      <c r="G22" s="10">
        <v>0.375</v>
      </c>
      <c r="H22" s="54">
        <v>45902</v>
      </c>
      <c r="I22" s="57">
        <v>0.85416666666666663</v>
      </c>
      <c r="J22" s="55">
        <f t="shared" si="0"/>
        <v>10</v>
      </c>
      <c r="K22" s="58">
        <v>2</v>
      </c>
      <c r="L22" s="59">
        <v>20</v>
      </c>
      <c r="M22" s="31" t="s">
        <v>238</v>
      </c>
    </row>
    <row r="23" spans="1:13" s="5" customFormat="1" ht="28.5" customHeight="1" x14ac:dyDescent="0.2">
      <c r="A23" s="61" t="s">
        <v>222</v>
      </c>
      <c r="B23" s="54" t="s">
        <v>42</v>
      </c>
      <c r="C23" s="54" t="s">
        <v>43</v>
      </c>
      <c r="D23" s="55">
        <v>1</v>
      </c>
      <c r="E23" s="55">
        <v>30</v>
      </c>
      <c r="F23" s="54">
        <v>45903</v>
      </c>
      <c r="G23" s="10">
        <v>0.375</v>
      </c>
      <c r="H23" s="54">
        <v>45900</v>
      </c>
      <c r="I23" s="57">
        <v>0.79166666666666663</v>
      </c>
      <c r="J23" s="55">
        <f t="shared" si="0"/>
        <v>5</v>
      </c>
      <c r="K23" s="58">
        <v>2</v>
      </c>
      <c r="L23" s="59">
        <v>25</v>
      </c>
      <c r="M23" s="31" t="s">
        <v>239</v>
      </c>
    </row>
    <row r="24" spans="1:13" s="5" customFormat="1" ht="24.95" customHeight="1" x14ac:dyDescent="0.2">
      <c r="A24" s="61" t="s">
        <v>228</v>
      </c>
      <c r="B24" s="13" t="s">
        <v>136</v>
      </c>
      <c r="C24" s="13" t="s">
        <v>34</v>
      </c>
      <c r="D24" s="55">
        <v>1</v>
      </c>
      <c r="E24" s="53">
        <v>30</v>
      </c>
      <c r="F24" s="54">
        <v>45903</v>
      </c>
      <c r="G24" s="10">
        <v>0.375</v>
      </c>
      <c r="H24" s="13">
        <v>45900</v>
      </c>
      <c r="I24" s="12">
        <v>0.79166666666666663</v>
      </c>
      <c r="J24" s="53">
        <f t="shared" si="0"/>
        <v>4</v>
      </c>
      <c r="K24" s="50">
        <v>1</v>
      </c>
      <c r="L24" s="51">
        <v>26</v>
      </c>
      <c r="M24" s="52" t="s">
        <v>240</v>
      </c>
    </row>
    <row r="25" spans="1:13" s="5" customFormat="1" ht="26.25" customHeight="1" x14ac:dyDescent="0.2">
      <c r="A25" s="13" t="s">
        <v>225</v>
      </c>
      <c r="B25" s="13" t="s">
        <v>36</v>
      </c>
      <c r="C25" s="13" t="s">
        <v>37</v>
      </c>
      <c r="D25" s="55">
        <v>1</v>
      </c>
      <c r="E25" s="53">
        <v>30</v>
      </c>
      <c r="F25" s="54">
        <v>45903</v>
      </c>
      <c r="G25" s="10">
        <v>0.375</v>
      </c>
      <c r="H25" s="13">
        <v>45899</v>
      </c>
      <c r="I25" s="12">
        <v>0.79166666666666663</v>
      </c>
      <c r="J25" s="53">
        <f t="shared" si="0"/>
        <v>0</v>
      </c>
      <c r="K25" s="50">
        <v>1</v>
      </c>
      <c r="L25" s="51">
        <v>30</v>
      </c>
      <c r="M25" s="52" t="s">
        <v>241</v>
      </c>
    </row>
    <row r="26" spans="1:13" s="5" customFormat="1" ht="27" customHeight="1" x14ac:dyDescent="0.2">
      <c r="A26" s="13" t="s">
        <v>226</v>
      </c>
      <c r="B26" s="13" t="s">
        <v>36</v>
      </c>
      <c r="C26" s="13" t="s">
        <v>37</v>
      </c>
      <c r="D26" s="55">
        <v>1</v>
      </c>
      <c r="E26" s="53">
        <v>30</v>
      </c>
      <c r="F26" s="54">
        <v>45903</v>
      </c>
      <c r="G26" s="10">
        <v>0.375</v>
      </c>
      <c r="H26" s="13">
        <v>45899</v>
      </c>
      <c r="I26" s="12">
        <v>0.8125</v>
      </c>
      <c r="J26" s="53">
        <f t="shared" si="0"/>
        <v>2</v>
      </c>
      <c r="K26" s="50">
        <v>1</v>
      </c>
      <c r="L26" s="51">
        <v>28</v>
      </c>
      <c r="M26" s="52" t="s">
        <v>242</v>
      </c>
    </row>
    <row r="27" spans="1:13" s="5" customFormat="1" ht="33.950000000000003" customHeight="1" x14ac:dyDescent="0.2">
      <c r="A27" s="13" t="s">
        <v>227</v>
      </c>
      <c r="B27" s="13" t="s">
        <v>36</v>
      </c>
      <c r="C27" s="13" t="s">
        <v>37</v>
      </c>
      <c r="D27" s="55">
        <v>1</v>
      </c>
      <c r="E27" s="53">
        <v>30</v>
      </c>
      <c r="F27" s="54">
        <v>45903</v>
      </c>
      <c r="G27" s="10">
        <v>0.375</v>
      </c>
      <c r="H27" s="13">
        <v>45899</v>
      </c>
      <c r="I27" s="12">
        <v>0.83333333333333337</v>
      </c>
      <c r="J27" s="53">
        <f t="shared" si="0"/>
        <v>6</v>
      </c>
      <c r="K27" s="50">
        <v>1</v>
      </c>
      <c r="L27" s="51">
        <v>24</v>
      </c>
      <c r="M27" s="52" t="s">
        <v>243</v>
      </c>
    </row>
    <row r="28" spans="1:13" s="5" customFormat="1" ht="32.450000000000003" customHeight="1" x14ac:dyDescent="0.2">
      <c r="A28" s="13" t="s">
        <v>233</v>
      </c>
      <c r="B28" s="13" t="s">
        <v>39</v>
      </c>
      <c r="C28" s="13" t="s">
        <v>40</v>
      </c>
      <c r="D28" s="55">
        <v>1</v>
      </c>
      <c r="E28" s="53">
        <v>30</v>
      </c>
      <c r="F28" s="54">
        <v>45903</v>
      </c>
      <c r="G28" s="10">
        <v>0.375</v>
      </c>
      <c r="H28" s="13">
        <v>45902</v>
      </c>
      <c r="I28" s="12">
        <v>0.83333333333333337</v>
      </c>
      <c r="J28" s="53">
        <f t="shared" si="0"/>
        <v>0</v>
      </c>
      <c r="K28" s="50">
        <v>1</v>
      </c>
      <c r="L28" s="51">
        <v>30</v>
      </c>
      <c r="M28" s="52" t="s">
        <v>244</v>
      </c>
    </row>
    <row r="29" spans="1:13" ht="35.25" customHeight="1" x14ac:dyDescent="0.2">
      <c r="A29" s="61" t="s">
        <v>234</v>
      </c>
      <c r="B29" s="13" t="s">
        <v>39</v>
      </c>
      <c r="C29" s="13" t="s">
        <v>40</v>
      </c>
      <c r="D29" s="55">
        <v>5</v>
      </c>
      <c r="E29" s="53">
        <v>50</v>
      </c>
      <c r="F29" s="54">
        <v>45903</v>
      </c>
      <c r="G29" s="10">
        <v>0.375</v>
      </c>
      <c r="H29" s="13">
        <v>45902</v>
      </c>
      <c r="I29" s="12">
        <v>0.86805555555555558</v>
      </c>
      <c r="J29" s="53">
        <f t="shared" si="0"/>
        <v>5</v>
      </c>
      <c r="K29" s="50">
        <v>5</v>
      </c>
      <c r="L29" s="51">
        <v>45</v>
      </c>
      <c r="M29" s="52" t="s">
        <v>245</v>
      </c>
    </row>
    <row r="30" spans="1:13" s="5" customFormat="1" ht="47.1" customHeight="1" x14ac:dyDescent="0.2">
      <c r="A30" s="13" t="s">
        <v>229</v>
      </c>
      <c r="B30" s="13" t="s">
        <v>136</v>
      </c>
      <c r="C30" s="13" t="s">
        <v>34</v>
      </c>
      <c r="D30" s="55">
        <v>1</v>
      </c>
      <c r="E30" s="53">
        <v>30</v>
      </c>
      <c r="F30" s="54">
        <v>45903</v>
      </c>
      <c r="G30" s="10">
        <v>0.375</v>
      </c>
      <c r="H30" s="13">
        <v>45900</v>
      </c>
      <c r="I30" s="12">
        <v>0.8125</v>
      </c>
      <c r="J30" s="53">
        <f t="shared" si="0"/>
        <v>8</v>
      </c>
      <c r="K30" s="50">
        <v>1</v>
      </c>
      <c r="L30" s="51">
        <v>22</v>
      </c>
      <c r="M30" s="52" t="s">
        <v>246</v>
      </c>
    </row>
    <row r="31" spans="1:13" s="5" customFormat="1" ht="33" customHeight="1" x14ac:dyDescent="0.2">
      <c r="A31" s="13" t="s">
        <v>231</v>
      </c>
      <c r="B31" s="13" t="s">
        <v>21</v>
      </c>
      <c r="C31" s="13" t="s">
        <v>22</v>
      </c>
      <c r="D31" s="55">
        <v>1</v>
      </c>
      <c r="E31" s="53">
        <v>30</v>
      </c>
      <c r="F31" s="54">
        <v>45903</v>
      </c>
      <c r="G31" s="10">
        <v>0.375</v>
      </c>
      <c r="H31" s="13">
        <v>45902</v>
      </c>
      <c r="I31" s="12">
        <v>0.83333333333333337</v>
      </c>
      <c r="J31" s="53">
        <f t="shared" si="0"/>
        <v>7</v>
      </c>
      <c r="K31" s="50">
        <v>1</v>
      </c>
      <c r="L31" s="51">
        <v>23</v>
      </c>
      <c r="M31" s="52" t="s">
        <v>247</v>
      </c>
    </row>
    <row r="32" spans="1:13" s="5" customFormat="1" ht="27" customHeight="1" x14ac:dyDescent="0.2">
      <c r="A32" s="61" t="s">
        <v>232</v>
      </c>
      <c r="B32" s="13" t="s">
        <v>21</v>
      </c>
      <c r="C32" s="13" t="s">
        <v>22</v>
      </c>
      <c r="D32" s="55">
        <v>1</v>
      </c>
      <c r="E32" s="53">
        <v>40</v>
      </c>
      <c r="F32" s="54">
        <v>45903</v>
      </c>
      <c r="G32" s="10">
        <v>0.375</v>
      </c>
      <c r="H32" s="13">
        <v>45902</v>
      </c>
      <c r="I32" s="12">
        <v>0.86111111111111116</v>
      </c>
      <c r="J32" s="53">
        <f t="shared" si="0"/>
        <v>9</v>
      </c>
      <c r="K32" s="50">
        <v>2</v>
      </c>
      <c r="L32" s="51">
        <v>31</v>
      </c>
      <c r="M32" s="52" t="s">
        <v>248</v>
      </c>
    </row>
    <row r="33" spans="1:13" s="5" customFormat="1" ht="33.6" customHeight="1" x14ac:dyDescent="0.2">
      <c r="A33" s="13" t="s">
        <v>230</v>
      </c>
      <c r="B33" s="13" t="s">
        <v>136</v>
      </c>
      <c r="C33" s="13" t="s">
        <v>34</v>
      </c>
      <c r="D33" s="55">
        <v>1</v>
      </c>
      <c r="E33" s="53">
        <v>25</v>
      </c>
      <c r="F33" s="54">
        <v>45903</v>
      </c>
      <c r="G33" s="10">
        <v>0.375</v>
      </c>
      <c r="H33" s="13">
        <v>45900</v>
      </c>
      <c r="I33" s="12">
        <v>0.82986111111111116</v>
      </c>
      <c r="J33" s="53">
        <f t="shared" si="0"/>
        <v>5</v>
      </c>
      <c r="K33" s="50">
        <v>2</v>
      </c>
      <c r="L33" s="51">
        <v>20</v>
      </c>
      <c r="M33" s="52" t="s">
        <v>249</v>
      </c>
    </row>
    <row r="34" spans="1:13" s="5" customFormat="1" ht="29.25" customHeight="1" x14ac:dyDescent="0.2">
      <c r="A34" s="61" t="s">
        <v>224</v>
      </c>
      <c r="B34" s="13" t="s">
        <v>42</v>
      </c>
      <c r="C34" s="13" t="s">
        <v>43</v>
      </c>
      <c r="D34" s="55">
        <v>1</v>
      </c>
      <c r="E34" s="53">
        <v>20</v>
      </c>
      <c r="F34" s="54">
        <v>45903</v>
      </c>
      <c r="G34" s="10">
        <v>0.375</v>
      </c>
      <c r="H34" s="13">
        <v>45900</v>
      </c>
      <c r="I34" s="12">
        <v>0.80555555555555558</v>
      </c>
      <c r="J34" s="53">
        <f t="shared" si="0"/>
        <v>0</v>
      </c>
      <c r="K34" s="50">
        <v>1</v>
      </c>
      <c r="L34" s="51">
        <v>20</v>
      </c>
      <c r="M34" s="52" t="s">
        <v>250</v>
      </c>
    </row>
    <row r="35" spans="1:13" s="5" customFormat="1" ht="31.5" customHeight="1" x14ac:dyDescent="0.2">
      <c r="A35" s="13" t="s">
        <v>223</v>
      </c>
      <c r="B35" s="13" t="s">
        <v>42</v>
      </c>
      <c r="C35" s="13" t="s">
        <v>43</v>
      </c>
      <c r="D35" s="55">
        <v>1</v>
      </c>
      <c r="E35" s="53">
        <v>20</v>
      </c>
      <c r="F35" s="54">
        <v>45903</v>
      </c>
      <c r="G35" s="10">
        <v>0.375</v>
      </c>
      <c r="H35" s="13">
        <v>45900</v>
      </c>
      <c r="I35" s="12">
        <v>0.81944444444444442</v>
      </c>
      <c r="J35" s="53">
        <f t="shared" si="0"/>
        <v>0</v>
      </c>
      <c r="K35" s="50">
        <v>1</v>
      </c>
      <c r="L35" s="51">
        <v>20</v>
      </c>
      <c r="M35" s="52" t="s">
        <v>251</v>
      </c>
    </row>
    <row r="36" spans="1:13" s="5" customFormat="1" ht="26.45" customHeight="1" x14ac:dyDescent="0.2">
      <c r="A36" s="13" t="s">
        <v>193</v>
      </c>
      <c r="B36" s="13" t="s">
        <v>30</v>
      </c>
      <c r="C36" s="13" t="s">
        <v>31</v>
      </c>
      <c r="D36" s="55">
        <v>1</v>
      </c>
      <c r="E36" s="53">
        <v>30</v>
      </c>
      <c r="F36" s="54">
        <v>45903</v>
      </c>
      <c r="G36" s="10">
        <v>0.375</v>
      </c>
      <c r="H36" s="13">
        <v>45902</v>
      </c>
      <c r="I36" s="12">
        <v>0.875</v>
      </c>
      <c r="J36" s="53">
        <f t="shared" si="0"/>
        <v>5</v>
      </c>
      <c r="K36" s="50">
        <v>1</v>
      </c>
      <c r="L36" s="51">
        <v>25</v>
      </c>
      <c r="M36" s="52" t="s">
        <v>192</v>
      </c>
    </row>
    <row r="37" spans="1:13" s="5" customFormat="1" ht="29.1" customHeight="1" x14ac:dyDescent="0.2">
      <c r="A37" s="13" t="s">
        <v>194</v>
      </c>
      <c r="B37" s="13" t="s">
        <v>42</v>
      </c>
      <c r="C37" s="13" t="s">
        <v>43</v>
      </c>
      <c r="D37" s="55">
        <v>1</v>
      </c>
      <c r="E37" s="53">
        <v>30</v>
      </c>
      <c r="F37" s="54">
        <v>45903</v>
      </c>
      <c r="G37" s="10">
        <v>0.375</v>
      </c>
      <c r="H37" s="13">
        <v>45900</v>
      </c>
      <c r="I37" s="12">
        <v>0.84027777777777779</v>
      </c>
      <c r="J37" s="53">
        <f t="shared" si="0"/>
        <v>0</v>
      </c>
      <c r="K37" s="50">
        <v>1</v>
      </c>
      <c r="L37" s="51">
        <v>30</v>
      </c>
      <c r="M37" s="52" t="s">
        <v>195</v>
      </c>
    </row>
    <row r="38" spans="1:13" s="5" customFormat="1" ht="31.5" customHeight="1" x14ac:dyDescent="0.2">
      <c r="A38" s="13" t="s">
        <v>198</v>
      </c>
      <c r="B38" s="13" t="s">
        <v>36</v>
      </c>
      <c r="C38" s="13" t="s">
        <v>37</v>
      </c>
      <c r="D38" s="55">
        <v>1</v>
      </c>
      <c r="E38" s="53">
        <v>30</v>
      </c>
      <c r="F38" s="54">
        <v>45903</v>
      </c>
      <c r="G38" s="10">
        <v>0.375</v>
      </c>
      <c r="H38" s="13">
        <v>45899</v>
      </c>
      <c r="I38" s="12">
        <v>0.85416666666666663</v>
      </c>
      <c r="J38" s="53">
        <f t="shared" si="0"/>
        <v>5</v>
      </c>
      <c r="K38" s="50">
        <v>1</v>
      </c>
      <c r="L38" s="51">
        <v>25</v>
      </c>
      <c r="M38" s="52" t="s">
        <v>196</v>
      </c>
    </row>
    <row r="39" spans="1:13" s="5" customFormat="1" ht="26.1" customHeight="1" x14ac:dyDescent="0.2">
      <c r="A39" s="13" t="s">
        <v>197</v>
      </c>
      <c r="B39" s="13" t="s">
        <v>21</v>
      </c>
      <c r="C39" s="13" t="s">
        <v>22</v>
      </c>
      <c r="D39" s="55">
        <v>1</v>
      </c>
      <c r="E39" s="53">
        <v>30</v>
      </c>
      <c r="F39" s="54">
        <v>45903</v>
      </c>
      <c r="G39" s="10">
        <v>0.375</v>
      </c>
      <c r="H39" s="13">
        <v>45902</v>
      </c>
      <c r="I39" s="12">
        <v>0.88194444444444442</v>
      </c>
      <c r="J39" s="53">
        <f t="shared" si="0"/>
        <v>6</v>
      </c>
      <c r="K39" s="50">
        <v>1</v>
      </c>
      <c r="L39" s="51">
        <v>24</v>
      </c>
      <c r="M39" s="52" t="s">
        <v>199</v>
      </c>
    </row>
    <row r="40" spans="1:13" s="5" customFormat="1" ht="27" customHeight="1" x14ac:dyDescent="0.2">
      <c r="A40" s="13" t="s">
        <v>200</v>
      </c>
      <c r="B40" s="13" t="s">
        <v>136</v>
      </c>
      <c r="C40" s="13" t="s">
        <v>34</v>
      </c>
      <c r="D40" s="55">
        <v>1</v>
      </c>
      <c r="E40" s="53">
        <v>30</v>
      </c>
      <c r="F40" s="54">
        <v>45903</v>
      </c>
      <c r="G40" s="10">
        <v>0.375</v>
      </c>
      <c r="H40" s="13">
        <v>45900</v>
      </c>
      <c r="I40" s="12">
        <v>0.85069444444444442</v>
      </c>
      <c r="J40" s="53">
        <f t="shared" ref="J40:J60" si="1">E40-L40</f>
        <v>7</v>
      </c>
      <c r="K40" s="50">
        <v>1</v>
      </c>
      <c r="L40" s="51">
        <v>23</v>
      </c>
      <c r="M40" s="52" t="s">
        <v>201</v>
      </c>
    </row>
    <row r="41" spans="1:13" s="5" customFormat="1" ht="27" customHeight="1" x14ac:dyDescent="0.2">
      <c r="A41" s="13" t="s">
        <v>202</v>
      </c>
      <c r="B41" s="13" t="s">
        <v>39</v>
      </c>
      <c r="C41" s="13" t="s">
        <v>40</v>
      </c>
      <c r="D41" s="55">
        <v>1</v>
      </c>
      <c r="E41" s="53">
        <v>30</v>
      </c>
      <c r="F41" s="54">
        <v>45903</v>
      </c>
      <c r="G41" s="10">
        <v>0.375</v>
      </c>
      <c r="H41" s="13">
        <v>45902</v>
      </c>
      <c r="I41" s="12">
        <v>0.88888888888888884</v>
      </c>
      <c r="J41" s="53">
        <f t="shared" si="1"/>
        <v>4</v>
      </c>
      <c r="K41" s="50">
        <v>1</v>
      </c>
      <c r="L41" s="51">
        <v>26</v>
      </c>
      <c r="M41" s="52" t="s">
        <v>203</v>
      </c>
    </row>
    <row r="42" spans="1:13" s="5" customFormat="1" ht="40.5" customHeight="1" x14ac:dyDescent="0.2">
      <c r="A42" s="13" t="s">
        <v>204</v>
      </c>
      <c r="B42" s="13" t="s">
        <v>39</v>
      </c>
      <c r="C42" s="13" t="s">
        <v>40</v>
      </c>
      <c r="D42" s="55">
        <v>1</v>
      </c>
      <c r="E42" s="53">
        <v>60</v>
      </c>
      <c r="F42" s="54">
        <v>45903</v>
      </c>
      <c r="G42" s="10">
        <v>0.375</v>
      </c>
      <c r="H42" s="13">
        <v>45902</v>
      </c>
      <c r="I42" s="12">
        <v>0.93055555555555558</v>
      </c>
      <c r="J42" s="53">
        <f t="shared" si="1"/>
        <v>-2</v>
      </c>
      <c r="K42" s="50">
        <v>1</v>
      </c>
      <c r="L42" s="51">
        <v>62</v>
      </c>
      <c r="M42" s="52" t="s">
        <v>205</v>
      </c>
    </row>
    <row r="43" spans="1:13" s="5" customFormat="1" ht="38.25" customHeight="1" x14ac:dyDescent="0.2">
      <c r="A43" s="23" t="s">
        <v>146</v>
      </c>
      <c r="B43" s="11" t="s">
        <v>30</v>
      </c>
      <c r="C43" s="62" t="s">
        <v>207</v>
      </c>
      <c r="D43" s="20">
        <v>1</v>
      </c>
      <c r="E43" s="29">
        <v>60</v>
      </c>
      <c r="F43" s="11">
        <v>45903</v>
      </c>
      <c r="G43" s="10">
        <v>0.375</v>
      </c>
      <c r="H43" s="11">
        <v>45902</v>
      </c>
      <c r="I43" s="10">
        <v>0.91666666666666663</v>
      </c>
      <c r="J43" s="9">
        <f t="shared" si="1"/>
        <v>50</v>
      </c>
      <c r="K43" s="8">
        <v>1</v>
      </c>
      <c r="L43" s="7">
        <v>10</v>
      </c>
      <c r="M43" s="6" t="s">
        <v>149</v>
      </c>
    </row>
    <row r="44" spans="1:13" s="5" customFormat="1" ht="38.25" customHeight="1" x14ac:dyDescent="0.2">
      <c r="A44" s="23" t="s">
        <v>146</v>
      </c>
      <c r="B44" s="11" t="s">
        <v>42</v>
      </c>
      <c r="C44" s="11" t="s">
        <v>77</v>
      </c>
      <c r="D44" s="20">
        <v>1</v>
      </c>
      <c r="E44" s="29">
        <v>60</v>
      </c>
      <c r="F44" s="11">
        <v>45903</v>
      </c>
      <c r="G44" s="10">
        <v>0.375</v>
      </c>
      <c r="H44" s="11">
        <v>45902</v>
      </c>
      <c r="I44" s="10">
        <v>0.91666666666666663</v>
      </c>
      <c r="J44" s="9">
        <f t="shared" si="1"/>
        <v>50</v>
      </c>
      <c r="K44" s="8">
        <v>1</v>
      </c>
      <c r="L44" s="7">
        <v>10</v>
      </c>
      <c r="M44" s="6" t="s">
        <v>149</v>
      </c>
    </row>
    <row r="45" spans="1:13" s="5" customFormat="1" ht="27" customHeight="1" x14ac:dyDescent="0.2">
      <c r="A45" s="23" t="s">
        <v>146</v>
      </c>
      <c r="B45" s="11" t="s">
        <v>21</v>
      </c>
      <c r="C45" s="11" t="s">
        <v>86</v>
      </c>
      <c r="D45" s="20">
        <v>1</v>
      </c>
      <c r="E45" s="29">
        <v>60</v>
      </c>
      <c r="F45" s="11">
        <v>45903</v>
      </c>
      <c r="G45" s="10">
        <v>0.375</v>
      </c>
      <c r="H45" s="11">
        <v>45902</v>
      </c>
      <c r="I45" s="10">
        <v>0.91666666666666663</v>
      </c>
      <c r="J45" s="9">
        <f t="shared" si="1"/>
        <v>50</v>
      </c>
      <c r="K45" s="8">
        <v>1</v>
      </c>
      <c r="L45" s="7">
        <v>10</v>
      </c>
      <c r="M45" s="6" t="s">
        <v>149</v>
      </c>
    </row>
    <row r="46" spans="1:13" s="5" customFormat="1" ht="33" customHeight="1" x14ac:dyDescent="0.2">
      <c r="A46" s="23" t="s">
        <v>146</v>
      </c>
      <c r="B46" s="11" t="s">
        <v>136</v>
      </c>
      <c r="C46" s="11" t="s">
        <v>151</v>
      </c>
      <c r="D46" s="20">
        <v>1</v>
      </c>
      <c r="E46" s="29">
        <v>60</v>
      </c>
      <c r="F46" s="11">
        <v>45903</v>
      </c>
      <c r="G46" s="10">
        <v>0.375</v>
      </c>
      <c r="H46" s="11">
        <v>45902</v>
      </c>
      <c r="I46" s="10">
        <v>0.91666666666666663</v>
      </c>
      <c r="J46" s="9">
        <f t="shared" si="1"/>
        <v>50</v>
      </c>
      <c r="K46" s="8">
        <v>1</v>
      </c>
      <c r="L46" s="7">
        <v>10</v>
      </c>
      <c r="M46" s="6" t="s">
        <v>149</v>
      </c>
    </row>
    <row r="47" spans="1:13" s="5" customFormat="1" ht="33.75" customHeight="1" x14ac:dyDescent="0.2">
      <c r="A47" s="23" t="s">
        <v>146</v>
      </c>
      <c r="B47" s="11" t="s">
        <v>36</v>
      </c>
      <c r="C47" s="11" t="s">
        <v>80</v>
      </c>
      <c r="D47" s="20">
        <v>1</v>
      </c>
      <c r="E47" s="29">
        <v>60</v>
      </c>
      <c r="F47" s="11">
        <v>45903</v>
      </c>
      <c r="G47" s="10">
        <v>0.375</v>
      </c>
      <c r="H47" s="11">
        <v>45902</v>
      </c>
      <c r="I47" s="10">
        <v>0.91666666666666663</v>
      </c>
      <c r="J47" s="9">
        <f t="shared" si="1"/>
        <v>50</v>
      </c>
      <c r="K47" s="8">
        <v>1</v>
      </c>
      <c r="L47" s="7">
        <v>10</v>
      </c>
      <c r="M47" s="6" t="s">
        <v>149</v>
      </c>
    </row>
    <row r="48" spans="1:13" s="5" customFormat="1" ht="27" customHeight="1" x14ac:dyDescent="0.2">
      <c r="A48" s="23" t="s">
        <v>146</v>
      </c>
      <c r="B48" s="11" t="s">
        <v>39</v>
      </c>
      <c r="C48" s="11" t="s">
        <v>150</v>
      </c>
      <c r="D48" s="20">
        <v>1</v>
      </c>
      <c r="E48" s="29">
        <v>60</v>
      </c>
      <c r="F48" s="11">
        <v>45903</v>
      </c>
      <c r="G48" s="10">
        <v>0.375</v>
      </c>
      <c r="H48" s="11">
        <v>45902</v>
      </c>
      <c r="I48" s="10">
        <v>0.91666666666666663</v>
      </c>
      <c r="J48" s="9">
        <f t="shared" si="1"/>
        <v>50</v>
      </c>
      <c r="K48" s="8">
        <v>1</v>
      </c>
      <c r="L48" s="7">
        <v>10</v>
      </c>
      <c r="M48" s="6" t="s">
        <v>149</v>
      </c>
    </row>
    <row r="49" spans="1:13" s="5" customFormat="1" ht="26.1" customHeight="1" x14ac:dyDescent="0.2">
      <c r="A49" s="23" t="s">
        <v>52</v>
      </c>
      <c r="B49" s="21" t="s">
        <v>21</v>
      </c>
      <c r="C49" s="63" t="s">
        <v>22</v>
      </c>
      <c r="D49" s="20">
        <v>1</v>
      </c>
      <c r="E49" s="29">
        <v>30</v>
      </c>
      <c r="F49" s="11">
        <v>45903</v>
      </c>
      <c r="G49" s="10">
        <v>0.375</v>
      </c>
      <c r="H49" s="11">
        <v>45902</v>
      </c>
      <c r="I49" s="10">
        <v>0.91666666666666663</v>
      </c>
      <c r="J49" s="9">
        <f t="shared" si="1"/>
        <v>0</v>
      </c>
      <c r="K49" s="8">
        <v>1</v>
      </c>
      <c r="L49" s="7">
        <v>30</v>
      </c>
      <c r="M49" s="6" t="s">
        <v>53</v>
      </c>
    </row>
    <row r="50" spans="1:13" s="5" customFormat="1" ht="24.95" customHeight="1" x14ac:dyDescent="0.2">
      <c r="A50" s="23" t="s">
        <v>153</v>
      </c>
      <c r="B50" s="21" t="s">
        <v>36</v>
      </c>
      <c r="C50" s="63" t="s">
        <v>37</v>
      </c>
      <c r="D50" s="20">
        <v>1</v>
      </c>
      <c r="E50" s="5">
        <v>30</v>
      </c>
      <c r="F50" s="11">
        <v>45903</v>
      </c>
      <c r="G50" s="10">
        <v>0.375</v>
      </c>
      <c r="H50" s="11">
        <v>45902</v>
      </c>
      <c r="I50" s="10">
        <v>0.91666666666666663</v>
      </c>
      <c r="J50" s="9">
        <f t="shared" si="1"/>
        <v>0</v>
      </c>
      <c r="K50" s="8">
        <v>1</v>
      </c>
      <c r="L50" s="7">
        <v>30</v>
      </c>
      <c r="M50" s="6" t="s">
        <v>53</v>
      </c>
    </row>
    <row r="51" spans="1:13" s="5" customFormat="1" ht="22.5" customHeight="1" x14ac:dyDescent="0.2">
      <c r="A51" s="23" t="s">
        <v>79</v>
      </c>
      <c r="B51" s="11" t="s">
        <v>36</v>
      </c>
      <c r="C51" s="62" t="s">
        <v>37</v>
      </c>
      <c r="D51" s="20">
        <v>1</v>
      </c>
      <c r="E51" s="29">
        <v>45</v>
      </c>
      <c r="F51" s="11">
        <v>45903</v>
      </c>
      <c r="G51" s="10">
        <v>0.375</v>
      </c>
      <c r="H51" s="11">
        <v>45902</v>
      </c>
      <c r="I51" s="10">
        <v>0.9375</v>
      </c>
      <c r="J51" s="9">
        <f t="shared" si="1"/>
        <v>-35</v>
      </c>
      <c r="K51" s="8">
        <v>1</v>
      </c>
      <c r="L51" s="7">
        <v>80</v>
      </c>
      <c r="M51" s="6" t="s">
        <v>81</v>
      </c>
    </row>
    <row r="52" spans="1:13" s="5" customFormat="1" ht="35.450000000000003" customHeight="1" x14ac:dyDescent="0.2">
      <c r="A52" s="23" t="s">
        <v>85</v>
      </c>
      <c r="B52" s="11" t="s">
        <v>21</v>
      </c>
      <c r="C52" s="62" t="s">
        <v>22</v>
      </c>
      <c r="D52" s="20">
        <v>1</v>
      </c>
      <c r="E52" s="29">
        <v>60</v>
      </c>
      <c r="F52" s="11">
        <v>45903</v>
      </c>
      <c r="G52" s="10">
        <v>0.375</v>
      </c>
      <c r="H52" s="11">
        <v>45902</v>
      </c>
      <c r="I52" s="10">
        <v>0.9375</v>
      </c>
      <c r="J52" s="9">
        <f t="shared" si="1"/>
        <v>10</v>
      </c>
      <c r="K52" s="8">
        <v>1</v>
      </c>
      <c r="L52" s="7">
        <v>50</v>
      </c>
      <c r="M52" s="6" t="s">
        <v>87</v>
      </c>
    </row>
    <row r="53" spans="1:13" s="5" customFormat="1" ht="36.6" customHeight="1" x14ac:dyDescent="0.2">
      <c r="A53" s="23" t="s">
        <v>88</v>
      </c>
      <c r="B53" s="11" t="s">
        <v>21</v>
      </c>
      <c r="C53" s="11" t="s">
        <v>22</v>
      </c>
      <c r="D53" s="20">
        <v>1</v>
      </c>
      <c r="E53" s="29">
        <v>55</v>
      </c>
      <c r="F53" s="11">
        <v>45903</v>
      </c>
      <c r="G53" s="10">
        <v>0.375</v>
      </c>
      <c r="H53" s="11">
        <v>45902</v>
      </c>
      <c r="I53" s="10">
        <v>0.9375</v>
      </c>
      <c r="J53" s="9">
        <f t="shared" si="1"/>
        <v>0</v>
      </c>
      <c r="K53" s="8">
        <v>1</v>
      </c>
      <c r="L53" s="7">
        <v>55</v>
      </c>
      <c r="M53" s="6" t="s">
        <v>89</v>
      </c>
    </row>
    <row r="54" spans="1:13" s="5" customFormat="1" ht="36.6" customHeight="1" x14ac:dyDescent="0.2">
      <c r="A54" s="33" t="s">
        <v>131</v>
      </c>
      <c r="B54" s="11" t="s">
        <v>36</v>
      </c>
      <c r="C54" s="11" t="s">
        <v>37</v>
      </c>
      <c r="D54" s="29">
        <v>1</v>
      </c>
      <c r="E54" s="29">
        <v>30</v>
      </c>
      <c r="F54" s="11">
        <v>45903</v>
      </c>
      <c r="G54" s="10">
        <v>0.375</v>
      </c>
      <c r="H54" s="11">
        <v>45902</v>
      </c>
      <c r="I54" s="10">
        <v>0.9375</v>
      </c>
      <c r="J54" s="9">
        <f t="shared" si="1"/>
        <v>-2</v>
      </c>
      <c r="K54" s="8">
        <v>1</v>
      </c>
      <c r="L54" s="7">
        <v>32</v>
      </c>
      <c r="M54" s="6" t="s">
        <v>132</v>
      </c>
    </row>
    <row r="55" spans="1:13" s="5" customFormat="1" ht="35.450000000000003" customHeight="1" x14ac:dyDescent="0.2">
      <c r="A55" s="33" t="s">
        <v>131</v>
      </c>
      <c r="B55" s="11" t="s">
        <v>42</v>
      </c>
      <c r="C55" s="11" t="s">
        <v>43</v>
      </c>
      <c r="D55" s="29">
        <v>1</v>
      </c>
      <c r="E55" s="29">
        <v>30</v>
      </c>
      <c r="F55" s="11">
        <v>45903</v>
      </c>
      <c r="G55" s="10">
        <v>0.375</v>
      </c>
      <c r="H55" s="11">
        <v>45902</v>
      </c>
      <c r="I55" s="10">
        <v>0.9375</v>
      </c>
      <c r="J55" s="9">
        <f t="shared" si="1"/>
        <v>-2</v>
      </c>
      <c r="K55" s="8">
        <v>1</v>
      </c>
      <c r="L55" s="7">
        <v>32</v>
      </c>
      <c r="M55" s="6" t="s">
        <v>132</v>
      </c>
    </row>
    <row r="56" spans="1:13" s="5" customFormat="1" ht="35.450000000000003" customHeight="1" x14ac:dyDescent="0.2">
      <c r="A56" s="33" t="s">
        <v>131</v>
      </c>
      <c r="B56" s="11" t="s">
        <v>30</v>
      </c>
      <c r="C56" s="11" t="s">
        <v>31</v>
      </c>
      <c r="D56" s="29">
        <v>1</v>
      </c>
      <c r="E56" s="29">
        <v>30</v>
      </c>
      <c r="F56" s="11">
        <v>45903</v>
      </c>
      <c r="G56" s="10">
        <v>0.375</v>
      </c>
      <c r="H56" s="11">
        <v>45902</v>
      </c>
      <c r="I56" s="10">
        <v>0.9375</v>
      </c>
      <c r="J56" s="9">
        <f t="shared" si="1"/>
        <v>-2</v>
      </c>
      <c r="K56" s="8">
        <v>1</v>
      </c>
      <c r="L56" s="7">
        <v>32</v>
      </c>
      <c r="M56" s="6" t="s">
        <v>132</v>
      </c>
    </row>
    <row r="57" spans="1:13" s="5" customFormat="1" ht="35.450000000000003" customHeight="1" x14ac:dyDescent="0.2">
      <c r="A57" s="33" t="s">
        <v>131</v>
      </c>
      <c r="B57" s="11" t="s">
        <v>21</v>
      </c>
      <c r="C57" s="11" t="s">
        <v>22</v>
      </c>
      <c r="D57" s="29">
        <v>1</v>
      </c>
      <c r="E57" s="29">
        <v>30</v>
      </c>
      <c r="F57" s="11">
        <v>45903</v>
      </c>
      <c r="G57" s="10">
        <v>0.375</v>
      </c>
      <c r="H57" s="11">
        <v>45902</v>
      </c>
      <c r="I57" s="10">
        <v>0.9375</v>
      </c>
      <c r="J57" s="9">
        <f t="shared" si="1"/>
        <v>-2</v>
      </c>
      <c r="K57" s="8">
        <v>1</v>
      </c>
      <c r="L57" s="7">
        <v>32</v>
      </c>
      <c r="M57" s="6" t="s">
        <v>132</v>
      </c>
    </row>
    <row r="58" spans="1:13" s="5" customFormat="1" ht="35.450000000000003" customHeight="1" x14ac:dyDescent="0.2">
      <c r="A58" s="33" t="s">
        <v>131</v>
      </c>
      <c r="B58" s="11" t="s">
        <v>136</v>
      </c>
      <c r="C58" s="11" t="s">
        <v>34</v>
      </c>
      <c r="D58" s="29">
        <v>1</v>
      </c>
      <c r="E58" s="29">
        <v>30</v>
      </c>
      <c r="F58" s="11">
        <v>45903</v>
      </c>
      <c r="G58" s="10">
        <v>0.375</v>
      </c>
      <c r="H58" s="11">
        <v>45902</v>
      </c>
      <c r="I58" s="10">
        <v>0.9375</v>
      </c>
      <c r="J58" s="9">
        <f t="shared" si="1"/>
        <v>-2</v>
      </c>
      <c r="K58" s="8">
        <v>1</v>
      </c>
      <c r="L58" s="7">
        <v>32</v>
      </c>
      <c r="M58" s="6" t="s">
        <v>132</v>
      </c>
    </row>
    <row r="59" spans="1:13" s="5" customFormat="1" ht="35.450000000000003" customHeight="1" x14ac:dyDescent="0.2">
      <c r="A59" s="33" t="s">
        <v>131</v>
      </c>
      <c r="B59" s="11" t="s">
        <v>39</v>
      </c>
      <c r="C59" s="11" t="s">
        <v>40</v>
      </c>
      <c r="D59" s="29">
        <v>1</v>
      </c>
      <c r="E59" s="29">
        <v>30</v>
      </c>
      <c r="F59" s="11">
        <v>45903</v>
      </c>
      <c r="G59" s="10">
        <v>0.375</v>
      </c>
      <c r="H59" s="11">
        <v>45902</v>
      </c>
      <c r="I59" s="10">
        <v>0.9375</v>
      </c>
      <c r="J59" s="9">
        <f t="shared" si="1"/>
        <v>-2</v>
      </c>
      <c r="K59" s="8">
        <v>1</v>
      </c>
      <c r="L59" s="7">
        <v>32</v>
      </c>
      <c r="M59" s="6" t="s">
        <v>132</v>
      </c>
    </row>
    <row r="60" spans="1:13" s="5" customFormat="1" ht="35.450000000000003" customHeight="1" x14ac:dyDescent="0.2">
      <c r="A60" s="33" t="s">
        <v>133</v>
      </c>
      <c r="B60" s="11" t="s">
        <v>21</v>
      </c>
      <c r="C60" s="11" t="s">
        <v>22</v>
      </c>
      <c r="D60" s="29">
        <v>3</v>
      </c>
      <c r="E60" s="29">
        <v>20</v>
      </c>
      <c r="F60" s="11">
        <v>45903</v>
      </c>
      <c r="G60" s="10">
        <v>0.375</v>
      </c>
      <c r="H60" s="11">
        <v>45903</v>
      </c>
      <c r="I60" s="10">
        <v>0.375</v>
      </c>
      <c r="J60" s="9">
        <f t="shared" si="1"/>
        <v>5</v>
      </c>
      <c r="K60" s="8">
        <v>3</v>
      </c>
      <c r="L60" s="7">
        <v>15</v>
      </c>
      <c r="M60" s="6" t="s">
        <v>134</v>
      </c>
    </row>
    <row r="61" spans="1:13" s="5" customFormat="1" ht="35.450000000000003" customHeight="1" x14ac:dyDescent="0.2">
      <c r="A61"/>
      <c r="B61"/>
      <c r="C61"/>
      <c r="D61"/>
      <c r="E61"/>
      <c r="F61"/>
      <c r="G61"/>
      <c r="H61"/>
      <c r="I61"/>
      <c r="J61"/>
      <c r="K61"/>
      <c r="L61"/>
      <c r="M61"/>
    </row>
    <row r="62" spans="1:13" s="5" customFormat="1" ht="35.450000000000003" customHeight="1" x14ac:dyDescent="0.2">
      <c r="A62" s="4"/>
      <c r="B62" s="4"/>
      <c r="C62" s="4"/>
      <c r="D62" s="4"/>
      <c r="E62" s="4"/>
      <c r="F62" s="4"/>
      <c r="G62" s="4"/>
      <c r="H62" s="4"/>
      <c r="I62" s="3"/>
      <c r="J62" s="3"/>
      <c r="K62" s="2"/>
      <c r="L62" s="1"/>
      <c r="M62" s="1"/>
    </row>
    <row r="63" spans="1:13" s="5" customFormat="1" ht="35.450000000000003" customHeight="1" x14ac:dyDescent="0.2">
      <c r="A63" s="4"/>
      <c r="B63" s="4"/>
      <c r="C63" s="4"/>
      <c r="D63" s="4"/>
      <c r="E63" s="4"/>
      <c r="F63" s="4"/>
      <c r="G63" s="4"/>
      <c r="H63" s="4"/>
      <c r="I63" s="3"/>
      <c r="J63" s="3"/>
      <c r="K63" s="2"/>
      <c r="L63" s="1"/>
      <c r="M63" s="1"/>
    </row>
    <row r="64" spans="1:13" s="5" customFormat="1" ht="35.450000000000003" customHeight="1" x14ac:dyDescent="0.2">
      <c r="A64" s="4"/>
      <c r="B64" s="4"/>
      <c r="C64" s="4"/>
      <c r="D64" s="4"/>
      <c r="E64" s="4"/>
      <c r="F64" s="4"/>
      <c r="G64" s="4"/>
      <c r="H64" s="4"/>
      <c r="I64" s="3"/>
      <c r="J64" s="3"/>
      <c r="K64" s="2"/>
      <c r="L64" s="1"/>
      <c r="M64" s="1"/>
    </row>
    <row r="65" spans="1:13" s="5" customFormat="1" ht="35.450000000000003" customHeight="1" x14ac:dyDescent="0.2">
      <c r="A65" s="4"/>
      <c r="B65" s="4"/>
      <c r="C65" s="4"/>
      <c r="D65" s="4"/>
      <c r="E65" s="4"/>
      <c r="F65" s="4"/>
      <c r="G65" s="4"/>
      <c r="H65" s="4"/>
      <c r="I65" s="3"/>
      <c r="J65" s="3"/>
      <c r="K65" s="2"/>
      <c r="L65" s="1"/>
      <c r="M65" s="1"/>
    </row>
    <row r="66" spans="1:13" s="5" customFormat="1" ht="35.450000000000003" customHeight="1" x14ac:dyDescent="0.2">
      <c r="A66" s="4"/>
      <c r="B66" s="4"/>
      <c r="C66" s="4"/>
      <c r="D66" s="4"/>
      <c r="E66" s="4"/>
      <c r="F66" s="4"/>
      <c r="G66" s="4"/>
      <c r="H66" s="4"/>
      <c r="I66" s="3"/>
      <c r="J66" s="3"/>
      <c r="K66" s="2"/>
      <c r="L66" s="1"/>
      <c r="M66" s="1"/>
    </row>
    <row r="67" spans="1:13" s="5" customFormat="1" ht="35.450000000000003" customHeight="1" x14ac:dyDescent="0.2">
      <c r="A67" s="4"/>
      <c r="B67" s="4"/>
      <c r="C67" s="4"/>
      <c r="D67" s="4"/>
      <c r="E67" s="4"/>
      <c r="F67" s="4"/>
      <c r="G67" s="4"/>
      <c r="H67" s="4"/>
      <c r="I67" s="3"/>
      <c r="J67" s="3"/>
      <c r="K67" s="2"/>
      <c r="L67" s="1"/>
      <c r="M67" s="1"/>
    </row>
    <row r="68" spans="1:13" s="5" customFormat="1" ht="37.5" customHeight="1" x14ac:dyDescent="0.2">
      <c r="A68" s="4"/>
      <c r="B68" s="4"/>
      <c r="C68" s="4"/>
      <c r="D68" s="4"/>
      <c r="E68" s="4"/>
      <c r="F68" s="4"/>
      <c r="G68" s="4"/>
      <c r="H68" s="4"/>
      <c r="I68" s="3"/>
      <c r="J68" s="3"/>
      <c r="K68" s="2"/>
      <c r="L68" s="1"/>
      <c r="M68" s="1"/>
    </row>
    <row r="77" spans="1:13" ht="36" x14ac:dyDescent="0.2">
      <c r="B77" s="11" t="s">
        <v>30</v>
      </c>
      <c r="C77" s="11" t="s">
        <v>83</v>
      </c>
      <c r="D77" s="20">
        <v>1</v>
      </c>
      <c r="E77" s="29">
        <v>50</v>
      </c>
      <c r="F77" s="11">
        <v>45882</v>
      </c>
      <c r="G77" s="10">
        <v>0.375</v>
      </c>
      <c r="H77" s="11">
        <v>45880</v>
      </c>
      <c r="I77" s="10">
        <v>0.95833333333333337</v>
      </c>
      <c r="J77" s="9">
        <f>E77-L77</f>
        <v>-4</v>
      </c>
      <c r="K77" s="8">
        <v>1</v>
      </c>
      <c r="L77" s="7">
        <v>54</v>
      </c>
      <c r="M77" s="6" t="s">
        <v>84</v>
      </c>
    </row>
    <row r="78" spans="1:13" x14ac:dyDescent="0.2">
      <c r="A78" s="23" t="s">
        <v>82</v>
      </c>
    </row>
    <row r="97" spans="1:20" ht="30" customHeight="1" x14ac:dyDescent="0.2"/>
    <row r="98" spans="1:20" ht="23.25" customHeight="1" x14ac:dyDescent="0.2"/>
    <row r="105" spans="1:20" s="5" customFormat="1" ht="12" customHeight="1" x14ac:dyDescent="0.2">
      <c r="A105" s="4"/>
      <c r="B105" s="4"/>
      <c r="C105" s="4"/>
      <c r="D105" s="4"/>
      <c r="E105" s="4"/>
      <c r="F105" s="4"/>
      <c r="G105" s="4"/>
      <c r="H105" s="4"/>
      <c r="I105" s="3"/>
      <c r="J105" s="3"/>
      <c r="K105" s="2"/>
      <c r="L105" s="1"/>
      <c r="M105" s="1"/>
    </row>
    <row r="109" spans="1:20" x14ac:dyDescent="0.2">
      <c r="Q109" s="42" t="e">
        <f>SUM(#REF!)</f>
        <v>#REF!</v>
      </c>
      <c r="R109" s="42" t="e">
        <f>SUM(#REF!)</f>
        <v>#REF!</v>
      </c>
      <c r="S109" s="42" t="e">
        <f>SUM(#REF!)</f>
        <v>#REF!</v>
      </c>
      <c r="T109" s="42" t="e">
        <f>SUM(#REF!)</f>
        <v>#REF!</v>
      </c>
    </row>
    <row r="110" spans="1:20" ht="35.25" customHeight="1" x14ac:dyDescent="0.2"/>
    <row r="111" spans="1:20" ht="36.75" customHeight="1" x14ac:dyDescent="0.2"/>
    <row r="112" spans="1:20" ht="33.75" customHeight="1" x14ac:dyDescent="0.2"/>
    <row r="113" ht="26.25" customHeight="1" x14ac:dyDescent="0.2"/>
    <row r="114" ht="27.75" customHeight="1" x14ac:dyDescent="0.2"/>
    <row r="115" ht="40.5" customHeight="1" x14ac:dyDescent="0.2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25876-5662-4198-9D28-C7F3B9127FCE}">
  <dimension ref="A1:T129"/>
  <sheetViews>
    <sheetView topLeftCell="B1" zoomScale="84" zoomScaleNormal="76" workbookViewId="0">
      <selection activeCell="O8" sqref="O8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26"/>
      <c r="B1" s="128" t="s">
        <v>0</v>
      </c>
      <c r="C1" s="128"/>
      <c r="D1" s="128"/>
      <c r="E1" s="128"/>
      <c r="F1" s="128"/>
      <c r="G1" s="128"/>
      <c r="H1" s="128"/>
      <c r="I1" s="128"/>
      <c r="J1" s="128"/>
      <c r="K1" s="128"/>
      <c r="L1" s="130"/>
      <c r="M1" s="131"/>
    </row>
    <row r="2" spans="1:20" ht="20.25" customHeight="1" x14ac:dyDescent="0.2">
      <c r="A2" s="127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32"/>
      <c r="M2" s="133"/>
    </row>
    <row r="3" spans="1:20" ht="12.75" customHeight="1" x14ac:dyDescent="0.2">
      <c r="A3" s="134" t="s">
        <v>1</v>
      </c>
      <c r="B3" s="136" t="s">
        <v>2</v>
      </c>
      <c r="C3" s="136"/>
      <c r="D3" s="136"/>
      <c r="E3" s="136"/>
      <c r="F3" s="136"/>
      <c r="G3" s="136"/>
      <c r="H3" s="136"/>
      <c r="I3" s="136"/>
      <c r="J3" s="136"/>
      <c r="K3" s="136"/>
      <c r="L3" s="138" t="s">
        <v>3</v>
      </c>
      <c r="M3" s="139"/>
    </row>
    <row r="4" spans="1:20" ht="13.5" thickBot="1" x14ac:dyDescent="0.25">
      <c r="A4" s="135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22" t="s">
        <v>6</v>
      </c>
      <c r="C6" s="122"/>
      <c r="D6" s="122"/>
      <c r="E6" s="122"/>
      <c r="F6" s="122"/>
      <c r="G6" s="122"/>
      <c r="H6" s="123" t="s">
        <v>7</v>
      </c>
      <c r="I6" s="124"/>
      <c r="J6" s="124"/>
      <c r="K6" s="124"/>
      <c r="L6" s="125"/>
      <c r="M6" s="25"/>
    </row>
    <row r="7" spans="1:20" s="14" customFormat="1" ht="49.5" customHeight="1" x14ac:dyDescent="0.2">
      <c r="A7" s="18" cm="1">
        <f t="array" aca="1" ref="A7" ca="1">+A77+A1:L7+A7:L7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144</v>
      </c>
      <c r="B8" s="89" t="s">
        <v>30</v>
      </c>
      <c r="C8" s="90" t="s">
        <v>31</v>
      </c>
      <c r="D8" s="84">
        <v>1</v>
      </c>
      <c r="E8" s="8">
        <v>30</v>
      </c>
      <c r="F8" s="85">
        <v>45909</v>
      </c>
      <c r="G8" s="86">
        <v>0.375</v>
      </c>
      <c r="H8" s="85">
        <v>45905</v>
      </c>
      <c r="I8" s="86">
        <v>0.45833333333333331</v>
      </c>
      <c r="J8" s="87">
        <f>E8-L8</f>
        <v>0</v>
      </c>
      <c r="K8" s="8">
        <v>1</v>
      </c>
      <c r="L8" s="88">
        <v>30</v>
      </c>
      <c r="M8" s="91" t="s">
        <v>156</v>
      </c>
      <c r="Q8" s="83"/>
      <c r="R8" s="83"/>
      <c r="S8" s="83"/>
      <c r="T8" s="83"/>
    </row>
    <row r="9" spans="1:20" s="5" customFormat="1" ht="40.5" customHeight="1" x14ac:dyDescent="0.2">
      <c r="A9" s="23" t="s">
        <v>216</v>
      </c>
      <c r="B9" s="85" t="s">
        <v>36</v>
      </c>
      <c r="C9" s="85" t="s">
        <v>37</v>
      </c>
      <c r="D9" s="84">
        <v>1</v>
      </c>
      <c r="E9" s="49">
        <v>30</v>
      </c>
      <c r="F9" s="85">
        <v>45909</v>
      </c>
      <c r="G9" s="86">
        <v>0.375</v>
      </c>
      <c r="H9" s="85">
        <v>45905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75</v>
      </c>
      <c r="O9" s="5" t="s">
        <v>155</v>
      </c>
    </row>
    <row r="10" spans="1:20" s="5" customFormat="1" ht="39" customHeight="1" x14ac:dyDescent="0.2">
      <c r="A10" s="53" t="s">
        <v>252</v>
      </c>
      <c r="B10" s="53" t="s">
        <v>36</v>
      </c>
      <c r="C10" s="53" t="s">
        <v>37</v>
      </c>
      <c r="D10" s="53">
        <v>2</v>
      </c>
      <c r="E10" s="53">
        <v>30</v>
      </c>
      <c r="F10" s="80">
        <v>45909</v>
      </c>
      <c r="G10" s="81">
        <v>0.375</v>
      </c>
      <c r="H10" s="80">
        <v>45907</v>
      </c>
      <c r="I10" s="81">
        <v>0.52083333333333337</v>
      </c>
      <c r="J10" s="87">
        <f>E10-L10</f>
        <v>0</v>
      </c>
      <c r="K10" s="53">
        <v>2</v>
      </c>
      <c r="L10" s="53">
        <v>30</v>
      </c>
      <c r="M10" s="79" t="s">
        <v>253</v>
      </c>
    </row>
    <row r="11" spans="1:20" s="5" customFormat="1" ht="43.5" customHeight="1" x14ac:dyDescent="0.2">
      <c r="A11" s="53" t="s">
        <v>252</v>
      </c>
      <c r="B11" s="53" t="s">
        <v>42</v>
      </c>
      <c r="C11" s="53" t="s">
        <v>43</v>
      </c>
      <c r="D11" s="53">
        <v>2</v>
      </c>
      <c r="E11" s="53">
        <v>30</v>
      </c>
      <c r="F11" s="80">
        <v>45909</v>
      </c>
      <c r="G11" s="81">
        <v>0.375</v>
      </c>
      <c r="H11" s="80">
        <v>45907</v>
      </c>
      <c r="I11" s="81">
        <v>0.54166666666666663</v>
      </c>
      <c r="J11" s="87">
        <f t="shared" ref="J11:J74" si="0">E11-L11</f>
        <v>0</v>
      </c>
      <c r="K11" s="53">
        <v>2</v>
      </c>
      <c r="L11" s="53">
        <v>30</v>
      </c>
      <c r="M11" s="79" t="s">
        <v>253</v>
      </c>
    </row>
    <row r="12" spans="1:20" s="5" customFormat="1" ht="35.1" customHeight="1" x14ac:dyDescent="0.2">
      <c r="A12" s="53" t="s">
        <v>254</v>
      </c>
      <c r="B12" s="53" t="s">
        <v>36</v>
      </c>
      <c r="C12" s="53" t="s">
        <v>37</v>
      </c>
      <c r="D12" s="53">
        <v>1</v>
      </c>
      <c r="E12" s="53">
        <v>30</v>
      </c>
      <c r="F12" s="80">
        <v>45909</v>
      </c>
      <c r="G12" s="81">
        <v>0.375</v>
      </c>
      <c r="H12" s="80">
        <v>45907</v>
      </c>
      <c r="I12" s="81">
        <v>0.5625</v>
      </c>
      <c r="J12" s="87">
        <f t="shared" si="0"/>
        <v>0</v>
      </c>
      <c r="K12" s="53">
        <v>1</v>
      </c>
      <c r="L12" s="53">
        <v>30</v>
      </c>
      <c r="M12" s="79" t="s">
        <v>255</v>
      </c>
    </row>
    <row r="13" spans="1:20" s="5" customFormat="1" ht="35.1" customHeight="1" x14ac:dyDescent="0.2">
      <c r="A13" s="79" t="s">
        <v>254</v>
      </c>
      <c r="B13" s="53" t="s">
        <v>42</v>
      </c>
      <c r="C13" s="53" t="s">
        <v>43</v>
      </c>
      <c r="D13" s="53">
        <v>1</v>
      </c>
      <c r="E13" s="53">
        <v>30</v>
      </c>
      <c r="F13" s="80">
        <v>45909</v>
      </c>
      <c r="G13" s="81">
        <v>0.375</v>
      </c>
      <c r="H13" s="80">
        <v>45907</v>
      </c>
      <c r="I13" s="81">
        <v>0.58333333333333337</v>
      </c>
      <c r="J13" s="87">
        <f t="shared" si="0"/>
        <v>0</v>
      </c>
      <c r="K13" s="53">
        <v>2</v>
      </c>
      <c r="L13" s="53">
        <v>30</v>
      </c>
      <c r="M13" s="79" t="s">
        <v>255</v>
      </c>
    </row>
    <row r="14" spans="1:20" s="5" customFormat="1" ht="35.1" customHeight="1" x14ac:dyDescent="0.2">
      <c r="A14" s="53" t="s">
        <v>256</v>
      </c>
      <c r="B14" s="53" t="s">
        <v>36</v>
      </c>
      <c r="C14" s="53" t="s">
        <v>37</v>
      </c>
      <c r="D14" s="53">
        <v>2</v>
      </c>
      <c r="E14" s="53">
        <v>30</v>
      </c>
      <c r="F14" s="80">
        <v>45909</v>
      </c>
      <c r="G14" s="81">
        <v>0.375</v>
      </c>
      <c r="H14" s="80">
        <v>45907</v>
      </c>
      <c r="I14" s="81">
        <v>0.58333333333333337</v>
      </c>
      <c r="J14" s="53">
        <f t="shared" si="0"/>
        <v>0</v>
      </c>
      <c r="K14" s="53">
        <v>2</v>
      </c>
      <c r="L14" s="53">
        <v>30</v>
      </c>
      <c r="M14" s="79" t="s">
        <v>257</v>
      </c>
    </row>
    <row r="15" spans="1:20" s="5" customFormat="1" ht="35.1" customHeight="1" x14ac:dyDescent="0.2">
      <c r="A15" s="79" t="s">
        <v>256</v>
      </c>
      <c r="B15" s="53" t="s">
        <v>42</v>
      </c>
      <c r="C15" s="53" t="s">
        <v>43</v>
      </c>
      <c r="D15" s="53">
        <v>2</v>
      </c>
      <c r="E15" s="53">
        <v>30</v>
      </c>
      <c r="F15" s="80">
        <v>45909</v>
      </c>
      <c r="G15" s="81">
        <v>0.375</v>
      </c>
      <c r="H15" s="80">
        <v>45907</v>
      </c>
      <c r="I15" s="81">
        <v>0.58333333333333337</v>
      </c>
      <c r="J15" s="53">
        <f t="shared" si="0"/>
        <v>0</v>
      </c>
      <c r="K15" s="53">
        <v>2</v>
      </c>
      <c r="L15" s="53">
        <v>30</v>
      </c>
      <c r="M15" s="79" t="s">
        <v>257</v>
      </c>
    </row>
    <row r="16" spans="1:20" s="5" customFormat="1" ht="38.450000000000003" customHeight="1" x14ac:dyDescent="0.2">
      <c r="A16" s="79" t="s">
        <v>258</v>
      </c>
      <c r="B16" s="53" t="s">
        <v>36</v>
      </c>
      <c r="C16" s="53" t="s">
        <v>37</v>
      </c>
      <c r="D16" s="53">
        <v>2</v>
      </c>
      <c r="E16" s="53">
        <v>30</v>
      </c>
      <c r="F16" s="80">
        <v>45909</v>
      </c>
      <c r="G16" s="81">
        <v>0.375</v>
      </c>
      <c r="H16" s="80">
        <v>45907</v>
      </c>
      <c r="I16" s="81">
        <v>0.58333333333333337</v>
      </c>
      <c r="J16" s="53">
        <f t="shared" si="0"/>
        <v>0</v>
      </c>
      <c r="K16" s="53">
        <v>1</v>
      </c>
      <c r="L16" s="53">
        <v>30</v>
      </c>
      <c r="M16" s="79" t="s">
        <v>259</v>
      </c>
    </row>
    <row r="17" spans="1:13" s="5" customFormat="1" ht="30.75" customHeight="1" x14ac:dyDescent="0.2">
      <c r="A17" s="79" t="s">
        <v>258</v>
      </c>
      <c r="B17" s="53" t="s">
        <v>42</v>
      </c>
      <c r="C17" s="53" t="s">
        <v>43</v>
      </c>
      <c r="D17" s="53">
        <v>2</v>
      </c>
      <c r="E17" s="53">
        <v>30</v>
      </c>
      <c r="F17" s="80">
        <v>45909</v>
      </c>
      <c r="G17" s="81">
        <v>0.375</v>
      </c>
      <c r="H17" s="80">
        <v>45907</v>
      </c>
      <c r="I17" s="81">
        <v>0.58333333333333337</v>
      </c>
      <c r="J17" s="53">
        <f t="shared" si="0"/>
        <v>0</v>
      </c>
      <c r="K17" s="53">
        <v>1</v>
      </c>
      <c r="L17" s="53">
        <v>30</v>
      </c>
      <c r="M17" s="79" t="s">
        <v>259</v>
      </c>
    </row>
    <row r="18" spans="1:13" s="5" customFormat="1" ht="27" customHeight="1" x14ac:dyDescent="0.2">
      <c r="A18" s="53" t="s">
        <v>260</v>
      </c>
      <c r="B18" s="53" t="s">
        <v>36</v>
      </c>
      <c r="C18" s="53" t="s">
        <v>37</v>
      </c>
      <c r="D18" s="53">
        <v>1</v>
      </c>
      <c r="E18" s="53">
        <v>30</v>
      </c>
      <c r="F18" s="80">
        <v>45909</v>
      </c>
      <c r="G18" s="81">
        <v>0.375</v>
      </c>
      <c r="H18" s="80">
        <v>45907</v>
      </c>
      <c r="I18" s="81">
        <v>0.58333333333333337</v>
      </c>
      <c r="J18" s="53">
        <f t="shared" si="0"/>
        <v>0</v>
      </c>
      <c r="K18" s="53">
        <v>3</v>
      </c>
      <c r="L18" s="53">
        <v>30</v>
      </c>
      <c r="M18" s="79" t="s">
        <v>261</v>
      </c>
    </row>
    <row r="19" spans="1:13" s="5" customFormat="1" ht="38.25" customHeight="1" x14ac:dyDescent="0.2">
      <c r="A19" s="53" t="s">
        <v>260</v>
      </c>
      <c r="B19" s="53" t="s">
        <v>42</v>
      </c>
      <c r="C19" s="53" t="s">
        <v>43</v>
      </c>
      <c r="D19" s="53">
        <v>1</v>
      </c>
      <c r="E19" s="53">
        <v>30</v>
      </c>
      <c r="F19" s="80">
        <v>45909</v>
      </c>
      <c r="G19" s="81">
        <v>0.375</v>
      </c>
      <c r="H19" s="80">
        <v>45907</v>
      </c>
      <c r="I19" s="81">
        <v>0.58333333333333337</v>
      </c>
      <c r="J19" s="53">
        <f t="shared" si="0"/>
        <v>0</v>
      </c>
      <c r="K19" s="53">
        <v>2</v>
      </c>
      <c r="L19" s="53">
        <v>30</v>
      </c>
      <c r="M19" s="79" t="s">
        <v>261</v>
      </c>
    </row>
    <row r="20" spans="1:13" s="5" customFormat="1" ht="40.5" customHeight="1" x14ac:dyDescent="0.2">
      <c r="A20" s="53" t="s">
        <v>262</v>
      </c>
      <c r="B20" s="53" t="s">
        <v>36</v>
      </c>
      <c r="C20" s="53" t="s">
        <v>37</v>
      </c>
      <c r="D20" s="53">
        <v>1</v>
      </c>
      <c r="E20" s="53">
        <v>30</v>
      </c>
      <c r="F20" s="80">
        <v>45909</v>
      </c>
      <c r="G20" s="81">
        <v>0.375</v>
      </c>
      <c r="H20" s="80">
        <v>45907</v>
      </c>
      <c r="I20" s="81">
        <v>0.58333333333333337</v>
      </c>
      <c r="J20" s="53">
        <f t="shared" si="0"/>
        <v>0</v>
      </c>
      <c r="K20" s="53">
        <v>2</v>
      </c>
      <c r="L20" s="53">
        <v>30</v>
      </c>
      <c r="M20" s="79" t="s">
        <v>263</v>
      </c>
    </row>
    <row r="21" spans="1:13" s="5" customFormat="1" ht="27" customHeight="1" x14ac:dyDescent="0.2">
      <c r="A21" s="79" t="s">
        <v>262</v>
      </c>
      <c r="B21" s="53" t="s">
        <v>42</v>
      </c>
      <c r="C21" s="53" t="s">
        <v>43</v>
      </c>
      <c r="D21" s="53">
        <v>1</v>
      </c>
      <c r="E21" s="53">
        <v>30</v>
      </c>
      <c r="F21" s="80">
        <v>45909</v>
      </c>
      <c r="G21" s="81">
        <v>0.375</v>
      </c>
      <c r="H21" s="80">
        <v>45907</v>
      </c>
      <c r="I21" s="81">
        <v>0.58333333333333337</v>
      </c>
      <c r="J21" s="53">
        <f t="shared" si="0"/>
        <v>0</v>
      </c>
      <c r="K21" s="53">
        <v>1</v>
      </c>
      <c r="L21" s="53">
        <v>30</v>
      </c>
      <c r="M21" s="79" t="s">
        <v>263</v>
      </c>
    </row>
    <row r="22" spans="1:13" s="5" customFormat="1" ht="27" customHeight="1" x14ac:dyDescent="0.2">
      <c r="A22" s="79" t="s">
        <v>264</v>
      </c>
      <c r="B22" s="53" t="s">
        <v>36</v>
      </c>
      <c r="C22" s="53" t="s">
        <v>37</v>
      </c>
      <c r="D22" s="53">
        <v>1</v>
      </c>
      <c r="E22" s="53">
        <v>30</v>
      </c>
      <c r="F22" s="80">
        <v>45909</v>
      </c>
      <c r="G22" s="81">
        <v>0.375</v>
      </c>
      <c r="H22" s="80">
        <v>45907</v>
      </c>
      <c r="I22" s="81">
        <v>0.58333333333333337</v>
      </c>
      <c r="J22" s="53">
        <f t="shared" si="0"/>
        <v>0</v>
      </c>
      <c r="K22" s="53">
        <v>1</v>
      </c>
      <c r="L22" s="53">
        <v>30</v>
      </c>
      <c r="M22" s="79" t="s">
        <v>265</v>
      </c>
    </row>
    <row r="23" spans="1:13" s="5" customFormat="1" ht="27" customHeight="1" x14ac:dyDescent="0.2">
      <c r="A23" s="79" t="s">
        <v>264</v>
      </c>
      <c r="B23" s="53" t="s">
        <v>42</v>
      </c>
      <c r="C23" s="53" t="s">
        <v>43</v>
      </c>
      <c r="D23" s="53">
        <v>1</v>
      </c>
      <c r="E23" s="53">
        <v>30</v>
      </c>
      <c r="F23" s="80">
        <v>45909</v>
      </c>
      <c r="G23" s="81">
        <v>0.375</v>
      </c>
      <c r="H23" s="80">
        <v>45907</v>
      </c>
      <c r="I23" s="81">
        <v>0.58333333333333337</v>
      </c>
      <c r="J23" s="53">
        <f t="shared" si="0"/>
        <v>0</v>
      </c>
      <c r="K23" s="53">
        <v>1</v>
      </c>
      <c r="L23" s="53">
        <v>30</v>
      </c>
      <c r="M23" s="79" t="s">
        <v>265</v>
      </c>
    </row>
    <row r="24" spans="1:13" s="5" customFormat="1" ht="27" customHeight="1" x14ac:dyDescent="0.2">
      <c r="A24" s="79" t="s">
        <v>266</v>
      </c>
      <c r="B24" s="53" t="s">
        <v>36</v>
      </c>
      <c r="C24" s="53" t="s">
        <v>37</v>
      </c>
      <c r="D24" s="53">
        <v>1</v>
      </c>
      <c r="E24" s="53">
        <v>20</v>
      </c>
      <c r="F24" s="80">
        <v>45909</v>
      </c>
      <c r="G24" s="81">
        <v>0.375</v>
      </c>
      <c r="H24" s="80">
        <v>45907</v>
      </c>
      <c r="I24" s="81">
        <v>0.58333333333333337</v>
      </c>
      <c r="J24" s="53">
        <f t="shared" si="0"/>
        <v>-10</v>
      </c>
      <c r="K24" s="53">
        <v>1</v>
      </c>
      <c r="L24" s="53">
        <v>30</v>
      </c>
      <c r="M24" s="79" t="s">
        <v>267</v>
      </c>
    </row>
    <row r="25" spans="1:13" s="5" customFormat="1" ht="27" customHeight="1" x14ac:dyDescent="0.2">
      <c r="A25" s="79" t="s">
        <v>266</v>
      </c>
      <c r="B25" s="53" t="s">
        <v>42</v>
      </c>
      <c r="C25" s="53" t="s">
        <v>43</v>
      </c>
      <c r="D25" s="53">
        <v>1</v>
      </c>
      <c r="E25" s="53">
        <v>20</v>
      </c>
      <c r="F25" s="80">
        <v>45909</v>
      </c>
      <c r="G25" s="81">
        <v>0.375</v>
      </c>
      <c r="H25" s="80">
        <v>45907</v>
      </c>
      <c r="I25" s="81">
        <v>0.58333333333333337</v>
      </c>
      <c r="J25" s="53">
        <f t="shared" si="0"/>
        <v>-10</v>
      </c>
      <c r="K25" s="53">
        <v>1</v>
      </c>
      <c r="L25" s="53">
        <v>30</v>
      </c>
      <c r="M25" s="79" t="s">
        <v>267</v>
      </c>
    </row>
    <row r="26" spans="1:13" s="5" customFormat="1" ht="27" customHeight="1" x14ac:dyDescent="0.2">
      <c r="A26" s="79" t="s">
        <v>268</v>
      </c>
      <c r="B26" s="53" t="s">
        <v>36</v>
      </c>
      <c r="C26" s="53" t="s">
        <v>37</v>
      </c>
      <c r="D26" s="53">
        <v>1</v>
      </c>
      <c r="E26" s="53">
        <v>20</v>
      </c>
      <c r="F26" s="80">
        <v>45909</v>
      </c>
      <c r="G26" s="81">
        <v>0.375</v>
      </c>
      <c r="H26" s="80">
        <v>45907</v>
      </c>
      <c r="I26" s="81">
        <v>0.58333333333333337</v>
      </c>
      <c r="J26" s="53">
        <f t="shared" si="0"/>
        <v>-10</v>
      </c>
      <c r="K26" s="53">
        <v>1</v>
      </c>
      <c r="L26" s="53">
        <v>30</v>
      </c>
      <c r="M26" s="79" t="s">
        <v>269</v>
      </c>
    </row>
    <row r="27" spans="1:13" s="5" customFormat="1" ht="27" customHeight="1" x14ac:dyDescent="0.2">
      <c r="A27" s="79" t="s">
        <v>268</v>
      </c>
      <c r="B27" s="53" t="s">
        <v>42</v>
      </c>
      <c r="C27" s="53" t="s">
        <v>43</v>
      </c>
      <c r="D27" s="53">
        <v>1</v>
      </c>
      <c r="E27" s="53">
        <v>20</v>
      </c>
      <c r="F27" s="80">
        <v>45909</v>
      </c>
      <c r="G27" s="81">
        <v>0.375</v>
      </c>
      <c r="H27" s="80">
        <v>45907</v>
      </c>
      <c r="I27" s="81">
        <v>0.58333333333333337</v>
      </c>
      <c r="J27" s="53">
        <f t="shared" si="0"/>
        <v>0</v>
      </c>
      <c r="K27" s="53">
        <v>1</v>
      </c>
      <c r="L27" s="53">
        <v>20</v>
      </c>
      <c r="M27" s="79" t="s">
        <v>269</v>
      </c>
    </row>
    <row r="28" spans="1:13" s="5" customFormat="1" ht="27" customHeight="1" x14ac:dyDescent="0.2">
      <c r="A28" s="79" t="s">
        <v>270</v>
      </c>
      <c r="B28" s="53" t="s">
        <v>36</v>
      </c>
      <c r="C28" s="53" t="s">
        <v>37</v>
      </c>
      <c r="D28" s="53">
        <v>1</v>
      </c>
      <c r="E28" s="53">
        <v>20</v>
      </c>
      <c r="F28" s="80">
        <v>45909</v>
      </c>
      <c r="G28" s="81">
        <v>0.375</v>
      </c>
      <c r="H28" s="80">
        <v>45907</v>
      </c>
      <c r="I28" s="81">
        <v>0.58333333333333337</v>
      </c>
      <c r="J28" s="53">
        <f t="shared" si="0"/>
        <v>1</v>
      </c>
      <c r="K28" s="53">
        <v>2</v>
      </c>
      <c r="L28" s="53">
        <v>19</v>
      </c>
      <c r="M28" s="79" t="s">
        <v>273</v>
      </c>
    </row>
    <row r="29" spans="1:13" s="5" customFormat="1" ht="36.75" customHeight="1" x14ac:dyDescent="0.2">
      <c r="A29" s="79" t="s">
        <v>271</v>
      </c>
      <c r="B29" s="53" t="s">
        <v>42</v>
      </c>
      <c r="C29" s="53" t="s">
        <v>43</v>
      </c>
      <c r="D29" s="53">
        <v>1</v>
      </c>
      <c r="E29" s="53">
        <v>20</v>
      </c>
      <c r="F29" s="80">
        <v>45909</v>
      </c>
      <c r="G29" s="81">
        <v>0.375</v>
      </c>
      <c r="H29" s="80">
        <v>45907</v>
      </c>
      <c r="I29" s="81">
        <v>0.58333333333333337</v>
      </c>
      <c r="J29" s="53">
        <f t="shared" si="0"/>
        <v>0</v>
      </c>
      <c r="K29" s="53">
        <v>2</v>
      </c>
      <c r="L29" s="53">
        <v>20</v>
      </c>
      <c r="M29" s="79" t="s">
        <v>273</v>
      </c>
    </row>
    <row r="30" spans="1:13" s="5" customFormat="1" ht="37.5" customHeight="1" x14ac:dyDescent="0.2">
      <c r="A30" s="79" t="s">
        <v>272</v>
      </c>
      <c r="B30" s="53" t="s">
        <v>36</v>
      </c>
      <c r="C30" s="53" t="s">
        <v>37</v>
      </c>
      <c r="D30" s="53">
        <v>1</v>
      </c>
      <c r="E30" s="53">
        <v>15</v>
      </c>
      <c r="F30" s="80">
        <v>45909</v>
      </c>
      <c r="G30" s="81">
        <v>0.375</v>
      </c>
      <c r="H30" s="80">
        <v>45907</v>
      </c>
      <c r="I30" s="81">
        <v>0.58333333333333337</v>
      </c>
      <c r="J30" s="53">
        <f t="shared" si="0"/>
        <v>5</v>
      </c>
      <c r="K30" s="53">
        <v>1</v>
      </c>
      <c r="L30" s="53">
        <v>10</v>
      </c>
      <c r="M30" s="79" t="s">
        <v>274</v>
      </c>
    </row>
    <row r="31" spans="1:13" s="5" customFormat="1" ht="38.25" customHeight="1" x14ac:dyDescent="0.2">
      <c r="A31" s="79" t="s">
        <v>272</v>
      </c>
      <c r="B31" s="53" t="s">
        <v>42</v>
      </c>
      <c r="C31" s="53" t="s">
        <v>43</v>
      </c>
      <c r="D31" s="53">
        <v>1</v>
      </c>
      <c r="E31" s="53">
        <v>15</v>
      </c>
      <c r="F31" s="80">
        <v>45909</v>
      </c>
      <c r="G31" s="81">
        <v>0.375</v>
      </c>
      <c r="H31" s="80">
        <v>45907</v>
      </c>
      <c r="I31" s="81">
        <v>0.58333333333333337</v>
      </c>
      <c r="J31" s="53">
        <f t="shared" si="0"/>
        <v>5</v>
      </c>
      <c r="K31" s="53">
        <v>1</v>
      </c>
      <c r="L31" s="53">
        <v>10</v>
      </c>
      <c r="M31" s="79" t="s">
        <v>274</v>
      </c>
    </row>
    <row r="32" spans="1:13" s="5" customFormat="1" ht="36.75" customHeight="1" x14ac:dyDescent="0.2">
      <c r="A32" s="79" t="s">
        <v>275</v>
      </c>
      <c r="B32" s="53" t="s">
        <v>36</v>
      </c>
      <c r="C32" s="53" t="s">
        <v>37</v>
      </c>
      <c r="D32" s="53">
        <v>1</v>
      </c>
      <c r="E32" s="53">
        <v>20</v>
      </c>
      <c r="F32" s="80">
        <v>45909</v>
      </c>
      <c r="G32" s="81">
        <v>0.375</v>
      </c>
      <c r="H32" s="80">
        <v>45907</v>
      </c>
      <c r="I32" s="81">
        <v>0.58333333333333337</v>
      </c>
      <c r="J32" s="53">
        <f t="shared" si="0"/>
        <v>10</v>
      </c>
      <c r="K32" s="53">
        <v>1</v>
      </c>
      <c r="L32" s="53">
        <v>10</v>
      </c>
      <c r="M32" s="79" t="s">
        <v>276</v>
      </c>
    </row>
    <row r="33" spans="1:13" s="5" customFormat="1" ht="42" customHeight="1" x14ac:dyDescent="0.2">
      <c r="A33" s="79" t="s">
        <v>275</v>
      </c>
      <c r="B33" s="53" t="s">
        <v>42</v>
      </c>
      <c r="C33" s="53" t="s">
        <v>43</v>
      </c>
      <c r="D33" s="53">
        <v>1</v>
      </c>
      <c r="E33" s="53">
        <v>20</v>
      </c>
      <c r="F33" s="80">
        <v>45909</v>
      </c>
      <c r="G33" s="81">
        <v>0.375</v>
      </c>
      <c r="H33" s="80">
        <v>45907</v>
      </c>
      <c r="I33" s="81">
        <v>0.58333333333333337</v>
      </c>
      <c r="J33" s="53">
        <f t="shared" si="0"/>
        <v>10</v>
      </c>
      <c r="K33" s="53">
        <v>1</v>
      </c>
      <c r="L33" s="53">
        <v>10</v>
      </c>
      <c r="M33" s="79" t="s">
        <v>276</v>
      </c>
    </row>
    <row r="34" spans="1:13" s="5" customFormat="1" ht="39" customHeight="1" x14ac:dyDescent="0.2">
      <c r="A34" s="79" t="s">
        <v>277</v>
      </c>
      <c r="B34" s="53" t="s">
        <v>21</v>
      </c>
      <c r="C34" s="53" t="s">
        <v>22</v>
      </c>
      <c r="D34" s="53">
        <v>1</v>
      </c>
      <c r="E34" s="53">
        <v>55</v>
      </c>
      <c r="F34" s="80">
        <v>45909</v>
      </c>
      <c r="G34" s="81">
        <v>0.375</v>
      </c>
      <c r="H34" s="80">
        <v>45906</v>
      </c>
      <c r="I34" s="81">
        <v>0.35416666666666669</v>
      </c>
      <c r="J34" s="53">
        <f t="shared" si="0"/>
        <v>-5</v>
      </c>
      <c r="K34" s="53">
        <v>2</v>
      </c>
      <c r="L34" s="53">
        <v>60</v>
      </c>
      <c r="M34" s="79" t="s">
        <v>278</v>
      </c>
    </row>
    <row r="35" spans="1:13" s="5" customFormat="1" ht="42" customHeight="1" x14ac:dyDescent="0.2">
      <c r="A35" s="79" t="s">
        <v>277</v>
      </c>
      <c r="B35" s="53" t="s">
        <v>136</v>
      </c>
      <c r="C35" s="53" t="s">
        <v>34</v>
      </c>
      <c r="D35" s="53">
        <v>1</v>
      </c>
      <c r="E35" s="53">
        <v>55</v>
      </c>
      <c r="F35" s="80">
        <v>45909</v>
      </c>
      <c r="G35" s="81">
        <v>0.375</v>
      </c>
      <c r="H35" s="80">
        <v>45906</v>
      </c>
      <c r="I35" s="81">
        <v>0.39583333333333298</v>
      </c>
      <c r="J35" s="53">
        <f t="shared" si="0"/>
        <v>-5</v>
      </c>
      <c r="K35" s="53">
        <v>1</v>
      </c>
      <c r="L35" s="53">
        <v>60</v>
      </c>
      <c r="M35" s="79" t="s">
        <v>278</v>
      </c>
    </row>
    <row r="36" spans="1:13" s="5" customFormat="1" ht="47.25" customHeight="1" x14ac:dyDescent="0.2">
      <c r="A36" s="79" t="s">
        <v>279</v>
      </c>
      <c r="B36" s="53" t="s">
        <v>21</v>
      </c>
      <c r="C36" s="53" t="s">
        <v>22</v>
      </c>
      <c r="D36" s="53">
        <v>1</v>
      </c>
      <c r="E36" s="53">
        <v>60</v>
      </c>
      <c r="F36" s="80">
        <v>45909</v>
      </c>
      <c r="G36" s="81">
        <v>0.375</v>
      </c>
      <c r="H36" s="80">
        <v>45906</v>
      </c>
      <c r="I36" s="81">
        <v>0.4375</v>
      </c>
      <c r="J36" s="53">
        <f t="shared" si="0"/>
        <v>0</v>
      </c>
      <c r="K36" s="53">
        <v>3</v>
      </c>
      <c r="L36" s="53">
        <v>60</v>
      </c>
      <c r="M36" s="79" t="s">
        <v>280</v>
      </c>
    </row>
    <row r="37" spans="1:13" s="5" customFormat="1" ht="33.950000000000003" customHeight="1" x14ac:dyDescent="0.2">
      <c r="A37" s="79" t="s">
        <v>279</v>
      </c>
      <c r="B37" s="53" t="s">
        <v>136</v>
      </c>
      <c r="C37" s="53" t="s">
        <v>34</v>
      </c>
      <c r="D37" s="53">
        <v>1</v>
      </c>
      <c r="E37" s="53">
        <v>60</v>
      </c>
      <c r="F37" s="80">
        <v>45909</v>
      </c>
      <c r="G37" s="81">
        <v>0.375</v>
      </c>
      <c r="H37" s="80">
        <v>45906</v>
      </c>
      <c r="I37" s="81">
        <v>0.47916666666666702</v>
      </c>
      <c r="J37" s="53">
        <f t="shared" si="0"/>
        <v>0</v>
      </c>
      <c r="K37" s="53">
        <v>1</v>
      </c>
      <c r="L37" s="53">
        <v>60</v>
      </c>
      <c r="M37" s="79" t="s">
        <v>280</v>
      </c>
    </row>
    <row r="38" spans="1:13" s="5" customFormat="1" ht="28.5" customHeight="1" x14ac:dyDescent="0.2">
      <c r="A38" s="79" t="s">
        <v>281</v>
      </c>
      <c r="B38" s="53" t="s">
        <v>21</v>
      </c>
      <c r="C38" s="53" t="s">
        <v>22</v>
      </c>
      <c r="D38" s="53">
        <v>1</v>
      </c>
      <c r="E38" s="53">
        <v>30</v>
      </c>
      <c r="F38" s="80">
        <v>45909</v>
      </c>
      <c r="G38" s="81">
        <v>0.375</v>
      </c>
      <c r="H38" s="80">
        <v>45906</v>
      </c>
      <c r="I38" s="81">
        <v>0.5</v>
      </c>
      <c r="J38" s="53">
        <f t="shared" si="0"/>
        <v>0</v>
      </c>
      <c r="K38" s="53">
        <v>1</v>
      </c>
      <c r="L38" s="53">
        <v>30</v>
      </c>
      <c r="M38" s="79" t="s">
        <v>282</v>
      </c>
    </row>
    <row r="39" spans="1:13" s="5" customFormat="1" ht="39" customHeight="1" x14ac:dyDescent="0.2">
      <c r="A39" s="79" t="s">
        <v>281</v>
      </c>
      <c r="B39" s="53" t="s">
        <v>136</v>
      </c>
      <c r="C39" s="53" t="s">
        <v>34</v>
      </c>
      <c r="D39" s="53">
        <v>1</v>
      </c>
      <c r="E39" s="53">
        <v>30</v>
      </c>
      <c r="F39" s="80">
        <v>45909</v>
      </c>
      <c r="G39" s="81">
        <v>0.375</v>
      </c>
      <c r="H39" s="80">
        <v>45906</v>
      </c>
      <c r="I39" s="81">
        <v>0.52083333333333337</v>
      </c>
      <c r="J39" s="53">
        <f t="shared" si="0"/>
        <v>2</v>
      </c>
      <c r="K39" s="53">
        <v>1</v>
      </c>
      <c r="L39" s="53">
        <v>28</v>
      </c>
      <c r="M39" s="79" t="s">
        <v>282</v>
      </c>
    </row>
    <row r="40" spans="1:13" s="5" customFormat="1" ht="38.25" customHeight="1" x14ac:dyDescent="0.2">
      <c r="A40" s="79" t="s">
        <v>283</v>
      </c>
      <c r="B40" s="53" t="s">
        <v>21</v>
      </c>
      <c r="C40" s="53" t="s">
        <v>22</v>
      </c>
      <c r="D40" s="53">
        <v>1</v>
      </c>
      <c r="E40" s="53">
        <v>30</v>
      </c>
      <c r="F40" s="80">
        <v>45909</v>
      </c>
      <c r="G40" s="81">
        <v>0.375</v>
      </c>
      <c r="H40" s="80">
        <v>45906</v>
      </c>
      <c r="I40" s="81">
        <v>0.54166666666666663</v>
      </c>
      <c r="J40" s="53">
        <f t="shared" si="0"/>
        <v>0</v>
      </c>
      <c r="K40" s="53">
        <v>1</v>
      </c>
      <c r="L40" s="53">
        <v>30</v>
      </c>
      <c r="M40" s="79" t="s">
        <v>284</v>
      </c>
    </row>
    <row r="41" spans="1:13" s="5" customFormat="1" ht="38.25" customHeight="1" x14ac:dyDescent="0.2">
      <c r="A41" s="79" t="s">
        <v>283</v>
      </c>
      <c r="B41" s="53" t="s">
        <v>136</v>
      </c>
      <c r="C41" s="53" t="s">
        <v>34</v>
      </c>
      <c r="D41" s="53">
        <v>1</v>
      </c>
      <c r="E41" s="53">
        <v>30</v>
      </c>
      <c r="F41" s="80">
        <v>45909</v>
      </c>
      <c r="G41" s="81">
        <v>0.375</v>
      </c>
      <c r="H41" s="80">
        <v>45906</v>
      </c>
      <c r="I41" s="81">
        <v>0.5625</v>
      </c>
      <c r="J41" s="53">
        <f t="shared" si="0"/>
        <v>1</v>
      </c>
      <c r="K41" s="53">
        <v>1</v>
      </c>
      <c r="L41" s="53">
        <v>29</v>
      </c>
      <c r="M41" s="79" t="s">
        <v>284</v>
      </c>
    </row>
    <row r="42" spans="1:13" s="5" customFormat="1" ht="42" customHeight="1" x14ac:dyDescent="0.2">
      <c r="A42" s="79" t="s">
        <v>285</v>
      </c>
      <c r="B42" s="53" t="s">
        <v>21</v>
      </c>
      <c r="C42" s="53" t="s">
        <v>22</v>
      </c>
      <c r="D42" s="53">
        <v>1</v>
      </c>
      <c r="E42" s="53">
        <v>30</v>
      </c>
      <c r="F42" s="80">
        <v>45909</v>
      </c>
      <c r="G42" s="81">
        <v>0.375</v>
      </c>
      <c r="H42" s="80">
        <v>45906</v>
      </c>
      <c r="I42" s="81">
        <v>0.58333333333333337</v>
      </c>
      <c r="J42" s="53">
        <f t="shared" si="0"/>
        <v>0</v>
      </c>
      <c r="K42" s="53">
        <v>1</v>
      </c>
      <c r="L42" s="53">
        <v>30</v>
      </c>
      <c r="M42" s="79" t="s">
        <v>286</v>
      </c>
    </row>
    <row r="43" spans="1:13" s="5" customFormat="1" ht="32.450000000000003" customHeight="1" x14ac:dyDescent="0.2">
      <c r="A43" s="79" t="s">
        <v>285</v>
      </c>
      <c r="B43" s="53" t="s">
        <v>136</v>
      </c>
      <c r="C43" s="53" t="s">
        <v>34</v>
      </c>
      <c r="D43" s="53">
        <v>1</v>
      </c>
      <c r="E43" s="53">
        <v>30</v>
      </c>
      <c r="F43" s="80">
        <v>45909</v>
      </c>
      <c r="G43" s="81">
        <v>0.375</v>
      </c>
      <c r="H43" s="80">
        <v>45906</v>
      </c>
      <c r="I43" s="81">
        <v>0.58333333333333337</v>
      </c>
      <c r="J43" s="53">
        <f t="shared" si="0"/>
        <v>0</v>
      </c>
      <c r="K43" s="53">
        <v>1</v>
      </c>
      <c r="L43" s="53">
        <v>30</v>
      </c>
      <c r="M43" s="79" t="s">
        <v>286</v>
      </c>
    </row>
    <row r="44" spans="1:13" ht="35.25" customHeight="1" x14ac:dyDescent="0.2">
      <c r="A44" s="79" t="s">
        <v>287</v>
      </c>
      <c r="B44" s="53" t="s">
        <v>21</v>
      </c>
      <c r="C44" s="53" t="s">
        <v>22</v>
      </c>
      <c r="D44" s="53">
        <v>1</v>
      </c>
      <c r="E44" s="53">
        <v>30</v>
      </c>
      <c r="F44" s="80">
        <v>45909</v>
      </c>
      <c r="G44" s="81">
        <v>0.375</v>
      </c>
      <c r="H44" s="80">
        <v>45906</v>
      </c>
      <c r="I44" s="81">
        <v>0.60416666666666663</v>
      </c>
      <c r="J44" s="53">
        <f t="shared" si="0"/>
        <v>0</v>
      </c>
      <c r="K44" s="53">
        <v>1</v>
      </c>
      <c r="L44" s="53">
        <v>30</v>
      </c>
      <c r="M44" s="79" t="s">
        <v>288</v>
      </c>
    </row>
    <row r="45" spans="1:13" s="5" customFormat="1" ht="47.1" customHeight="1" x14ac:dyDescent="0.2">
      <c r="A45" s="79" t="s">
        <v>287</v>
      </c>
      <c r="B45" s="53" t="s">
        <v>136</v>
      </c>
      <c r="C45" s="53" t="s">
        <v>34</v>
      </c>
      <c r="D45" s="53">
        <v>1</v>
      </c>
      <c r="E45" s="53">
        <v>30</v>
      </c>
      <c r="F45" s="80">
        <v>45909</v>
      </c>
      <c r="G45" s="81">
        <v>0.375</v>
      </c>
      <c r="H45" s="80">
        <v>45906</v>
      </c>
      <c r="I45" s="81">
        <v>0.60416666666666663</v>
      </c>
      <c r="J45" s="53">
        <f t="shared" si="0"/>
        <v>5</v>
      </c>
      <c r="K45" s="53">
        <v>1</v>
      </c>
      <c r="L45" s="53">
        <v>25</v>
      </c>
      <c r="M45" s="79" t="s">
        <v>288</v>
      </c>
    </row>
    <row r="46" spans="1:13" s="5" customFormat="1" ht="43.5" customHeight="1" x14ac:dyDescent="0.2">
      <c r="A46" s="79" t="s">
        <v>289</v>
      </c>
      <c r="B46" s="53" t="s">
        <v>21</v>
      </c>
      <c r="C46" s="53" t="s">
        <v>22</v>
      </c>
      <c r="D46" s="53">
        <v>1</v>
      </c>
      <c r="E46" s="53">
        <v>30</v>
      </c>
      <c r="F46" s="80">
        <v>45909</v>
      </c>
      <c r="G46" s="81">
        <v>0.375</v>
      </c>
      <c r="H46" s="80">
        <v>45906</v>
      </c>
      <c r="I46" s="81">
        <v>0.625</v>
      </c>
      <c r="J46" s="53">
        <f t="shared" si="0"/>
        <v>5</v>
      </c>
      <c r="K46" s="53">
        <v>1</v>
      </c>
      <c r="L46" s="53">
        <v>25</v>
      </c>
      <c r="M46" s="79" t="s">
        <v>290</v>
      </c>
    </row>
    <row r="47" spans="1:13" s="5" customFormat="1" ht="42.75" customHeight="1" x14ac:dyDescent="0.2">
      <c r="A47" s="53" t="s">
        <v>289</v>
      </c>
      <c r="B47" s="53" t="s">
        <v>136</v>
      </c>
      <c r="C47" s="53" t="s">
        <v>34</v>
      </c>
      <c r="D47" s="53">
        <v>1</v>
      </c>
      <c r="E47" s="53">
        <v>30</v>
      </c>
      <c r="F47" s="80">
        <v>45909</v>
      </c>
      <c r="G47" s="81">
        <v>0.375</v>
      </c>
      <c r="H47" s="80">
        <v>45906</v>
      </c>
      <c r="I47" s="81">
        <v>0.625</v>
      </c>
      <c r="J47" s="53">
        <f t="shared" si="0"/>
        <v>0</v>
      </c>
      <c r="K47" s="53">
        <v>1</v>
      </c>
      <c r="L47" s="53">
        <v>30</v>
      </c>
      <c r="M47" s="79" t="s">
        <v>290</v>
      </c>
    </row>
    <row r="48" spans="1:13" s="5" customFormat="1" ht="39" customHeight="1" x14ac:dyDescent="0.2">
      <c r="A48" s="79" t="s">
        <v>291</v>
      </c>
      <c r="B48" s="53" t="s">
        <v>21</v>
      </c>
      <c r="C48" s="53" t="s">
        <v>22</v>
      </c>
      <c r="D48" s="53">
        <v>1</v>
      </c>
      <c r="E48" s="53">
        <v>30</v>
      </c>
      <c r="F48" s="80">
        <v>45909</v>
      </c>
      <c r="G48" s="81">
        <v>0.375</v>
      </c>
      <c r="H48" s="80">
        <v>45906</v>
      </c>
      <c r="I48" s="81">
        <v>0.64583333333333337</v>
      </c>
      <c r="J48" s="53">
        <f t="shared" si="0"/>
        <v>0</v>
      </c>
      <c r="K48" s="53">
        <v>1</v>
      </c>
      <c r="L48" s="53">
        <v>30</v>
      </c>
      <c r="M48" s="79" t="s">
        <v>292</v>
      </c>
    </row>
    <row r="49" spans="1:13" s="5" customFormat="1" ht="29.25" customHeight="1" x14ac:dyDescent="0.2">
      <c r="A49" s="79" t="s">
        <v>291</v>
      </c>
      <c r="B49" s="53" t="s">
        <v>136</v>
      </c>
      <c r="C49" s="53" t="s">
        <v>34</v>
      </c>
      <c r="D49" s="53">
        <v>1</v>
      </c>
      <c r="E49" s="53">
        <v>30</v>
      </c>
      <c r="F49" s="80">
        <v>45909</v>
      </c>
      <c r="G49" s="81">
        <v>0.375</v>
      </c>
      <c r="H49" s="80">
        <v>45906</v>
      </c>
      <c r="I49" s="81">
        <v>0.64583333333333337</v>
      </c>
      <c r="J49" s="53">
        <f t="shared" si="0"/>
        <v>0</v>
      </c>
      <c r="K49" s="53">
        <v>1</v>
      </c>
      <c r="L49" s="53">
        <v>30</v>
      </c>
      <c r="M49" s="79" t="s">
        <v>292</v>
      </c>
    </row>
    <row r="50" spans="1:13" s="5" customFormat="1" ht="31.5" customHeight="1" x14ac:dyDescent="0.2">
      <c r="A50" s="79" t="s">
        <v>293</v>
      </c>
      <c r="B50" s="53" t="s">
        <v>21</v>
      </c>
      <c r="C50" s="53" t="s">
        <v>22</v>
      </c>
      <c r="D50" s="53">
        <v>2</v>
      </c>
      <c r="E50" s="53">
        <v>60</v>
      </c>
      <c r="F50" s="80">
        <v>45909</v>
      </c>
      <c r="G50" s="81">
        <v>0.375</v>
      </c>
      <c r="H50" s="80">
        <v>45906</v>
      </c>
      <c r="I50" s="81">
        <v>0.66666666666666663</v>
      </c>
      <c r="J50" s="53">
        <f t="shared" si="0"/>
        <v>35</v>
      </c>
      <c r="K50" s="53">
        <v>1</v>
      </c>
      <c r="L50" s="53">
        <v>25</v>
      </c>
      <c r="M50" s="79" t="s">
        <v>294</v>
      </c>
    </row>
    <row r="51" spans="1:13" s="5" customFormat="1" ht="26.45" customHeight="1" x14ac:dyDescent="0.2">
      <c r="A51" s="79" t="s">
        <v>293</v>
      </c>
      <c r="B51" s="53" t="s">
        <v>136</v>
      </c>
      <c r="C51" s="53" t="s">
        <v>34</v>
      </c>
      <c r="D51" s="53">
        <v>2</v>
      </c>
      <c r="E51" s="53">
        <v>60</v>
      </c>
      <c r="F51" s="80">
        <v>45909</v>
      </c>
      <c r="G51" s="81">
        <v>0.375</v>
      </c>
      <c r="H51" s="80">
        <v>45906</v>
      </c>
      <c r="I51" s="81">
        <v>0.66666666666666663</v>
      </c>
      <c r="J51" s="53">
        <f t="shared" si="0"/>
        <v>35</v>
      </c>
      <c r="K51" s="53">
        <v>1</v>
      </c>
      <c r="L51" s="53">
        <v>25</v>
      </c>
      <c r="M51" s="79" t="s">
        <v>294</v>
      </c>
    </row>
    <row r="52" spans="1:13" s="5" customFormat="1" ht="29.1" customHeight="1" x14ac:dyDescent="0.2">
      <c r="A52" s="79" t="s">
        <v>295</v>
      </c>
      <c r="B52" s="53" t="s">
        <v>21</v>
      </c>
      <c r="C52" s="53" t="s">
        <v>22</v>
      </c>
      <c r="D52" s="53">
        <v>2</v>
      </c>
      <c r="E52" s="53">
        <v>60</v>
      </c>
      <c r="F52" s="80">
        <v>45909</v>
      </c>
      <c r="G52" s="81">
        <v>0.375</v>
      </c>
      <c r="H52" s="80">
        <v>45906</v>
      </c>
      <c r="I52" s="81">
        <v>0.70833333333333337</v>
      </c>
      <c r="J52" s="53">
        <f t="shared" si="0"/>
        <v>38</v>
      </c>
      <c r="K52" s="53">
        <v>1</v>
      </c>
      <c r="L52" s="53">
        <v>22</v>
      </c>
      <c r="M52" s="79" t="s">
        <v>296</v>
      </c>
    </row>
    <row r="53" spans="1:13" s="5" customFormat="1" ht="31.5" customHeight="1" x14ac:dyDescent="0.2">
      <c r="A53" s="79" t="s">
        <v>295</v>
      </c>
      <c r="B53" s="53" t="s">
        <v>136</v>
      </c>
      <c r="C53" s="53" t="s">
        <v>34</v>
      </c>
      <c r="D53" s="53">
        <v>2</v>
      </c>
      <c r="E53" s="53">
        <v>60</v>
      </c>
      <c r="F53" s="80">
        <v>45909</v>
      </c>
      <c r="G53" s="81">
        <v>0.375</v>
      </c>
      <c r="H53" s="80">
        <v>45906</v>
      </c>
      <c r="I53" s="81">
        <v>0.75</v>
      </c>
      <c r="J53" s="53">
        <f t="shared" si="0"/>
        <v>38</v>
      </c>
      <c r="K53" s="53">
        <v>2</v>
      </c>
      <c r="L53" s="53">
        <v>22</v>
      </c>
      <c r="M53" s="79" t="s">
        <v>296</v>
      </c>
    </row>
    <row r="54" spans="1:13" s="5" customFormat="1" ht="26.1" customHeight="1" x14ac:dyDescent="0.2">
      <c r="A54" s="79" t="s">
        <v>297</v>
      </c>
      <c r="B54" s="53" t="s">
        <v>21</v>
      </c>
      <c r="C54" s="53" t="s">
        <v>22</v>
      </c>
      <c r="D54" s="53">
        <v>2</v>
      </c>
      <c r="E54" s="53">
        <v>60</v>
      </c>
      <c r="F54" s="80">
        <v>45909</v>
      </c>
      <c r="G54" s="81">
        <v>0.375</v>
      </c>
      <c r="H54" s="80">
        <v>45906</v>
      </c>
      <c r="I54" s="81">
        <v>0.79166666666666696</v>
      </c>
      <c r="J54" s="53">
        <f t="shared" si="0"/>
        <v>39</v>
      </c>
      <c r="K54" s="53">
        <v>2</v>
      </c>
      <c r="L54" s="53">
        <v>21</v>
      </c>
      <c r="M54" s="79" t="s">
        <v>298</v>
      </c>
    </row>
    <row r="55" spans="1:13" s="5" customFormat="1" ht="39" customHeight="1" x14ac:dyDescent="0.2">
      <c r="A55" s="79" t="s">
        <v>297</v>
      </c>
      <c r="B55" s="53" t="s">
        <v>136</v>
      </c>
      <c r="C55" s="53" t="s">
        <v>34</v>
      </c>
      <c r="D55" s="53">
        <v>2</v>
      </c>
      <c r="E55" s="53">
        <v>60</v>
      </c>
      <c r="F55" s="80">
        <v>45909</v>
      </c>
      <c r="G55" s="81">
        <v>0.375</v>
      </c>
      <c r="H55" s="80">
        <v>45906</v>
      </c>
      <c r="I55" s="81">
        <v>0.83333333333333304</v>
      </c>
      <c r="J55" s="53">
        <f t="shared" si="0"/>
        <v>39</v>
      </c>
      <c r="K55" s="53">
        <v>2</v>
      </c>
      <c r="L55" s="53">
        <v>21</v>
      </c>
      <c r="M55" s="79" t="s">
        <v>298</v>
      </c>
    </row>
    <row r="56" spans="1:13" s="5" customFormat="1" ht="40.5" customHeight="1" x14ac:dyDescent="0.2">
      <c r="A56" s="79" t="s">
        <v>299</v>
      </c>
      <c r="B56" s="53" t="s">
        <v>30</v>
      </c>
      <c r="C56" s="53" t="s">
        <v>31</v>
      </c>
      <c r="D56" s="53">
        <v>1</v>
      </c>
      <c r="E56" s="53">
        <v>30</v>
      </c>
      <c r="F56" s="80">
        <v>45909</v>
      </c>
      <c r="G56" s="81">
        <v>0.375</v>
      </c>
      <c r="H56" s="80">
        <v>45907</v>
      </c>
      <c r="I56" s="81">
        <v>0.5</v>
      </c>
      <c r="J56" s="53">
        <f t="shared" si="0"/>
        <v>0</v>
      </c>
      <c r="K56" s="53">
        <v>2</v>
      </c>
      <c r="L56" s="53">
        <v>30</v>
      </c>
      <c r="M56" s="79" t="s">
        <v>300</v>
      </c>
    </row>
    <row r="57" spans="1:13" s="5" customFormat="1" ht="40.5" customHeight="1" x14ac:dyDescent="0.2">
      <c r="A57" s="53" t="s">
        <v>299</v>
      </c>
      <c r="B57" s="53" t="s">
        <v>39</v>
      </c>
      <c r="C57" s="53" t="s">
        <v>40</v>
      </c>
      <c r="D57" s="53">
        <v>1</v>
      </c>
      <c r="E57" s="53">
        <v>30</v>
      </c>
      <c r="F57" s="80">
        <v>45909</v>
      </c>
      <c r="G57" s="81">
        <v>0.375</v>
      </c>
      <c r="H57" s="80">
        <v>45907</v>
      </c>
      <c r="I57" s="81">
        <v>0.52083333333333337</v>
      </c>
      <c r="J57" s="53">
        <f t="shared" si="0"/>
        <v>0</v>
      </c>
      <c r="K57" s="53">
        <v>2</v>
      </c>
      <c r="L57" s="53">
        <v>30</v>
      </c>
      <c r="M57" s="79" t="s">
        <v>300</v>
      </c>
    </row>
    <row r="58" spans="1:13" s="5" customFormat="1" ht="38.25" customHeight="1" x14ac:dyDescent="0.2">
      <c r="A58" s="79" t="s">
        <v>301</v>
      </c>
      <c r="B58" s="53" t="s">
        <v>30</v>
      </c>
      <c r="C58" s="53" t="s">
        <v>31</v>
      </c>
      <c r="D58" s="53">
        <v>1</v>
      </c>
      <c r="E58" s="53">
        <v>30</v>
      </c>
      <c r="F58" s="80">
        <v>45909</v>
      </c>
      <c r="G58" s="81">
        <v>0.375</v>
      </c>
      <c r="H58" s="80">
        <v>45907</v>
      </c>
      <c r="I58" s="81">
        <v>0.54166666666666663</v>
      </c>
      <c r="J58" s="53">
        <f t="shared" si="0"/>
        <v>0</v>
      </c>
      <c r="K58" s="53">
        <v>2</v>
      </c>
      <c r="L58" s="53">
        <v>30</v>
      </c>
      <c r="M58" s="79" t="s">
        <v>302</v>
      </c>
    </row>
    <row r="59" spans="1:13" s="5" customFormat="1" ht="38.25" customHeight="1" x14ac:dyDescent="0.2">
      <c r="A59" s="79" t="s">
        <v>301</v>
      </c>
      <c r="B59" s="53" t="s">
        <v>39</v>
      </c>
      <c r="C59" s="53" t="s">
        <v>40</v>
      </c>
      <c r="D59" s="53">
        <v>1</v>
      </c>
      <c r="E59" s="53">
        <v>30</v>
      </c>
      <c r="F59" s="80">
        <v>45909</v>
      </c>
      <c r="G59" s="81">
        <v>0.375</v>
      </c>
      <c r="H59" s="80">
        <v>45907</v>
      </c>
      <c r="I59" s="81">
        <v>0.5625</v>
      </c>
      <c r="J59" s="53">
        <f t="shared" si="0"/>
        <v>0</v>
      </c>
      <c r="K59" s="53">
        <v>1</v>
      </c>
      <c r="L59" s="53">
        <v>30</v>
      </c>
      <c r="M59" s="79" t="s">
        <v>302</v>
      </c>
    </row>
    <row r="60" spans="1:13" s="5" customFormat="1" ht="27" customHeight="1" x14ac:dyDescent="0.2">
      <c r="A60" s="79" t="s">
        <v>303</v>
      </c>
      <c r="B60" s="53" t="s">
        <v>30</v>
      </c>
      <c r="C60" s="53" t="s">
        <v>31</v>
      </c>
      <c r="D60" s="53">
        <v>1</v>
      </c>
      <c r="E60" s="53">
        <v>30</v>
      </c>
      <c r="F60" s="80">
        <v>45909</v>
      </c>
      <c r="G60" s="81">
        <v>0.375</v>
      </c>
      <c r="H60" s="80">
        <v>45907</v>
      </c>
      <c r="I60" s="81">
        <v>0.58333333333333337</v>
      </c>
      <c r="J60" s="53">
        <f t="shared" si="0"/>
        <v>-5</v>
      </c>
      <c r="K60" s="53">
        <v>1</v>
      </c>
      <c r="L60" s="53">
        <v>35</v>
      </c>
      <c r="M60" s="79" t="s">
        <v>304</v>
      </c>
    </row>
    <row r="61" spans="1:13" s="5" customFormat="1" ht="33" customHeight="1" x14ac:dyDescent="0.2">
      <c r="A61" s="79" t="s">
        <v>303</v>
      </c>
      <c r="B61" s="53" t="s">
        <v>39</v>
      </c>
      <c r="C61" s="53" t="s">
        <v>40</v>
      </c>
      <c r="D61" s="53">
        <v>1</v>
      </c>
      <c r="E61" s="53">
        <v>30</v>
      </c>
      <c r="F61" s="80">
        <v>45909</v>
      </c>
      <c r="G61" s="81">
        <v>0.375</v>
      </c>
      <c r="H61" s="80">
        <v>45907</v>
      </c>
      <c r="I61" s="81">
        <v>0.60416666666666663</v>
      </c>
      <c r="J61" s="53">
        <f t="shared" si="0"/>
        <v>6</v>
      </c>
      <c r="K61" s="53">
        <v>1</v>
      </c>
      <c r="L61" s="53">
        <v>24</v>
      </c>
      <c r="M61" s="79" t="s">
        <v>304</v>
      </c>
    </row>
    <row r="62" spans="1:13" s="5" customFormat="1" ht="33.75" customHeight="1" x14ac:dyDescent="0.2">
      <c r="A62" s="79" t="s">
        <v>305</v>
      </c>
      <c r="B62" s="53" t="s">
        <v>30</v>
      </c>
      <c r="C62" s="53" t="s">
        <v>31</v>
      </c>
      <c r="D62" s="53">
        <v>2</v>
      </c>
      <c r="E62" s="53">
        <v>20</v>
      </c>
      <c r="F62" s="80">
        <v>45909</v>
      </c>
      <c r="G62" s="81">
        <v>0.375</v>
      </c>
      <c r="H62" s="80">
        <v>45907</v>
      </c>
      <c r="I62" s="81">
        <v>0.625</v>
      </c>
      <c r="J62" s="53">
        <f t="shared" si="0"/>
        <v>0</v>
      </c>
      <c r="K62" s="53">
        <v>1</v>
      </c>
      <c r="L62" s="53">
        <v>20</v>
      </c>
      <c r="M62" s="53" t="s">
        <v>306</v>
      </c>
    </row>
    <row r="63" spans="1:13" s="5" customFormat="1" ht="32.25" customHeight="1" x14ac:dyDescent="0.2">
      <c r="A63" s="79" t="s">
        <v>305</v>
      </c>
      <c r="B63" s="53" t="s">
        <v>39</v>
      </c>
      <c r="C63" s="53" t="s">
        <v>40</v>
      </c>
      <c r="D63" s="53">
        <v>2</v>
      </c>
      <c r="E63" s="53">
        <v>20</v>
      </c>
      <c r="F63" s="80">
        <v>45909</v>
      </c>
      <c r="G63" s="81">
        <v>0.375</v>
      </c>
      <c r="H63" s="80">
        <v>45907</v>
      </c>
      <c r="I63" s="81">
        <v>0.63888888888888884</v>
      </c>
      <c r="J63" s="53">
        <f t="shared" si="0"/>
        <v>0</v>
      </c>
      <c r="K63" s="53">
        <v>1</v>
      </c>
      <c r="L63" s="53">
        <v>20</v>
      </c>
      <c r="M63" t="s">
        <v>306</v>
      </c>
    </row>
    <row r="64" spans="1:13" s="5" customFormat="1" ht="27" customHeight="1" x14ac:dyDescent="0.2">
      <c r="A64" s="79" t="s">
        <v>308</v>
      </c>
      <c r="B64" s="53" t="s">
        <v>30</v>
      </c>
      <c r="C64" s="53" t="s">
        <v>31</v>
      </c>
      <c r="D64" s="53">
        <v>1</v>
      </c>
      <c r="E64" s="53">
        <v>20</v>
      </c>
      <c r="F64" s="80">
        <v>45909</v>
      </c>
      <c r="G64" s="81">
        <v>0.375</v>
      </c>
      <c r="H64" s="80">
        <v>45907</v>
      </c>
      <c r="I64" s="81">
        <v>0.65277777777777779</v>
      </c>
      <c r="J64" s="53">
        <f t="shared" si="0"/>
        <v>0</v>
      </c>
      <c r="K64" s="53">
        <v>1</v>
      </c>
      <c r="L64" s="53">
        <v>20</v>
      </c>
      <c r="M64" s="79" t="s">
        <v>307</v>
      </c>
    </row>
    <row r="65" spans="1:13" s="5" customFormat="1" ht="24.95" customHeight="1" x14ac:dyDescent="0.2">
      <c r="A65" s="79" t="s">
        <v>308</v>
      </c>
      <c r="B65" s="53" t="s">
        <v>39</v>
      </c>
      <c r="C65" s="53" t="s">
        <v>40</v>
      </c>
      <c r="D65" s="53">
        <v>1</v>
      </c>
      <c r="E65" s="53">
        <v>20</v>
      </c>
      <c r="F65" s="80">
        <v>45909</v>
      </c>
      <c r="G65" s="81">
        <v>0.375</v>
      </c>
      <c r="H65" s="80">
        <v>45907</v>
      </c>
      <c r="I65" s="81">
        <v>0.66666666666666663</v>
      </c>
      <c r="J65" s="53">
        <f t="shared" si="0"/>
        <v>-5</v>
      </c>
      <c r="K65" s="53">
        <v>1</v>
      </c>
      <c r="L65" s="53">
        <v>25</v>
      </c>
      <c r="M65" s="79" t="s">
        <v>307</v>
      </c>
    </row>
    <row r="66" spans="1:13" s="5" customFormat="1" ht="28.5" customHeight="1" x14ac:dyDescent="0.2">
      <c r="A66" s="79" t="s">
        <v>309</v>
      </c>
      <c r="B66" s="53" t="s">
        <v>30</v>
      </c>
      <c r="C66" s="53" t="s">
        <v>31</v>
      </c>
      <c r="D66" s="53">
        <v>1</v>
      </c>
      <c r="E66" s="53">
        <v>20</v>
      </c>
      <c r="F66" s="80">
        <v>45909</v>
      </c>
      <c r="G66" s="81">
        <v>0.375</v>
      </c>
      <c r="H66" s="80">
        <v>45907</v>
      </c>
      <c r="I66" s="81">
        <v>0.68055555555555558</v>
      </c>
      <c r="J66" s="53">
        <f t="shared" si="0"/>
        <v>-5</v>
      </c>
      <c r="K66" s="53">
        <v>1</v>
      </c>
      <c r="L66" s="53">
        <v>25</v>
      </c>
      <c r="M66" s="79" t="s">
        <v>310</v>
      </c>
    </row>
    <row r="67" spans="1:13" s="5" customFormat="1" ht="35.450000000000003" customHeight="1" x14ac:dyDescent="0.2">
      <c r="A67" s="79" t="s">
        <v>309</v>
      </c>
      <c r="B67" s="53" t="s">
        <v>39</v>
      </c>
      <c r="C67" s="53" t="s">
        <v>40</v>
      </c>
      <c r="D67" s="53">
        <v>1</v>
      </c>
      <c r="E67" s="53">
        <v>20</v>
      </c>
      <c r="F67" s="80">
        <v>45909</v>
      </c>
      <c r="G67" s="81">
        <v>0.375</v>
      </c>
      <c r="H67" s="80">
        <v>45907</v>
      </c>
      <c r="I67" s="81">
        <v>0.69444444444444442</v>
      </c>
      <c r="J67" s="53">
        <f t="shared" si="0"/>
        <v>5</v>
      </c>
      <c r="K67" s="53">
        <v>1</v>
      </c>
      <c r="L67" s="53">
        <v>15</v>
      </c>
      <c r="M67" s="79" t="s">
        <v>310</v>
      </c>
    </row>
    <row r="68" spans="1:13" s="5" customFormat="1" ht="36.6" customHeight="1" x14ac:dyDescent="0.2">
      <c r="A68" s="79" t="s">
        <v>311</v>
      </c>
      <c r="B68" s="53" t="s">
        <v>30</v>
      </c>
      <c r="C68" s="53" t="s">
        <v>31</v>
      </c>
      <c r="D68" s="53">
        <v>1</v>
      </c>
      <c r="E68" s="53">
        <v>20</v>
      </c>
      <c r="F68" s="80">
        <v>45909</v>
      </c>
      <c r="G68" s="81">
        <v>0.375</v>
      </c>
      <c r="H68" s="80">
        <v>45907</v>
      </c>
      <c r="I68" s="81">
        <v>0.70833333333333337</v>
      </c>
      <c r="J68" s="53">
        <f t="shared" si="0"/>
        <v>10</v>
      </c>
      <c r="K68" s="53">
        <v>1</v>
      </c>
      <c r="L68" s="53">
        <v>10</v>
      </c>
      <c r="M68" s="53" t="s">
        <v>312</v>
      </c>
    </row>
    <row r="69" spans="1:13" s="5" customFormat="1" ht="36.6" customHeight="1" x14ac:dyDescent="0.2">
      <c r="A69" s="79" t="s">
        <v>311</v>
      </c>
      <c r="B69" s="53" t="s">
        <v>39</v>
      </c>
      <c r="C69" s="53" t="s">
        <v>40</v>
      </c>
      <c r="D69" s="53">
        <v>1</v>
      </c>
      <c r="E69" s="53">
        <v>20</v>
      </c>
      <c r="F69" s="80">
        <v>45909</v>
      </c>
      <c r="G69" s="81">
        <v>0.375</v>
      </c>
      <c r="H69" s="80">
        <v>45907</v>
      </c>
      <c r="I69" s="81">
        <v>0.72222222222222221</v>
      </c>
      <c r="J69" s="53">
        <f t="shared" si="0"/>
        <v>10</v>
      </c>
      <c r="K69" s="53">
        <v>1</v>
      </c>
      <c r="L69" s="53">
        <v>10</v>
      </c>
      <c r="M69" s="53" t="s">
        <v>312</v>
      </c>
    </row>
    <row r="70" spans="1:13" s="5" customFormat="1" ht="35.450000000000003" customHeight="1" x14ac:dyDescent="0.2">
      <c r="A70" s="79" t="s">
        <v>313</v>
      </c>
      <c r="B70" s="53" t="s">
        <v>30</v>
      </c>
      <c r="C70" s="53" t="s">
        <v>31</v>
      </c>
      <c r="D70" s="53">
        <v>1</v>
      </c>
      <c r="E70" s="53">
        <v>20</v>
      </c>
      <c r="F70" s="80">
        <v>45909</v>
      </c>
      <c r="G70" s="81">
        <v>0.375</v>
      </c>
      <c r="H70" s="80">
        <v>45907</v>
      </c>
      <c r="I70" s="81">
        <v>0.73611111111111116</v>
      </c>
      <c r="J70" s="53">
        <f t="shared" si="0"/>
        <v>10</v>
      </c>
      <c r="K70" s="53">
        <v>1</v>
      </c>
      <c r="L70" s="53">
        <v>10</v>
      </c>
      <c r="M70" s="79" t="s">
        <v>314</v>
      </c>
    </row>
    <row r="71" spans="1:13" s="5" customFormat="1" ht="35.450000000000003" customHeight="1" x14ac:dyDescent="0.2">
      <c r="A71" s="79" t="s">
        <v>313</v>
      </c>
      <c r="B71" s="53" t="s">
        <v>39</v>
      </c>
      <c r="C71" s="53" t="s">
        <v>40</v>
      </c>
      <c r="D71" s="53">
        <v>1</v>
      </c>
      <c r="E71" s="53">
        <v>20</v>
      </c>
      <c r="F71" s="80">
        <v>45909</v>
      </c>
      <c r="G71" s="81">
        <v>0.375</v>
      </c>
      <c r="H71" s="80">
        <v>45907</v>
      </c>
      <c r="I71" s="81">
        <v>0.75</v>
      </c>
      <c r="J71" s="53">
        <f t="shared" si="0"/>
        <v>5</v>
      </c>
      <c r="K71" s="53">
        <v>1</v>
      </c>
      <c r="L71" s="53">
        <v>15</v>
      </c>
      <c r="M71" s="79" t="s">
        <v>314</v>
      </c>
    </row>
    <row r="72" spans="1:13" s="5" customFormat="1" ht="35.450000000000003" customHeight="1" x14ac:dyDescent="0.2">
      <c r="A72" s="79" t="s">
        <v>315</v>
      </c>
      <c r="B72" s="53" t="s">
        <v>30</v>
      </c>
      <c r="C72" s="53" t="s">
        <v>31</v>
      </c>
      <c r="D72" s="53">
        <v>1</v>
      </c>
      <c r="E72" s="53">
        <v>10</v>
      </c>
      <c r="F72" s="80">
        <v>45909</v>
      </c>
      <c r="G72" s="81">
        <v>0.375</v>
      </c>
      <c r="H72" s="80">
        <v>45907</v>
      </c>
      <c r="I72" s="81">
        <v>0.75694444444444442</v>
      </c>
      <c r="J72" s="53">
        <f t="shared" si="0"/>
        <v>0</v>
      </c>
      <c r="K72" s="53">
        <v>1</v>
      </c>
      <c r="L72" s="53">
        <v>10</v>
      </c>
      <c r="M72" s="79" t="s">
        <v>316</v>
      </c>
    </row>
    <row r="73" spans="1:13" s="5" customFormat="1" ht="35.450000000000003" customHeight="1" x14ac:dyDescent="0.2">
      <c r="A73" s="79" t="s">
        <v>315</v>
      </c>
      <c r="B73" s="53" t="s">
        <v>39</v>
      </c>
      <c r="C73" s="53" t="s">
        <v>40</v>
      </c>
      <c r="D73" s="53">
        <v>1</v>
      </c>
      <c r="E73" s="53">
        <v>10</v>
      </c>
      <c r="F73" s="80">
        <v>45909</v>
      </c>
      <c r="G73" s="81">
        <v>0.375</v>
      </c>
      <c r="H73" s="80">
        <v>45907</v>
      </c>
      <c r="I73" s="81">
        <v>0.76388888888888884</v>
      </c>
      <c r="J73" s="53">
        <f t="shared" si="0"/>
        <v>0</v>
      </c>
      <c r="K73" s="53">
        <v>1</v>
      </c>
      <c r="L73" s="53">
        <v>10</v>
      </c>
      <c r="M73" s="79" t="s">
        <v>316</v>
      </c>
    </row>
    <row r="74" spans="1:13" s="5" customFormat="1" ht="35.450000000000003" customHeight="1" x14ac:dyDescent="0.2">
      <c r="A74" s="92" t="s">
        <v>123</v>
      </c>
      <c r="B74" s="85" t="s">
        <v>36</v>
      </c>
      <c r="C74" s="85" t="s">
        <v>37</v>
      </c>
      <c r="D74" s="49">
        <v>1</v>
      </c>
      <c r="E74" s="49">
        <v>20</v>
      </c>
      <c r="F74" s="85">
        <v>45909</v>
      </c>
      <c r="G74" s="86">
        <v>0.375</v>
      </c>
      <c r="H74" s="85">
        <v>45907</v>
      </c>
      <c r="I74" s="86">
        <v>0.80555555555555558</v>
      </c>
      <c r="J74" s="87">
        <f t="shared" si="0"/>
        <v>0</v>
      </c>
      <c r="K74" s="8">
        <v>1</v>
      </c>
      <c r="L74" s="88">
        <v>20</v>
      </c>
      <c r="M74" s="93" t="s">
        <v>124</v>
      </c>
    </row>
    <row r="75" spans="1:13" s="5" customFormat="1" ht="35.450000000000003" customHeight="1" x14ac:dyDescent="0.2">
      <c r="A75" s="38" t="s">
        <v>123</v>
      </c>
      <c r="B75" s="85" t="s">
        <v>143</v>
      </c>
      <c r="C75" s="85" t="s">
        <v>43</v>
      </c>
      <c r="D75" s="49">
        <v>1</v>
      </c>
      <c r="E75" s="49">
        <v>20</v>
      </c>
      <c r="F75" s="85">
        <v>45909</v>
      </c>
      <c r="G75" s="86">
        <v>0.375</v>
      </c>
      <c r="H75" s="85">
        <v>45907</v>
      </c>
      <c r="I75" s="86">
        <v>0.80555555555555558</v>
      </c>
      <c r="J75" s="87">
        <f t="shared" ref="J75:J96" si="1">E75-L75</f>
        <v>0</v>
      </c>
      <c r="K75" s="8">
        <v>1</v>
      </c>
      <c r="L75" s="88">
        <v>20</v>
      </c>
      <c r="M75" s="93" t="s">
        <v>124</v>
      </c>
    </row>
    <row r="76" spans="1:13" s="5" customFormat="1" ht="35.450000000000003" customHeight="1" x14ac:dyDescent="0.2">
      <c r="A76" s="13" t="s">
        <v>175</v>
      </c>
      <c r="B76" s="13" t="s">
        <v>36</v>
      </c>
      <c r="C76" s="13" t="s">
        <v>37</v>
      </c>
      <c r="D76" s="53">
        <v>1</v>
      </c>
      <c r="E76" s="53">
        <v>30</v>
      </c>
      <c r="F76" s="13">
        <v>45909</v>
      </c>
      <c r="G76" s="86">
        <v>0.375</v>
      </c>
      <c r="H76" s="13">
        <v>45907</v>
      </c>
      <c r="I76" s="12">
        <v>0.83333333333333337</v>
      </c>
      <c r="J76" s="53">
        <f t="shared" si="1"/>
        <v>6</v>
      </c>
      <c r="K76" s="50">
        <v>1</v>
      </c>
      <c r="L76" s="68">
        <v>24</v>
      </c>
      <c r="M76" s="52" t="s">
        <v>176</v>
      </c>
    </row>
    <row r="77" spans="1:13" s="5" customFormat="1" ht="35.450000000000003" customHeight="1" x14ac:dyDescent="0.2">
      <c r="A77" s="13" t="s">
        <v>177</v>
      </c>
      <c r="B77" s="13" t="s">
        <v>39</v>
      </c>
      <c r="C77" s="13" t="s">
        <v>40</v>
      </c>
      <c r="D77" s="53">
        <v>1</v>
      </c>
      <c r="E77" s="53">
        <v>30</v>
      </c>
      <c r="F77" s="13">
        <v>45909</v>
      </c>
      <c r="G77" s="86">
        <v>0.375</v>
      </c>
      <c r="H77" s="13">
        <v>45907</v>
      </c>
      <c r="I77" s="12">
        <v>0.83333333333333337</v>
      </c>
      <c r="J77" s="53">
        <f t="shared" si="1"/>
        <v>0</v>
      </c>
      <c r="K77" s="50">
        <v>1</v>
      </c>
      <c r="L77" s="68">
        <v>30</v>
      </c>
      <c r="M77" s="52" t="s">
        <v>178</v>
      </c>
    </row>
    <row r="78" spans="1:13" s="5" customFormat="1" ht="35.450000000000003" customHeight="1" x14ac:dyDescent="0.2">
      <c r="A78" s="61" t="s">
        <v>179</v>
      </c>
      <c r="B78" s="13" t="s">
        <v>39</v>
      </c>
      <c r="C78" s="13" t="s">
        <v>40</v>
      </c>
      <c r="D78" s="53">
        <v>5</v>
      </c>
      <c r="E78" s="53">
        <v>50</v>
      </c>
      <c r="F78" s="13">
        <v>45909</v>
      </c>
      <c r="G78" s="86">
        <v>0.375</v>
      </c>
      <c r="H78" s="13">
        <v>45907</v>
      </c>
      <c r="I78" s="12">
        <v>0.86805555555555558</v>
      </c>
      <c r="J78" s="53">
        <f t="shared" si="1"/>
        <v>5</v>
      </c>
      <c r="K78" s="50">
        <v>5</v>
      </c>
      <c r="L78" s="68">
        <v>45</v>
      </c>
      <c r="M78" s="52" t="s">
        <v>180</v>
      </c>
    </row>
    <row r="79" spans="1:13" s="5" customFormat="1" ht="35.450000000000003" customHeight="1" x14ac:dyDescent="0.2">
      <c r="A79" s="23" t="s">
        <v>146</v>
      </c>
      <c r="B79" s="85" t="s">
        <v>30</v>
      </c>
      <c r="C79" s="90" t="s">
        <v>207</v>
      </c>
      <c r="D79" s="84">
        <v>1</v>
      </c>
      <c r="E79" s="49">
        <v>60</v>
      </c>
      <c r="F79" s="85">
        <v>45909</v>
      </c>
      <c r="G79" s="86">
        <v>0.375</v>
      </c>
      <c r="H79" s="85">
        <v>45907</v>
      </c>
      <c r="I79" s="86">
        <v>0.91666666666666663</v>
      </c>
      <c r="J79" s="87">
        <f t="shared" si="1"/>
        <v>50</v>
      </c>
      <c r="K79" s="8">
        <v>1</v>
      </c>
      <c r="L79" s="88">
        <v>10</v>
      </c>
      <c r="M79" s="91" t="s">
        <v>149</v>
      </c>
    </row>
    <row r="80" spans="1:13" s="5" customFormat="1" ht="35.450000000000003" customHeight="1" x14ac:dyDescent="0.2">
      <c r="A80" s="23" t="s">
        <v>146</v>
      </c>
      <c r="B80" s="85" t="s">
        <v>42</v>
      </c>
      <c r="C80" s="85" t="s">
        <v>77</v>
      </c>
      <c r="D80" s="84">
        <v>1</v>
      </c>
      <c r="E80" s="49">
        <v>60</v>
      </c>
      <c r="F80" s="85">
        <v>45909</v>
      </c>
      <c r="G80" s="86">
        <v>0.375</v>
      </c>
      <c r="H80" s="85">
        <v>45907</v>
      </c>
      <c r="I80" s="86">
        <v>0.91666666666666663</v>
      </c>
      <c r="J80" s="87">
        <f t="shared" si="1"/>
        <v>50</v>
      </c>
      <c r="K80" s="8">
        <v>1</v>
      </c>
      <c r="L80" s="88">
        <v>10</v>
      </c>
      <c r="M80" s="91" t="s">
        <v>149</v>
      </c>
    </row>
    <row r="81" spans="1:13" s="5" customFormat="1" ht="35.450000000000003" customHeight="1" x14ac:dyDescent="0.2">
      <c r="A81" s="23" t="s">
        <v>146</v>
      </c>
      <c r="B81" s="85" t="s">
        <v>21</v>
      </c>
      <c r="C81" s="85" t="s">
        <v>86</v>
      </c>
      <c r="D81" s="84">
        <v>1</v>
      </c>
      <c r="E81" s="49">
        <v>60</v>
      </c>
      <c r="F81" s="85">
        <v>45909</v>
      </c>
      <c r="G81" s="86">
        <v>0.375</v>
      </c>
      <c r="H81" s="85">
        <v>45907</v>
      </c>
      <c r="I81" s="86">
        <v>0.91666666666666663</v>
      </c>
      <c r="J81" s="87">
        <f t="shared" si="1"/>
        <v>50</v>
      </c>
      <c r="K81" s="8">
        <v>1</v>
      </c>
      <c r="L81" s="88">
        <v>10</v>
      </c>
      <c r="M81" s="91" t="s">
        <v>149</v>
      </c>
    </row>
    <row r="82" spans="1:13" s="5" customFormat="1" ht="37.5" customHeight="1" x14ac:dyDescent="0.2">
      <c r="A82" s="23" t="s">
        <v>146</v>
      </c>
      <c r="B82" s="85" t="s">
        <v>136</v>
      </c>
      <c r="C82" s="85" t="s">
        <v>151</v>
      </c>
      <c r="D82" s="84">
        <v>1</v>
      </c>
      <c r="E82" s="49">
        <v>60</v>
      </c>
      <c r="F82" s="85">
        <v>45909</v>
      </c>
      <c r="G82" s="86">
        <v>0.375</v>
      </c>
      <c r="H82" s="85">
        <v>45907</v>
      </c>
      <c r="I82" s="86">
        <v>0.91666666666666663</v>
      </c>
      <c r="J82" s="87">
        <f t="shared" si="1"/>
        <v>50</v>
      </c>
      <c r="K82" s="8">
        <v>1</v>
      </c>
      <c r="L82" s="88">
        <v>10</v>
      </c>
      <c r="M82" s="91" t="s">
        <v>149</v>
      </c>
    </row>
    <row r="83" spans="1:13" ht="36" x14ac:dyDescent="0.2">
      <c r="A83" s="23" t="s">
        <v>146</v>
      </c>
      <c r="B83" s="85" t="s">
        <v>36</v>
      </c>
      <c r="C83" s="85" t="s">
        <v>80</v>
      </c>
      <c r="D83" s="84">
        <v>1</v>
      </c>
      <c r="E83" s="49">
        <v>60</v>
      </c>
      <c r="F83" s="85">
        <v>45909</v>
      </c>
      <c r="G83" s="86">
        <v>0.375</v>
      </c>
      <c r="H83" s="85">
        <v>45907</v>
      </c>
      <c r="I83" s="86">
        <v>0.91666666666666663</v>
      </c>
      <c r="J83" s="87">
        <f t="shared" si="1"/>
        <v>50</v>
      </c>
      <c r="K83" s="8">
        <v>1</v>
      </c>
      <c r="L83" s="88">
        <v>10</v>
      </c>
      <c r="M83" s="91" t="s">
        <v>149</v>
      </c>
    </row>
    <row r="84" spans="1:13" ht="36" x14ac:dyDescent="0.2">
      <c r="A84" s="23" t="s">
        <v>146</v>
      </c>
      <c r="B84" s="85" t="s">
        <v>39</v>
      </c>
      <c r="C84" s="85" t="s">
        <v>150</v>
      </c>
      <c r="D84" s="84">
        <v>1</v>
      </c>
      <c r="E84" s="49">
        <v>60</v>
      </c>
      <c r="F84" s="85">
        <v>45909</v>
      </c>
      <c r="G84" s="86">
        <v>0.375</v>
      </c>
      <c r="H84" s="85">
        <v>45907</v>
      </c>
      <c r="I84" s="86">
        <v>0.91666666666666663</v>
      </c>
      <c r="J84" s="87">
        <f t="shared" si="1"/>
        <v>50</v>
      </c>
      <c r="K84" s="8">
        <v>1</v>
      </c>
      <c r="L84" s="88">
        <v>10</v>
      </c>
      <c r="M84" s="91" t="s">
        <v>149</v>
      </c>
    </row>
    <row r="85" spans="1:13" x14ac:dyDescent="0.2">
      <c r="A85" s="23" t="s">
        <v>52</v>
      </c>
      <c r="B85" s="89" t="s">
        <v>21</v>
      </c>
      <c r="C85" s="90" t="s">
        <v>22</v>
      </c>
      <c r="D85" s="84">
        <v>1</v>
      </c>
      <c r="E85" s="49">
        <v>30</v>
      </c>
      <c r="F85" s="85">
        <v>45909</v>
      </c>
      <c r="G85" s="86">
        <v>0.375</v>
      </c>
      <c r="H85" s="85">
        <v>45907</v>
      </c>
      <c r="I85" s="86">
        <v>0.91666666666666663</v>
      </c>
      <c r="J85" s="87">
        <f t="shared" si="1"/>
        <v>0</v>
      </c>
      <c r="K85" s="8">
        <v>1</v>
      </c>
      <c r="L85" s="88">
        <v>30</v>
      </c>
      <c r="M85" s="91" t="s">
        <v>53</v>
      </c>
    </row>
    <row r="86" spans="1:13" x14ac:dyDescent="0.2">
      <c r="A86" s="23" t="s">
        <v>153</v>
      </c>
      <c r="B86" s="89" t="s">
        <v>36</v>
      </c>
      <c r="C86" s="90" t="s">
        <v>37</v>
      </c>
      <c r="D86" s="84">
        <v>1</v>
      </c>
      <c r="E86" s="5">
        <v>30</v>
      </c>
      <c r="F86" s="85">
        <v>45909</v>
      </c>
      <c r="G86" s="86">
        <v>0.375</v>
      </c>
      <c r="H86" s="85">
        <v>45907</v>
      </c>
      <c r="I86" s="86">
        <v>0.91666666666666663</v>
      </c>
      <c r="J86" s="87">
        <f t="shared" si="1"/>
        <v>0</v>
      </c>
      <c r="K86" s="8">
        <v>1</v>
      </c>
      <c r="L86" s="88">
        <v>30</v>
      </c>
      <c r="M86" s="91" t="s">
        <v>53</v>
      </c>
    </row>
    <row r="87" spans="1:13" ht="24" x14ac:dyDescent="0.2">
      <c r="A87" s="23" t="s">
        <v>79</v>
      </c>
      <c r="B87" s="85" t="s">
        <v>36</v>
      </c>
      <c r="C87" s="90" t="s">
        <v>37</v>
      </c>
      <c r="D87" s="84">
        <v>1</v>
      </c>
      <c r="E87" s="49">
        <v>45</v>
      </c>
      <c r="F87" s="85">
        <v>45909</v>
      </c>
      <c r="G87" s="86">
        <v>0.375</v>
      </c>
      <c r="H87" s="85">
        <v>45907</v>
      </c>
      <c r="I87" s="86">
        <v>0.9375</v>
      </c>
      <c r="J87" s="87">
        <f t="shared" si="1"/>
        <v>-35</v>
      </c>
      <c r="K87" s="8">
        <v>1</v>
      </c>
      <c r="L87" s="88">
        <v>80</v>
      </c>
      <c r="M87" s="91" t="s">
        <v>81</v>
      </c>
    </row>
    <row r="88" spans="1:13" x14ac:dyDescent="0.2">
      <c r="A88" s="23" t="s">
        <v>85</v>
      </c>
      <c r="B88" s="85" t="s">
        <v>21</v>
      </c>
      <c r="C88" s="90" t="s">
        <v>22</v>
      </c>
      <c r="D88" s="84">
        <v>1</v>
      </c>
      <c r="E88" s="49">
        <v>60</v>
      </c>
      <c r="F88" s="85">
        <v>45909</v>
      </c>
      <c r="G88" s="86">
        <v>0.375</v>
      </c>
      <c r="H88" s="85">
        <v>45907</v>
      </c>
      <c r="I88" s="86">
        <v>0.9375</v>
      </c>
      <c r="J88" s="87">
        <f t="shared" si="1"/>
        <v>10</v>
      </c>
      <c r="K88" s="8">
        <v>1</v>
      </c>
      <c r="L88" s="88">
        <v>50</v>
      </c>
      <c r="M88" s="91" t="s">
        <v>87</v>
      </c>
    </row>
    <row r="89" spans="1:13" x14ac:dyDescent="0.2">
      <c r="A89" s="23" t="s">
        <v>88</v>
      </c>
      <c r="B89" s="85" t="s">
        <v>21</v>
      </c>
      <c r="C89" s="85" t="s">
        <v>22</v>
      </c>
      <c r="D89" s="84">
        <v>1</v>
      </c>
      <c r="E89" s="49">
        <v>55</v>
      </c>
      <c r="F89" s="85">
        <v>45909</v>
      </c>
      <c r="G89" s="86">
        <v>0.375</v>
      </c>
      <c r="H89" s="85">
        <v>45907</v>
      </c>
      <c r="I89" s="86">
        <v>0.9375</v>
      </c>
      <c r="J89" s="87">
        <f t="shared" si="1"/>
        <v>0</v>
      </c>
      <c r="K89" s="8">
        <v>1</v>
      </c>
      <c r="L89" s="88">
        <v>55</v>
      </c>
      <c r="M89" s="91" t="s">
        <v>89</v>
      </c>
    </row>
    <row r="90" spans="1:13" ht="24" x14ac:dyDescent="0.2">
      <c r="A90" s="33" t="s">
        <v>131</v>
      </c>
      <c r="B90" s="85" t="s">
        <v>36</v>
      </c>
      <c r="C90" s="85" t="s">
        <v>37</v>
      </c>
      <c r="D90" s="49">
        <v>1</v>
      </c>
      <c r="E90" s="49">
        <v>30</v>
      </c>
      <c r="F90" s="85">
        <v>45909</v>
      </c>
      <c r="G90" s="86">
        <v>0.375</v>
      </c>
      <c r="H90" s="85">
        <v>45907</v>
      </c>
      <c r="I90" s="86">
        <v>0.9375</v>
      </c>
      <c r="J90" s="87">
        <f t="shared" si="1"/>
        <v>-2</v>
      </c>
      <c r="K90" s="8">
        <v>1</v>
      </c>
      <c r="L90" s="88">
        <v>32</v>
      </c>
      <c r="M90" s="91" t="s">
        <v>132</v>
      </c>
    </row>
    <row r="91" spans="1:13" ht="24" x14ac:dyDescent="0.2">
      <c r="A91" s="33" t="s">
        <v>131</v>
      </c>
      <c r="B91" s="85" t="s">
        <v>42</v>
      </c>
      <c r="C91" s="85" t="s">
        <v>43</v>
      </c>
      <c r="D91" s="49">
        <v>1</v>
      </c>
      <c r="E91" s="49">
        <v>30</v>
      </c>
      <c r="F91" s="85">
        <v>45909</v>
      </c>
      <c r="G91" s="86">
        <v>0.375</v>
      </c>
      <c r="H91" s="85">
        <v>45907</v>
      </c>
      <c r="I91" s="86">
        <v>0.9375</v>
      </c>
      <c r="J91" s="87">
        <f t="shared" si="1"/>
        <v>-2</v>
      </c>
      <c r="K91" s="8">
        <v>1</v>
      </c>
      <c r="L91" s="88">
        <v>32</v>
      </c>
      <c r="M91" s="91" t="s">
        <v>132</v>
      </c>
    </row>
    <row r="92" spans="1:13" ht="24" x14ac:dyDescent="0.2">
      <c r="A92" s="33" t="s">
        <v>131</v>
      </c>
      <c r="B92" s="85" t="s">
        <v>30</v>
      </c>
      <c r="C92" s="85" t="s">
        <v>31</v>
      </c>
      <c r="D92" s="49">
        <v>1</v>
      </c>
      <c r="E92" s="49">
        <v>30</v>
      </c>
      <c r="F92" s="85">
        <v>45909</v>
      </c>
      <c r="G92" s="86">
        <v>0.375</v>
      </c>
      <c r="H92" s="85">
        <v>45907</v>
      </c>
      <c r="I92" s="86">
        <v>0.9375</v>
      </c>
      <c r="J92" s="87">
        <f t="shared" si="1"/>
        <v>-2</v>
      </c>
      <c r="K92" s="8">
        <v>1</v>
      </c>
      <c r="L92" s="88">
        <v>32</v>
      </c>
      <c r="M92" s="91" t="s">
        <v>132</v>
      </c>
    </row>
    <row r="93" spans="1:13" ht="24" x14ac:dyDescent="0.2">
      <c r="A93" s="33" t="s">
        <v>131</v>
      </c>
      <c r="B93" s="85" t="s">
        <v>21</v>
      </c>
      <c r="C93" s="85" t="s">
        <v>22</v>
      </c>
      <c r="D93" s="49">
        <v>1</v>
      </c>
      <c r="E93" s="49">
        <v>30</v>
      </c>
      <c r="F93" s="85">
        <v>45909</v>
      </c>
      <c r="G93" s="86">
        <v>0.375</v>
      </c>
      <c r="H93" s="85">
        <v>45907</v>
      </c>
      <c r="I93" s="86">
        <v>0.9375</v>
      </c>
      <c r="J93" s="87">
        <f t="shared" si="1"/>
        <v>-2</v>
      </c>
      <c r="K93" s="8">
        <v>1</v>
      </c>
      <c r="L93" s="88">
        <v>32</v>
      </c>
      <c r="M93" s="91" t="s">
        <v>132</v>
      </c>
    </row>
    <row r="94" spans="1:13" ht="24" x14ac:dyDescent="0.2">
      <c r="A94" s="33" t="s">
        <v>131</v>
      </c>
      <c r="B94" s="85" t="s">
        <v>136</v>
      </c>
      <c r="C94" s="85" t="s">
        <v>34</v>
      </c>
      <c r="D94" s="49">
        <v>1</v>
      </c>
      <c r="E94" s="49">
        <v>30</v>
      </c>
      <c r="F94" s="85">
        <v>45909</v>
      </c>
      <c r="G94" s="86">
        <v>0.375</v>
      </c>
      <c r="H94" s="85">
        <v>45907</v>
      </c>
      <c r="I94" s="86">
        <v>0.9375</v>
      </c>
      <c r="J94" s="87">
        <f t="shared" si="1"/>
        <v>-2</v>
      </c>
      <c r="K94" s="8">
        <v>1</v>
      </c>
      <c r="L94" s="88">
        <v>32</v>
      </c>
      <c r="M94" s="91" t="s">
        <v>132</v>
      </c>
    </row>
    <row r="95" spans="1:13" ht="24" x14ac:dyDescent="0.2">
      <c r="A95" s="33" t="s">
        <v>131</v>
      </c>
      <c r="B95" s="85" t="s">
        <v>39</v>
      </c>
      <c r="C95" s="85" t="s">
        <v>40</v>
      </c>
      <c r="D95" s="49">
        <v>1</v>
      </c>
      <c r="E95" s="49">
        <v>30</v>
      </c>
      <c r="F95" s="85">
        <v>45909</v>
      </c>
      <c r="G95" s="86">
        <v>0.375</v>
      </c>
      <c r="H95" s="85">
        <v>45907</v>
      </c>
      <c r="I95" s="86">
        <v>0.9375</v>
      </c>
      <c r="J95" s="87">
        <f t="shared" si="1"/>
        <v>-2</v>
      </c>
      <c r="K95" s="8">
        <v>1</v>
      </c>
      <c r="L95" s="88">
        <v>32</v>
      </c>
      <c r="M95" s="91" t="s">
        <v>132</v>
      </c>
    </row>
    <row r="96" spans="1:13" ht="24" x14ac:dyDescent="0.2">
      <c r="A96" s="33" t="s">
        <v>133</v>
      </c>
      <c r="B96" s="85" t="s">
        <v>21</v>
      </c>
      <c r="C96" s="85" t="s">
        <v>22</v>
      </c>
      <c r="D96" s="49">
        <v>3</v>
      </c>
      <c r="E96" s="49">
        <v>20</v>
      </c>
      <c r="F96" s="85">
        <v>45909</v>
      </c>
      <c r="G96" s="86">
        <v>0.375</v>
      </c>
      <c r="H96" s="85">
        <v>45908</v>
      </c>
      <c r="I96" s="86">
        <v>0.375</v>
      </c>
      <c r="J96" s="87">
        <f t="shared" si="1"/>
        <v>5</v>
      </c>
      <c r="K96" s="8">
        <v>3</v>
      </c>
      <c r="L96" s="88">
        <v>15</v>
      </c>
      <c r="M96" s="91" t="s">
        <v>134</v>
      </c>
    </row>
    <row r="97" spans="1:13" x14ac:dyDescent="0.2">
      <c r="A97"/>
      <c r="B97"/>
      <c r="C97"/>
      <c r="D97"/>
      <c r="E97"/>
      <c r="F97"/>
      <c r="G97"/>
      <c r="H97"/>
      <c r="I97"/>
      <c r="J97"/>
      <c r="K97"/>
      <c r="L97"/>
      <c r="M97"/>
    </row>
    <row r="111" spans="1:13" ht="30" customHeight="1" x14ac:dyDescent="0.2"/>
    <row r="112" spans="1:13" ht="23.25" customHeight="1" x14ac:dyDescent="0.2"/>
    <row r="113" spans="1:20" ht="36" x14ac:dyDescent="0.2">
      <c r="B113" s="11" t="s">
        <v>30</v>
      </c>
      <c r="C113" s="11" t="s">
        <v>83</v>
      </c>
      <c r="D113" s="20">
        <v>1</v>
      </c>
      <c r="E113" s="29">
        <v>50</v>
      </c>
      <c r="F113" s="11">
        <v>45882</v>
      </c>
      <c r="G113" s="10">
        <v>0.375</v>
      </c>
      <c r="H113" s="11">
        <v>45880</v>
      </c>
      <c r="I113" s="10">
        <v>0.95833333333333337</v>
      </c>
      <c r="J113" s="9">
        <f>E113-L113</f>
        <v>-4</v>
      </c>
      <c r="K113" s="8">
        <v>1</v>
      </c>
      <c r="L113" s="7">
        <v>54</v>
      </c>
      <c r="M113" s="6" t="s">
        <v>84</v>
      </c>
    </row>
    <row r="114" spans="1:20" x14ac:dyDescent="0.2">
      <c r="A114" s="23" t="s">
        <v>82</v>
      </c>
    </row>
    <row r="119" spans="1:20" s="5" customFormat="1" ht="12" customHeight="1" x14ac:dyDescent="0.2">
      <c r="A119" s="4"/>
      <c r="B119" s="4"/>
      <c r="C119" s="4"/>
      <c r="D119" s="4"/>
      <c r="E119" s="4"/>
      <c r="F119" s="4"/>
      <c r="G119" s="4"/>
      <c r="H119" s="4"/>
      <c r="I119" s="3"/>
      <c r="J119" s="3"/>
      <c r="K119" s="2"/>
      <c r="L119" s="1"/>
      <c r="M119" s="1"/>
    </row>
    <row r="123" spans="1:20" x14ac:dyDescent="0.2">
      <c r="Q123" s="42" t="e">
        <f>SUM(#REF!)</f>
        <v>#REF!</v>
      </c>
      <c r="R123" s="42" t="e">
        <f>SUM(#REF!)</f>
        <v>#REF!</v>
      </c>
      <c r="S123" s="42" t="e">
        <f>SUM(#REF!)</f>
        <v>#REF!</v>
      </c>
      <c r="T123" s="42" t="e">
        <f>SUM(#REF!)</f>
        <v>#REF!</v>
      </c>
    </row>
    <row r="124" spans="1:20" ht="35.25" customHeight="1" x14ac:dyDescent="0.2"/>
    <row r="125" spans="1:20" ht="36.75" customHeight="1" x14ac:dyDescent="0.2"/>
    <row r="126" spans="1:20" ht="33.75" customHeight="1" x14ac:dyDescent="0.2"/>
    <row r="127" spans="1:20" ht="26.25" customHeight="1" x14ac:dyDescent="0.2"/>
    <row r="128" spans="1:20" ht="27.75" customHeight="1" x14ac:dyDescent="0.2"/>
    <row r="129" ht="40.5" customHeight="1" x14ac:dyDescent="0.2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E057B-3453-4C89-928C-9D8C19014DE2}">
  <dimension ref="A1:T129"/>
  <sheetViews>
    <sheetView topLeftCell="A47" zoomScale="84" zoomScaleNormal="76" workbookViewId="0">
      <selection activeCell="F56" sqref="F56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26"/>
      <c r="B1" s="128" t="s">
        <v>0</v>
      </c>
      <c r="C1" s="128"/>
      <c r="D1" s="128"/>
      <c r="E1" s="128"/>
      <c r="F1" s="128"/>
      <c r="G1" s="128"/>
      <c r="H1" s="128"/>
      <c r="I1" s="128"/>
      <c r="J1" s="128"/>
      <c r="K1" s="128"/>
      <c r="L1" s="130"/>
      <c r="M1" s="131"/>
    </row>
    <row r="2" spans="1:20" ht="20.25" customHeight="1" x14ac:dyDescent="0.2">
      <c r="A2" s="127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32"/>
      <c r="M2" s="133"/>
    </row>
    <row r="3" spans="1:20" ht="12.75" customHeight="1" x14ac:dyDescent="0.2">
      <c r="A3" s="134" t="s">
        <v>1</v>
      </c>
      <c r="B3" s="136" t="s">
        <v>2</v>
      </c>
      <c r="C3" s="136"/>
      <c r="D3" s="136"/>
      <c r="E3" s="136"/>
      <c r="F3" s="136"/>
      <c r="G3" s="136"/>
      <c r="H3" s="136"/>
      <c r="I3" s="136"/>
      <c r="J3" s="136"/>
      <c r="K3" s="136"/>
      <c r="L3" s="138" t="s">
        <v>3</v>
      </c>
      <c r="M3" s="139"/>
    </row>
    <row r="4" spans="1:20" ht="13.5" thickBot="1" x14ac:dyDescent="0.25">
      <c r="A4" s="135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22" t="s">
        <v>6</v>
      </c>
      <c r="C6" s="122"/>
      <c r="D6" s="122"/>
      <c r="E6" s="122"/>
      <c r="F6" s="122"/>
      <c r="G6" s="122"/>
      <c r="H6" s="123" t="s">
        <v>7</v>
      </c>
      <c r="I6" s="124"/>
      <c r="J6" s="124"/>
      <c r="K6" s="124"/>
      <c r="L6" s="125"/>
      <c r="M6" s="25"/>
    </row>
    <row r="7" spans="1:20" s="14" customFormat="1" ht="49.5" customHeight="1" x14ac:dyDescent="0.2">
      <c r="A7" s="18" cm="1">
        <f t="array" aca="1" ref="A7" ca="1">+A36+A1:L7+A7:L7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318</v>
      </c>
      <c r="B8" s="85" t="s">
        <v>36</v>
      </c>
      <c r="C8" s="85" t="s">
        <v>37</v>
      </c>
      <c r="D8" s="84">
        <v>1</v>
      </c>
      <c r="E8" s="49">
        <v>30</v>
      </c>
      <c r="F8" s="85">
        <v>45917</v>
      </c>
      <c r="G8" s="86">
        <v>0.375</v>
      </c>
      <c r="H8" s="85">
        <v>45915</v>
      </c>
      <c r="I8" s="86">
        <v>0.79166666666666663</v>
      </c>
      <c r="J8" s="87">
        <f>E8-L8</f>
        <v>0</v>
      </c>
      <c r="K8" s="8">
        <v>1</v>
      </c>
      <c r="L8" s="88">
        <v>30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">
      <c r="A9" s="23" t="s">
        <v>216</v>
      </c>
      <c r="B9" s="85" t="s">
        <v>30</v>
      </c>
      <c r="C9" s="85" t="s">
        <v>37</v>
      </c>
      <c r="D9" s="84">
        <v>1</v>
      </c>
      <c r="E9" s="49">
        <v>30</v>
      </c>
      <c r="F9" s="85">
        <v>45917</v>
      </c>
      <c r="G9" s="86">
        <v>0.375</v>
      </c>
      <c r="H9" s="85">
        <v>45915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156</v>
      </c>
      <c r="O9" s="5" t="s">
        <v>155</v>
      </c>
    </row>
    <row r="10" spans="1:20" s="5" customFormat="1" ht="39" customHeight="1" x14ac:dyDescent="0.2">
      <c r="A10" s="79" t="s">
        <v>322</v>
      </c>
      <c r="B10" s="53" t="s">
        <v>21</v>
      </c>
      <c r="C10" s="53" t="s">
        <v>22</v>
      </c>
      <c r="D10" s="53">
        <v>1</v>
      </c>
      <c r="E10" s="53">
        <v>30</v>
      </c>
      <c r="F10" s="80">
        <v>45917</v>
      </c>
      <c r="G10" s="81">
        <v>0.375</v>
      </c>
      <c r="H10" s="80">
        <v>45916</v>
      </c>
      <c r="I10" s="81">
        <v>0.54166666666666663</v>
      </c>
      <c r="J10" s="87">
        <f>E10-L10</f>
        <v>0</v>
      </c>
      <c r="K10" s="53">
        <v>1</v>
      </c>
      <c r="L10" s="53">
        <v>30</v>
      </c>
      <c r="M10" s="79" t="s">
        <v>323</v>
      </c>
    </row>
    <row r="11" spans="1:20" s="5" customFormat="1" ht="43.5" customHeight="1" x14ac:dyDescent="0.2">
      <c r="A11" s="79" t="s">
        <v>324</v>
      </c>
      <c r="B11" s="53" t="s">
        <v>30</v>
      </c>
      <c r="C11" s="53" t="s">
        <v>31</v>
      </c>
      <c r="D11" s="53">
        <v>2</v>
      </c>
      <c r="E11" s="53">
        <v>30</v>
      </c>
      <c r="F11" s="80">
        <v>45917</v>
      </c>
      <c r="G11" s="81">
        <v>0.375</v>
      </c>
      <c r="H11" s="80">
        <v>45916</v>
      </c>
      <c r="I11" s="81">
        <v>0.54166666666666663</v>
      </c>
      <c r="J11" s="87">
        <f t="shared" ref="J11:J32" si="0">E11-L11</f>
        <v>2</v>
      </c>
      <c r="K11" s="53">
        <v>2</v>
      </c>
      <c r="L11" s="53">
        <v>28</v>
      </c>
      <c r="M11" s="79" t="s">
        <v>325</v>
      </c>
    </row>
    <row r="12" spans="1:20" s="5" customFormat="1" ht="35.1" customHeight="1" x14ac:dyDescent="0.2">
      <c r="A12" s="53" t="s">
        <v>326</v>
      </c>
      <c r="B12" s="53" t="s">
        <v>30</v>
      </c>
      <c r="C12" s="53" t="s">
        <v>31</v>
      </c>
      <c r="D12" s="53">
        <v>1</v>
      </c>
      <c r="E12" s="53">
        <v>30</v>
      </c>
      <c r="F12" s="80">
        <v>45917</v>
      </c>
      <c r="G12" s="81">
        <v>0.375</v>
      </c>
      <c r="H12" s="80">
        <v>45916</v>
      </c>
      <c r="I12" s="81">
        <v>0.5625</v>
      </c>
      <c r="J12" s="87">
        <f t="shared" si="0"/>
        <v>0</v>
      </c>
      <c r="K12" s="53">
        <v>2</v>
      </c>
      <c r="L12" s="53">
        <v>30</v>
      </c>
      <c r="M12" s="79" t="s">
        <v>331</v>
      </c>
    </row>
    <row r="13" spans="1:20" s="5" customFormat="1" ht="35.1" customHeight="1" x14ac:dyDescent="0.2">
      <c r="A13" s="79" t="s">
        <v>327</v>
      </c>
      <c r="B13" s="53" t="s">
        <v>136</v>
      </c>
      <c r="C13" s="53" t="s">
        <v>34</v>
      </c>
      <c r="D13" s="53">
        <v>2</v>
      </c>
      <c r="E13" s="53">
        <v>30</v>
      </c>
      <c r="F13" s="80">
        <v>45917</v>
      </c>
      <c r="G13" s="81">
        <v>0.375</v>
      </c>
      <c r="H13" s="80">
        <v>45916</v>
      </c>
      <c r="I13" s="81">
        <v>0.54166666666666663</v>
      </c>
      <c r="J13" s="87">
        <f t="shared" si="0"/>
        <v>0</v>
      </c>
      <c r="K13" s="53">
        <v>2</v>
      </c>
      <c r="L13" s="53">
        <v>30</v>
      </c>
      <c r="M13" s="79" t="s">
        <v>330</v>
      </c>
    </row>
    <row r="14" spans="1:20" s="5" customFormat="1" ht="35.1" customHeight="1" x14ac:dyDescent="0.2">
      <c r="A14" s="53" t="s">
        <v>328</v>
      </c>
      <c r="B14" s="53" t="s">
        <v>136</v>
      </c>
      <c r="C14" s="53" t="s">
        <v>34</v>
      </c>
      <c r="D14" s="53">
        <v>2</v>
      </c>
      <c r="E14" s="53">
        <v>30</v>
      </c>
      <c r="F14" s="80">
        <v>45917</v>
      </c>
      <c r="G14" s="81">
        <v>0.375</v>
      </c>
      <c r="H14" s="80">
        <v>45916</v>
      </c>
      <c r="I14" s="81">
        <v>0.5625</v>
      </c>
      <c r="J14" s="87">
        <f t="shared" si="0"/>
        <v>7</v>
      </c>
      <c r="K14" s="53">
        <v>1</v>
      </c>
      <c r="L14" s="53">
        <v>23</v>
      </c>
      <c r="M14" s="79" t="s">
        <v>329</v>
      </c>
    </row>
    <row r="15" spans="1:20" s="5" customFormat="1" ht="35.1" customHeight="1" x14ac:dyDescent="0.2">
      <c r="A15" s="79" t="s">
        <v>332</v>
      </c>
      <c r="B15" s="53" t="s">
        <v>136</v>
      </c>
      <c r="C15" s="53" t="s">
        <v>34</v>
      </c>
      <c r="D15" s="53">
        <v>1</v>
      </c>
      <c r="E15" s="53">
        <v>30</v>
      </c>
      <c r="F15" s="80">
        <v>45917</v>
      </c>
      <c r="G15" s="81">
        <v>0.375</v>
      </c>
      <c r="H15" s="80">
        <v>45916</v>
      </c>
      <c r="I15" s="81">
        <v>0.58333333333333337</v>
      </c>
      <c r="J15" s="87">
        <f t="shared" si="0"/>
        <v>0</v>
      </c>
      <c r="K15" s="53">
        <v>1</v>
      </c>
      <c r="L15" s="53">
        <v>30</v>
      </c>
      <c r="M15" s="79" t="s">
        <v>333</v>
      </c>
    </row>
    <row r="16" spans="1:20" s="5" customFormat="1" ht="38.450000000000003" customHeight="1" x14ac:dyDescent="0.2">
      <c r="A16" s="79" t="s">
        <v>334</v>
      </c>
      <c r="B16" s="53" t="s">
        <v>21</v>
      </c>
      <c r="C16" s="53" t="s">
        <v>22</v>
      </c>
      <c r="D16" s="53">
        <v>1</v>
      </c>
      <c r="E16" s="53">
        <v>30</v>
      </c>
      <c r="F16" s="80">
        <v>45917</v>
      </c>
      <c r="G16" s="81">
        <v>0.375</v>
      </c>
      <c r="H16" s="80">
        <v>45916</v>
      </c>
      <c r="I16" s="81">
        <v>0.5625</v>
      </c>
      <c r="J16" s="87">
        <f t="shared" si="0"/>
        <v>5</v>
      </c>
      <c r="K16" s="53">
        <v>2</v>
      </c>
      <c r="L16" s="53">
        <v>25</v>
      </c>
      <c r="M16" s="79" t="s">
        <v>335</v>
      </c>
    </row>
    <row r="17" spans="1:13" s="5" customFormat="1" ht="30.75" customHeight="1" x14ac:dyDescent="0.2">
      <c r="A17" s="79" t="s">
        <v>336</v>
      </c>
      <c r="B17" s="53" t="s">
        <v>30</v>
      </c>
      <c r="C17" s="53" t="s">
        <v>31</v>
      </c>
      <c r="D17" s="53">
        <v>1</v>
      </c>
      <c r="E17" s="53">
        <v>60</v>
      </c>
      <c r="F17" s="80">
        <v>45917</v>
      </c>
      <c r="G17" s="81">
        <v>0.375</v>
      </c>
      <c r="H17" s="80">
        <v>45916</v>
      </c>
      <c r="I17" s="81">
        <v>0.60416666666666663</v>
      </c>
      <c r="J17" s="87">
        <f t="shared" si="0"/>
        <v>-5</v>
      </c>
      <c r="K17" s="53">
        <v>1</v>
      </c>
      <c r="L17" s="53">
        <v>65</v>
      </c>
      <c r="M17" s="79" t="s">
        <v>337</v>
      </c>
    </row>
    <row r="18" spans="1:13" s="5" customFormat="1" ht="27" customHeight="1" x14ac:dyDescent="0.2">
      <c r="A18" s="53" t="s">
        <v>319</v>
      </c>
      <c r="B18" s="53" t="s">
        <v>136</v>
      </c>
      <c r="C18" s="53" t="s">
        <v>34</v>
      </c>
      <c r="D18" s="53">
        <v>1</v>
      </c>
      <c r="E18" s="53">
        <v>60</v>
      </c>
      <c r="F18" s="80">
        <v>45917</v>
      </c>
      <c r="G18" s="81">
        <v>0.375</v>
      </c>
      <c r="H18" s="80">
        <v>45916</v>
      </c>
      <c r="I18" s="81">
        <v>0.625</v>
      </c>
      <c r="J18" s="87">
        <f t="shared" si="0"/>
        <v>0</v>
      </c>
      <c r="K18" s="53">
        <v>1</v>
      </c>
      <c r="L18" s="53">
        <v>60</v>
      </c>
      <c r="M18" s="79" t="s">
        <v>320</v>
      </c>
    </row>
    <row r="19" spans="1:13" s="5" customFormat="1" ht="38.25" customHeight="1" x14ac:dyDescent="0.2">
      <c r="A19" s="53" t="s">
        <v>338</v>
      </c>
      <c r="B19" s="53" t="s">
        <v>21</v>
      </c>
      <c r="C19" s="53" t="s">
        <v>22</v>
      </c>
      <c r="D19" s="53">
        <v>1</v>
      </c>
      <c r="E19" s="53">
        <v>60</v>
      </c>
      <c r="F19" s="80">
        <v>45917</v>
      </c>
      <c r="G19" s="81">
        <v>0.375</v>
      </c>
      <c r="H19" s="80">
        <v>45916</v>
      </c>
      <c r="I19" s="81">
        <v>0.60416666666666663</v>
      </c>
      <c r="J19" s="87">
        <f t="shared" si="0"/>
        <v>5</v>
      </c>
      <c r="K19" s="53">
        <v>1</v>
      </c>
      <c r="L19" s="53">
        <v>55</v>
      </c>
      <c r="M19" s="79" t="s">
        <v>321</v>
      </c>
    </row>
    <row r="20" spans="1:13" s="5" customFormat="1" ht="40.5" customHeight="1" x14ac:dyDescent="0.2">
      <c r="A20" s="79" t="s">
        <v>339</v>
      </c>
      <c r="B20" s="53" t="s">
        <v>36</v>
      </c>
      <c r="C20" s="53" t="s">
        <v>37</v>
      </c>
      <c r="D20" s="53">
        <v>1</v>
      </c>
      <c r="E20" s="53">
        <v>60</v>
      </c>
      <c r="F20" s="80">
        <v>45917</v>
      </c>
      <c r="G20" s="81">
        <v>0.375</v>
      </c>
      <c r="H20" s="80">
        <v>45916</v>
      </c>
      <c r="I20" s="81">
        <v>0.58333333333333337</v>
      </c>
      <c r="J20" s="87">
        <f t="shared" si="0"/>
        <v>0</v>
      </c>
      <c r="K20" s="53">
        <v>1</v>
      </c>
      <c r="L20" s="53">
        <v>60</v>
      </c>
      <c r="M20" s="79" t="s">
        <v>340</v>
      </c>
    </row>
    <row r="21" spans="1:13" s="5" customFormat="1" ht="27" customHeight="1" x14ac:dyDescent="0.2">
      <c r="A21" s="79" t="s">
        <v>341</v>
      </c>
      <c r="B21" s="53" t="s">
        <v>42</v>
      </c>
      <c r="C21" s="53" t="s">
        <v>43</v>
      </c>
      <c r="D21" s="53">
        <v>1</v>
      </c>
      <c r="E21" s="53">
        <v>60</v>
      </c>
      <c r="F21" s="80">
        <v>45917</v>
      </c>
      <c r="G21" s="81">
        <v>0.375</v>
      </c>
      <c r="H21" s="80">
        <v>45916</v>
      </c>
      <c r="I21" s="81">
        <v>0.58333333333333337</v>
      </c>
      <c r="J21" s="87">
        <f t="shared" si="0"/>
        <v>6</v>
      </c>
      <c r="K21" s="53">
        <v>1</v>
      </c>
      <c r="L21" s="53">
        <v>54</v>
      </c>
      <c r="M21" s="79" t="s">
        <v>342</v>
      </c>
    </row>
    <row r="22" spans="1:13" s="5" customFormat="1" ht="27" customHeight="1" x14ac:dyDescent="0.2">
      <c r="A22" s="79" t="s">
        <v>343</v>
      </c>
      <c r="B22" s="53" t="s">
        <v>39</v>
      </c>
      <c r="C22" s="53" t="s">
        <v>40</v>
      </c>
      <c r="D22" s="53">
        <v>1</v>
      </c>
      <c r="E22" s="53">
        <v>60</v>
      </c>
      <c r="F22" s="80">
        <v>45917</v>
      </c>
      <c r="G22" s="81">
        <v>0.375</v>
      </c>
      <c r="H22" s="80">
        <v>45916</v>
      </c>
      <c r="I22" s="81">
        <v>0.58333333333333337</v>
      </c>
      <c r="J22" s="87">
        <f t="shared" si="0"/>
        <v>0</v>
      </c>
      <c r="K22" s="53">
        <v>1</v>
      </c>
      <c r="L22" s="53">
        <v>60</v>
      </c>
      <c r="M22" s="79" t="s">
        <v>344</v>
      </c>
    </row>
    <row r="23" spans="1:13" s="5" customFormat="1" ht="27" customHeight="1" x14ac:dyDescent="0.2">
      <c r="A23" s="79" t="s">
        <v>345</v>
      </c>
      <c r="B23" s="53" t="s">
        <v>21</v>
      </c>
      <c r="C23" s="53" t="s">
        <v>22</v>
      </c>
      <c r="D23" s="53">
        <v>1</v>
      </c>
      <c r="E23" s="53">
        <v>60</v>
      </c>
      <c r="F23" s="80">
        <v>45917</v>
      </c>
      <c r="G23" s="81">
        <v>0.375</v>
      </c>
      <c r="H23" s="80">
        <v>45916</v>
      </c>
      <c r="I23" s="81">
        <v>0.64583333333333337</v>
      </c>
      <c r="J23" s="87">
        <f t="shared" si="0"/>
        <v>0</v>
      </c>
      <c r="K23" s="53">
        <v>1</v>
      </c>
      <c r="L23" s="53">
        <v>60</v>
      </c>
      <c r="M23" s="79" t="s">
        <v>348</v>
      </c>
    </row>
    <row r="24" spans="1:13" s="5" customFormat="1" ht="27" customHeight="1" x14ac:dyDescent="0.2">
      <c r="A24" s="79" t="s">
        <v>346</v>
      </c>
      <c r="B24" s="53" t="s">
        <v>36</v>
      </c>
      <c r="C24" s="53" t="s">
        <v>37</v>
      </c>
      <c r="D24" s="53">
        <v>2</v>
      </c>
      <c r="E24" s="53">
        <v>60</v>
      </c>
      <c r="F24" s="80">
        <v>45917</v>
      </c>
      <c r="G24" s="81">
        <v>0.375</v>
      </c>
      <c r="H24" s="80">
        <v>45916</v>
      </c>
      <c r="I24" s="81">
        <v>0.625</v>
      </c>
      <c r="J24" s="87">
        <f t="shared" si="0"/>
        <v>-1</v>
      </c>
      <c r="K24" s="53">
        <v>1</v>
      </c>
      <c r="L24" s="53">
        <v>61</v>
      </c>
      <c r="M24" s="79" t="s">
        <v>347</v>
      </c>
    </row>
    <row r="25" spans="1:13" s="5" customFormat="1" ht="27" customHeight="1" x14ac:dyDescent="0.2">
      <c r="A25" s="79" t="s">
        <v>349</v>
      </c>
      <c r="B25" s="53" t="s">
        <v>42</v>
      </c>
      <c r="C25" s="53" t="s">
        <v>43</v>
      </c>
      <c r="D25" s="53">
        <v>2</v>
      </c>
      <c r="E25" s="53">
        <v>60</v>
      </c>
      <c r="F25" s="80">
        <v>45917</v>
      </c>
      <c r="G25" s="81">
        <v>0.375</v>
      </c>
      <c r="H25" s="80">
        <v>45916</v>
      </c>
      <c r="I25" s="81">
        <v>0.66666666666666696</v>
      </c>
      <c r="J25" s="87">
        <f t="shared" si="0"/>
        <v>0</v>
      </c>
      <c r="K25" s="53">
        <v>1</v>
      </c>
      <c r="L25" s="53">
        <v>60</v>
      </c>
      <c r="M25" s="79" t="s">
        <v>350</v>
      </c>
    </row>
    <row r="26" spans="1:13" s="5" customFormat="1" ht="27" customHeight="1" x14ac:dyDescent="0.2">
      <c r="A26" s="79" t="s">
        <v>352</v>
      </c>
      <c r="B26" s="53" t="s">
        <v>39</v>
      </c>
      <c r="C26" s="53" t="s">
        <v>40</v>
      </c>
      <c r="D26" s="53">
        <v>2</v>
      </c>
      <c r="E26" s="53">
        <v>60</v>
      </c>
      <c r="F26" s="80">
        <v>45917</v>
      </c>
      <c r="G26" s="81">
        <v>0.375</v>
      </c>
      <c r="H26" s="80">
        <v>45916</v>
      </c>
      <c r="I26" s="81">
        <v>0.70833333333333304</v>
      </c>
      <c r="J26" s="87">
        <f t="shared" si="0"/>
        <v>3</v>
      </c>
      <c r="K26" s="53">
        <v>1</v>
      </c>
      <c r="L26" s="53">
        <v>57</v>
      </c>
      <c r="M26" s="79" t="s">
        <v>351</v>
      </c>
    </row>
    <row r="27" spans="1:13" s="5" customFormat="1" ht="27" customHeight="1" x14ac:dyDescent="0.2">
      <c r="A27" s="79" t="s">
        <v>353</v>
      </c>
      <c r="B27" s="53" t="s">
        <v>30</v>
      </c>
      <c r="C27" s="53" t="s">
        <v>31</v>
      </c>
      <c r="D27" s="53">
        <v>1</v>
      </c>
      <c r="E27" s="53">
        <v>30</v>
      </c>
      <c r="F27" s="80">
        <v>45917</v>
      </c>
      <c r="G27" s="81">
        <v>0.375</v>
      </c>
      <c r="H27" s="80">
        <v>45916</v>
      </c>
      <c r="I27" s="81">
        <v>0.79166666666666663</v>
      </c>
      <c r="J27" s="87">
        <f t="shared" si="0"/>
        <v>5</v>
      </c>
      <c r="K27" s="53">
        <v>1</v>
      </c>
      <c r="L27" s="53">
        <v>25</v>
      </c>
      <c r="M27" s="79" t="s">
        <v>354</v>
      </c>
    </row>
    <row r="28" spans="1:13" s="5" customFormat="1" ht="27" customHeight="1" x14ac:dyDescent="0.2">
      <c r="A28" s="79" t="s">
        <v>353</v>
      </c>
      <c r="B28" s="53" t="s">
        <v>21</v>
      </c>
      <c r="C28" s="53" t="s">
        <v>22</v>
      </c>
      <c r="D28" s="53">
        <v>1</v>
      </c>
      <c r="E28" s="53">
        <v>30</v>
      </c>
      <c r="F28" s="80">
        <v>45917</v>
      </c>
      <c r="G28" s="81">
        <v>0.375</v>
      </c>
      <c r="H28" s="80">
        <v>45916</v>
      </c>
      <c r="I28" s="81">
        <v>0.79166666666666663</v>
      </c>
      <c r="J28" s="87">
        <f t="shared" si="0"/>
        <v>5</v>
      </c>
      <c r="K28" s="53">
        <v>1</v>
      </c>
      <c r="L28" s="53">
        <v>25</v>
      </c>
      <c r="M28" s="79" t="s">
        <v>354</v>
      </c>
    </row>
    <row r="29" spans="1:13" s="5" customFormat="1" ht="36.75" customHeight="1" x14ac:dyDescent="0.2">
      <c r="A29" s="79" t="s">
        <v>353</v>
      </c>
      <c r="B29" s="53" t="s">
        <v>36</v>
      </c>
      <c r="C29" s="53" t="s">
        <v>37</v>
      </c>
      <c r="D29" s="53">
        <v>1</v>
      </c>
      <c r="E29" s="53">
        <v>30</v>
      </c>
      <c r="F29" s="80">
        <v>45917</v>
      </c>
      <c r="G29" s="81">
        <v>0.375</v>
      </c>
      <c r="H29" s="80">
        <v>45916</v>
      </c>
      <c r="I29" s="81">
        <v>0.79166666666666663</v>
      </c>
      <c r="J29" s="87">
        <f t="shared" si="0"/>
        <v>5</v>
      </c>
      <c r="K29" s="53">
        <v>1</v>
      </c>
      <c r="L29" s="53">
        <v>25</v>
      </c>
      <c r="M29" s="79" t="s">
        <v>354</v>
      </c>
    </row>
    <row r="30" spans="1:13" s="5" customFormat="1" ht="37.5" customHeight="1" x14ac:dyDescent="0.2">
      <c r="A30" s="79" t="s">
        <v>353</v>
      </c>
      <c r="B30" s="53" t="s">
        <v>136</v>
      </c>
      <c r="C30" s="53" t="s">
        <v>34</v>
      </c>
      <c r="D30" s="53">
        <v>1</v>
      </c>
      <c r="E30" s="53">
        <v>30</v>
      </c>
      <c r="F30" s="80">
        <v>45917</v>
      </c>
      <c r="G30" s="81">
        <v>0.375</v>
      </c>
      <c r="H30" s="80">
        <v>45916</v>
      </c>
      <c r="I30" s="81">
        <v>0.79166666666666663</v>
      </c>
      <c r="J30" s="87">
        <f t="shared" si="0"/>
        <v>5</v>
      </c>
      <c r="K30" s="53">
        <v>1</v>
      </c>
      <c r="L30" s="53">
        <v>25</v>
      </c>
      <c r="M30" s="79" t="s">
        <v>354</v>
      </c>
    </row>
    <row r="31" spans="1:13" s="5" customFormat="1" ht="38.25" customHeight="1" x14ac:dyDescent="0.2">
      <c r="A31" s="79" t="s">
        <v>353</v>
      </c>
      <c r="B31" s="53" t="s">
        <v>39</v>
      </c>
      <c r="C31" s="53" t="s">
        <v>40</v>
      </c>
      <c r="D31" s="53">
        <v>1</v>
      </c>
      <c r="E31" s="53">
        <v>30</v>
      </c>
      <c r="F31" s="80">
        <v>45917</v>
      </c>
      <c r="G31" s="81">
        <v>0.375</v>
      </c>
      <c r="H31" s="80">
        <v>45916</v>
      </c>
      <c r="I31" s="81">
        <v>0.79166666666666663</v>
      </c>
      <c r="J31" s="87">
        <f t="shared" si="0"/>
        <v>5</v>
      </c>
      <c r="K31" s="53">
        <v>1</v>
      </c>
      <c r="L31" s="53">
        <v>25</v>
      </c>
      <c r="M31" s="79" t="s">
        <v>354</v>
      </c>
    </row>
    <row r="32" spans="1:13" s="5" customFormat="1" ht="36.75" customHeight="1" x14ac:dyDescent="0.2">
      <c r="A32" s="79" t="s">
        <v>353</v>
      </c>
      <c r="B32" s="53" t="s">
        <v>42</v>
      </c>
      <c r="C32" s="53" t="s">
        <v>43</v>
      </c>
      <c r="D32" s="53">
        <v>1</v>
      </c>
      <c r="E32" s="53">
        <v>30</v>
      </c>
      <c r="F32" s="80">
        <v>45917</v>
      </c>
      <c r="G32" s="81">
        <v>0.375</v>
      </c>
      <c r="H32" s="80">
        <v>45916</v>
      </c>
      <c r="I32" s="81">
        <v>0.79166666666666663</v>
      </c>
      <c r="J32" s="87">
        <f t="shared" si="0"/>
        <v>5</v>
      </c>
      <c r="K32" s="53">
        <v>1</v>
      </c>
      <c r="L32" s="53">
        <v>25</v>
      </c>
      <c r="M32" s="79" t="s">
        <v>354</v>
      </c>
    </row>
    <row r="33" spans="1:13" s="5" customFormat="1" ht="42" customHeight="1" x14ac:dyDescent="0.2">
      <c r="A33" s="106" t="s">
        <v>123</v>
      </c>
      <c r="B33" s="85" t="s">
        <v>36</v>
      </c>
      <c r="C33" s="85" t="s">
        <v>37</v>
      </c>
      <c r="D33" s="49">
        <v>1</v>
      </c>
      <c r="E33" s="49">
        <v>20</v>
      </c>
      <c r="F33" s="85">
        <v>45917</v>
      </c>
      <c r="G33" s="86">
        <v>0.375</v>
      </c>
      <c r="H33" s="85">
        <v>45916</v>
      </c>
      <c r="I33" s="86">
        <v>0.80555555555555558</v>
      </c>
      <c r="J33" s="87">
        <f>E33-L33</f>
        <v>0</v>
      </c>
      <c r="K33" s="8">
        <v>1</v>
      </c>
      <c r="L33" s="88">
        <v>20</v>
      </c>
      <c r="M33" s="93" t="s">
        <v>124</v>
      </c>
    </row>
    <row r="34" spans="1:13" s="5" customFormat="1" ht="39" customHeight="1" x14ac:dyDescent="0.2">
      <c r="A34" s="38" t="s">
        <v>123</v>
      </c>
      <c r="B34" s="85" t="s">
        <v>143</v>
      </c>
      <c r="C34" s="85" t="s">
        <v>43</v>
      </c>
      <c r="D34" s="49">
        <v>1</v>
      </c>
      <c r="E34" s="49">
        <v>20</v>
      </c>
      <c r="F34" s="85">
        <v>45917</v>
      </c>
      <c r="G34" s="86">
        <v>0.375</v>
      </c>
      <c r="H34" s="85">
        <v>45916</v>
      </c>
      <c r="I34" s="86">
        <v>0.80555555555555558</v>
      </c>
      <c r="J34" s="87">
        <f t="shared" ref="J34:J55" si="1">E34-L34</f>
        <v>0</v>
      </c>
      <c r="K34" s="8">
        <v>1</v>
      </c>
      <c r="L34" s="88">
        <v>20</v>
      </c>
      <c r="M34" s="93" t="s">
        <v>124</v>
      </c>
    </row>
    <row r="35" spans="1:13" s="5" customFormat="1" ht="42" customHeight="1" x14ac:dyDescent="0.2">
      <c r="A35" s="13" t="s">
        <v>175</v>
      </c>
      <c r="B35" s="13" t="s">
        <v>36</v>
      </c>
      <c r="C35" s="13" t="s">
        <v>37</v>
      </c>
      <c r="D35" s="53">
        <v>1</v>
      </c>
      <c r="E35" s="53">
        <v>30</v>
      </c>
      <c r="F35" s="13">
        <v>45917</v>
      </c>
      <c r="G35" s="86">
        <v>0.375</v>
      </c>
      <c r="H35" s="13">
        <v>45916</v>
      </c>
      <c r="I35" s="12">
        <v>0.83333333333333337</v>
      </c>
      <c r="J35" s="53">
        <f t="shared" si="1"/>
        <v>6</v>
      </c>
      <c r="K35" s="50">
        <v>1</v>
      </c>
      <c r="L35" s="68">
        <v>24</v>
      </c>
      <c r="M35" s="52" t="s">
        <v>176</v>
      </c>
    </row>
    <row r="36" spans="1:13" s="5" customFormat="1" ht="47.25" customHeight="1" x14ac:dyDescent="0.2">
      <c r="A36" s="13" t="s">
        <v>177</v>
      </c>
      <c r="B36" s="13" t="s">
        <v>39</v>
      </c>
      <c r="C36" s="13" t="s">
        <v>40</v>
      </c>
      <c r="D36" s="53">
        <v>1</v>
      </c>
      <c r="E36" s="53">
        <v>30</v>
      </c>
      <c r="F36" s="13">
        <v>45917</v>
      </c>
      <c r="G36" s="86">
        <v>0.375</v>
      </c>
      <c r="H36" s="13">
        <v>45916</v>
      </c>
      <c r="I36" s="12">
        <v>0.83333333333333337</v>
      </c>
      <c r="J36" s="53">
        <f t="shared" si="1"/>
        <v>0</v>
      </c>
      <c r="K36" s="50">
        <v>1</v>
      </c>
      <c r="L36" s="68">
        <v>30</v>
      </c>
      <c r="M36" s="52" t="s">
        <v>178</v>
      </c>
    </row>
    <row r="37" spans="1:13" s="5" customFormat="1" ht="33.950000000000003" customHeight="1" x14ac:dyDescent="0.2">
      <c r="A37" s="61" t="s">
        <v>179</v>
      </c>
      <c r="B37" s="13" t="s">
        <v>39</v>
      </c>
      <c r="C37" s="13" t="s">
        <v>40</v>
      </c>
      <c r="D37" s="53">
        <v>5</v>
      </c>
      <c r="E37" s="53">
        <v>50</v>
      </c>
      <c r="F37" s="13">
        <v>45917</v>
      </c>
      <c r="G37" s="86">
        <v>0.375</v>
      </c>
      <c r="H37" s="13">
        <v>45916</v>
      </c>
      <c r="I37" s="12">
        <v>0.86805555555555558</v>
      </c>
      <c r="J37" s="53">
        <f t="shared" si="1"/>
        <v>5</v>
      </c>
      <c r="K37" s="50">
        <v>5</v>
      </c>
      <c r="L37" s="68">
        <v>45</v>
      </c>
      <c r="M37" s="52" t="s">
        <v>180</v>
      </c>
    </row>
    <row r="38" spans="1:13" s="5" customFormat="1" ht="28.5" customHeight="1" x14ac:dyDescent="0.2">
      <c r="A38" s="23" t="s">
        <v>146</v>
      </c>
      <c r="B38" s="85" t="s">
        <v>30</v>
      </c>
      <c r="C38" s="90" t="s">
        <v>207</v>
      </c>
      <c r="D38" s="84">
        <v>1</v>
      </c>
      <c r="E38" s="49">
        <v>60</v>
      </c>
      <c r="F38" s="85">
        <v>45917</v>
      </c>
      <c r="G38" s="86">
        <v>0.375</v>
      </c>
      <c r="H38" s="85">
        <v>45916</v>
      </c>
      <c r="I38" s="86">
        <v>0.91666666666666663</v>
      </c>
      <c r="J38" s="87">
        <f t="shared" si="1"/>
        <v>50</v>
      </c>
      <c r="K38" s="8">
        <v>1</v>
      </c>
      <c r="L38" s="88">
        <v>10</v>
      </c>
      <c r="M38" s="91" t="s">
        <v>149</v>
      </c>
    </row>
    <row r="39" spans="1:13" s="5" customFormat="1" ht="39" customHeight="1" x14ac:dyDescent="0.2">
      <c r="A39" s="23" t="s">
        <v>146</v>
      </c>
      <c r="B39" s="85" t="s">
        <v>42</v>
      </c>
      <c r="C39" s="85" t="s">
        <v>77</v>
      </c>
      <c r="D39" s="84">
        <v>1</v>
      </c>
      <c r="E39" s="49">
        <v>60</v>
      </c>
      <c r="F39" s="85">
        <v>45917</v>
      </c>
      <c r="G39" s="86">
        <v>0.375</v>
      </c>
      <c r="H39" s="85">
        <v>45916</v>
      </c>
      <c r="I39" s="86">
        <v>0.91666666666666663</v>
      </c>
      <c r="J39" s="87">
        <f t="shared" si="1"/>
        <v>50</v>
      </c>
      <c r="K39" s="8">
        <v>1</v>
      </c>
      <c r="L39" s="88">
        <v>10</v>
      </c>
      <c r="M39" s="91" t="s">
        <v>149</v>
      </c>
    </row>
    <row r="40" spans="1:13" s="5" customFormat="1" ht="38.25" customHeight="1" x14ac:dyDescent="0.2">
      <c r="A40" s="23" t="s">
        <v>146</v>
      </c>
      <c r="B40" s="85" t="s">
        <v>21</v>
      </c>
      <c r="C40" s="85" t="s">
        <v>86</v>
      </c>
      <c r="D40" s="84">
        <v>1</v>
      </c>
      <c r="E40" s="49">
        <v>60</v>
      </c>
      <c r="F40" s="85">
        <v>45917</v>
      </c>
      <c r="G40" s="86">
        <v>0.375</v>
      </c>
      <c r="H40" s="85">
        <v>45916</v>
      </c>
      <c r="I40" s="86">
        <v>0.91666666666666663</v>
      </c>
      <c r="J40" s="87">
        <f t="shared" si="1"/>
        <v>50</v>
      </c>
      <c r="K40" s="8">
        <v>1</v>
      </c>
      <c r="L40" s="88">
        <v>10</v>
      </c>
      <c r="M40" s="91" t="s">
        <v>149</v>
      </c>
    </row>
    <row r="41" spans="1:13" s="5" customFormat="1" ht="38.25" customHeight="1" x14ac:dyDescent="0.2">
      <c r="A41" s="23" t="s">
        <v>146</v>
      </c>
      <c r="B41" s="85" t="s">
        <v>136</v>
      </c>
      <c r="C41" s="85" t="s">
        <v>151</v>
      </c>
      <c r="D41" s="84">
        <v>1</v>
      </c>
      <c r="E41" s="49">
        <v>60</v>
      </c>
      <c r="F41" s="85">
        <v>45917</v>
      </c>
      <c r="G41" s="86">
        <v>0.375</v>
      </c>
      <c r="H41" s="85">
        <v>45916</v>
      </c>
      <c r="I41" s="86">
        <v>0.91666666666666663</v>
      </c>
      <c r="J41" s="87">
        <f t="shared" si="1"/>
        <v>50</v>
      </c>
      <c r="K41" s="8">
        <v>1</v>
      </c>
      <c r="L41" s="88">
        <v>10</v>
      </c>
      <c r="M41" s="91" t="s">
        <v>149</v>
      </c>
    </row>
    <row r="42" spans="1:13" s="5" customFormat="1" ht="42" customHeight="1" x14ac:dyDescent="0.2">
      <c r="A42" s="23" t="s">
        <v>146</v>
      </c>
      <c r="B42" s="85" t="s">
        <v>36</v>
      </c>
      <c r="C42" s="85" t="s">
        <v>80</v>
      </c>
      <c r="D42" s="84">
        <v>1</v>
      </c>
      <c r="E42" s="49">
        <v>60</v>
      </c>
      <c r="F42" s="85">
        <v>45917</v>
      </c>
      <c r="G42" s="86">
        <v>0.375</v>
      </c>
      <c r="H42" s="85">
        <v>45916</v>
      </c>
      <c r="I42" s="86">
        <v>0.91666666666666663</v>
      </c>
      <c r="J42" s="87">
        <f t="shared" si="1"/>
        <v>50</v>
      </c>
      <c r="K42" s="8">
        <v>1</v>
      </c>
      <c r="L42" s="88">
        <v>10</v>
      </c>
      <c r="M42" s="91" t="s">
        <v>149</v>
      </c>
    </row>
    <row r="43" spans="1:13" s="5" customFormat="1" ht="32.450000000000003" customHeight="1" x14ac:dyDescent="0.2">
      <c r="A43" s="23" t="s">
        <v>146</v>
      </c>
      <c r="B43" s="85" t="s">
        <v>39</v>
      </c>
      <c r="C43" s="85" t="s">
        <v>150</v>
      </c>
      <c r="D43" s="84">
        <v>1</v>
      </c>
      <c r="E43" s="49">
        <v>60</v>
      </c>
      <c r="F43" s="85">
        <v>45917</v>
      </c>
      <c r="G43" s="86">
        <v>0.375</v>
      </c>
      <c r="H43" s="85">
        <v>45916</v>
      </c>
      <c r="I43" s="86">
        <v>0.91666666666666663</v>
      </c>
      <c r="J43" s="87">
        <f t="shared" si="1"/>
        <v>50</v>
      </c>
      <c r="K43" s="8">
        <v>1</v>
      </c>
      <c r="L43" s="88">
        <v>10</v>
      </c>
      <c r="M43" s="91" t="s">
        <v>149</v>
      </c>
    </row>
    <row r="44" spans="1:13" ht="35.25" customHeight="1" x14ac:dyDescent="0.2">
      <c r="A44" s="23" t="s">
        <v>52</v>
      </c>
      <c r="B44" s="89" t="s">
        <v>21</v>
      </c>
      <c r="C44" s="90" t="s">
        <v>22</v>
      </c>
      <c r="D44" s="84">
        <v>1</v>
      </c>
      <c r="E44" s="49">
        <v>30</v>
      </c>
      <c r="F44" s="85">
        <v>45917</v>
      </c>
      <c r="G44" s="86">
        <v>0.375</v>
      </c>
      <c r="H44" s="85">
        <v>45916</v>
      </c>
      <c r="I44" s="86">
        <v>0.91666666666666663</v>
      </c>
      <c r="J44" s="87">
        <f t="shared" si="1"/>
        <v>0</v>
      </c>
      <c r="K44" s="8">
        <v>1</v>
      </c>
      <c r="L44" s="88">
        <v>30</v>
      </c>
      <c r="M44" s="91" t="s">
        <v>53</v>
      </c>
    </row>
    <row r="45" spans="1:13" s="5" customFormat="1" ht="47.1" customHeight="1" x14ac:dyDescent="0.2">
      <c r="A45" s="23" t="s">
        <v>153</v>
      </c>
      <c r="B45" s="89" t="s">
        <v>36</v>
      </c>
      <c r="C45" s="90" t="s">
        <v>37</v>
      </c>
      <c r="D45" s="84">
        <v>1</v>
      </c>
      <c r="E45" s="5">
        <v>30</v>
      </c>
      <c r="F45" s="85">
        <v>45917</v>
      </c>
      <c r="G45" s="86">
        <v>0.375</v>
      </c>
      <c r="H45" s="85">
        <v>45916</v>
      </c>
      <c r="I45" s="86">
        <v>0.91666666666666663</v>
      </c>
      <c r="J45" s="87">
        <f t="shared" si="1"/>
        <v>0</v>
      </c>
      <c r="K45" s="8">
        <v>1</v>
      </c>
      <c r="L45" s="88">
        <v>30</v>
      </c>
      <c r="M45" s="91" t="s">
        <v>53</v>
      </c>
    </row>
    <row r="46" spans="1:13" s="5" customFormat="1" ht="43.5" customHeight="1" x14ac:dyDescent="0.2">
      <c r="A46" s="23" t="s">
        <v>79</v>
      </c>
      <c r="B46" s="85" t="s">
        <v>36</v>
      </c>
      <c r="C46" s="90" t="s">
        <v>37</v>
      </c>
      <c r="D46" s="84">
        <v>1</v>
      </c>
      <c r="E46" s="49">
        <v>45</v>
      </c>
      <c r="F46" s="85">
        <v>45917</v>
      </c>
      <c r="G46" s="86">
        <v>0.375</v>
      </c>
      <c r="H46" s="85">
        <v>45916</v>
      </c>
      <c r="I46" s="86">
        <v>0.9375</v>
      </c>
      <c r="J46" s="87">
        <f t="shared" si="1"/>
        <v>-35</v>
      </c>
      <c r="K46" s="8">
        <v>1</v>
      </c>
      <c r="L46" s="88">
        <v>80</v>
      </c>
      <c r="M46" s="91" t="s">
        <v>81</v>
      </c>
    </row>
    <row r="47" spans="1:13" s="5" customFormat="1" ht="42.75" customHeight="1" x14ac:dyDescent="0.2">
      <c r="A47" s="23" t="s">
        <v>85</v>
      </c>
      <c r="B47" s="85" t="s">
        <v>21</v>
      </c>
      <c r="C47" s="90" t="s">
        <v>22</v>
      </c>
      <c r="D47" s="84">
        <v>1</v>
      </c>
      <c r="E47" s="49">
        <v>60</v>
      </c>
      <c r="F47" s="85">
        <v>45917</v>
      </c>
      <c r="G47" s="86">
        <v>0.375</v>
      </c>
      <c r="H47" s="85">
        <v>45916</v>
      </c>
      <c r="I47" s="86">
        <v>0.9375</v>
      </c>
      <c r="J47" s="87">
        <f t="shared" si="1"/>
        <v>10</v>
      </c>
      <c r="K47" s="8">
        <v>1</v>
      </c>
      <c r="L47" s="88">
        <v>50</v>
      </c>
      <c r="M47" s="91" t="s">
        <v>87</v>
      </c>
    </row>
    <row r="48" spans="1:13" s="5" customFormat="1" ht="39" customHeight="1" x14ac:dyDescent="0.2">
      <c r="A48" s="23" t="s">
        <v>88</v>
      </c>
      <c r="B48" s="85" t="s">
        <v>21</v>
      </c>
      <c r="C48" s="85" t="s">
        <v>22</v>
      </c>
      <c r="D48" s="84">
        <v>1</v>
      </c>
      <c r="E48" s="49">
        <v>55</v>
      </c>
      <c r="F48" s="85">
        <v>45917</v>
      </c>
      <c r="G48" s="86">
        <v>0.375</v>
      </c>
      <c r="H48" s="85">
        <v>45916</v>
      </c>
      <c r="I48" s="86">
        <v>0.9375</v>
      </c>
      <c r="J48" s="87">
        <f t="shared" si="1"/>
        <v>0</v>
      </c>
      <c r="K48" s="8">
        <v>1</v>
      </c>
      <c r="L48" s="88">
        <v>55</v>
      </c>
      <c r="M48" s="91" t="s">
        <v>89</v>
      </c>
    </row>
    <row r="49" spans="1:13" s="5" customFormat="1" ht="29.25" customHeight="1" x14ac:dyDescent="0.2">
      <c r="A49" s="33" t="s">
        <v>131</v>
      </c>
      <c r="B49" s="85" t="s">
        <v>36</v>
      </c>
      <c r="C49" s="85" t="s">
        <v>37</v>
      </c>
      <c r="D49" s="49">
        <v>1</v>
      </c>
      <c r="E49" s="49">
        <v>30</v>
      </c>
      <c r="F49" s="85">
        <v>45917</v>
      </c>
      <c r="G49" s="86">
        <v>0.375</v>
      </c>
      <c r="H49" s="85">
        <v>45916</v>
      </c>
      <c r="I49" s="86">
        <v>0.9375</v>
      </c>
      <c r="J49" s="87">
        <f t="shared" si="1"/>
        <v>-2</v>
      </c>
      <c r="K49" s="8">
        <v>1</v>
      </c>
      <c r="L49" s="88">
        <v>32</v>
      </c>
      <c r="M49" s="91" t="s">
        <v>132</v>
      </c>
    </row>
    <row r="50" spans="1:13" s="5" customFormat="1" ht="31.5" customHeight="1" x14ac:dyDescent="0.2">
      <c r="A50" s="33" t="s">
        <v>131</v>
      </c>
      <c r="B50" s="85" t="s">
        <v>42</v>
      </c>
      <c r="C50" s="85" t="s">
        <v>43</v>
      </c>
      <c r="D50" s="49">
        <v>1</v>
      </c>
      <c r="E50" s="49">
        <v>30</v>
      </c>
      <c r="F50" s="85">
        <v>45917</v>
      </c>
      <c r="G50" s="86">
        <v>0.375</v>
      </c>
      <c r="H50" s="85">
        <v>45916</v>
      </c>
      <c r="I50" s="86">
        <v>0.9375</v>
      </c>
      <c r="J50" s="87">
        <f t="shared" si="1"/>
        <v>-2</v>
      </c>
      <c r="K50" s="8">
        <v>1</v>
      </c>
      <c r="L50" s="88">
        <v>32</v>
      </c>
      <c r="M50" s="91" t="s">
        <v>132</v>
      </c>
    </row>
    <row r="51" spans="1:13" s="5" customFormat="1" ht="26.45" customHeight="1" x14ac:dyDescent="0.2">
      <c r="A51" s="33" t="s">
        <v>131</v>
      </c>
      <c r="B51" s="85" t="s">
        <v>30</v>
      </c>
      <c r="C51" s="85" t="s">
        <v>31</v>
      </c>
      <c r="D51" s="49">
        <v>1</v>
      </c>
      <c r="E51" s="49">
        <v>30</v>
      </c>
      <c r="F51" s="85">
        <v>45917</v>
      </c>
      <c r="G51" s="86">
        <v>0.375</v>
      </c>
      <c r="H51" s="85">
        <v>45916</v>
      </c>
      <c r="I51" s="86">
        <v>0.9375</v>
      </c>
      <c r="J51" s="87">
        <f t="shared" si="1"/>
        <v>-2</v>
      </c>
      <c r="K51" s="8">
        <v>1</v>
      </c>
      <c r="L51" s="88">
        <v>32</v>
      </c>
      <c r="M51" s="91" t="s">
        <v>132</v>
      </c>
    </row>
    <row r="52" spans="1:13" s="5" customFormat="1" ht="29.1" customHeight="1" x14ac:dyDescent="0.2">
      <c r="A52" s="33" t="s">
        <v>131</v>
      </c>
      <c r="B52" s="85" t="s">
        <v>21</v>
      </c>
      <c r="C52" s="85" t="s">
        <v>22</v>
      </c>
      <c r="D52" s="49">
        <v>1</v>
      </c>
      <c r="E52" s="49">
        <v>30</v>
      </c>
      <c r="F52" s="85">
        <v>45917</v>
      </c>
      <c r="G52" s="86">
        <v>0.375</v>
      </c>
      <c r="H52" s="85">
        <v>45916</v>
      </c>
      <c r="I52" s="86">
        <v>0.9375</v>
      </c>
      <c r="J52" s="87">
        <f t="shared" si="1"/>
        <v>-2</v>
      </c>
      <c r="K52" s="8">
        <v>1</v>
      </c>
      <c r="L52" s="88">
        <v>32</v>
      </c>
      <c r="M52" s="91" t="s">
        <v>132</v>
      </c>
    </row>
    <row r="53" spans="1:13" s="5" customFormat="1" ht="31.5" customHeight="1" x14ac:dyDescent="0.2">
      <c r="A53" s="33" t="s">
        <v>131</v>
      </c>
      <c r="B53" s="85" t="s">
        <v>136</v>
      </c>
      <c r="C53" s="85" t="s">
        <v>34</v>
      </c>
      <c r="D53" s="49">
        <v>1</v>
      </c>
      <c r="E53" s="49">
        <v>30</v>
      </c>
      <c r="F53" s="85">
        <v>45917</v>
      </c>
      <c r="G53" s="86">
        <v>0.375</v>
      </c>
      <c r="H53" s="85">
        <v>45916</v>
      </c>
      <c r="I53" s="86">
        <v>0.9375</v>
      </c>
      <c r="J53" s="87">
        <f t="shared" si="1"/>
        <v>-2</v>
      </c>
      <c r="K53" s="8">
        <v>1</v>
      </c>
      <c r="L53" s="88">
        <v>32</v>
      </c>
      <c r="M53" s="91" t="s">
        <v>132</v>
      </c>
    </row>
    <row r="54" spans="1:13" s="5" customFormat="1" ht="26.1" customHeight="1" x14ac:dyDescent="0.2">
      <c r="A54" s="33" t="s">
        <v>131</v>
      </c>
      <c r="B54" s="85" t="s">
        <v>39</v>
      </c>
      <c r="C54" s="85" t="s">
        <v>40</v>
      </c>
      <c r="D54" s="49">
        <v>1</v>
      </c>
      <c r="E54" s="49">
        <v>30</v>
      </c>
      <c r="F54" s="85">
        <v>45917</v>
      </c>
      <c r="G54" s="86">
        <v>0.375</v>
      </c>
      <c r="H54" s="85">
        <v>45916</v>
      </c>
      <c r="I54" s="86">
        <v>0.9375</v>
      </c>
      <c r="J54" s="87">
        <f t="shared" si="1"/>
        <v>-2</v>
      </c>
      <c r="K54" s="8">
        <v>1</v>
      </c>
      <c r="L54" s="88">
        <v>32</v>
      </c>
      <c r="M54" s="91" t="s">
        <v>132</v>
      </c>
    </row>
    <row r="55" spans="1:13" s="5" customFormat="1" ht="39" customHeight="1" x14ac:dyDescent="0.2">
      <c r="A55" s="33" t="s">
        <v>133</v>
      </c>
      <c r="B55" s="85" t="s">
        <v>21</v>
      </c>
      <c r="C55" s="85" t="s">
        <v>22</v>
      </c>
      <c r="D55" s="49">
        <v>3</v>
      </c>
      <c r="E55" s="49">
        <v>20</v>
      </c>
      <c r="F55" s="85">
        <v>45917</v>
      </c>
      <c r="G55" s="86">
        <v>0.375</v>
      </c>
      <c r="H55" s="85">
        <v>45917</v>
      </c>
      <c r="I55" s="86">
        <v>0.375</v>
      </c>
      <c r="J55" s="87">
        <f t="shared" si="1"/>
        <v>5</v>
      </c>
      <c r="K55" s="8">
        <v>3</v>
      </c>
      <c r="L55" s="88">
        <v>15</v>
      </c>
      <c r="M55" s="91" t="s">
        <v>134</v>
      </c>
    </row>
    <row r="56" spans="1:13" s="5" customFormat="1" ht="40.5" customHeight="1" x14ac:dyDescent="0.2">
      <c r="A56"/>
      <c r="B56"/>
      <c r="C56"/>
      <c r="D56"/>
      <c r="E56"/>
      <c r="F56"/>
      <c r="G56"/>
      <c r="H56"/>
      <c r="I56"/>
      <c r="J56"/>
      <c r="K56"/>
      <c r="L56"/>
      <c r="M56"/>
    </row>
    <row r="57" spans="1:13" s="5" customFormat="1" ht="40.5" customHeight="1" x14ac:dyDescent="0.2">
      <c r="A57" s="4"/>
      <c r="B57" s="4"/>
      <c r="C57" s="4"/>
      <c r="D57" s="4"/>
      <c r="E57" s="4"/>
      <c r="F57" s="4"/>
      <c r="G57" s="4"/>
      <c r="H57" s="4"/>
      <c r="I57" s="3"/>
      <c r="J57" s="3"/>
      <c r="K57" s="2"/>
      <c r="L57" s="1"/>
      <c r="M57" s="1"/>
    </row>
    <row r="58" spans="1:13" s="5" customFormat="1" ht="38.25" customHeight="1" x14ac:dyDescent="0.2">
      <c r="A58" s="4"/>
      <c r="B58" s="4"/>
      <c r="C58" s="4"/>
      <c r="D58" s="4"/>
      <c r="E58" s="4"/>
      <c r="F58" s="4"/>
      <c r="G58" s="4"/>
      <c r="H58" s="4"/>
      <c r="I58" s="3"/>
      <c r="J58" s="3"/>
      <c r="K58" s="2"/>
      <c r="L58" s="1"/>
      <c r="M58" s="1"/>
    </row>
    <row r="59" spans="1:13" s="5" customFormat="1" ht="38.25" customHeight="1" x14ac:dyDescent="0.2">
      <c r="A59" s="4"/>
      <c r="B59" s="4"/>
      <c r="C59" s="4"/>
      <c r="D59" s="4"/>
      <c r="E59" s="4"/>
      <c r="F59" s="4"/>
      <c r="G59" s="4"/>
      <c r="H59" s="4"/>
      <c r="I59" s="3"/>
      <c r="J59" s="3"/>
      <c r="K59" s="2"/>
      <c r="L59" s="1"/>
      <c r="M59" s="1"/>
    </row>
    <row r="60" spans="1:13" s="5" customFormat="1" ht="27" customHeight="1" x14ac:dyDescent="0.2">
      <c r="A60" s="4"/>
      <c r="B60" s="4"/>
      <c r="C60" s="4"/>
      <c r="D60" s="4"/>
      <c r="E60" s="4"/>
      <c r="F60" s="4"/>
      <c r="G60" s="4"/>
      <c r="H60" s="4"/>
      <c r="I60" s="3"/>
      <c r="J60" s="3"/>
      <c r="K60" s="2"/>
      <c r="L60" s="1"/>
      <c r="M60" s="1"/>
    </row>
    <row r="61" spans="1:13" s="5" customFormat="1" ht="33" customHeight="1" x14ac:dyDescent="0.2">
      <c r="A61" s="4"/>
      <c r="B61" s="4"/>
      <c r="C61" s="4"/>
      <c r="D61" s="4"/>
      <c r="E61" s="4"/>
      <c r="F61" s="4"/>
      <c r="G61" s="4"/>
      <c r="H61" s="4"/>
      <c r="I61" s="3"/>
      <c r="J61" s="3"/>
      <c r="K61" s="2"/>
      <c r="L61" s="1"/>
      <c r="M61" s="1"/>
    </row>
    <row r="62" spans="1:13" s="5" customFormat="1" ht="33.75" customHeight="1" x14ac:dyDescent="0.2">
      <c r="A62" s="4"/>
      <c r="B62" s="4"/>
      <c r="C62" s="4"/>
      <c r="D62" s="4"/>
      <c r="E62" s="4"/>
      <c r="F62" s="4"/>
      <c r="G62" s="4"/>
      <c r="H62" s="4"/>
      <c r="I62" s="3"/>
      <c r="J62" s="3"/>
      <c r="K62" s="2"/>
      <c r="L62" s="1"/>
      <c r="M62" s="1"/>
    </row>
    <row r="63" spans="1:13" s="5" customFormat="1" ht="32.25" customHeight="1" x14ac:dyDescent="0.2">
      <c r="A63" s="4"/>
      <c r="B63" s="4"/>
      <c r="C63" s="4"/>
      <c r="D63" s="4"/>
      <c r="E63" s="4"/>
      <c r="F63" s="4"/>
      <c r="G63" s="4"/>
      <c r="H63" s="4"/>
      <c r="I63" s="3"/>
      <c r="J63" s="3"/>
      <c r="K63" s="2"/>
      <c r="L63" s="1"/>
      <c r="M63" s="1"/>
    </row>
    <row r="64" spans="1:13" s="5" customFormat="1" ht="27" customHeight="1" x14ac:dyDescent="0.2">
      <c r="A64" s="4"/>
      <c r="B64" s="4"/>
      <c r="C64" s="4"/>
      <c r="D64" s="4"/>
      <c r="E64" s="4"/>
      <c r="F64" s="4"/>
      <c r="G64" s="4"/>
      <c r="H64" s="4"/>
      <c r="I64" s="3"/>
      <c r="J64" s="3"/>
      <c r="K64" s="2"/>
      <c r="L64" s="1"/>
      <c r="M64" s="1"/>
    </row>
    <row r="65" spans="1:13" s="5" customFormat="1" ht="24.95" customHeight="1" x14ac:dyDescent="0.2">
      <c r="A65" s="4"/>
      <c r="B65" s="4"/>
      <c r="C65" s="4"/>
      <c r="D65" s="4"/>
      <c r="E65" s="4"/>
      <c r="F65" s="4"/>
      <c r="G65" s="4"/>
      <c r="H65" s="4"/>
      <c r="I65" s="3"/>
      <c r="J65" s="3"/>
      <c r="K65" s="2"/>
      <c r="L65" s="1"/>
      <c r="M65" s="1"/>
    </row>
    <row r="66" spans="1:13" s="5" customFormat="1" ht="28.5" customHeight="1" x14ac:dyDescent="0.2">
      <c r="A66" s="4"/>
      <c r="B66" s="4"/>
      <c r="C66" s="4"/>
      <c r="D66" s="4"/>
      <c r="E66" s="4"/>
      <c r="F66" s="4"/>
      <c r="G66" s="4"/>
      <c r="H66" s="4"/>
      <c r="I66" s="3"/>
      <c r="J66" s="3"/>
      <c r="K66" s="2"/>
      <c r="L66" s="1"/>
      <c r="M66" s="1"/>
    </row>
    <row r="67" spans="1:13" s="5" customFormat="1" ht="35.450000000000003" customHeight="1" x14ac:dyDescent="0.2">
      <c r="A67" s="4"/>
      <c r="B67" s="4"/>
      <c r="C67" s="4"/>
      <c r="D67" s="4"/>
      <c r="E67" s="4"/>
      <c r="F67" s="4"/>
      <c r="G67" s="4"/>
      <c r="H67" s="4"/>
      <c r="I67" s="3"/>
      <c r="J67" s="3"/>
      <c r="K67" s="2"/>
      <c r="L67" s="1"/>
      <c r="M67" s="1"/>
    </row>
    <row r="68" spans="1:13" s="5" customFormat="1" ht="36.6" customHeight="1" x14ac:dyDescent="0.2">
      <c r="A68" s="4"/>
      <c r="B68" s="4"/>
      <c r="C68" s="4"/>
      <c r="D68" s="4"/>
      <c r="E68" s="4"/>
      <c r="F68" s="4"/>
      <c r="G68" s="4"/>
      <c r="H68" s="4"/>
      <c r="I68" s="3"/>
      <c r="J68" s="3"/>
      <c r="K68" s="2"/>
      <c r="L68" s="1"/>
      <c r="M68" s="1"/>
    </row>
    <row r="69" spans="1:13" s="5" customFormat="1" ht="36.6" customHeight="1" x14ac:dyDescent="0.2">
      <c r="A69" s="4"/>
      <c r="B69" s="4"/>
      <c r="C69" s="4"/>
      <c r="D69" s="4"/>
      <c r="E69" s="4"/>
      <c r="F69" s="4"/>
      <c r="G69" s="4"/>
      <c r="H69" s="4"/>
      <c r="I69" s="3"/>
      <c r="J69" s="3"/>
      <c r="K69" s="2"/>
      <c r="L69" s="1"/>
      <c r="M69" s="1"/>
    </row>
    <row r="70" spans="1:13" s="5" customFormat="1" ht="35.450000000000003" customHeight="1" x14ac:dyDescent="0.2">
      <c r="A70" s="4"/>
      <c r="B70" s="4"/>
      <c r="C70" s="4"/>
      <c r="D70" s="4"/>
      <c r="E70" s="4"/>
      <c r="F70" s="4"/>
      <c r="G70" s="4"/>
      <c r="H70" s="4"/>
      <c r="I70" s="3"/>
      <c r="J70" s="3"/>
      <c r="K70" s="2"/>
      <c r="L70" s="1"/>
      <c r="M70" s="1"/>
    </row>
    <row r="71" spans="1:13" s="5" customFormat="1" ht="35.450000000000003" customHeight="1" x14ac:dyDescent="0.2">
      <c r="A71" s="4"/>
      <c r="B71" s="4"/>
      <c r="C71" s="4"/>
      <c r="D71" s="4"/>
      <c r="E71" s="4"/>
      <c r="F71" s="4"/>
      <c r="G71" s="4"/>
      <c r="H71" s="4"/>
      <c r="I71" s="3"/>
      <c r="J71" s="3"/>
      <c r="K71" s="2"/>
      <c r="L71" s="1"/>
      <c r="M71" s="1"/>
    </row>
    <row r="72" spans="1:13" s="5" customFormat="1" ht="35.450000000000003" customHeight="1" x14ac:dyDescent="0.2">
      <c r="A72" s="4"/>
      <c r="B72" s="11" t="s">
        <v>30</v>
      </c>
      <c r="C72" s="11" t="s">
        <v>83</v>
      </c>
      <c r="D72" s="20">
        <v>1</v>
      </c>
      <c r="E72" s="29">
        <v>50</v>
      </c>
      <c r="F72" s="11">
        <v>45882</v>
      </c>
      <c r="G72" s="10">
        <v>0.375</v>
      </c>
      <c r="H72" s="11">
        <v>45880</v>
      </c>
      <c r="I72" s="10">
        <v>0.95833333333333337</v>
      </c>
      <c r="J72" s="9">
        <f>E72-L72</f>
        <v>-4</v>
      </c>
      <c r="K72" s="8">
        <v>1</v>
      </c>
      <c r="L72" s="7">
        <v>54</v>
      </c>
      <c r="M72" s="6" t="s">
        <v>84</v>
      </c>
    </row>
    <row r="73" spans="1:13" s="5" customFormat="1" ht="35.450000000000003" customHeight="1" x14ac:dyDescent="0.2">
      <c r="A73" s="23" t="s">
        <v>82</v>
      </c>
      <c r="B73" s="4"/>
      <c r="C73" s="4"/>
      <c r="D73" s="4"/>
      <c r="E73" s="4"/>
      <c r="F73" s="4"/>
      <c r="G73" s="4"/>
      <c r="H73" s="4"/>
      <c r="I73" s="3"/>
      <c r="J73" s="3"/>
      <c r="K73" s="2"/>
      <c r="L73" s="1"/>
      <c r="M73" s="1"/>
    </row>
    <row r="74" spans="1:13" s="5" customFormat="1" ht="35.450000000000003" customHeight="1" x14ac:dyDescent="0.2">
      <c r="A74" s="4"/>
      <c r="B74" s="4"/>
      <c r="C74" s="4"/>
      <c r="D74" s="4"/>
      <c r="E74" s="4"/>
      <c r="F74" s="4"/>
      <c r="G74" s="4"/>
      <c r="H74" s="4"/>
      <c r="I74" s="3"/>
      <c r="J74" s="3"/>
      <c r="K74" s="2"/>
      <c r="L74" s="1"/>
      <c r="M74" s="1"/>
    </row>
    <row r="75" spans="1:13" s="5" customFormat="1" ht="35.450000000000003" customHeight="1" x14ac:dyDescent="0.2">
      <c r="A75" s="4"/>
      <c r="B75" s="4"/>
      <c r="C75" s="4"/>
      <c r="D75" s="4"/>
      <c r="E75" s="4"/>
      <c r="F75" s="4"/>
      <c r="G75" s="4"/>
      <c r="H75" s="4"/>
      <c r="I75" s="3"/>
      <c r="J75" s="3"/>
      <c r="K75" s="2"/>
      <c r="L75" s="1"/>
      <c r="M75" s="1"/>
    </row>
    <row r="76" spans="1:13" s="5" customFormat="1" ht="35.450000000000003" customHeight="1" x14ac:dyDescent="0.2">
      <c r="A76" s="4"/>
      <c r="B76" s="4"/>
      <c r="C76" s="4"/>
      <c r="D76" s="4"/>
      <c r="E76" s="4"/>
      <c r="F76" s="4"/>
      <c r="G76" s="4"/>
      <c r="H76" s="4"/>
      <c r="I76" s="3"/>
      <c r="J76" s="3"/>
      <c r="K76" s="2"/>
      <c r="L76" s="1"/>
      <c r="M76" s="1"/>
    </row>
    <row r="77" spans="1:13" s="5" customFormat="1" ht="35.450000000000003" customHeight="1" x14ac:dyDescent="0.2">
      <c r="A77" s="4"/>
      <c r="B77" s="4"/>
      <c r="C77" s="4"/>
      <c r="D77" s="4"/>
      <c r="E77" s="4"/>
      <c r="F77" s="4"/>
      <c r="G77" s="4"/>
      <c r="H77" s="4"/>
      <c r="I77" s="3"/>
      <c r="J77" s="3"/>
      <c r="K77" s="2"/>
      <c r="L77" s="1"/>
      <c r="M77" s="1"/>
    </row>
    <row r="78" spans="1:13" s="5" customFormat="1" ht="35.450000000000003" customHeight="1" x14ac:dyDescent="0.2">
      <c r="A78" s="4"/>
      <c r="B78" s="4"/>
      <c r="C78" s="4"/>
      <c r="D78" s="4"/>
      <c r="E78" s="4"/>
      <c r="F78" s="4"/>
      <c r="G78" s="4"/>
      <c r="H78" s="4"/>
      <c r="I78" s="3"/>
      <c r="J78" s="3"/>
      <c r="K78" s="2"/>
      <c r="L78" s="1"/>
      <c r="M78" s="1"/>
    </row>
    <row r="79" spans="1:13" s="5" customFormat="1" ht="35.450000000000003" customHeight="1" x14ac:dyDescent="0.2">
      <c r="A79" s="4"/>
      <c r="B79" s="4"/>
      <c r="C79" s="4"/>
      <c r="D79" s="4"/>
      <c r="E79" s="4"/>
      <c r="F79" s="4"/>
      <c r="G79" s="4"/>
      <c r="H79" s="4"/>
      <c r="I79" s="3"/>
      <c r="J79" s="3"/>
      <c r="K79" s="2"/>
      <c r="L79" s="1"/>
      <c r="M79" s="1"/>
    </row>
    <row r="80" spans="1:13" s="5" customFormat="1" ht="35.450000000000003" customHeight="1" x14ac:dyDescent="0.2">
      <c r="A80" s="4"/>
      <c r="B80" s="4"/>
      <c r="C80" s="4"/>
      <c r="D80" s="4"/>
      <c r="E80" s="4"/>
      <c r="F80" s="4"/>
      <c r="G80" s="4"/>
      <c r="H80" s="4"/>
      <c r="I80" s="3"/>
      <c r="J80" s="3"/>
      <c r="K80" s="2"/>
      <c r="L80" s="1"/>
      <c r="M80" s="1"/>
    </row>
    <row r="81" spans="1:13" s="5" customFormat="1" ht="35.450000000000003" customHeight="1" x14ac:dyDescent="0.2">
      <c r="A81" s="4"/>
      <c r="B81" s="4"/>
      <c r="C81" s="4"/>
      <c r="D81" s="4"/>
      <c r="E81" s="4"/>
      <c r="F81" s="4"/>
      <c r="G81" s="4"/>
      <c r="H81" s="4"/>
      <c r="I81" s="3"/>
      <c r="J81" s="3"/>
      <c r="K81" s="2"/>
      <c r="L81" s="1"/>
      <c r="M81" s="1"/>
    </row>
    <row r="82" spans="1:13" s="5" customFormat="1" ht="37.5" customHeight="1" x14ac:dyDescent="0.2">
      <c r="A82" s="4"/>
      <c r="B82" s="4"/>
      <c r="C82" s="4"/>
      <c r="D82" s="4"/>
      <c r="E82" s="4"/>
      <c r="F82" s="4"/>
      <c r="G82" s="4"/>
      <c r="H82" s="4"/>
      <c r="I82" s="3"/>
      <c r="J82" s="3"/>
      <c r="K82" s="2"/>
      <c r="L82" s="1"/>
      <c r="M82" s="1"/>
    </row>
    <row r="111" ht="30" customHeight="1" x14ac:dyDescent="0.2"/>
    <row r="112" ht="23.25" customHeight="1" x14ac:dyDescent="0.2"/>
    <row r="119" spans="1:20" s="5" customFormat="1" ht="12" customHeight="1" x14ac:dyDescent="0.2">
      <c r="A119" s="4"/>
      <c r="B119" s="4"/>
      <c r="C119" s="4"/>
      <c r="D119" s="4"/>
      <c r="E119" s="4"/>
      <c r="F119" s="4"/>
      <c r="G119" s="4"/>
      <c r="H119" s="4"/>
      <c r="I119" s="3"/>
      <c r="J119" s="3"/>
      <c r="K119" s="2"/>
      <c r="L119" s="1"/>
      <c r="M119" s="1"/>
    </row>
    <row r="123" spans="1:20" x14ac:dyDescent="0.2">
      <c r="Q123" s="42" t="e">
        <f>SUM(#REF!)</f>
        <v>#REF!</v>
      </c>
      <c r="R123" s="42" t="e">
        <f>SUM(#REF!)</f>
        <v>#REF!</v>
      </c>
      <c r="S123" s="42" t="e">
        <f>SUM(#REF!)</f>
        <v>#REF!</v>
      </c>
      <c r="T123" s="42" t="e">
        <f>SUM(#REF!)</f>
        <v>#REF!</v>
      </c>
    </row>
    <row r="124" spans="1:20" ht="35.25" customHeight="1" x14ac:dyDescent="0.2"/>
    <row r="125" spans="1:20" ht="36.75" customHeight="1" x14ac:dyDescent="0.2"/>
    <row r="126" spans="1:20" ht="33.75" customHeight="1" x14ac:dyDescent="0.2"/>
    <row r="127" spans="1:20" ht="26.25" customHeight="1" x14ac:dyDescent="0.2"/>
    <row r="128" spans="1:20" ht="27.75" customHeight="1" x14ac:dyDescent="0.2"/>
    <row r="129" ht="40.5" customHeight="1" x14ac:dyDescent="0.2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52CFF-A9E5-403C-9DA4-CFC4A19C7F99}">
  <dimension ref="A1:T131"/>
  <sheetViews>
    <sheetView topLeftCell="A58" zoomScale="84" zoomScaleNormal="76" workbookViewId="0">
      <selection activeCell="J39" sqref="J39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26"/>
      <c r="B1" s="128" t="s">
        <v>0</v>
      </c>
      <c r="C1" s="128"/>
      <c r="D1" s="128"/>
      <c r="E1" s="128"/>
      <c r="F1" s="128"/>
      <c r="G1" s="128"/>
      <c r="H1" s="128"/>
      <c r="I1" s="128"/>
      <c r="J1" s="128"/>
      <c r="K1" s="128"/>
      <c r="L1" s="130"/>
      <c r="M1" s="131"/>
    </row>
    <row r="2" spans="1:20" ht="20.25" customHeight="1" x14ac:dyDescent="0.2">
      <c r="A2" s="127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32"/>
      <c r="M2" s="133"/>
    </row>
    <row r="3" spans="1:20" ht="12.75" customHeight="1" x14ac:dyDescent="0.2">
      <c r="A3" s="134" t="s">
        <v>1</v>
      </c>
      <c r="B3" s="136" t="s">
        <v>2</v>
      </c>
      <c r="C3" s="136"/>
      <c r="D3" s="136"/>
      <c r="E3" s="136"/>
      <c r="F3" s="136"/>
      <c r="G3" s="136"/>
      <c r="H3" s="136"/>
      <c r="I3" s="136"/>
      <c r="J3" s="136"/>
      <c r="K3" s="136"/>
      <c r="L3" s="138" t="s">
        <v>3</v>
      </c>
      <c r="M3" s="139"/>
    </row>
    <row r="4" spans="1:20" ht="13.5" thickBot="1" x14ac:dyDescent="0.25">
      <c r="A4" s="135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22" t="s">
        <v>6</v>
      </c>
      <c r="C6" s="122"/>
      <c r="D6" s="122"/>
      <c r="E6" s="122"/>
      <c r="F6" s="122"/>
      <c r="G6" s="122"/>
      <c r="H6" s="123" t="s">
        <v>7</v>
      </c>
      <c r="I6" s="124"/>
      <c r="J6" s="124"/>
      <c r="K6" s="124"/>
      <c r="L6" s="125"/>
      <c r="M6" s="25"/>
    </row>
    <row r="7" spans="1:20" s="14" customFormat="1" ht="49.5" customHeight="1" x14ac:dyDescent="0.2">
      <c r="A7" s="18" cm="1">
        <f t="array" aca="1" ref="A7" ca="1">+A44+A1:L7+A7:L7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318</v>
      </c>
      <c r="B8" s="85" t="s">
        <v>36</v>
      </c>
      <c r="C8" s="85" t="s">
        <v>37</v>
      </c>
      <c r="D8" s="84">
        <v>1</v>
      </c>
      <c r="E8" s="49">
        <v>30</v>
      </c>
      <c r="F8" s="85">
        <v>45931</v>
      </c>
      <c r="G8" s="86">
        <v>0.375</v>
      </c>
      <c r="H8" s="85">
        <v>45922</v>
      </c>
      <c r="I8" s="86">
        <v>0.79166666666666663</v>
      </c>
      <c r="J8" s="87">
        <f>E8-L8</f>
        <v>0</v>
      </c>
      <c r="K8" s="8">
        <v>1</v>
      </c>
      <c r="L8" s="88">
        <v>30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">
      <c r="A9" s="23" t="s">
        <v>356</v>
      </c>
      <c r="B9" s="85" t="s">
        <v>30</v>
      </c>
      <c r="C9" s="85" t="s">
        <v>31</v>
      </c>
      <c r="D9" s="84">
        <v>1</v>
      </c>
      <c r="E9" s="49">
        <v>30</v>
      </c>
      <c r="F9" s="85">
        <v>45931</v>
      </c>
      <c r="G9" s="86">
        <v>0.375</v>
      </c>
      <c r="H9" s="85">
        <v>45922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156</v>
      </c>
      <c r="O9" s="5" t="s">
        <v>155</v>
      </c>
    </row>
    <row r="10" spans="1:20" s="5" customFormat="1" ht="39" customHeight="1" x14ac:dyDescent="0.2">
      <c r="A10" s="79" t="s">
        <v>357</v>
      </c>
      <c r="B10" s="53" t="s">
        <v>21</v>
      </c>
      <c r="C10" s="53" t="s">
        <v>22</v>
      </c>
      <c r="D10" s="53">
        <v>1</v>
      </c>
      <c r="E10" s="53">
        <v>30</v>
      </c>
      <c r="F10" s="80">
        <v>45931</v>
      </c>
      <c r="G10" s="81">
        <v>0.375</v>
      </c>
      <c r="H10" s="80">
        <v>45923</v>
      </c>
      <c r="I10" s="81">
        <v>0.33333333333333331</v>
      </c>
      <c r="J10" s="87">
        <f t="shared" ref="J10:J40" si="0">E10-L10</f>
        <v>0</v>
      </c>
      <c r="K10" s="53">
        <v>1</v>
      </c>
      <c r="L10" s="53">
        <v>30</v>
      </c>
      <c r="M10" s="79" t="s">
        <v>358</v>
      </c>
    </row>
    <row r="11" spans="1:20" s="5" customFormat="1" ht="43.5" customHeight="1" x14ac:dyDescent="0.2">
      <c r="A11" s="79" t="s">
        <v>359</v>
      </c>
      <c r="B11" s="53" t="s">
        <v>42</v>
      </c>
      <c r="C11" s="53" t="s">
        <v>43</v>
      </c>
      <c r="D11" s="53">
        <v>2</v>
      </c>
      <c r="E11" s="53">
        <v>60</v>
      </c>
      <c r="F11" s="80">
        <v>45931</v>
      </c>
      <c r="G11" s="81">
        <v>0.375</v>
      </c>
      <c r="H11" s="80">
        <v>45923</v>
      </c>
      <c r="I11" s="81">
        <v>0.67013888888888884</v>
      </c>
      <c r="J11" s="87">
        <f t="shared" si="0"/>
        <v>-5</v>
      </c>
      <c r="K11" s="53">
        <v>2</v>
      </c>
      <c r="L11" s="53">
        <v>65</v>
      </c>
      <c r="M11" s="79" t="s">
        <v>360</v>
      </c>
    </row>
    <row r="12" spans="1:20" s="5" customFormat="1" ht="43.5" customHeight="1" x14ac:dyDescent="0.2">
      <c r="A12" s="53" t="s">
        <v>361</v>
      </c>
      <c r="B12" s="53" t="s">
        <v>42</v>
      </c>
      <c r="C12" s="53" t="s">
        <v>43</v>
      </c>
      <c r="D12" s="53">
        <v>2</v>
      </c>
      <c r="E12" s="53">
        <v>60</v>
      </c>
      <c r="F12" s="80">
        <v>45931</v>
      </c>
      <c r="G12" s="81">
        <v>0.375</v>
      </c>
      <c r="H12" s="80">
        <v>45923</v>
      </c>
      <c r="I12" s="81">
        <v>0.70833333333333337</v>
      </c>
      <c r="J12" s="87">
        <f t="shared" si="0"/>
        <v>5</v>
      </c>
      <c r="K12" s="53">
        <v>2</v>
      </c>
      <c r="L12" s="53">
        <v>55</v>
      </c>
      <c r="M12" s="79" t="s">
        <v>362</v>
      </c>
    </row>
    <row r="13" spans="1:20" s="5" customFormat="1" ht="47.25" customHeight="1" x14ac:dyDescent="0.2">
      <c r="A13" s="79" t="s">
        <v>363</v>
      </c>
      <c r="B13" s="53" t="s">
        <v>42</v>
      </c>
      <c r="C13" s="53" t="s">
        <v>43</v>
      </c>
      <c r="D13" s="53">
        <v>2</v>
      </c>
      <c r="E13" s="53">
        <v>60</v>
      </c>
      <c r="F13" s="80">
        <v>45931</v>
      </c>
      <c r="G13" s="81">
        <v>0.375</v>
      </c>
      <c r="H13" s="80">
        <v>45923</v>
      </c>
      <c r="I13" s="81">
        <v>0.75</v>
      </c>
      <c r="J13" s="87">
        <f t="shared" si="0"/>
        <v>10</v>
      </c>
      <c r="K13" s="53">
        <v>2</v>
      </c>
      <c r="L13" s="53">
        <v>50</v>
      </c>
      <c r="M13" s="79" t="s">
        <v>364</v>
      </c>
    </row>
    <row r="14" spans="1:20" s="5" customFormat="1" ht="43.5" customHeight="1" x14ac:dyDescent="0.2">
      <c r="A14" s="79" t="s">
        <v>365</v>
      </c>
      <c r="B14" s="53" t="s">
        <v>136</v>
      </c>
      <c r="C14" s="53" t="s">
        <v>34</v>
      </c>
      <c r="D14" s="53">
        <v>2</v>
      </c>
      <c r="E14" s="53">
        <v>60</v>
      </c>
      <c r="F14" s="80">
        <v>45931</v>
      </c>
      <c r="G14" s="81">
        <v>0.375</v>
      </c>
      <c r="H14" s="80">
        <v>45924</v>
      </c>
      <c r="I14" s="81">
        <v>0.75</v>
      </c>
      <c r="J14" s="87">
        <f t="shared" si="0"/>
        <v>0</v>
      </c>
      <c r="K14" s="53">
        <v>1</v>
      </c>
      <c r="L14" s="53">
        <v>60</v>
      </c>
      <c r="M14" s="79" t="s">
        <v>366</v>
      </c>
    </row>
    <row r="15" spans="1:20" s="5" customFormat="1" ht="39.75" customHeight="1" x14ac:dyDescent="0.2">
      <c r="A15" s="79" t="s">
        <v>367</v>
      </c>
      <c r="B15" s="53" t="s">
        <v>21</v>
      </c>
      <c r="C15" s="53" t="s">
        <v>22</v>
      </c>
      <c r="D15" s="53">
        <v>2</v>
      </c>
      <c r="E15" s="53">
        <v>60</v>
      </c>
      <c r="F15" s="80">
        <v>45931</v>
      </c>
      <c r="G15" s="81">
        <v>0.375</v>
      </c>
      <c r="H15" s="80">
        <v>45923</v>
      </c>
      <c r="I15" s="81">
        <v>0.375</v>
      </c>
      <c r="J15" s="87">
        <f t="shared" si="0"/>
        <v>0</v>
      </c>
      <c r="K15" s="53">
        <v>2</v>
      </c>
      <c r="L15" s="53">
        <v>60</v>
      </c>
      <c r="M15" s="79" t="s">
        <v>368</v>
      </c>
    </row>
    <row r="16" spans="1:20" s="5" customFormat="1" ht="38.450000000000003" customHeight="1" x14ac:dyDescent="0.2">
      <c r="A16" s="79" t="s">
        <v>369</v>
      </c>
      <c r="B16" s="53" t="s">
        <v>21</v>
      </c>
      <c r="C16" s="53" t="s">
        <v>22</v>
      </c>
      <c r="D16" s="53">
        <v>1</v>
      </c>
      <c r="E16" s="53">
        <v>60</v>
      </c>
      <c r="F16" s="80">
        <v>45931</v>
      </c>
      <c r="G16" s="81">
        <v>0.375</v>
      </c>
      <c r="H16" s="80">
        <v>45923</v>
      </c>
      <c r="I16" s="81">
        <v>0.41666666666666669</v>
      </c>
      <c r="J16" s="87">
        <f t="shared" si="0"/>
        <v>5</v>
      </c>
      <c r="K16" s="53">
        <v>2</v>
      </c>
      <c r="L16" s="53">
        <v>55</v>
      </c>
      <c r="M16" s="79" t="s">
        <v>370</v>
      </c>
    </row>
    <row r="17" spans="1:13" s="5" customFormat="1" ht="30.75" customHeight="1" x14ac:dyDescent="0.2">
      <c r="A17" s="79" t="s">
        <v>371</v>
      </c>
      <c r="B17" s="53" t="s">
        <v>30</v>
      </c>
      <c r="C17" s="53" t="s">
        <v>31</v>
      </c>
      <c r="D17" s="53">
        <v>1</v>
      </c>
      <c r="E17" s="53">
        <v>60</v>
      </c>
      <c r="F17" s="80">
        <v>45931</v>
      </c>
      <c r="G17" s="81">
        <v>0.375</v>
      </c>
      <c r="H17" s="80">
        <v>45925</v>
      </c>
      <c r="I17" s="81">
        <v>0.5</v>
      </c>
      <c r="J17" s="87">
        <f t="shared" si="0"/>
        <v>0</v>
      </c>
      <c r="K17" s="53">
        <v>2</v>
      </c>
      <c r="L17" s="53">
        <v>60</v>
      </c>
      <c r="M17" s="79" t="s">
        <v>372</v>
      </c>
    </row>
    <row r="18" spans="1:13" s="5" customFormat="1" ht="41.25" customHeight="1" x14ac:dyDescent="0.2">
      <c r="A18" s="79" t="s">
        <v>373</v>
      </c>
      <c r="B18" s="53" t="s">
        <v>36</v>
      </c>
      <c r="C18" s="53" t="s">
        <v>37</v>
      </c>
      <c r="D18" s="53">
        <v>1</v>
      </c>
      <c r="E18" s="53">
        <v>60</v>
      </c>
      <c r="F18" s="80">
        <v>45931</v>
      </c>
      <c r="G18" s="81">
        <v>0.375</v>
      </c>
      <c r="H18" s="80">
        <v>45923</v>
      </c>
      <c r="I18" s="81">
        <v>0.875</v>
      </c>
      <c r="J18" s="87">
        <f t="shared" si="0"/>
        <v>0</v>
      </c>
      <c r="K18" s="53">
        <v>1</v>
      </c>
      <c r="L18" s="53">
        <v>60</v>
      </c>
      <c r="M18" s="79" t="s">
        <v>374</v>
      </c>
    </row>
    <row r="19" spans="1:13" s="5" customFormat="1" ht="38.25" customHeight="1" x14ac:dyDescent="0.2">
      <c r="A19" s="53" t="s">
        <v>375</v>
      </c>
      <c r="B19" s="53" t="s">
        <v>39</v>
      </c>
      <c r="C19" s="53" t="s">
        <v>40</v>
      </c>
      <c r="D19" s="53">
        <v>2</v>
      </c>
      <c r="E19" s="53">
        <v>60</v>
      </c>
      <c r="F19" s="80">
        <v>45931</v>
      </c>
      <c r="G19" s="81">
        <v>0.375</v>
      </c>
      <c r="H19" s="80">
        <v>45924</v>
      </c>
      <c r="I19" s="81">
        <v>0.5</v>
      </c>
      <c r="J19" s="87">
        <f t="shared" si="0"/>
        <v>0</v>
      </c>
      <c r="K19" s="53">
        <v>2</v>
      </c>
      <c r="L19" s="53">
        <v>60</v>
      </c>
      <c r="M19" s="79" t="s">
        <v>376</v>
      </c>
    </row>
    <row r="20" spans="1:13" s="5" customFormat="1" ht="40.5" customHeight="1" x14ac:dyDescent="0.2">
      <c r="A20" s="79" t="s">
        <v>377</v>
      </c>
      <c r="B20" s="53" t="s">
        <v>21</v>
      </c>
      <c r="C20" s="53" t="s">
        <v>22</v>
      </c>
      <c r="D20" s="53">
        <v>2</v>
      </c>
      <c r="E20" s="53">
        <v>60</v>
      </c>
      <c r="F20" s="80">
        <v>45931</v>
      </c>
      <c r="G20" s="81">
        <v>0.375</v>
      </c>
      <c r="H20" s="80">
        <v>45923</v>
      </c>
      <c r="I20" s="81">
        <v>0.45833333333333331</v>
      </c>
      <c r="J20" s="87">
        <f t="shared" si="0"/>
        <v>0</v>
      </c>
      <c r="K20" s="53">
        <v>2</v>
      </c>
      <c r="L20" s="53">
        <v>60</v>
      </c>
      <c r="M20" s="79" t="s">
        <v>378</v>
      </c>
    </row>
    <row r="21" spans="1:13" s="5" customFormat="1" ht="41.25" customHeight="1" x14ac:dyDescent="0.2">
      <c r="A21" s="79" t="s">
        <v>377</v>
      </c>
      <c r="B21" s="53" t="s">
        <v>39</v>
      </c>
      <c r="C21" s="53" t="s">
        <v>40</v>
      </c>
      <c r="D21" s="53">
        <v>2</v>
      </c>
      <c r="E21" s="53">
        <v>60</v>
      </c>
      <c r="F21" s="80">
        <v>45931</v>
      </c>
      <c r="G21" s="81">
        <v>0.375</v>
      </c>
      <c r="H21" s="80">
        <v>45924</v>
      </c>
      <c r="I21" s="81">
        <v>0.54166666666666663</v>
      </c>
      <c r="J21" s="87">
        <f>E21-L21</f>
        <v>0</v>
      </c>
      <c r="K21" s="53">
        <v>2</v>
      </c>
      <c r="L21" s="53">
        <v>60</v>
      </c>
      <c r="M21" s="79" t="s">
        <v>378</v>
      </c>
    </row>
    <row r="22" spans="1:13" s="5" customFormat="1" ht="42.75" customHeight="1" x14ac:dyDescent="0.2">
      <c r="A22" s="79" t="s">
        <v>379</v>
      </c>
      <c r="B22" s="53" t="s">
        <v>21</v>
      </c>
      <c r="C22" s="53" t="s">
        <v>22</v>
      </c>
      <c r="D22" s="53">
        <v>2</v>
      </c>
      <c r="E22" s="53">
        <v>60</v>
      </c>
      <c r="F22" s="80">
        <v>45931</v>
      </c>
      <c r="G22" s="81">
        <v>0.375</v>
      </c>
      <c r="H22" s="80">
        <v>45923</v>
      </c>
      <c r="I22" s="81">
        <v>0.5</v>
      </c>
      <c r="J22" s="87">
        <f>E22-L22</f>
        <v>0</v>
      </c>
      <c r="K22" s="53">
        <v>2</v>
      </c>
      <c r="L22" s="53">
        <v>60</v>
      </c>
      <c r="M22" s="79" t="s">
        <v>380</v>
      </c>
    </row>
    <row r="23" spans="1:13" s="5" customFormat="1" ht="40.5" customHeight="1" x14ac:dyDescent="0.2">
      <c r="A23" s="79" t="s">
        <v>379</v>
      </c>
      <c r="B23" s="53" t="s">
        <v>39</v>
      </c>
      <c r="C23" s="53" t="s">
        <v>40</v>
      </c>
      <c r="D23" s="53">
        <v>2</v>
      </c>
      <c r="E23" s="53">
        <v>60</v>
      </c>
      <c r="F23" s="80">
        <v>45931</v>
      </c>
      <c r="G23" s="81">
        <v>0.375</v>
      </c>
      <c r="H23" s="80">
        <v>45924</v>
      </c>
      <c r="I23" s="81">
        <v>0.58333333333333337</v>
      </c>
      <c r="J23" s="87">
        <f t="shared" si="0"/>
        <v>0</v>
      </c>
      <c r="K23" s="53">
        <v>2</v>
      </c>
      <c r="L23" s="53">
        <v>60</v>
      </c>
      <c r="M23" s="79" t="s">
        <v>380</v>
      </c>
    </row>
    <row r="24" spans="1:13" s="5" customFormat="1" ht="41.25" customHeight="1" x14ac:dyDescent="0.2">
      <c r="A24" s="79" t="s">
        <v>381</v>
      </c>
      <c r="B24" s="53" t="s">
        <v>21</v>
      </c>
      <c r="C24" s="53" t="s">
        <v>22</v>
      </c>
      <c r="D24" s="53">
        <v>2</v>
      </c>
      <c r="E24" s="53">
        <v>60</v>
      </c>
      <c r="F24" s="80">
        <v>45931</v>
      </c>
      <c r="G24" s="81">
        <v>0.375</v>
      </c>
      <c r="H24" s="80">
        <v>45929</v>
      </c>
      <c r="I24" s="81">
        <v>0.54166666666666663</v>
      </c>
      <c r="J24" s="87">
        <f t="shared" si="0"/>
        <v>0</v>
      </c>
      <c r="K24" s="53">
        <v>2</v>
      </c>
      <c r="L24" s="53">
        <v>60</v>
      </c>
      <c r="M24" s="79" t="s">
        <v>382</v>
      </c>
    </row>
    <row r="25" spans="1:13" s="5" customFormat="1" ht="41.25" customHeight="1" x14ac:dyDescent="0.2">
      <c r="A25" s="79" t="s">
        <v>381</v>
      </c>
      <c r="B25" s="53" t="s">
        <v>39</v>
      </c>
      <c r="C25" s="53" t="s">
        <v>40</v>
      </c>
      <c r="D25" s="53">
        <v>2</v>
      </c>
      <c r="E25" s="53">
        <v>60</v>
      </c>
      <c r="F25" s="80">
        <v>45931</v>
      </c>
      <c r="G25" s="81">
        <v>0.375</v>
      </c>
      <c r="H25" s="80">
        <v>45929</v>
      </c>
      <c r="I25" s="81">
        <v>0.625</v>
      </c>
      <c r="J25" s="87">
        <f t="shared" si="0"/>
        <v>0</v>
      </c>
      <c r="K25" s="53">
        <v>2</v>
      </c>
      <c r="L25" s="53">
        <v>60</v>
      </c>
      <c r="M25" s="79" t="s">
        <v>382</v>
      </c>
    </row>
    <row r="26" spans="1:13" s="5" customFormat="1" ht="41.25" customHeight="1" x14ac:dyDescent="0.2">
      <c r="A26" s="79" t="s">
        <v>383</v>
      </c>
      <c r="B26" s="53" t="s">
        <v>21</v>
      </c>
      <c r="C26" s="53" t="s">
        <v>22</v>
      </c>
      <c r="D26" s="53">
        <v>2</v>
      </c>
      <c r="E26" s="53">
        <v>60</v>
      </c>
      <c r="F26" s="80">
        <v>45931</v>
      </c>
      <c r="G26" s="81">
        <v>0.375</v>
      </c>
      <c r="H26" s="80">
        <v>45929</v>
      </c>
      <c r="I26" s="81">
        <v>0.58333333333333337</v>
      </c>
      <c r="J26" s="87">
        <f t="shared" si="0"/>
        <v>0</v>
      </c>
      <c r="K26" s="53">
        <v>2</v>
      </c>
      <c r="L26" s="53">
        <v>60</v>
      </c>
      <c r="M26" s="79" t="s">
        <v>384</v>
      </c>
    </row>
    <row r="27" spans="1:13" s="5" customFormat="1" ht="42.75" customHeight="1" x14ac:dyDescent="0.2">
      <c r="A27" s="79" t="s">
        <v>383</v>
      </c>
      <c r="B27" s="53" t="s">
        <v>39</v>
      </c>
      <c r="C27" s="53" t="s">
        <v>40</v>
      </c>
      <c r="D27" s="53">
        <v>2</v>
      </c>
      <c r="E27" s="53">
        <v>60</v>
      </c>
      <c r="F27" s="80">
        <v>45931</v>
      </c>
      <c r="G27" s="81">
        <v>0.375</v>
      </c>
      <c r="H27" s="80">
        <v>45929</v>
      </c>
      <c r="I27" s="81">
        <v>0.66666666666666663</v>
      </c>
      <c r="J27" s="87">
        <f t="shared" si="0"/>
        <v>0</v>
      </c>
      <c r="K27" s="53">
        <v>2</v>
      </c>
      <c r="L27" s="53">
        <v>60</v>
      </c>
      <c r="M27" s="79" t="s">
        <v>384</v>
      </c>
    </row>
    <row r="28" spans="1:13" s="5" customFormat="1" ht="27" customHeight="1" x14ac:dyDescent="0.2">
      <c r="A28" s="79" t="s">
        <v>385</v>
      </c>
      <c r="B28" s="53" t="s">
        <v>21</v>
      </c>
      <c r="C28" s="53" t="s">
        <v>22</v>
      </c>
      <c r="D28" s="53">
        <v>1</v>
      </c>
      <c r="E28" s="53">
        <v>30</v>
      </c>
      <c r="F28" s="80">
        <v>45931</v>
      </c>
      <c r="G28" s="81">
        <v>0.375</v>
      </c>
      <c r="H28" s="80">
        <v>45929</v>
      </c>
      <c r="I28" s="81">
        <v>0.60416666666666663</v>
      </c>
      <c r="J28" s="87">
        <f t="shared" si="0"/>
        <v>-4</v>
      </c>
      <c r="K28" s="53">
        <v>1</v>
      </c>
      <c r="L28" s="53">
        <v>34</v>
      </c>
      <c r="M28" s="79" t="s">
        <v>386</v>
      </c>
    </row>
    <row r="29" spans="1:13" s="5" customFormat="1" ht="36.75" customHeight="1" x14ac:dyDescent="0.2">
      <c r="A29" s="79" t="s">
        <v>385</v>
      </c>
      <c r="B29" s="53" t="s">
        <v>39</v>
      </c>
      <c r="C29" s="53" t="s">
        <v>40</v>
      </c>
      <c r="D29" s="53">
        <v>1</v>
      </c>
      <c r="E29" s="53">
        <v>30</v>
      </c>
      <c r="F29" s="80">
        <v>45931</v>
      </c>
      <c r="G29" s="81">
        <v>0.375</v>
      </c>
      <c r="H29" s="80">
        <v>45929</v>
      </c>
      <c r="I29" s="81">
        <v>0.6875</v>
      </c>
      <c r="J29" s="87">
        <f t="shared" si="0"/>
        <v>-4</v>
      </c>
      <c r="K29" s="53">
        <v>1</v>
      </c>
      <c r="L29" s="53">
        <v>34</v>
      </c>
      <c r="M29" s="79" t="s">
        <v>386</v>
      </c>
    </row>
    <row r="30" spans="1:13" s="5" customFormat="1" ht="37.5" customHeight="1" x14ac:dyDescent="0.2">
      <c r="A30" s="79" t="s">
        <v>387</v>
      </c>
      <c r="B30" s="53" t="s">
        <v>36</v>
      </c>
      <c r="C30" s="53" t="s">
        <v>37</v>
      </c>
      <c r="D30" s="53">
        <v>1</v>
      </c>
      <c r="E30" s="53">
        <v>60</v>
      </c>
      <c r="F30" s="80">
        <v>45931</v>
      </c>
      <c r="G30" s="81">
        <v>0.375</v>
      </c>
      <c r="H30" s="80">
        <v>45929</v>
      </c>
      <c r="I30" s="81">
        <v>0.79166666666666663</v>
      </c>
      <c r="J30" s="87">
        <f t="shared" si="0"/>
        <v>5</v>
      </c>
      <c r="K30" s="53">
        <v>1</v>
      </c>
      <c r="L30" s="53">
        <v>55</v>
      </c>
      <c r="M30" s="79" t="s">
        <v>388</v>
      </c>
    </row>
    <row r="31" spans="1:13" s="5" customFormat="1" ht="38.25" customHeight="1" x14ac:dyDescent="0.2">
      <c r="A31" s="79" t="s">
        <v>387</v>
      </c>
      <c r="B31" s="53" t="s">
        <v>42</v>
      </c>
      <c r="C31" s="53" t="s">
        <v>43</v>
      </c>
      <c r="D31" s="53">
        <v>1</v>
      </c>
      <c r="E31" s="53">
        <v>60</v>
      </c>
      <c r="F31" s="80">
        <v>45931</v>
      </c>
      <c r="G31" s="81">
        <v>0.375</v>
      </c>
      <c r="H31" s="80">
        <v>45929</v>
      </c>
      <c r="I31" s="81">
        <v>0.79166666666666663</v>
      </c>
      <c r="J31" s="87">
        <f t="shared" si="0"/>
        <v>5</v>
      </c>
      <c r="K31" s="53">
        <v>1</v>
      </c>
      <c r="L31" s="53">
        <v>55</v>
      </c>
      <c r="M31" s="79" t="s">
        <v>388</v>
      </c>
    </row>
    <row r="32" spans="1:13" s="5" customFormat="1" ht="38.25" customHeight="1" x14ac:dyDescent="0.2">
      <c r="A32" s="79" t="s">
        <v>387</v>
      </c>
      <c r="B32" s="53" t="s">
        <v>136</v>
      </c>
      <c r="C32" s="53" t="s">
        <v>34</v>
      </c>
      <c r="D32" s="53">
        <v>1</v>
      </c>
      <c r="E32" s="53">
        <v>60</v>
      </c>
      <c r="F32" s="80">
        <v>45931</v>
      </c>
      <c r="G32" s="81">
        <v>0.375</v>
      </c>
      <c r="H32" s="80">
        <v>45929</v>
      </c>
      <c r="I32" s="81">
        <v>0.79166666666666663</v>
      </c>
      <c r="J32" s="87">
        <f t="shared" si="0"/>
        <v>5</v>
      </c>
      <c r="K32" s="53">
        <v>1</v>
      </c>
      <c r="L32" s="53">
        <v>55</v>
      </c>
      <c r="M32" s="79" t="s">
        <v>388</v>
      </c>
    </row>
    <row r="33" spans="1:13" s="5" customFormat="1" ht="38.25" customHeight="1" x14ac:dyDescent="0.2">
      <c r="A33" s="79" t="s">
        <v>389</v>
      </c>
      <c r="B33" s="53" t="s">
        <v>21</v>
      </c>
      <c r="C33" s="53" t="s">
        <v>22</v>
      </c>
      <c r="D33" s="53">
        <v>1</v>
      </c>
      <c r="E33" s="53">
        <v>30</v>
      </c>
      <c r="F33" s="80">
        <v>45931</v>
      </c>
      <c r="G33" s="81">
        <v>0.375</v>
      </c>
      <c r="H33" s="80">
        <v>45930</v>
      </c>
      <c r="I33" s="81">
        <v>0.58333333333333337</v>
      </c>
      <c r="J33" s="87">
        <f t="shared" si="0"/>
        <v>5</v>
      </c>
      <c r="K33" s="53">
        <v>2</v>
      </c>
      <c r="L33" s="53">
        <v>25</v>
      </c>
      <c r="M33" s="79" t="s">
        <v>390</v>
      </c>
    </row>
    <row r="34" spans="1:13" s="5" customFormat="1" ht="36.75" customHeight="1" x14ac:dyDescent="0.2">
      <c r="A34" s="79" t="s">
        <v>389</v>
      </c>
      <c r="B34" s="53" t="s">
        <v>39</v>
      </c>
      <c r="C34" s="53" t="s">
        <v>40</v>
      </c>
      <c r="D34" s="53">
        <v>1</v>
      </c>
      <c r="E34" s="53">
        <v>30</v>
      </c>
      <c r="F34" s="80">
        <v>45931</v>
      </c>
      <c r="G34" s="81">
        <v>0.375</v>
      </c>
      <c r="H34" s="80">
        <v>45930</v>
      </c>
      <c r="I34" s="81">
        <v>0.58333333333333337</v>
      </c>
      <c r="J34" s="87">
        <f t="shared" si="0"/>
        <v>5</v>
      </c>
      <c r="K34" s="53">
        <v>2</v>
      </c>
      <c r="L34" s="53">
        <v>25</v>
      </c>
      <c r="M34" s="79" t="s">
        <v>390</v>
      </c>
    </row>
    <row r="35" spans="1:13" s="5" customFormat="1" ht="42" customHeight="1" x14ac:dyDescent="0.2">
      <c r="A35" s="79" t="s">
        <v>391</v>
      </c>
      <c r="B35" s="53" t="s">
        <v>21</v>
      </c>
      <c r="C35" s="53" t="s">
        <v>22</v>
      </c>
      <c r="D35" s="53">
        <v>1</v>
      </c>
      <c r="E35" s="53">
        <v>30</v>
      </c>
      <c r="F35" s="80">
        <v>45931</v>
      </c>
      <c r="G35" s="81">
        <v>0.375</v>
      </c>
      <c r="H35" s="80">
        <v>45930</v>
      </c>
      <c r="I35" s="81">
        <v>0.60416666666666663</v>
      </c>
      <c r="J35" s="87">
        <f t="shared" ref="J35" si="1">E35-L35</f>
        <v>0</v>
      </c>
      <c r="K35" s="53">
        <v>2</v>
      </c>
      <c r="L35" s="53">
        <v>30</v>
      </c>
      <c r="M35" s="79" t="s">
        <v>392</v>
      </c>
    </row>
    <row r="36" spans="1:13" s="5" customFormat="1" ht="39" customHeight="1" x14ac:dyDescent="0.2">
      <c r="A36" s="79" t="s">
        <v>391</v>
      </c>
      <c r="B36" s="53" t="s">
        <v>39</v>
      </c>
      <c r="C36" s="53" t="s">
        <v>40</v>
      </c>
      <c r="D36" s="53">
        <v>1</v>
      </c>
      <c r="E36" s="53">
        <v>30</v>
      </c>
      <c r="F36" s="80">
        <v>45931</v>
      </c>
      <c r="G36" s="81">
        <v>0.375</v>
      </c>
      <c r="H36" s="80">
        <v>45930</v>
      </c>
      <c r="I36" s="81">
        <v>0.60416666666666663</v>
      </c>
      <c r="J36" s="87">
        <f t="shared" si="0"/>
        <v>0</v>
      </c>
      <c r="K36" s="53">
        <v>2</v>
      </c>
      <c r="L36" s="53">
        <v>30</v>
      </c>
      <c r="M36" s="79" t="s">
        <v>392</v>
      </c>
    </row>
    <row r="37" spans="1:13" s="5" customFormat="1" ht="42" customHeight="1" x14ac:dyDescent="0.2">
      <c r="A37" s="79" t="s">
        <v>393</v>
      </c>
      <c r="B37" s="53" t="s">
        <v>21</v>
      </c>
      <c r="C37" s="53" t="s">
        <v>22</v>
      </c>
      <c r="D37" s="53">
        <v>1</v>
      </c>
      <c r="E37" s="53">
        <v>30</v>
      </c>
      <c r="F37" s="80">
        <v>45931</v>
      </c>
      <c r="G37" s="81">
        <v>0.375</v>
      </c>
      <c r="H37" s="80">
        <v>45930</v>
      </c>
      <c r="I37" s="81">
        <v>0.625</v>
      </c>
      <c r="J37" s="87">
        <f t="shared" ref="J37" si="2">E37-L37</f>
        <v>0</v>
      </c>
      <c r="K37" s="53">
        <v>2</v>
      </c>
      <c r="L37" s="53">
        <v>30</v>
      </c>
      <c r="M37" s="79" t="s">
        <v>394</v>
      </c>
    </row>
    <row r="38" spans="1:13" s="5" customFormat="1" ht="47.25" customHeight="1" x14ac:dyDescent="0.2">
      <c r="A38" s="79" t="s">
        <v>393</v>
      </c>
      <c r="B38" s="53" t="s">
        <v>39</v>
      </c>
      <c r="C38" s="53" t="s">
        <v>40</v>
      </c>
      <c r="D38" s="53">
        <v>1</v>
      </c>
      <c r="E38" s="53">
        <v>30</v>
      </c>
      <c r="F38" s="80">
        <v>45931</v>
      </c>
      <c r="G38" s="81">
        <v>0.375</v>
      </c>
      <c r="H38" s="80">
        <v>45930</v>
      </c>
      <c r="I38" s="81">
        <v>0.625</v>
      </c>
      <c r="J38" s="87">
        <f t="shared" si="0"/>
        <v>0</v>
      </c>
      <c r="K38" s="53">
        <v>2</v>
      </c>
      <c r="L38" s="53">
        <v>30</v>
      </c>
      <c r="M38" s="79" t="s">
        <v>394</v>
      </c>
    </row>
    <row r="39" spans="1:13" s="5" customFormat="1" ht="39.75" customHeight="1" x14ac:dyDescent="0.2">
      <c r="A39" s="79" t="s">
        <v>395</v>
      </c>
      <c r="B39" s="53" t="s">
        <v>21</v>
      </c>
      <c r="C39" s="53" t="s">
        <v>22</v>
      </c>
      <c r="D39" s="53">
        <v>1</v>
      </c>
      <c r="E39" s="53">
        <v>30</v>
      </c>
      <c r="F39" s="80">
        <v>45931</v>
      </c>
      <c r="G39" s="81">
        <v>0.375</v>
      </c>
      <c r="H39" s="80">
        <v>45930</v>
      </c>
      <c r="I39" s="81">
        <v>0.64583333333333337</v>
      </c>
      <c r="J39" s="87">
        <f>E39-L39</f>
        <v>5</v>
      </c>
      <c r="K39" s="53">
        <v>2</v>
      </c>
      <c r="L39" s="53">
        <v>25</v>
      </c>
      <c r="M39" s="79" t="s">
        <v>396</v>
      </c>
    </row>
    <row r="40" spans="1:13" s="5" customFormat="1" ht="47.25" customHeight="1" x14ac:dyDescent="0.2">
      <c r="A40" s="79" t="s">
        <v>395</v>
      </c>
      <c r="B40" s="53" t="s">
        <v>39</v>
      </c>
      <c r="C40" s="53" t="s">
        <v>40</v>
      </c>
      <c r="D40" s="53">
        <v>1</v>
      </c>
      <c r="E40" s="53">
        <v>30</v>
      </c>
      <c r="F40" s="80">
        <v>45931</v>
      </c>
      <c r="G40" s="81">
        <v>0.375</v>
      </c>
      <c r="H40" s="80">
        <v>45930</v>
      </c>
      <c r="I40" s="81">
        <v>0.64583333333333337</v>
      </c>
      <c r="J40" s="87">
        <f t="shared" si="0"/>
        <v>5</v>
      </c>
      <c r="K40" s="53">
        <v>2</v>
      </c>
      <c r="L40" s="53">
        <v>25</v>
      </c>
      <c r="M40" s="79" t="s">
        <v>396</v>
      </c>
    </row>
    <row r="41" spans="1:13" s="5" customFormat="1" ht="39" customHeight="1" x14ac:dyDescent="0.2">
      <c r="A41" s="106" t="s">
        <v>123</v>
      </c>
      <c r="B41" s="85" t="s">
        <v>36</v>
      </c>
      <c r="C41" s="85" t="s">
        <v>37</v>
      </c>
      <c r="D41" s="49">
        <v>1</v>
      </c>
      <c r="E41" s="49">
        <v>20</v>
      </c>
      <c r="F41" s="85">
        <v>45931</v>
      </c>
      <c r="G41" s="86">
        <v>0.375</v>
      </c>
      <c r="H41" s="85">
        <v>45930</v>
      </c>
      <c r="I41" s="86">
        <v>0.80555555555555558</v>
      </c>
      <c r="J41" s="87">
        <f>E41-L41</f>
        <v>0</v>
      </c>
      <c r="K41" s="8">
        <v>1</v>
      </c>
      <c r="L41" s="88">
        <v>20</v>
      </c>
      <c r="M41" s="93" t="s">
        <v>124</v>
      </c>
    </row>
    <row r="42" spans="1:13" s="5" customFormat="1" ht="38.25" customHeight="1" x14ac:dyDescent="0.2">
      <c r="A42" s="38" t="s">
        <v>123</v>
      </c>
      <c r="B42" s="85" t="s">
        <v>143</v>
      </c>
      <c r="C42" s="85" t="s">
        <v>43</v>
      </c>
      <c r="D42" s="49">
        <v>1</v>
      </c>
      <c r="E42" s="49">
        <v>20</v>
      </c>
      <c r="F42" s="85">
        <v>45931</v>
      </c>
      <c r="G42" s="86">
        <v>0.375</v>
      </c>
      <c r="H42" s="85">
        <v>45930</v>
      </c>
      <c r="I42" s="86">
        <v>0.80555555555555558</v>
      </c>
      <c r="J42" s="87">
        <f t="shared" ref="J42:J63" si="3">E42-L42</f>
        <v>0</v>
      </c>
      <c r="K42" s="8">
        <v>1</v>
      </c>
      <c r="L42" s="88">
        <v>20</v>
      </c>
      <c r="M42" s="93" t="s">
        <v>124</v>
      </c>
    </row>
    <row r="43" spans="1:13" s="5" customFormat="1" ht="38.25" customHeight="1" x14ac:dyDescent="0.2">
      <c r="A43" s="13" t="s">
        <v>175</v>
      </c>
      <c r="B43" s="13" t="s">
        <v>36</v>
      </c>
      <c r="C43" s="13" t="s">
        <v>37</v>
      </c>
      <c r="D43" s="53">
        <v>1</v>
      </c>
      <c r="E43" s="53">
        <v>30</v>
      </c>
      <c r="F43" s="13">
        <v>45931</v>
      </c>
      <c r="G43" s="86">
        <v>0.375</v>
      </c>
      <c r="H43" s="13">
        <v>45930</v>
      </c>
      <c r="I43" s="12">
        <v>0.83333333333333337</v>
      </c>
      <c r="J43" s="53">
        <f t="shared" si="3"/>
        <v>6</v>
      </c>
      <c r="K43" s="50">
        <v>1</v>
      </c>
      <c r="L43" s="68">
        <v>24</v>
      </c>
      <c r="M43" s="52" t="s">
        <v>176</v>
      </c>
    </row>
    <row r="44" spans="1:13" s="5" customFormat="1" ht="42" customHeight="1" x14ac:dyDescent="0.2">
      <c r="A44" s="13" t="s">
        <v>177</v>
      </c>
      <c r="B44" s="13" t="s">
        <v>39</v>
      </c>
      <c r="C44" s="13" t="s">
        <v>40</v>
      </c>
      <c r="D44" s="53">
        <v>1</v>
      </c>
      <c r="E44" s="53">
        <v>30</v>
      </c>
      <c r="F44" s="13">
        <v>45931</v>
      </c>
      <c r="G44" s="86">
        <v>0.375</v>
      </c>
      <c r="H44" s="13">
        <v>45930</v>
      </c>
      <c r="I44" s="12">
        <v>0.83333333333333337</v>
      </c>
      <c r="J44" s="53">
        <f t="shared" si="3"/>
        <v>0</v>
      </c>
      <c r="K44" s="50">
        <v>1</v>
      </c>
      <c r="L44" s="68">
        <v>30</v>
      </c>
      <c r="M44" s="52" t="s">
        <v>178</v>
      </c>
    </row>
    <row r="45" spans="1:13" s="5" customFormat="1" ht="32.450000000000003" customHeight="1" x14ac:dyDescent="0.2">
      <c r="A45" s="61" t="s">
        <v>179</v>
      </c>
      <c r="B45" s="13" t="s">
        <v>39</v>
      </c>
      <c r="C45" s="13" t="s">
        <v>40</v>
      </c>
      <c r="D45" s="53">
        <v>5</v>
      </c>
      <c r="E45" s="53">
        <v>50</v>
      </c>
      <c r="F45" s="13">
        <v>45931</v>
      </c>
      <c r="G45" s="86">
        <v>0.375</v>
      </c>
      <c r="H45" s="13">
        <v>45930</v>
      </c>
      <c r="I45" s="12">
        <v>0.86805555555555558</v>
      </c>
      <c r="J45" s="53">
        <f t="shared" si="3"/>
        <v>5</v>
      </c>
      <c r="K45" s="50">
        <v>5</v>
      </c>
      <c r="L45" s="68">
        <v>45</v>
      </c>
      <c r="M45" s="52" t="s">
        <v>180</v>
      </c>
    </row>
    <row r="46" spans="1:13" ht="35.25" customHeight="1" x14ac:dyDescent="0.2">
      <c r="A46" s="23" t="s">
        <v>146</v>
      </c>
      <c r="B46" s="85" t="s">
        <v>30</v>
      </c>
      <c r="C46" s="90" t="s">
        <v>207</v>
      </c>
      <c r="D46" s="84">
        <v>1</v>
      </c>
      <c r="E46" s="49">
        <v>60</v>
      </c>
      <c r="F46" s="85">
        <v>45931</v>
      </c>
      <c r="G46" s="86">
        <v>0.375</v>
      </c>
      <c r="H46" s="85">
        <v>45930</v>
      </c>
      <c r="I46" s="86">
        <v>0.91666666666666663</v>
      </c>
      <c r="J46" s="87">
        <f t="shared" si="3"/>
        <v>50</v>
      </c>
      <c r="K46" s="8">
        <v>1</v>
      </c>
      <c r="L46" s="88">
        <v>10</v>
      </c>
      <c r="M46" s="91" t="s">
        <v>149</v>
      </c>
    </row>
    <row r="47" spans="1:13" s="5" customFormat="1" ht="47.1" customHeight="1" x14ac:dyDescent="0.2">
      <c r="A47" s="23" t="s">
        <v>146</v>
      </c>
      <c r="B47" s="85" t="s">
        <v>42</v>
      </c>
      <c r="C47" s="85" t="s">
        <v>77</v>
      </c>
      <c r="D47" s="84">
        <v>1</v>
      </c>
      <c r="E47" s="49">
        <v>60</v>
      </c>
      <c r="F47" s="85">
        <v>45931</v>
      </c>
      <c r="G47" s="86">
        <v>0.375</v>
      </c>
      <c r="H47" s="85">
        <v>45930</v>
      </c>
      <c r="I47" s="86">
        <v>0.91666666666666663</v>
      </c>
      <c r="J47" s="87">
        <f t="shared" si="3"/>
        <v>50</v>
      </c>
      <c r="K47" s="8">
        <v>1</v>
      </c>
      <c r="L47" s="88">
        <v>10</v>
      </c>
      <c r="M47" s="91" t="s">
        <v>149</v>
      </c>
    </row>
    <row r="48" spans="1:13" s="5" customFormat="1" ht="43.5" customHeight="1" x14ac:dyDescent="0.2">
      <c r="A48" s="23" t="s">
        <v>146</v>
      </c>
      <c r="B48" s="85" t="s">
        <v>21</v>
      </c>
      <c r="C48" s="85" t="s">
        <v>86</v>
      </c>
      <c r="D48" s="84">
        <v>1</v>
      </c>
      <c r="E48" s="49">
        <v>60</v>
      </c>
      <c r="F48" s="85">
        <v>45931</v>
      </c>
      <c r="G48" s="86">
        <v>0.375</v>
      </c>
      <c r="H48" s="85">
        <v>45930</v>
      </c>
      <c r="I48" s="86">
        <v>0.91666666666666663</v>
      </c>
      <c r="J48" s="87">
        <f t="shared" si="3"/>
        <v>50</v>
      </c>
      <c r="K48" s="8">
        <v>1</v>
      </c>
      <c r="L48" s="88">
        <v>10</v>
      </c>
      <c r="M48" s="91" t="s">
        <v>149</v>
      </c>
    </row>
    <row r="49" spans="1:13" s="5" customFormat="1" ht="42.75" customHeight="1" x14ac:dyDescent="0.2">
      <c r="A49" s="23" t="s">
        <v>146</v>
      </c>
      <c r="B49" s="85" t="s">
        <v>136</v>
      </c>
      <c r="C49" s="85" t="s">
        <v>151</v>
      </c>
      <c r="D49" s="84">
        <v>1</v>
      </c>
      <c r="E49" s="49">
        <v>60</v>
      </c>
      <c r="F49" s="85">
        <v>45931</v>
      </c>
      <c r="G49" s="86">
        <v>0.375</v>
      </c>
      <c r="H49" s="85">
        <v>45930</v>
      </c>
      <c r="I49" s="86">
        <v>0.91666666666666663</v>
      </c>
      <c r="J49" s="87">
        <f t="shared" si="3"/>
        <v>50</v>
      </c>
      <c r="K49" s="8">
        <v>1</v>
      </c>
      <c r="L49" s="88">
        <v>10</v>
      </c>
      <c r="M49" s="91" t="s">
        <v>149</v>
      </c>
    </row>
    <row r="50" spans="1:13" s="5" customFormat="1" ht="39" customHeight="1" x14ac:dyDescent="0.2">
      <c r="A50" s="23" t="s">
        <v>146</v>
      </c>
      <c r="B50" s="85" t="s">
        <v>36</v>
      </c>
      <c r="C50" s="85" t="s">
        <v>80</v>
      </c>
      <c r="D50" s="84">
        <v>1</v>
      </c>
      <c r="E50" s="49">
        <v>60</v>
      </c>
      <c r="F50" s="85">
        <v>45931</v>
      </c>
      <c r="G50" s="86">
        <v>0.375</v>
      </c>
      <c r="H50" s="85">
        <v>45930</v>
      </c>
      <c r="I50" s="86">
        <v>0.91666666666666663</v>
      </c>
      <c r="J50" s="87">
        <f t="shared" si="3"/>
        <v>50</v>
      </c>
      <c r="K50" s="8">
        <v>1</v>
      </c>
      <c r="L50" s="88">
        <v>10</v>
      </c>
      <c r="M50" s="91" t="s">
        <v>149</v>
      </c>
    </row>
    <row r="51" spans="1:13" s="5" customFormat="1" ht="29.25" customHeight="1" x14ac:dyDescent="0.2">
      <c r="A51" s="23" t="s">
        <v>146</v>
      </c>
      <c r="B51" s="85" t="s">
        <v>39</v>
      </c>
      <c r="C51" s="85" t="s">
        <v>150</v>
      </c>
      <c r="D51" s="84">
        <v>1</v>
      </c>
      <c r="E51" s="49">
        <v>60</v>
      </c>
      <c r="F51" s="85">
        <v>45931</v>
      </c>
      <c r="G51" s="86">
        <v>0.375</v>
      </c>
      <c r="H51" s="85">
        <v>45930</v>
      </c>
      <c r="I51" s="86">
        <v>0.91666666666666663</v>
      </c>
      <c r="J51" s="87">
        <f t="shared" si="3"/>
        <v>50</v>
      </c>
      <c r="K51" s="8">
        <v>1</v>
      </c>
      <c r="L51" s="88">
        <v>10</v>
      </c>
      <c r="M51" s="91" t="s">
        <v>149</v>
      </c>
    </row>
    <row r="52" spans="1:13" s="5" customFormat="1" ht="31.5" customHeight="1" x14ac:dyDescent="0.2">
      <c r="A52" s="23" t="s">
        <v>52</v>
      </c>
      <c r="B52" s="89" t="s">
        <v>21</v>
      </c>
      <c r="C52" s="90" t="s">
        <v>22</v>
      </c>
      <c r="D52" s="84">
        <v>1</v>
      </c>
      <c r="E52" s="49">
        <v>30</v>
      </c>
      <c r="F52" s="85">
        <v>45931</v>
      </c>
      <c r="G52" s="86">
        <v>0.375</v>
      </c>
      <c r="H52" s="85">
        <v>45930</v>
      </c>
      <c r="I52" s="86">
        <v>0.91666666666666663</v>
      </c>
      <c r="J52" s="87">
        <f t="shared" si="3"/>
        <v>0</v>
      </c>
      <c r="K52" s="8">
        <v>1</v>
      </c>
      <c r="L52" s="88">
        <v>30</v>
      </c>
      <c r="M52" s="91" t="s">
        <v>53</v>
      </c>
    </row>
    <row r="53" spans="1:13" s="5" customFormat="1" ht="26.45" customHeight="1" x14ac:dyDescent="0.2">
      <c r="A53" s="23" t="s">
        <v>153</v>
      </c>
      <c r="B53" s="89" t="s">
        <v>36</v>
      </c>
      <c r="C53" s="90" t="s">
        <v>37</v>
      </c>
      <c r="D53" s="84">
        <v>1</v>
      </c>
      <c r="E53" s="5">
        <v>30</v>
      </c>
      <c r="F53" s="85">
        <v>45931</v>
      </c>
      <c r="G53" s="86">
        <v>0.375</v>
      </c>
      <c r="H53" s="85">
        <v>45930</v>
      </c>
      <c r="I53" s="86">
        <v>0.91666666666666663</v>
      </c>
      <c r="J53" s="87">
        <f t="shared" si="3"/>
        <v>0</v>
      </c>
      <c r="K53" s="8">
        <v>1</v>
      </c>
      <c r="L53" s="88">
        <v>30</v>
      </c>
      <c r="M53" s="91" t="s">
        <v>53</v>
      </c>
    </row>
    <row r="54" spans="1:13" s="5" customFormat="1" ht="29.1" customHeight="1" x14ac:dyDescent="0.2">
      <c r="A54" s="23" t="s">
        <v>79</v>
      </c>
      <c r="B54" s="85" t="s">
        <v>36</v>
      </c>
      <c r="C54" s="90" t="s">
        <v>37</v>
      </c>
      <c r="D54" s="84">
        <v>1</v>
      </c>
      <c r="E54" s="49">
        <v>45</v>
      </c>
      <c r="F54" s="85">
        <v>45931</v>
      </c>
      <c r="G54" s="86">
        <v>0.375</v>
      </c>
      <c r="H54" s="85">
        <v>45930</v>
      </c>
      <c r="I54" s="86">
        <v>0.9375</v>
      </c>
      <c r="J54" s="87">
        <f t="shared" si="3"/>
        <v>-35</v>
      </c>
      <c r="K54" s="8">
        <v>1</v>
      </c>
      <c r="L54" s="88">
        <v>80</v>
      </c>
      <c r="M54" s="91" t="s">
        <v>81</v>
      </c>
    </row>
    <row r="55" spans="1:13" s="5" customFormat="1" ht="31.5" customHeight="1" x14ac:dyDescent="0.2">
      <c r="A55" s="23" t="s">
        <v>85</v>
      </c>
      <c r="B55" s="85" t="s">
        <v>21</v>
      </c>
      <c r="C55" s="90" t="s">
        <v>22</v>
      </c>
      <c r="D55" s="84">
        <v>1</v>
      </c>
      <c r="E55" s="49">
        <v>60</v>
      </c>
      <c r="F55" s="85">
        <v>45931</v>
      </c>
      <c r="G55" s="86">
        <v>0.375</v>
      </c>
      <c r="H55" s="85">
        <v>45930</v>
      </c>
      <c r="I55" s="86">
        <v>0.9375</v>
      </c>
      <c r="J55" s="87">
        <f t="shared" si="3"/>
        <v>10</v>
      </c>
      <c r="K55" s="8">
        <v>1</v>
      </c>
      <c r="L55" s="88">
        <v>50</v>
      </c>
      <c r="M55" s="91" t="s">
        <v>87</v>
      </c>
    </row>
    <row r="56" spans="1:13" s="5" customFormat="1" ht="26.1" customHeight="1" x14ac:dyDescent="0.2">
      <c r="A56" s="23" t="s">
        <v>88</v>
      </c>
      <c r="B56" s="85" t="s">
        <v>21</v>
      </c>
      <c r="C56" s="85" t="s">
        <v>22</v>
      </c>
      <c r="D56" s="84">
        <v>1</v>
      </c>
      <c r="E56" s="49">
        <v>55</v>
      </c>
      <c r="F56" s="85">
        <v>45931</v>
      </c>
      <c r="G56" s="86">
        <v>0.375</v>
      </c>
      <c r="H56" s="85">
        <v>45930</v>
      </c>
      <c r="I56" s="86">
        <v>0.9375</v>
      </c>
      <c r="J56" s="87">
        <f t="shared" si="3"/>
        <v>0</v>
      </c>
      <c r="K56" s="8">
        <v>1</v>
      </c>
      <c r="L56" s="88">
        <v>55</v>
      </c>
      <c r="M56" s="91" t="s">
        <v>89</v>
      </c>
    </row>
    <row r="57" spans="1:13" s="5" customFormat="1" ht="39" customHeight="1" x14ac:dyDescent="0.2">
      <c r="A57" s="33" t="s">
        <v>131</v>
      </c>
      <c r="B57" s="85" t="s">
        <v>36</v>
      </c>
      <c r="C57" s="85" t="s">
        <v>37</v>
      </c>
      <c r="D57" s="49">
        <v>1</v>
      </c>
      <c r="E57" s="49">
        <v>30</v>
      </c>
      <c r="F57" s="85">
        <v>45931</v>
      </c>
      <c r="G57" s="86">
        <v>0.375</v>
      </c>
      <c r="H57" s="85">
        <v>45930</v>
      </c>
      <c r="I57" s="86">
        <v>0.9375</v>
      </c>
      <c r="J57" s="87">
        <f t="shared" si="3"/>
        <v>-2</v>
      </c>
      <c r="K57" s="8">
        <v>1</v>
      </c>
      <c r="L57" s="88">
        <v>32</v>
      </c>
      <c r="M57" s="91" t="s">
        <v>132</v>
      </c>
    </row>
    <row r="58" spans="1:13" s="5" customFormat="1" ht="40.5" customHeight="1" x14ac:dyDescent="0.2">
      <c r="A58" s="33" t="s">
        <v>131</v>
      </c>
      <c r="B58" s="85" t="s">
        <v>42</v>
      </c>
      <c r="C58" s="85" t="s">
        <v>43</v>
      </c>
      <c r="D58" s="49">
        <v>1</v>
      </c>
      <c r="E58" s="49">
        <v>30</v>
      </c>
      <c r="F58" s="85">
        <v>45931</v>
      </c>
      <c r="G58" s="86">
        <v>0.375</v>
      </c>
      <c r="H58" s="85">
        <v>45930</v>
      </c>
      <c r="I58" s="86">
        <v>0.9375</v>
      </c>
      <c r="J58" s="87">
        <f t="shared" si="3"/>
        <v>-2</v>
      </c>
      <c r="K58" s="8">
        <v>1</v>
      </c>
      <c r="L58" s="88">
        <v>32</v>
      </c>
      <c r="M58" s="91" t="s">
        <v>132</v>
      </c>
    </row>
    <row r="59" spans="1:13" s="5" customFormat="1" ht="40.5" customHeight="1" x14ac:dyDescent="0.2">
      <c r="A59" s="33" t="s">
        <v>131</v>
      </c>
      <c r="B59" s="85" t="s">
        <v>30</v>
      </c>
      <c r="C59" s="85" t="s">
        <v>31</v>
      </c>
      <c r="D59" s="49">
        <v>1</v>
      </c>
      <c r="E59" s="49">
        <v>30</v>
      </c>
      <c r="F59" s="85">
        <v>45931</v>
      </c>
      <c r="G59" s="86">
        <v>0.375</v>
      </c>
      <c r="H59" s="85">
        <v>45930</v>
      </c>
      <c r="I59" s="86">
        <v>0.9375</v>
      </c>
      <c r="J59" s="87">
        <f t="shared" si="3"/>
        <v>-2</v>
      </c>
      <c r="K59" s="8">
        <v>1</v>
      </c>
      <c r="L59" s="88">
        <v>32</v>
      </c>
      <c r="M59" s="91" t="s">
        <v>132</v>
      </c>
    </row>
    <row r="60" spans="1:13" s="5" customFormat="1" ht="38.25" customHeight="1" x14ac:dyDescent="0.2">
      <c r="A60" s="33" t="s">
        <v>131</v>
      </c>
      <c r="B60" s="85" t="s">
        <v>21</v>
      </c>
      <c r="C60" s="85" t="s">
        <v>22</v>
      </c>
      <c r="D60" s="49">
        <v>1</v>
      </c>
      <c r="E60" s="49">
        <v>30</v>
      </c>
      <c r="F60" s="85">
        <v>45931</v>
      </c>
      <c r="G60" s="86">
        <v>0.375</v>
      </c>
      <c r="H60" s="85">
        <v>45930</v>
      </c>
      <c r="I60" s="86">
        <v>0.9375</v>
      </c>
      <c r="J60" s="87">
        <f t="shared" si="3"/>
        <v>-2</v>
      </c>
      <c r="K60" s="8">
        <v>1</v>
      </c>
      <c r="L60" s="88">
        <v>32</v>
      </c>
      <c r="M60" s="91" t="s">
        <v>132</v>
      </c>
    </row>
    <row r="61" spans="1:13" s="5" customFormat="1" ht="38.25" customHeight="1" x14ac:dyDescent="0.2">
      <c r="A61" s="33" t="s">
        <v>131</v>
      </c>
      <c r="B61" s="85" t="s">
        <v>136</v>
      </c>
      <c r="C61" s="85" t="s">
        <v>34</v>
      </c>
      <c r="D61" s="49">
        <v>1</v>
      </c>
      <c r="E61" s="49">
        <v>30</v>
      </c>
      <c r="F61" s="85">
        <v>45931</v>
      </c>
      <c r="G61" s="86">
        <v>0.375</v>
      </c>
      <c r="H61" s="85">
        <v>45930</v>
      </c>
      <c r="I61" s="86">
        <v>0.9375</v>
      </c>
      <c r="J61" s="87">
        <f t="shared" si="3"/>
        <v>-2</v>
      </c>
      <c r="K61" s="8">
        <v>1</v>
      </c>
      <c r="L61" s="88">
        <v>32</v>
      </c>
      <c r="M61" s="91" t="s">
        <v>132</v>
      </c>
    </row>
    <row r="62" spans="1:13" s="5" customFormat="1" ht="27" customHeight="1" x14ac:dyDescent="0.2">
      <c r="A62" s="33" t="s">
        <v>131</v>
      </c>
      <c r="B62" s="85" t="s">
        <v>39</v>
      </c>
      <c r="C62" s="85" t="s">
        <v>40</v>
      </c>
      <c r="D62" s="49">
        <v>1</v>
      </c>
      <c r="E62" s="49">
        <v>30</v>
      </c>
      <c r="F62" s="85">
        <v>45931</v>
      </c>
      <c r="G62" s="86">
        <v>0.375</v>
      </c>
      <c r="H62" s="85">
        <v>45930</v>
      </c>
      <c r="I62" s="86">
        <v>0.9375</v>
      </c>
      <c r="J62" s="87">
        <f t="shared" si="3"/>
        <v>-2</v>
      </c>
      <c r="K62" s="8">
        <v>1</v>
      </c>
      <c r="L62" s="88">
        <v>32</v>
      </c>
      <c r="M62" s="91" t="s">
        <v>132</v>
      </c>
    </row>
    <row r="63" spans="1:13" s="5" customFormat="1" ht="33" customHeight="1" x14ac:dyDescent="0.2">
      <c r="A63" s="33" t="s">
        <v>133</v>
      </c>
      <c r="B63" s="85" t="s">
        <v>21</v>
      </c>
      <c r="C63" s="85" t="s">
        <v>22</v>
      </c>
      <c r="D63" s="49">
        <v>3</v>
      </c>
      <c r="E63" s="49">
        <v>20</v>
      </c>
      <c r="F63" s="85">
        <v>45931</v>
      </c>
      <c r="G63" s="86">
        <v>0.375</v>
      </c>
      <c r="H63" s="85">
        <v>45931</v>
      </c>
      <c r="I63" s="86">
        <v>0.375</v>
      </c>
      <c r="J63" s="87">
        <f t="shared" si="3"/>
        <v>5</v>
      </c>
      <c r="K63" s="8">
        <v>3</v>
      </c>
      <c r="L63" s="88">
        <v>15</v>
      </c>
      <c r="M63" s="91" t="s">
        <v>134</v>
      </c>
    </row>
    <row r="64" spans="1:13" s="5" customFormat="1" ht="33.75" customHeight="1" x14ac:dyDescent="0.2">
      <c r="A64"/>
      <c r="B64"/>
      <c r="C64"/>
      <c r="D64"/>
      <c r="E64"/>
      <c r="F64"/>
      <c r="G64"/>
      <c r="H64"/>
      <c r="I64"/>
      <c r="J64"/>
      <c r="K64"/>
      <c r="L64"/>
      <c r="M64"/>
    </row>
    <row r="65" spans="1:13" s="5" customFormat="1" ht="32.25" customHeight="1" x14ac:dyDescent="0.2">
      <c r="A65" s="4"/>
      <c r="B65" s="4"/>
      <c r="C65" s="4"/>
      <c r="D65" s="4"/>
      <c r="E65" s="4"/>
      <c r="F65" s="4"/>
      <c r="G65" s="4"/>
      <c r="H65" s="4"/>
      <c r="I65" s="3"/>
      <c r="J65" s="3"/>
      <c r="K65" s="2"/>
      <c r="L65" s="1"/>
      <c r="M65" s="1"/>
    </row>
    <row r="66" spans="1:13" s="5" customFormat="1" ht="27" customHeight="1" x14ac:dyDescent="0.2">
      <c r="A66" s="4"/>
      <c r="B66" s="4"/>
      <c r="C66" s="4"/>
      <c r="D66" s="4"/>
      <c r="E66" s="4"/>
      <c r="F66" s="4"/>
      <c r="G66" s="4"/>
      <c r="H66" s="4"/>
      <c r="I66" s="3"/>
      <c r="J66" s="3"/>
      <c r="K66" s="2"/>
      <c r="L66" s="1"/>
      <c r="M66" s="1"/>
    </row>
    <row r="67" spans="1:13" s="5" customFormat="1" ht="24.95" customHeight="1" x14ac:dyDescent="0.2">
      <c r="A67" s="4"/>
      <c r="B67" s="4"/>
      <c r="C67" s="4"/>
      <c r="D67" s="4"/>
      <c r="E67" s="4"/>
      <c r="F67" s="4"/>
      <c r="G67" s="4"/>
      <c r="H67" s="4"/>
      <c r="I67" s="3"/>
      <c r="J67" s="3"/>
      <c r="K67" s="2"/>
      <c r="L67" s="1"/>
      <c r="M67" s="1"/>
    </row>
    <row r="68" spans="1:13" s="5" customFormat="1" ht="28.5" customHeight="1" x14ac:dyDescent="0.2">
      <c r="A68" s="4"/>
      <c r="B68" s="4"/>
      <c r="C68" s="4"/>
      <c r="D68" s="4"/>
      <c r="E68" s="4"/>
      <c r="F68" s="4"/>
      <c r="G68" s="4"/>
      <c r="H68" s="4"/>
      <c r="I68" s="3"/>
      <c r="J68" s="3"/>
      <c r="K68" s="2"/>
      <c r="L68" s="1"/>
      <c r="M68" s="1"/>
    </row>
    <row r="69" spans="1:13" s="5" customFormat="1" ht="35.450000000000003" customHeight="1" x14ac:dyDescent="0.2">
      <c r="A69" s="4"/>
      <c r="B69" s="4"/>
      <c r="C69" s="4"/>
      <c r="D69" s="4"/>
      <c r="E69" s="4"/>
      <c r="F69" s="4"/>
      <c r="G69" s="4"/>
      <c r="H69" s="4"/>
      <c r="I69" s="3"/>
      <c r="J69" s="3"/>
      <c r="K69" s="2"/>
      <c r="L69" s="1"/>
      <c r="M69" s="1"/>
    </row>
    <row r="70" spans="1:13" s="5" customFormat="1" ht="36.6" customHeight="1" x14ac:dyDescent="0.2">
      <c r="A70" s="4"/>
      <c r="B70" s="4"/>
      <c r="C70" s="4"/>
      <c r="D70" s="4"/>
      <c r="E70" s="4"/>
      <c r="F70" s="4"/>
      <c r="G70" s="4"/>
      <c r="H70" s="4"/>
      <c r="I70" s="3"/>
      <c r="J70" s="3"/>
      <c r="K70" s="2"/>
      <c r="L70" s="1"/>
      <c r="M70" s="1"/>
    </row>
    <row r="71" spans="1:13" s="5" customFormat="1" ht="36.6" customHeight="1" x14ac:dyDescent="0.2">
      <c r="A71" s="4"/>
      <c r="B71" s="4"/>
      <c r="C71" s="4"/>
      <c r="D71" s="4"/>
      <c r="E71" s="4"/>
      <c r="F71" s="4"/>
      <c r="G71" s="4"/>
      <c r="H71" s="4"/>
      <c r="I71" s="3"/>
      <c r="J71" s="3"/>
      <c r="K71" s="2"/>
      <c r="L71" s="1"/>
      <c r="M71" s="1"/>
    </row>
    <row r="72" spans="1:13" s="5" customFormat="1" ht="35.450000000000003" customHeight="1" x14ac:dyDescent="0.2">
      <c r="A72" s="4"/>
      <c r="B72" s="4"/>
      <c r="C72" s="4"/>
      <c r="D72" s="4"/>
      <c r="E72" s="4"/>
      <c r="F72" s="4"/>
      <c r="G72" s="4"/>
      <c r="H72" s="4"/>
      <c r="I72" s="3"/>
      <c r="J72" s="3"/>
      <c r="K72" s="2"/>
      <c r="L72" s="1"/>
      <c r="M72" s="1"/>
    </row>
    <row r="73" spans="1:13" s="5" customFormat="1" ht="35.450000000000003" customHeight="1" x14ac:dyDescent="0.2">
      <c r="A73" s="4"/>
      <c r="B73" s="4"/>
      <c r="C73" s="4"/>
      <c r="D73" s="4"/>
      <c r="E73" s="4"/>
      <c r="F73" s="4"/>
      <c r="G73" s="4"/>
      <c r="H73" s="4"/>
      <c r="I73" s="3"/>
      <c r="J73" s="3"/>
      <c r="K73" s="2"/>
      <c r="L73" s="1"/>
      <c r="M73" s="1"/>
    </row>
    <row r="74" spans="1:13" s="5" customFormat="1" ht="35.450000000000003" customHeight="1" x14ac:dyDescent="0.2">
      <c r="A74" s="4"/>
      <c r="B74" s="4"/>
      <c r="C74" s="4"/>
      <c r="D74" s="4"/>
      <c r="E74" s="4"/>
      <c r="F74" s="4"/>
      <c r="G74" s="4"/>
      <c r="H74" s="4"/>
      <c r="I74" s="3"/>
      <c r="J74" s="3"/>
      <c r="K74" s="2"/>
      <c r="L74" s="1"/>
      <c r="M74" s="1"/>
    </row>
    <row r="75" spans="1:13" s="5" customFormat="1" ht="35.450000000000003" customHeight="1" x14ac:dyDescent="0.2">
      <c r="A75" s="4"/>
      <c r="B75" s="4"/>
      <c r="C75" s="4"/>
      <c r="D75" s="4"/>
      <c r="E75" s="4"/>
      <c r="F75" s="4"/>
      <c r="G75" s="4"/>
      <c r="H75" s="4"/>
      <c r="I75" s="3"/>
      <c r="J75" s="3"/>
      <c r="K75" s="2"/>
      <c r="L75" s="1"/>
      <c r="M75" s="1"/>
    </row>
    <row r="76" spans="1:13" s="5" customFormat="1" ht="35.450000000000003" customHeight="1" x14ac:dyDescent="0.2">
      <c r="A76" s="4"/>
      <c r="B76" s="4"/>
      <c r="C76" s="4"/>
      <c r="D76" s="4"/>
      <c r="E76" s="4"/>
      <c r="F76" s="4"/>
      <c r="G76" s="4"/>
      <c r="H76" s="4"/>
      <c r="I76" s="3"/>
      <c r="J76" s="3"/>
      <c r="K76" s="2"/>
      <c r="L76" s="1"/>
      <c r="M76" s="1"/>
    </row>
    <row r="77" spans="1:13" s="5" customFormat="1" ht="35.450000000000003" customHeight="1" x14ac:dyDescent="0.2">
      <c r="A77" s="4"/>
      <c r="B77" s="4"/>
      <c r="C77" s="4"/>
      <c r="D77" s="4"/>
      <c r="E77" s="4"/>
      <c r="F77" s="4"/>
      <c r="G77" s="4"/>
      <c r="H77" s="4"/>
      <c r="I77" s="3"/>
      <c r="J77" s="3"/>
      <c r="K77" s="2"/>
      <c r="L77" s="1"/>
      <c r="M77" s="1"/>
    </row>
    <row r="78" spans="1:13" s="5" customFormat="1" ht="35.450000000000003" customHeight="1" x14ac:dyDescent="0.2">
      <c r="A78" s="4"/>
      <c r="B78" s="4"/>
      <c r="C78" s="4"/>
      <c r="D78" s="4"/>
      <c r="E78" s="4"/>
      <c r="F78" s="4"/>
      <c r="G78" s="4"/>
      <c r="H78" s="4"/>
      <c r="I78" s="3"/>
      <c r="J78" s="3"/>
      <c r="K78" s="2"/>
      <c r="L78" s="1"/>
      <c r="M78" s="1"/>
    </row>
    <row r="79" spans="1:13" s="5" customFormat="1" ht="35.450000000000003" customHeight="1" x14ac:dyDescent="0.2">
      <c r="A79" s="4"/>
      <c r="B79" s="4"/>
      <c r="C79" s="4"/>
      <c r="D79" s="4"/>
      <c r="E79" s="4"/>
      <c r="F79" s="4"/>
      <c r="G79" s="4"/>
      <c r="H79" s="4"/>
      <c r="I79" s="3"/>
      <c r="J79" s="3"/>
      <c r="K79" s="2"/>
      <c r="L79" s="1"/>
      <c r="M79" s="1"/>
    </row>
    <row r="80" spans="1:13" s="5" customFormat="1" ht="35.450000000000003" customHeight="1" x14ac:dyDescent="0.2">
      <c r="A80" s="4"/>
      <c r="B80" s="11" t="s">
        <v>30</v>
      </c>
      <c r="C80" s="11" t="s">
        <v>83</v>
      </c>
      <c r="D80" s="20">
        <v>1</v>
      </c>
      <c r="E80" s="29">
        <v>50</v>
      </c>
      <c r="F80" s="11">
        <v>45882</v>
      </c>
      <c r="G80" s="10">
        <v>0.375</v>
      </c>
      <c r="H80" s="11">
        <v>45880</v>
      </c>
      <c r="I80" s="10">
        <v>0.95833333333333337</v>
      </c>
      <c r="J80" s="9">
        <f>E80-L80</f>
        <v>-4</v>
      </c>
      <c r="K80" s="8">
        <v>1</v>
      </c>
      <c r="L80" s="7">
        <v>54</v>
      </c>
      <c r="M80" s="6" t="s">
        <v>84</v>
      </c>
    </row>
    <row r="81" spans="1:13" s="5" customFormat="1" ht="35.450000000000003" customHeight="1" x14ac:dyDescent="0.2">
      <c r="A81" s="23" t="s">
        <v>82</v>
      </c>
      <c r="B81" s="4"/>
      <c r="C81" s="4"/>
      <c r="D81" s="4"/>
      <c r="E81" s="4"/>
      <c r="F81" s="4"/>
      <c r="G81" s="4"/>
      <c r="H81" s="4"/>
      <c r="I81" s="3"/>
      <c r="J81" s="3"/>
      <c r="K81" s="2"/>
      <c r="L81" s="1"/>
      <c r="M81" s="1"/>
    </row>
    <row r="82" spans="1:13" s="5" customFormat="1" ht="35.450000000000003" customHeight="1" x14ac:dyDescent="0.2">
      <c r="A82" s="4"/>
      <c r="B82" s="4"/>
      <c r="C82" s="4"/>
      <c r="D82" s="4"/>
      <c r="E82" s="4"/>
      <c r="F82" s="4"/>
      <c r="G82" s="4"/>
      <c r="H82" s="4"/>
      <c r="I82" s="3"/>
      <c r="J82" s="3"/>
      <c r="K82" s="2"/>
      <c r="L82" s="1"/>
      <c r="M82" s="1"/>
    </row>
    <row r="83" spans="1:13" s="5" customFormat="1" ht="35.450000000000003" customHeight="1" x14ac:dyDescent="0.2">
      <c r="A83" s="4"/>
      <c r="B83" s="4"/>
      <c r="C83" s="4"/>
      <c r="D83" s="4"/>
      <c r="E83" s="4"/>
      <c r="F83" s="4"/>
      <c r="G83" s="4"/>
      <c r="H83" s="4"/>
      <c r="I83" s="3"/>
      <c r="J83" s="3"/>
      <c r="K83" s="2"/>
      <c r="L83" s="1"/>
      <c r="M83" s="1"/>
    </row>
    <row r="84" spans="1:13" s="5" customFormat="1" ht="37.5" customHeight="1" x14ac:dyDescent="0.2">
      <c r="A84" s="4"/>
      <c r="B84" s="4"/>
      <c r="C84" s="4"/>
      <c r="D84" s="4"/>
      <c r="E84" s="4"/>
      <c r="F84" s="4"/>
      <c r="G84" s="4"/>
      <c r="H84" s="4"/>
      <c r="I84" s="3"/>
      <c r="J84" s="3"/>
      <c r="K84" s="2"/>
      <c r="L84" s="1"/>
      <c r="M84" s="1"/>
    </row>
    <row r="113" spans="1:20" s="4" customFormat="1" ht="30" customHeight="1" x14ac:dyDescent="0.2">
      <c r="I113" s="3"/>
      <c r="J113" s="3"/>
      <c r="K113" s="2"/>
      <c r="L113" s="1"/>
      <c r="M113" s="1"/>
      <c r="N113"/>
      <c r="O113"/>
      <c r="P113"/>
      <c r="Q113"/>
      <c r="R113"/>
      <c r="S113"/>
      <c r="T113"/>
    </row>
    <row r="114" spans="1:20" s="4" customFormat="1" ht="23.25" customHeight="1" x14ac:dyDescent="0.2">
      <c r="I114" s="3"/>
      <c r="J114" s="3"/>
      <c r="K114" s="2"/>
      <c r="L114" s="1"/>
      <c r="M114" s="1"/>
      <c r="N114"/>
      <c r="O114"/>
      <c r="P114"/>
      <c r="Q114"/>
      <c r="R114"/>
      <c r="S114"/>
      <c r="T114"/>
    </row>
    <row r="121" spans="1:20" s="5" customFormat="1" ht="12" customHeight="1" x14ac:dyDescent="0.2">
      <c r="A121" s="4"/>
      <c r="B121" s="4"/>
      <c r="C121" s="4"/>
      <c r="D121" s="4"/>
      <c r="E121" s="4"/>
      <c r="F121" s="4"/>
      <c r="G121" s="4"/>
      <c r="H121" s="4"/>
      <c r="I121" s="3"/>
      <c r="J121" s="3"/>
      <c r="K121" s="2"/>
      <c r="L121" s="1"/>
      <c r="M121" s="1"/>
    </row>
    <row r="125" spans="1:20" x14ac:dyDescent="0.2">
      <c r="Q125" s="42" t="e">
        <f>SUM(#REF!)</f>
        <v>#REF!</v>
      </c>
      <c r="R125" s="42" t="e">
        <f>SUM(#REF!)</f>
        <v>#REF!</v>
      </c>
      <c r="S125" s="42" t="e">
        <f>SUM(#REF!)</f>
        <v>#REF!</v>
      </c>
      <c r="T125" s="42" t="e">
        <f>SUM(#REF!)</f>
        <v>#REF!</v>
      </c>
    </row>
    <row r="126" spans="1:20" ht="35.25" customHeight="1" x14ac:dyDescent="0.2"/>
    <row r="127" spans="1:20" ht="36.75" customHeight="1" x14ac:dyDescent="0.2"/>
    <row r="128" spans="1:20" ht="33.75" customHeight="1" x14ac:dyDescent="0.2"/>
    <row r="129" spans="9:20" ht="26.25" customHeight="1" x14ac:dyDescent="0.2"/>
    <row r="130" spans="9:20" ht="27.75" customHeight="1" x14ac:dyDescent="0.2"/>
    <row r="131" spans="9:20" s="4" customFormat="1" ht="40.5" customHeight="1" x14ac:dyDescent="0.2">
      <c r="I131" s="3"/>
      <c r="J131" s="3"/>
      <c r="K131" s="2"/>
      <c r="L131" s="1"/>
      <c r="M131" s="1"/>
      <c r="N131"/>
      <c r="O131"/>
      <c r="P131"/>
      <c r="Q131"/>
      <c r="R131"/>
      <c r="S131"/>
      <c r="T131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35732-1356-4C48-8622-B02268559942}">
  <dimension ref="A1:T135"/>
  <sheetViews>
    <sheetView topLeftCell="AS1" zoomScale="84" zoomScaleNormal="76" workbookViewId="0">
      <selection activeCell="M8" sqref="M8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26"/>
      <c r="B1" s="128" t="s">
        <v>0</v>
      </c>
      <c r="C1" s="128"/>
      <c r="D1" s="128"/>
      <c r="E1" s="128"/>
      <c r="F1" s="128"/>
      <c r="G1" s="128"/>
      <c r="H1" s="128"/>
      <c r="I1" s="128"/>
      <c r="J1" s="128"/>
      <c r="K1" s="128"/>
      <c r="L1" s="130"/>
      <c r="M1" s="131"/>
    </row>
    <row r="2" spans="1:20" ht="20.25" customHeight="1" x14ac:dyDescent="0.2">
      <c r="A2" s="127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32"/>
      <c r="M2" s="133"/>
    </row>
    <row r="3" spans="1:20" ht="12.75" customHeight="1" x14ac:dyDescent="0.2">
      <c r="A3" s="134" t="s">
        <v>1</v>
      </c>
      <c r="B3" s="136" t="s">
        <v>2</v>
      </c>
      <c r="C3" s="136"/>
      <c r="D3" s="136"/>
      <c r="E3" s="136"/>
      <c r="F3" s="136"/>
      <c r="G3" s="136"/>
      <c r="H3" s="136"/>
      <c r="I3" s="136"/>
      <c r="J3" s="136"/>
      <c r="K3" s="136"/>
      <c r="L3" s="138" t="s">
        <v>3</v>
      </c>
      <c r="M3" s="139"/>
    </row>
    <row r="4" spans="1:20" ht="13.5" thickBot="1" x14ac:dyDescent="0.25">
      <c r="A4" s="135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22" t="s">
        <v>6</v>
      </c>
      <c r="C6" s="122"/>
      <c r="D6" s="122"/>
      <c r="E6" s="122"/>
      <c r="F6" s="122"/>
      <c r="G6" s="122"/>
      <c r="H6" s="123" t="s">
        <v>7</v>
      </c>
      <c r="I6" s="124"/>
      <c r="J6" s="124"/>
      <c r="K6" s="124"/>
      <c r="L6" s="125"/>
      <c r="M6" s="25"/>
    </row>
    <row r="7" spans="1:20" s="14" customFormat="1" ht="49.5" customHeight="1" x14ac:dyDescent="0.2">
      <c r="A7" s="18" cm="1">
        <f t="array" aca="1" ref="A7" ca="1">+A67+A1:L7+A7:L7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466</v>
      </c>
      <c r="B8" s="85" t="s">
        <v>36</v>
      </c>
      <c r="C8" s="85" t="s">
        <v>37</v>
      </c>
      <c r="D8" s="84">
        <v>1</v>
      </c>
      <c r="E8" s="49">
        <v>30</v>
      </c>
      <c r="F8" s="85">
        <v>45938</v>
      </c>
      <c r="G8" s="86">
        <v>0.375</v>
      </c>
      <c r="H8" s="85">
        <v>45934</v>
      </c>
      <c r="I8" s="86">
        <v>0.79166666666666663</v>
      </c>
      <c r="J8" s="87">
        <f>E8-L8</f>
        <v>0</v>
      </c>
      <c r="K8" s="8">
        <v>1</v>
      </c>
      <c r="L8" s="88">
        <v>30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">
      <c r="A9" s="23" t="s">
        <v>466</v>
      </c>
      <c r="B9" s="85" t="s">
        <v>30</v>
      </c>
      <c r="C9" s="85" t="s">
        <v>31</v>
      </c>
      <c r="D9" s="84">
        <v>1</v>
      </c>
      <c r="E9" s="49">
        <v>30</v>
      </c>
      <c r="F9" s="85">
        <v>45938</v>
      </c>
      <c r="G9" s="86">
        <v>0.375</v>
      </c>
      <c r="H9" s="85">
        <v>45934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467</v>
      </c>
      <c r="O9" s="5" t="s">
        <v>155</v>
      </c>
    </row>
    <row r="10" spans="1:20" s="5" customFormat="1" ht="39" customHeight="1" x14ac:dyDescent="0.2">
      <c r="A10" s="79" t="s">
        <v>397</v>
      </c>
      <c r="B10" s="53" t="s">
        <v>42</v>
      </c>
      <c r="C10" s="53" t="s">
        <v>43</v>
      </c>
      <c r="D10" s="84">
        <v>1</v>
      </c>
      <c r="E10" s="49">
        <v>30</v>
      </c>
      <c r="F10" s="80">
        <v>45938</v>
      </c>
      <c r="G10" s="81">
        <v>0.375</v>
      </c>
      <c r="H10" s="80">
        <v>45936</v>
      </c>
      <c r="I10" s="81">
        <v>0.54166666666666663</v>
      </c>
      <c r="J10" s="87">
        <f t="shared" ref="J10:J63" si="0">E10-L10</f>
        <v>0</v>
      </c>
      <c r="K10" s="53">
        <v>1</v>
      </c>
      <c r="L10" s="53">
        <v>30</v>
      </c>
      <c r="M10" s="79" t="s">
        <v>398</v>
      </c>
    </row>
    <row r="11" spans="1:20" s="5" customFormat="1" ht="43.5" customHeight="1" x14ac:dyDescent="0.2">
      <c r="A11" s="79" t="s">
        <v>399</v>
      </c>
      <c r="B11" s="53" t="s">
        <v>42</v>
      </c>
      <c r="C11" s="53" t="s">
        <v>43</v>
      </c>
      <c r="D11" s="84">
        <v>1</v>
      </c>
      <c r="E11" s="49">
        <v>30</v>
      </c>
      <c r="F11" s="80">
        <v>45938</v>
      </c>
      <c r="G11" s="81">
        <v>0.375</v>
      </c>
      <c r="H11" s="80">
        <v>45936</v>
      </c>
      <c r="I11" s="81">
        <v>0.5625</v>
      </c>
      <c r="J11" s="87">
        <f t="shared" si="0"/>
        <v>2</v>
      </c>
      <c r="K11" s="53">
        <v>1</v>
      </c>
      <c r="L11" s="53">
        <v>28</v>
      </c>
      <c r="M11" s="79" t="s">
        <v>400</v>
      </c>
    </row>
    <row r="12" spans="1:20" s="5" customFormat="1" ht="43.5" customHeight="1" x14ac:dyDescent="0.2">
      <c r="A12" s="80" t="s">
        <v>401</v>
      </c>
      <c r="B12" s="53" t="s">
        <v>42</v>
      </c>
      <c r="C12" s="53" t="s">
        <v>43</v>
      </c>
      <c r="D12" s="84">
        <v>1</v>
      </c>
      <c r="E12" s="49">
        <v>30</v>
      </c>
      <c r="F12" s="80">
        <v>45938</v>
      </c>
      <c r="G12" s="81">
        <v>0.375</v>
      </c>
      <c r="H12" s="80">
        <v>45936</v>
      </c>
      <c r="I12" s="81">
        <v>0.58333333333333337</v>
      </c>
      <c r="J12" s="87">
        <f t="shared" si="0"/>
        <v>0</v>
      </c>
      <c r="K12" s="53">
        <v>1</v>
      </c>
      <c r="L12" s="53">
        <v>30</v>
      </c>
      <c r="M12" s="79" t="s">
        <v>403</v>
      </c>
    </row>
    <row r="13" spans="1:20" s="5" customFormat="1" ht="47.25" customHeight="1" x14ac:dyDescent="0.2">
      <c r="A13" s="79" t="s">
        <v>402</v>
      </c>
      <c r="B13" s="53" t="s">
        <v>42</v>
      </c>
      <c r="C13" s="53" t="s">
        <v>43</v>
      </c>
      <c r="D13" s="84">
        <v>1</v>
      </c>
      <c r="E13" s="49">
        <v>30</v>
      </c>
      <c r="F13" s="80">
        <v>45938</v>
      </c>
      <c r="G13" s="81">
        <v>0.375</v>
      </c>
      <c r="H13" s="80">
        <v>45936</v>
      </c>
      <c r="I13" s="81">
        <v>0.60416666666666663</v>
      </c>
      <c r="J13" s="87">
        <f t="shared" si="0"/>
        <v>7</v>
      </c>
      <c r="K13" s="53">
        <v>2</v>
      </c>
      <c r="L13" s="53">
        <v>23</v>
      </c>
      <c r="M13" s="79" t="s">
        <v>404</v>
      </c>
    </row>
    <row r="14" spans="1:20" s="5" customFormat="1" ht="43.5" customHeight="1" x14ac:dyDescent="0.2">
      <c r="A14" s="79" t="s">
        <v>405</v>
      </c>
      <c r="B14" s="53" t="s">
        <v>42</v>
      </c>
      <c r="C14" s="53" t="s">
        <v>43</v>
      </c>
      <c r="D14" s="84">
        <v>1</v>
      </c>
      <c r="E14" s="49">
        <v>30</v>
      </c>
      <c r="F14" s="80">
        <v>45938</v>
      </c>
      <c r="G14" s="81">
        <v>0.375</v>
      </c>
      <c r="H14" s="80">
        <v>45937</v>
      </c>
      <c r="I14" s="81">
        <v>0.41666666666666669</v>
      </c>
      <c r="J14" s="87">
        <f t="shared" si="0"/>
        <v>-2</v>
      </c>
      <c r="K14" s="53">
        <v>2</v>
      </c>
      <c r="L14" s="53">
        <v>32</v>
      </c>
      <c r="M14" s="79" t="s">
        <v>407</v>
      </c>
    </row>
    <row r="15" spans="1:20" s="5" customFormat="1" ht="39.75" customHeight="1" x14ac:dyDescent="0.2">
      <c r="A15" s="79" t="s">
        <v>405</v>
      </c>
      <c r="B15" s="53" t="s">
        <v>30</v>
      </c>
      <c r="C15" s="53" t="s">
        <v>31</v>
      </c>
      <c r="D15" s="84">
        <v>1</v>
      </c>
      <c r="E15" s="49">
        <v>30</v>
      </c>
      <c r="F15" s="80">
        <v>45938</v>
      </c>
      <c r="G15" s="81">
        <v>0.375</v>
      </c>
      <c r="H15" s="80">
        <v>45937</v>
      </c>
      <c r="I15" s="81">
        <v>0.41666666666666669</v>
      </c>
      <c r="J15" s="87">
        <f t="shared" si="0"/>
        <v>0</v>
      </c>
      <c r="K15" s="53">
        <v>2</v>
      </c>
      <c r="L15" s="53">
        <v>30</v>
      </c>
      <c r="M15" s="53" t="s">
        <v>408</v>
      </c>
    </row>
    <row r="16" spans="1:20" s="5" customFormat="1" ht="38.450000000000003" customHeight="1" x14ac:dyDescent="0.2">
      <c r="A16" s="39" t="s">
        <v>406</v>
      </c>
      <c r="B16" s="53" t="s">
        <v>21</v>
      </c>
      <c r="C16" s="53" t="s">
        <v>22</v>
      </c>
      <c r="D16" s="84">
        <v>1</v>
      </c>
      <c r="E16" s="49">
        <v>30</v>
      </c>
      <c r="F16" s="80">
        <v>45938</v>
      </c>
      <c r="G16" s="81">
        <v>0.375</v>
      </c>
      <c r="H16" s="80">
        <v>45936</v>
      </c>
      <c r="I16" s="81">
        <v>0.5</v>
      </c>
      <c r="J16" s="87">
        <f t="shared" si="0"/>
        <v>6</v>
      </c>
      <c r="K16" s="53">
        <v>2</v>
      </c>
      <c r="L16" s="53">
        <v>24</v>
      </c>
      <c r="M16" s="53" t="s">
        <v>408</v>
      </c>
    </row>
    <row r="17" spans="1:13" s="5" customFormat="1" ht="30.75" customHeight="1" x14ac:dyDescent="0.2">
      <c r="A17" s="39" t="s">
        <v>406</v>
      </c>
      <c r="B17" s="53" t="s">
        <v>39</v>
      </c>
      <c r="C17" s="53" t="s">
        <v>40</v>
      </c>
      <c r="D17" s="84">
        <v>1</v>
      </c>
      <c r="E17" s="49">
        <v>30</v>
      </c>
      <c r="F17" s="80">
        <v>45938</v>
      </c>
      <c r="G17" s="81">
        <v>0.375</v>
      </c>
      <c r="H17" s="80">
        <v>45937</v>
      </c>
      <c r="I17" s="81">
        <v>0.41666666666666669</v>
      </c>
      <c r="J17" s="87">
        <f t="shared" si="0"/>
        <v>5</v>
      </c>
      <c r="K17" s="53">
        <v>2</v>
      </c>
      <c r="L17" s="53">
        <v>25</v>
      </c>
      <c r="M17" s="53" t="s">
        <v>408</v>
      </c>
    </row>
    <row r="18" spans="1:13" s="5" customFormat="1" ht="41.25" customHeight="1" x14ac:dyDescent="0.2">
      <c r="A18" s="39" t="s">
        <v>406</v>
      </c>
      <c r="B18" s="53" t="s">
        <v>36</v>
      </c>
      <c r="C18" s="53" t="s">
        <v>37</v>
      </c>
      <c r="D18" s="84">
        <v>2</v>
      </c>
      <c r="E18" s="49">
        <v>30</v>
      </c>
      <c r="F18" s="80">
        <v>45938</v>
      </c>
      <c r="G18" s="81">
        <v>0.375</v>
      </c>
      <c r="H18" s="80">
        <v>45937</v>
      </c>
      <c r="I18" s="81">
        <v>0.41666666666666669</v>
      </c>
      <c r="J18" s="87">
        <f t="shared" si="0"/>
        <v>5</v>
      </c>
      <c r="K18" s="53">
        <v>2</v>
      </c>
      <c r="L18" s="53">
        <v>25</v>
      </c>
      <c r="M18" s="53" t="s">
        <v>408</v>
      </c>
    </row>
    <row r="19" spans="1:13" s="5" customFormat="1" ht="38.25" customHeight="1" x14ac:dyDescent="0.2">
      <c r="A19" t="s">
        <v>406</v>
      </c>
      <c r="B19" s="53" t="s">
        <v>136</v>
      </c>
      <c r="C19" s="53" t="s">
        <v>34</v>
      </c>
      <c r="D19" s="84">
        <v>1</v>
      </c>
      <c r="E19" s="49">
        <v>30</v>
      </c>
      <c r="F19" s="80">
        <v>45938</v>
      </c>
      <c r="G19" s="81">
        <v>0.375</v>
      </c>
      <c r="H19" s="80">
        <v>45937</v>
      </c>
      <c r="I19" s="81">
        <v>0.41666666666666669</v>
      </c>
      <c r="J19" s="87">
        <f t="shared" si="0"/>
        <v>4</v>
      </c>
      <c r="K19" s="53">
        <v>2</v>
      </c>
      <c r="L19" s="53">
        <v>26</v>
      </c>
      <c r="M19" s="53" t="s">
        <v>408</v>
      </c>
    </row>
    <row r="20" spans="1:13" s="5" customFormat="1" ht="40.5" customHeight="1" x14ac:dyDescent="0.2">
      <c r="A20" s="79" t="s">
        <v>409</v>
      </c>
      <c r="B20" s="53" t="s">
        <v>30</v>
      </c>
      <c r="C20" s="53" t="s">
        <v>31</v>
      </c>
      <c r="D20" s="84">
        <v>2</v>
      </c>
      <c r="E20" s="49">
        <v>30</v>
      </c>
      <c r="F20" s="80">
        <v>45938</v>
      </c>
      <c r="G20" s="81">
        <v>0.375</v>
      </c>
      <c r="H20" s="80">
        <v>45937</v>
      </c>
      <c r="I20" s="81">
        <v>0.4375</v>
      </c>
      <c r="J20" s="87">
        <f t="shared" si="0"/>
        <v>4</v>
      </c>
      <c r="K20" s="53">
        <v>1</v>
      </c>
      <c r="L20" s="53">
        <v>26</v>
      </c>
      <c r="M20" s="79" t="s">
        <v>439</v>
      </c>
    </row>
    <row r="21" spans="1:13" s="5" customFormat="1" ht="41.25" customHeight="1" x14ac:dyDescent="0.2">
      <c r="A21" s="79" t="s">
        <v>410</v>
      </c>
      <c r="B21" s="53" t="s">
        <v>30</v>
      </c>
      <c r="C21" s="53" t="s">
        <v>31</v>
      </c>
      <c r="D21" s="84">
        <v>1</v>
      </c>
      <c r="E21" s="49">
        <v>30</v>
      </c>
      <c r="F21" s="80">
        <v>45938</v>
      </c>
      <c r="G21" s="81">
        <v>0.375</v>
      </c>
      <c r="H21" s="80">
        <v>45937</v>
      </c>
      <c r="I21" s="81">
        <v>0.45833333333333331</v>
      </c>
      <c r="J21" s="87">
        <f t="shared" si="0"/>
        <v>4</v>
      </c>
      <c r="K21" s="53">
        <v>2</v>
      </c>
      <c r="L21" s="53">
        <v>26</v>
      </c>
      <c r="M21" s="79" t="s">
        <v>440</v>
      </c>
    </row>
    <row r="22" spans="1:13" s="5" customFormat="1" ht="42.75" customHeight="1" x14ac:dyDescent="0.2">
      <c r="A22" s="79" t="s">
        <v>411</v>
      </c>
      <c r="B22" s="53" t="s">
        <v>30</v>
      </c>
      <c r="C22" s="53" t="s">
        <v>31</v>
      </c>
      <c r="D22" s="84">
        <v>1</v>
      </c>
      <c r="E22" s="49">
        <v>30</v>
      </c>
      <c r="F22" s="80">
        <v>45938</v>
      </c>
      <c r="G22" s="81">
        <v>0.375</v>
      </c>
      <c r="H22" s="80">
        <v>45937</v>
      </c>
      <c r="I22" s="81">
        <v>0.47916666666666669</v>
      </c>
      <c r="J22" s="87">
        <f t="shared" si="0"/>
        <v>0</v>
      </c>
      <c r="K22" s="53">
        <v>2</v>
      </c>
      <c r="L22" s="53">
        <v>30</v>
      </c>
      <c r="M22" s="79" t="s">
        <v>441</v>
      </c>
    </row>
    <row r="23" spans="1:13" s="5" customFormat="1" ht="40.5" customHeight="1" x14ac:dyDescent="0.2">
      <c r="A23" s="79" t="s">
        <v>412</v>
      </c>
      <c r="B23" s="53" t="s">
        <v>36</v>
      </c>
      <c r="C23" s="53" t="s">
        <v>37</v>
      </c>
      <c r="D23" s="84">
        <v>2</v>
      </c>
      <c r="E23" s="49">
        <v>30</v>
      </c>
      <c r="F23" s="80">
        <v>45938</v>
      </c>
      <c r="G23" s="81">
        <v>0.375</v>
      </c>
      <c r="H23" s="80">
        <v>45937</v>
      </c>
      <c r="I23" s="81">
        <v>0.45833333333333331</v>
      </c>
      <c r="J23" s="87">
        <f t="shared" si="0"/>
        <v>4</v>
      </c>
      <c r="K23" s="53">
        <v>1</v>
      </c>
      <c r="L23" s="53">
        <v>26</v>
      </c>
      <c r="M23" s="79" t="s">
        <v>442</v>
      </c>
    </row>
    <row r="24" spans="1:13" s="5" customFormat="1" ht="41.25" customHeight="1" x14ac:dyDescent="0.2">
      <c r="A24" s="79" t="s">
        <v>413</v>
      </c>
      <c r="B24" s="53" t="s">
        <v>36</v>
      </c>
      <c r="C24" s="53" t="s">
        <v>37</v>
      </c>
      <c r="D24" s="84">
        <v>1</v>
      </c>
      <c r="E24" s="49">
        <v>30</v>
      </c>
      <c r="F24" s="80">
        <v>45938</v>
      </c>
      <c r="G24" s="81">
        <v>0.375</v>
      </c>
      <c r="H24" s="80">
        <v>45937</v>
      </c>
      <c r="I24" s="81">
        <v>0.47916666666666669</v>
      </c>
      <c r="J24" s="87">
        <f t="shared" si="0"/>
        <v>4</v>
      </c>
      <c r="K24" s="53">
        <v>1</v>
      </c>
      <c r="L24" s="53">
        <v>26</v>
      </c>
      <c r="M24" s="79" t="s">
        <v>443</v>
      </c>
    </row>
    <row r="25" spans="1:13" s="5" customFormat="1" ht="41.25" customHeight="1" x14ac:dyDescent="0.2">
      <c r="A25" s="79" t="s">
        <v>414</v>
      </c>
      <c r="B25" s="53" t="s">
        <v>36</v>
      </c>
      <c r="C25" s="53" t="s">
        <v>37</v>
      </c>
      <c r="D25" s="84">
        <v>1</v>
      </c>
      <c r="E25" s="49">
        <v>30</v>
      </c>
      <c r="F25" s="80">
        <v>45938</v>
      </c>
      <c r="G25" s="81">
        <v>0.375</v>
      </c>
      <c r="H25" s="80">
        <v>45937</v>
      </c>
      <c r="I25" s="81">
        <v>0.5</v>
      </c>
      <c r="J25" s="87">
        <f t="shared" si="0"/>
        <v>4</v>
      </c>
      <c r="K25" s="53">
        <v>1</v>
      </c>
      <c r="L25" s="53">
        <v>26</v>
      </c>
      <c r="M25" s="79" t="s">
        <v>444</v>
      </c>
    </row>
    <row r="26" spans="1:13" s="5" customFormat="1" ht="41.25" customHeight="1" x14ac:dyDescent="0.2">
      <c r="A26" s="79" t="s">
        <v>415</v>
      </c>
      <c r="B26" s="53" t="s">
        <v>136</v>
      </c>
      <c r="C26" s="53" t="s">
        <v>34</v>
      </c>
      <c r="D26" s="84">
        <v>1</v>
      </c>
      <c r="E26" s="49">
        <v>30</v>
      </c>
      <c r="F26" s="80">
        <v>45938</v>
      </c>
      <c r="G26" s="81">
        <v>0.375</v>
      </c>
      <c r="H26" s="80">
        <v>45937</v>
      </c>
      <c r="I26" s="81">
        <v>0.33333333333333331</v>
      </c>
      <c r="J26" s="87">
        <f t="shared" si="0"/>
        <v>4</v>
      </c>
      <c r="K26" s="53">
        <v>1</v>
      </c>
      <c r="L26" s="53">
        <v>26</v>
      </c>
      <c r="M26" s="79" t="s">
        <v>445</v>
      </c>
    </row>
    <row r="27" spans="1:13" s="5" customFormat="1" ht="42.75" customHeight="1" x14ac:dyDescent="0.2">
      <c r="A27" s="79" t="s">
        <v>416</v>
      </c>
      <c r="B27" s="53" t="s">
        <v>136</v>
      </c>
      <c r="C27" s="53" t="s">
        <v>34</v>
      </c>
      <c r="D27" s="84">
        <v>1</v>
      </c>
      <c r="E27" s="49">
        <v>30</v>
      </c>
      <c r="F27" s="80">
        <v>45938</v>
      </c>
      <c r="G27" s="81">
        <v>0.375</v>
      </c>
      <c r="H27" s="80">
        <v>45937</v>
      </c>
      <c r="I27" s="81">
        <v>0.35416666666666669</v>
      </c>
      <c r="J27" s="87">
        <f t="shared" si="0"/>
        <v>4</v>
      </c>
      <c r="K27" s="53">
        <v>1</v>
      </c>
      <c r="L27" s="53">
        <v>26</v>
      </c>
      <c r="M27" s="79" t="s">
        <v>446</v>
      </c>
    </row>
    <row r="28" spans="1:13" s="5" customFormat="1" ht="48.75" customHeight="1" x14ac:dyDescent="0.2">
      <c r="A28" s="79" t="s">
        <v>417</v>
      </c>
      <c r="B28" s="53" t="s">
        <v>21</v>
      </c>
      <c r="C28" s="53" t="s">
        <v>22</v>
      </c>
      <c r="D28" s="84">
        <v>1</v>
      </c>
      <c r="E28" s="49">
        <v>30</v>
      </c>
      <c r="F28" s="80">
        <v>45938</v>
      </c>
      <c r="G28" s="81">
        <v>0.375</v>
      </c>
      <c r="H28" s="80">
        <v>45936</v>
      </c>
      <c r="I28" s="81">
        <v>0.52083333333333337</v>
      </c>
      <c r="J28" s="87">
        <f t="shared" si="0"/>
        <v>0</v>
      </c>
      <c r="K28" s="53">
        <v>1</v>
      </c>
      <c r="L28" s="53">
        <v>30</v>
      </c>
      <c r="M28" s="79" t="s">
        <v>447</v>
      </c>
    </row>
    <row r="29" spans="1:13" s="5" customFormat="1" ht="36.75" customHeight="1" x14ac:dyDescent="0.2">
      <c r="A29" s="79" t="s">
        <v>418</v>
      </c>
      <c r="B29" s="53" t="s">
        <v>39</v>
      </c>
      <c r="C29" s="53" t="s">
        <v>40</v>
      </c>
      <c r="D29" s="84">
        <v>1</v>
      </c>
      <c r="E29" s="49">
        <v>30</v>
      </c>
      <c r="F29" s="80">
        <v>45938</v>
      </c>
      <c r="G29" s="81">
        <v>0.375</v>
      </c>
      <c r="H29" s="80">
        <v>45937</v>
      </c>
      <c r="I29" s="81">
        <v>0.45833333333333331</v>
      </c>
      <c r="J29" s="87">
        <f t="shared" si="0"/>
        <v>0</v>
      </c>
      <c r="K29" s="53">
        <v>1</v>
      </c>
      <c r="L29" s="53">
        <v>30</v>
      </c>
      <c r="M29" s="79" t="s">
        <v>448</v>
      </c>
    </row>
    <row r="30" spans="1:13" s="5" customFormat="1" ht="37.5" customHeight="1" x14ac:dyDescent="0.2">
      <c r="A30" s="79" t="s">
        <v>419</v>
      </c>
      <c r="B30" s="53" t="s">
        <v>39</v>
      </c>
      <c r="C30" s="53" t="s">
        <v>40</v>
      </c>
      <c r="D30" s="84">
        <v>1</v>
      </c>
      <c r="E30" s="49">
        <v>30</v>
      </c>
      <c r="F30" s="80">
        <v>45938</v>
      </c>
      <c r="G30" s="81">
        <v>0.375</v>
      </c>
      <c r="H30" s="80">
        <v>45937</v>
      </c>
      <c r="I30" s="81">
        <v>0.47916666666666669</v>
      </c>
      <c r="J30" s="87">
        <f t="shared" si="0"/>
        <v>0</v>
      </c>
      <c r="K30" s="53">
        <v>1</v>
      </c>
      <c r="L30" s="53">
        <v>30</v>
      </c>
      <c r="M30" s="79" t="s">
        <v>449</v>
      </c>
    </row>
    <row r="31" spans="1:13" s="5" customFormat="1" ht="38.25" customHeight="1" x14ac:dyDescent="0.2">
      <c r="A31" s="79" t="s">
        <v>420</v>
      </c>
      <c r="B31" s="53" t="s">
        <v>136</v>
      </c>
      <c r="C31" s="53" t="s">
        <v>34</v>
      </c>
      <c r="D31" s="84">
        <v>1</v>
      </c>
      <c r="E31" s="49">
        <v>30</v>
      </c>
      <c r="F31" s="80">
        <v>45938</v>
      </c>
      <c r="G31" s="81">
        <v>0.375</v>
      </c>
      <c r="H31" s="80">
        <v>45937</v>
      </c>
      <c r="I31" s="81">
        <v>0.375</v>
      </c>
      <c r="J31" s="87">
        <f t="shared" si="0"/>
        <v>0</v>
      </c>
      <c r="K31" s="53">
        <v>1</v>
      </c>
      <c r="L31" s="53">
        <v>30</v>
      </c>
      <c r="M31" s="79" t="s">
        <v>450</v>
      </c>
    </row>
    <row r="32" spans="1:13" s="5" customFormat="1" ht="38.25" customHeight="1" x14ac:dyDescent="0.2">
      <c r="A32" s="79" t="s">
        <v>421</v>
      </c>
      <c r="B32" s="53" t="s">
        <v>21</v>
      </c>
      <c r="C32" s="53" t="s">
        <v>22</v>
      </c>
      <c r="D32" s="84">
        <v>1</v>
      </c>
      <c r="E32" s="49">
        <v>30</v>
      </c>
      <c r="F32" s="80">
        <v>45938</v>
      </c>
      <c r="G32" s="81">
        <v>0.375</v>
      </c>
      <c r="H32" s="80">
        <v>45936</v>
      </c>
      <c r="I32" s="81">
        <v>0.54166666666666663</v>
      </c>
      <c r="J32" s="87">
        <f t="shared" si="0"/>
        <v>0</v>
      </c>
      <c r="K32" s="53">
        <v>1</v>
      </c>
      <c r="L32" s="53">
        <v>30</v>
      </c>
      <c r="M32" s="79" t="s">
        <v>451</v>
      </c>
    </row>
    <row r="33" spans="1:13" s="5" customFormat="1" ht="38.25" customHeight="1" x14ac:dyDescent="0.2">
      <c r="A33" s="79" t="s">
        <v>422</v>
      </c>
      <c r="B33" s="53" t="s">
        <v>42</v>
      </c>
      <c r="C33" s="53" t="s">
        <v>43</v>
      </c>
      <c r="D33" s="84">
        <v>1</v>
      </c>
      <c r="E33" s="49">
        <v>30</v>
      </c>
      <c r="F33" s="80">
        <v>45938</v>
      </c>
      <c r="G33" s="81">
        <v>0.375</v>
      </c>
      <c r="H33" s="80">
        <v>45937</v>
      </c>
      <c r="I33" s="81">
        <v>0.45833333333333331</v>
      </c>
      <c r="J33" s="87">
        <f t="shared" si="0"/>
        <v>0</v>
      </c>
      <c r="K33" s="53">
        <v>1</v>
      </c>
      <c r="L33" s="53">
        <v>30</v>
      </c>
      <c r="M33" s="79" t="s">
        <v>452</v>
      </c>
    </row>
    <row r="34" spans="1:13" s="5" customFormat="1" ht="44.25" customHeight="1" x14ac:dyDescent="0.2">
      <c r="A34" s="79" t="s">
        <v>423</v>
      </c>
      <c r="B34" s="53" t="s">
        <v>465</v>
      </c>
      <c r="C34" s="53" t="s">
        <v>43</v>
      </c>
      <c r="D34" s="84">
        <v>1</v>
      </c>
      <c r="E34" s="49">
        <v>30</v>
      </c>
      <c r="F34" s="80">
        <v>45938</v>
      </c>
      <c r="G34" s="81">
        <v>0.375</v>
      </c>
      <c r="H34" s="80">
        <v>45937</v>
      </c>
      <c r="I34" s="81">
        <v>0.47916666666666669</v>
      </c>
      <c r="J34" s="87">
        <f t="shared" si="0"/>
        <v>0</v>
      </c>
      <c r="K34" s="53">
        <v>1</v>
      </c>
      <c r="L34" s="53">
        <v>30</v>
      </c>
      <c r="M34" s="79" t="s">
        <v>453</v>
      </c>
    </row>
    <row r="35" spans="1:13" s="5" customFormat="1" ht="55.5" customHeight="1" x14ac:dyDescent="0.2">
      <c r="A35" s="79" t="s">
        <v>424</v>
      </c>
      <c r="B35" s="53" t="s">
        <v>42</v>
      </c>
      <c r="C35" s="53" t="s">
        <v>43</v>
      </c>
      <c r="D35" s="84">
        <v>1</v>
      </c>
      <c r="E35" s="49">
        <v>30</v>
      </c>
      <c r="F35" s="80">
        <v>45938</v>
      </c>
      <c r="G35" s="81">
        <v>0.375</v>
      </c>
      <c r="H35" s="80">
        <v>45937</v>
      </c>
      <c r="I35" s="81">
        <v>0.5</v>
      </c>
      <c r="J35" s="87">
        <f t="shared" si="0"/>
        <v>0</v>
      </c>
      <c r="K35" s="53">
        <v>1</v>
      </c>
      <c r="L35" s="53">
        <v>30</v>
      </c>
      <c r="M35" s="79" t="s">
        <v>454</v>
      </c>
    </row>
    <row r="36" spans="1:13" s="5" customFormat="1" ht="39" customHeight="1" x14ac:dyDescent="0.2">
      <c r="A36" s="79" t="s">
        <v>425</v>
      </c>
      <c r="B36" s="53" t="s">
        <v>21</v>
      </c>
      <c r="C36" s="53" t="s">
        <v>22</v>
      </c>
      <c r="D36" s="84">
        <v>1</v>
      </c>
      <c r="E36" s="49">
        <v>30</v>
      </c>
      <c r="F36" s="80">
        <v>45938</v>
      </c>
      <c r="G36" s="81">
        <v>0.375</v>
      </c>
      <c r="H36" s="80">
        <v>45936</v>
      </c>
      <c r="I36" s="81">
        <v>0.5625</v>
      </c>
      <c r="J36" s="87">
        <f t="shared" si="0"/>
        <v>0</v>
      </c>
      <c r="K36" s="53">
        <v>1</v>
      </c>
      <c r="L36" s="53">
        <v>30</v>
      </c>
      <c r="M36" s="79" t="s">
        <v>455</v>
      </c>
    </row>
    <row r="37" spans="1:13" s="5" customFormat="1" ht="42" customHeight="1" x14ac:dyDescent="0.2">
      <c r="A37" s="79" t="s">
        <v>426</v>
      </c>
      <c r="B37" s="53" t="s">
        <v>39</v>
      </c>
      <c r="C37" s="53" t="s">
        <v>40</v>
      </c>
      <c r="D37" s="84">
        <v>1</v>
      </c>
      <c r="E37" s="49">
        <v>30</v>
      </c>
      <c r="F37" s="80">
        <v>45938</v>
      </c>
      <c r="G37" s="81">
        <v>0.375</v>
      </c>
      <c r="H37" s="80">
        <v>45937</v>
      </c>
      <c r="I37" s="81">
        <v>0.5</v>
      </c>
      <c r="J37" s="87">
        <f t="shared" si="0"/>
        <v>0</v>
      </c>
      <c r="K37" s="53">
        <v>1</v>
      </c>
      <c r="L37" s="53">
        <v>30</v>
      </c>
      <c r="M37" s="79" t="s">
        <v>456</v>
      </c>
    </row>
    <row r="38" spans="1:13" s="5" customFormat="1" ht="47.25" customHeight="1" x14ac:dyDescent="0.2">
      <c r="A38" s="79" t="s">
        <v>427</v>
      </c>
      <c r="B38" s="53" t="s">
        <v>21</v>
      </c>
      <c r="C38" s="53" t="s">
        <v>22</v>
      </c>
      <c r="D38" s="84">
        <v>1</v>
      </c>
      <c r="E38" s="49">
        <v>30</v>
      </c>
      <c r="F38" s="80">
        <v>45938</v>
      </c>
      <c r="G38" s="81">
        <v>0.375</v>
      </c>
      <c r="H38" s="80">
        <v>45936</v>
      </c>
      <c r="I38" s="81">
        <v>0.58333333333333337</v>
      </c>
      <c r="J38" s="87">
        <f t="shared" ref="J38:J40" si="1">E38-L38</f>
        <v>0</v>
      </c>
      <c r="K38" s="53">
        <v>1</v>
      </c>
      <c r="L38" s="53">
        <v>30</v>
      </c>
      <c r="M38" s="79" t="s">
        <v>457</v>
      </c>
    </row>
    <row r="39" spans="1:13" s="5" customFormat="1" ht="39.75" customHeight="1" x14ac:dyDescent="0.2">
      <c r="A39" s="79" t="s">
        <v>428</v>
      </c>
      <c r="B39" s="53" t="s">
        <v>36</v>
      </c>
      <c r="C39" s="53" t="s">
        <v>37</v>
      </c>
      <c r="D39" s="84">
        <v>1</v>
      </c>
      <c r="E39" s="49">
        <v>30</v>
      </c>
      <c r="F39" s="80">
        <v>45938</v>
      </c>
      <c r="G39" s="81">
        <v>0.375</v>
      </c>
      <c r="H39" s="80">
        <v>45937</v>
      </c>
      <c r="I39" s="81">
        <v>0.5</v>
      </c>
      <c r="J39" s="87">
        <f t="shared" ref="J39" si="2">E39-L39</f>
        <v>0</v>
      </c>
      <c r="K39" s="53">
        <v>1</v>
      </c>
      <c r="L39" s="53">
        <v>30</v>
      </c>
      <c r="M39" s="79" t="s">
        <v>53</v>
      </c>
    </row>
    <row r="40" spans="1:13" s="5" customFormat="1" ht="47.25" customHeight="1" x14ac:dyDescent="0.2">
      <c r="A40" s="79" t="s">
        <v>429</v>
      </c>
      <c r="B40" s="53" t="s">
        <v>39</v>
      </c>
      <c r="C40" s="53" t="s">
        <v>40</v>
      </c>
      <c r="D40" s="84">
        <v>1</v>
      </c>
      <c r="E40" s="49">
        <v>30</v>
      </c>
      <c r="F40" s="80">
        <v>45938</v>
      </c>
      <c r="G40" s="81">
        <v>0.375</v>
      </c>
      <c r="H40" s="80">
        <v>45937</v>
      </c>
      <c r="I40" s="81">
        <v>0.52083333333333337</v>
      </c>
      <c r="J40" s="87">
        <f t="shared" si="1"/>
        <v>0</v>
      </c>
      <c r="K40" s="53">
        <v>1</v>
      </c>
      <c r="L40" s="53">
        <v>30</v>
      </c>
      <c r="M40" s="79" t="s">
        <v>53</v>
      </c>
    </row>
    <row r="41" spans="1:13" s="5" customFormat="1" ht="39" customHeight="1" x14ac:dyDescent="0.2">
      <c r="A41" s="79" t="s">
        <v>430</v>
      </c>
      <c r="B41" s="53" t="s">
        <v>42</v>
      </c>
      <c r="C41" s="53" t="s">
        <v>43</v>
      </c>
      <c r="D41" s="84">
        <v>1</v>
      </c>
      <c r="E41" s="49">
        <v>30</v>
      </c>
      <c r="F41" s="80">
        <v>45938</v>
      </c>
      <c r="G41" s="81">
        <v>0.375</v>
      </c>
      <c r="H41" s="80">
        <v>45937</v>
      </c>
      <c r="I41" s="81">
        <v>0.52083333333333337</v>
      </c>
      <c r="J41" s="87">
        <f t="shared" si="0"/>
        <v>0</v>
      </c>
      <c r="K41" s="53">
        <v>1</v>
      </c>
      <c r="L41" s="53">
        <v>30</v>
      </c>
      <c r="M41" s="79" t="s">
        <v>460</v>
      </c>
    </row>
    <row r="42" spans="1:13" s="5" customFormat="1" ht="38.25" customHeight="1" x14ac:dyDescent="0.2">
      <c r="A42" s="79" t="s">
        <v>431</v>
      </c>
      <c r="B42" s="53" t="s">
        <v>30</v>
      </c>
      <c r="C42" s="53" t="s">
        <v>31</v>
      </c>
      <c r="D42" s="84">
        <v>1</v>
      </c>
      <c r="E42" s="49">
        <v>30</v>
      </c>
      <c r="F42" s="80">
        <v>45938</v>
      </c>
      <c r="G42" s="81">
        <v>0.375</v>
      </c>
      <c r="H42" s="80">
        <v>45937</v>
      </c>
      <c r="I42" s="81">
        <v>0.5</v>
      </c>
      <c r="J42" s="87">
        <f t="shared" ref="J42" si="3">E42-L42</f>
        <v>0</v>
      </c>
      <c r="K42" s="53">
        <v>1</v>
      </c>
      <c r="L42" s="53">
        <v>30</v>
      </c>
      <c r="M42" s="79" t="s">
        <v>458</v>
      </c>
    </row>
    <row r="43" spans="1:13" s="5" customFormat="1" ht="38.25" customHeight="1" x14ac:dyDescent="0.2">
      <c r="A43" s="79" t="s">
        <v>432</v>
      </c>
      <c r="B43" s="53" t="s">
        <v>136</v>
      </c>
      <c r="C43" s="53" t="s">
        <v>34</v>
      </c>
      <c r="D43" s="84">
        <v>1</v>
      </c>
      <c r="E43" s="49">
        <v>30</v>
      </c>
      <c r="F43" s="80">
        <v>45938</v>
      </c>
      <c r="G43" s="81">
        <v>0.375</v>
      </c>
      <c r="H43" s="80">
        <v>45937</v>
      </c>
      <c r="I43" s="81">
        <v>0.39583333333333331</v>
      </c>
      <c r="J43" s="87">
        <f t="shared" si="0"/>
        <v>0</v>
      </c>
      <c r="K43" s="53">
        <v>1</v>
      </c>
      <c r="L43" s="53">
        <v>30</v>
      </c>
      <c r="M43" s="79" t="s">
        <v>459</v>
      </c>
    </row>
    <row r="44" spans="1:13" s="5" customFormat="1" ht="42" customHeight="1" x14ac:dyDescent="0.2">
      <c r="A44" s="79" t="s">
        <v>433</v>
      </c>
      <c r="B44" s="53" t="s">
        <v>21</v>
      </c>
      <c r="C44" s="53" t="s">
        <v>22</v>
      </c>
      <c r="D44" s="84">
        <v>1</v>
      </c>
      <c r="E44" s="49">
        <v>30</v>
      </c>
      <c r="F44" s="80">
        <v>45938</v>
      </c>
      <c r="G44" s="81">
        <v>0.375</v>
      </c>
      <c r="H44" s="80">
        <v>45936</v>
      </c>
      <c r="I44" s="81">
        <v>0.60416666666666663</v>
      </c>
      <c r="J44" s="87">
        <f t="shared" ref="J44" si="4">E44-L44</f>
        <v>0</v>
      </c>
      <c r="K44" s="53">
        <v>1</v>
      </c>
      <c r="L44" s="53">
        <v>30</v>
      </c>
      <c r="M44" s="79" t="s">
        <v>464</v>
      </c>
    </row>
    <row r="45" spans="1:13" s="5" customFormat="1" ht="32.450000000000003" customHeight="1" x14ac:dyDescent="0.2">
      <c r="A45" s="79" t="s">
        <v>433</v>
      </c>
      <c r="B45" s="53" t="s">
        <v>30</v>
      </c>
      <c r="C45" s="53" t="s">
        <v>31</v>
      </c>
      <c r="D45" s="84">
        <v>1</v>
      </c>
      <c r="E45" s="49">
        <v>30</v>
      </c>
      <c r="F45" s="80">
        <v>45938</v>
      </c>
      <c r="G45" s="81">
        <v>0.375</v>
      </c>
      <c r="H45" s="80">
        <v>45937</v>
      </c>
      <c r="I45" s="81">
        <v>0.52083333333333337</v>
      </c>
      <c r="J45" s="87">
        <f t="shared" si="0"/>
        <v>0</v>
      </c>
      <c r="K45" s="53">
        <v>1</v>
      </c>
      <c r="L45" s="53">
        <v>30</v>
      </c>
      <c r="M45" s="79" t="s">
        <v>464</v>
      </c>
    </row>
    <row r="46" spans="1:13" ht="35.25" customHeight="1" x14ac:dyDescent="0.2">
      <c r="A46" s="79" t="s">
        <v>433</v>
      </c>
      <c r="B46" s="53" t="s">
        <v>136</v>
      </c>
      <c r="C46" s="53" t="s">
        <v>34</v>
      </c>
      <c r="D46" s="84">
        <v>1</v>
      </c>
      <c r="E46" s="49">
        <v>30</v>
      </c>
      <c r="F46" s="80">
        <v>45938</v>
      </c>
      <c r="G46" s="81">
        <v>0.375</v>
      </c>
      <c r="H46" s="80">
        <v>45937</v>
      </c>
      <c r="I46" s="81">
        <v>0.41666666666666669</v>
      </c>
      <c r="J46" s="87">
        <f t="shared" ref="J46" si="5">E46-L46</f>
        <v>0</v>
      </c>
      <c r="K46" s="53">
        <v>1</v>
      </c>
      <c r="L46" s="53">
        <v>30</v>
      </c>
      <c r="M46" s="79" t="s">
        <v>464</v>
      </c>
    </row>
    <row r="47" spans="1:13" s="5" customFormat="1" ht="47.1" customHeight="1" x14ac:dyDescent="0.2">
      <c r="A47" s="79" t="s">
        <v>433</v>
      </c>
      <c r="B47" s="53" t="s">
        <v>42</v>
      </c>
      <c r="C47" s="53" t="s">
        <v>43</v>
      </c>
      <c r="D47" s="84">
        <v>1</v>
      </c>
      <c r="E47" s="49">
        <v>30</v>
      </c>
      <c r="F47" s="80">
        <v>45938</v>
      </c>
      <c r="G47" s="81">
        <v>0.375</v>
      </c>
      <c r="H47" s="80">
        <v>45937</v>
      </c>
      <c r="I47" s="81">
        <v>0.54166666666666663</v>
      </c>
      <c r="J47" s="87">
        <f t="shared" si="0"/>
        <v>0</v>
      </c>
      <c r="K47" s="53">
        <v>1</v>
      </c>
      <c r="L47" s="53">
        <v>30</v>
      </c>
      <c r="M47" s="79" t="s">
        <v>464</v>
      </c>
    </row>
    <row r="48" spans="1:13" s="5" customFormat="1" ht="43.5" customHeight="1" x14ac:dyDescent="0.2">
      <c r="A48" s="79" t="s">
        <v>433</v>
      </c>
      <c r="B48" s="53" t="s">
        <v>39</v>
      </c>
      <c r="C48" s="53" t="s">
        <v>40</v>
      </c>
      <c r="D48" s="84">
        <v>1</v>
      </c>
      <c r="E48" s="49">
        <v>30</v>
      </c>
      <c r="F48" s="80">
        <v>45938</v>
      </c>
      <c r="G48" s="81">
        <v>0.375</v>
      </c>
      <c r="H48" s="80">
        <v>45937</v>
      </c>
      <c r="I48" s="81">
        <v>0.54166666666666663</v>
      </c>
      <c r="J48" s="87">
        <f t="shared" si="0"/>
        <v>0</v>
      </c>
      <c r="K48" s="53">
        <v>1</v>
      </c>
      <c r="L48" s="53">
        <v>30</v>
      </c>
      <c r="M48" s="79" t="s">
        <v>464</v>
      </c>
    </row>
    <row r="49" spans="1:13" s="5" customFormat="1" ht="43.5" customHeight="1" x14ac:dyDescent="0.2">
      <c r="A49" s="79" t="s">
        <v>433</v>
      </c>
      <c r="B49" s="53" t="s">
        <v>36</v>
      </c>
      <c r="C49" s="53" t="s">
        <v>37</v>
      </c>
      <c r="D49" s="84">
        <v>1</v>
      </c>
      <c r="E49" s="49">
        <v>30</v>
      </c>
      <c r="F49" s="80">
        <v>45938</v>
      </c>
      <c r="G49" s="81">
        <v>0.375</v>
      </c>
      <c r="H49" s="80">
        <v>45937</v>
      </c>
      <c r="I49" s="81">
        <v>0.52083333333333337</v>
      </c>
      <c r="J49" s="87">
        <f t="shared" si="0"/>
        <v>0</v>
      </c>
      <c r="K49" s="53">
        <v>1</v>
      </c>
      <c r="L49" s="53">
        <v>30</v>
      </c>
      <c r="M49" s="79" t="s">
        <v>464</v>
      </c>
    </row>
    <row r="50" spans="1:13" s="5" customFormat="1" ht="61.5" customHeight="1" x14ac:dyDescent="0.2">
      <c r="A50" s="79" t="s">
        <v>434</v>
      </c>
      <c r="B50" s="53" t="s">
        <v>21</v>
      </c>
      <c r="C50" s="53" t="s">
        <v>22</v>
      </c>
      <c r="D50" s="84">
        <v>1</v>
      </c>
      <c r="E50" s="49">
        <v>30</v>
      </c>
      <c r="F50" s="80">
        <v>45938</v>
      </c>
      <c r="G50" s="81">
        <v>0.375</v>
      </c>
      <c r="H50" s="80">
        <v>45937</v>
      </c>
      <c r="I50" s="81">
        <v>0.625</v>
      </c>
      <c r="J50" s="87">
        <f t="shared" ref="J50" si="6">E50-L50</f>
        <v>0</v>
      </c>
      <c r="K50" s="53">
        <v>1</v>
      </c>
      <c r="L50" s="53">
        <v>30</v>
      </c>
      <c r="M50" s="79" t="s">
        <v>461</v>
      </c>
    </row>
    <row r="51" spans="1:13" s="5" customFormat="1" ht="56.25" customHeight="1" x14ac:dyDescent="0.2">
      <c r="A51" s="79" t="s">
        <v>434</v>
      </c>
      <c r="B51" s="53" t="s">
        <v>30</v>
      </c>
      <c r="C51" s="53" t="s">
        <v>31</v>
      </c>
      <c r="D51" s="84">
        <v>1</v>
      </c>
      <c r="E51" s="49">
        <v>30</v>
      </c>
      <c r="F51" s="80">
        <v>45938</v>
      </c>
      <c r="G51" s="81">
        <v>0.375</v>
      </c>
      <c r="H51" s="80">
        <v>45937</v>
      </c>
      <c r="I51" s="81">
        <v>0.54166666666666663</v>
      </c>
      <c r="J51" s="87">
        <f t="shared" si="0"/>
        <v>0</v>
      </c>
      <c r="K51" s="53">
        <v>1</v>
      </c>
      <c r="L51" s="53">
        <v>30</v>
      </c>
      <c r="M51" s="79" t="s">
        <v>461</v>
      </c>
    </row>
    <row r="52" spans="1:13" s="5" customFormat="1" ht="43.5" customHeight="1" x14ac:dyDescent="0.2">
      <c r="A52" s="79" t="s">
        <v>434</v>
      </c>
      <c r="B52" s="53" t="s">
        <v>42</v>
      </c>
      <c r="C52" s="53" t="s">
        <v>43</v>
      </c>
      <c r="D52" s="84">
        <v>1</v>
      </c>
      <c r="E52" s="49">
        <v>30</v>
      </c>
      <c r="F52" s="80">
        <v>45938</v>
      </c>
      <c r="G52" s="81">
        <v>0.375</v>
      </c>
      <c r="H52" s="80">
        <v>45937</v>
      </c>
      <c r="I52" s="81">
        <v>0.5625</v>
      </c>
      <c r="J52" s="87">
        <f t="shared" ref="J52" si="7">E52-L52</f>
        <v>0</v>
      </c>
      <c r="K52" s="53">
        <v>1</v>
      </c>
      <c r="L52" s="53">
        <v>30</v>
      </c>
      <c r="M52" s="79" t="s">
        <v>461</v>
      </c>
    </row>
    <row r="53" spans="1:13" s="5" customFormat="1" ht="42.75" customHeight="1" x14ac:dyDescent="0.2">
      <c r="A53" s="79" t="s">
        <v>434</v>
      </c>
      <c r="B53" s="53" t="s">
        <v>136</v>
      </c>
      <c r="C53" s="53" t="s">
        <v>34</v>
      </c>
      <c r="D53" s="84">
        <v>1</v>
      </c>
      <c r="E53" s="49">
        <v>30</v>
      </c>
      <c r="F53" s="80">
        <v>45938</v>
      </c>
      <c r="G53" s="81">
        <v>0.375</v>
      </c>
      <c r="H53" s="80">
        <v>45937</v>
      </c>
      <c r="I53" s="81">
        <v>0.4375</v>
      </c>
      <c r="J53" s="87">
        <f t="shared" si="0"/>
        <v>0</v>
      </c>
      <c r="K53" s="53">
        <v>1</v>
      </c>
      <c r="L53" s="53">
        <v>30</v>
      </c>
      <c r="M53" s="79" t="s">
        <v>461</v>
      </c>
    </row>
    <row r="54" spans="1:13" s="5" customFormat="1" ht="52.5" customHeight="1" x14ac:dyDescent="0.2">
      <c r="A54" s="79" t="s">
        <v>434</v>
      </c>
      <c r="B54" s="53" t="s">
        <v>36</v>
      </c>
      <c r="C54" s="53" t="s">
        <v>37</v>
      </c>
      <c r="D54" s="84">
        <v>1</v>
      </c>
      <c r="E54" s="49">
        <v>30</v>
      </c>
      <c r="F54" s="80">
        <v>45938</v>
      </c>
      <c r="G54" s="81">
        <v>0.375</v>
      </c>
      <c r="H54" s="80">
        <v>45937</v>
      </c>
      <c r="I54" s="81">
        <v>0.54166666666666663</v>
      </c>
      <c r="J54" s="87">
        <f t="shared" ref="J54" si="8">E54-L54</f>
        <v>0</v>
      </c>
      <c r="K54" s="53">
        <v>1</v>
      </c>
      <c r="L54" s="53">
        <v>30</v>
      </c>
      <c r="M54" s="79" t="s">
        <v>461</v>
      </c>
    </row>
    <row r="55" spans="1:13" s="5" customFormat="1" ht="60" customHeight="1" x14ac:dyDescent="0.2">
      <c r="A55" s="79" t="s">
        <v>434</v>
      </c>
      <c r="B55" s="53" t="s">
        <v>39</v>
      </c>
      <c r="C55" s="53" t="s">
        <v>40</v>
      </c>
      <c r="D55" s="84">
        <v>1</v>
      </c>
      <c r="E55" s="49">
        <v>30</v>
      </c>
      <c r="F55" s="80">
        <v>45938</v>
      </c>
      <c r="G55" s="81">
        <v>0.375</v>
      </c>
      <c r="H55" s="80">
        <v>45937</v>
      </c>
      <c r="I55" s="81">
        <v>0.5625</v>
      </c>
      <c r="J55" s="87">
        <f t="shared" si="0"/>
        <v>0</v>
      </c>
      <c r="K55" s="53">
        <v>1</v>
      </c>
      <c r="L55" s="53">
        <v>30</v>
      </c>
      <c r="M55" s="79" t="s">
        <v>461</v>
      </c>
    </row>
    <row r="56" spans="1:13" s="5" customFormat="1" ht="56.25" customHeight="1" x14ac:dyDescent="0.2">
      <c r="A56" s="79" t="s">
        <v>435</v>
      </c>
      <c r="B56" s="53" t="s">
        <v>21</v>
      </c>
      <c r="C56" s="53" t="s">
        <v>22</v>
      </c>
      <c r="D56" s="84">
        <v>1</v>
      </c>
      <c r="E56" s="49">
        <v>30</v>
      </c>
      <c r="F56" s="80">
        <v>45938</v>
      </c>
      <c r="G56" s="81">
        <v>0.375</v>
      </c>
      <c r="H56" s="80">
        <v>45937</v>
      </c>
      <c r="I56" s="81">
        <v>0.64583333333333337</v>
      </c>
      <c r="J56" s="87">
        <f t="shared" ref="J56" si="9">E56-L56</f>
        <v>0</v>
      </c>
      <c r="K56" s="53">
        <v>1</v>
      </c>
      <c r="L56" s="53">
        <v>30</v>
      </c>
      <c r="M56" s="79" t="s">
        <v>462</v>
      </c>
    </row>
    <row r="57" spans="1:13" s="5" customFormat="1" ht="55.5" customHeight="1" x14ac:dyDescent="0.2">
      <c r="A57" s="79" t="s">
        <v>435</v>
      </c>
      <c r="B57" s="53" t="s">
        <v>30</v>
      </c>
      <c r="C57" s="53" t="s">
        <v>31</v>
      </c>
      <c r="D57" s="84">
        <v>1</v>
      </c>
      <c r="E57" s="49">
        <v>30</v>
      </c>
      <c r="F57" s="80">
        <v>45938</v>
      </c>
      <c r="G57" s="81">
        <v>0.375</v>
      </c>
      <c r="H57" s="80">
        <v>45937</v>
      </c>
      <c r="I57" s="81">
        <v>0.5625</v>
      </c>
      <c r="J57" s="87">
        <f t="shared" si="0"/>
        <v>0</v>
      </c>
      <c r="K57" s="53">
        <v>1</v>
      </c>
      <c r="L57" s="53">
        <v>30</v>
      </c>
      <c r="M57" s="79" t="s">
        <v>462</v>
      </c>
    </row>
    <row r="58" spans="1:13" s="5" customFormat="1" ht="59.25" customHeight="1" x14ac:dyDescent="0.2">
      <c r="A58" s="79" t="s">
        <v>435</v>
      </c>
      <c r="B58" s="53" t="s">
        <v>39</v>
      </c>
      <c r="C58" s="53" t="s">
        <v>40</v>
      </c>
      <c r="D58" s="84">
        <v>1</v>
      </c>
      <c r="E58" s="49">
        <v>30</v>
      </c>
      <c r="F58" s="80">
        <v>45938</v>
      </c>
      <c r="G58" s="81">
        <v>0.375</v>
      </c>
      <c r="H58" s="80">
        <v>45937</v>
      </c>
      <c r="I58" s="81">
        <v>0.58333333333333337</v>
      </c>
      <c r="J58" s="87">
        <f t="shared" ref="J58" si="10">E58-L58</f>
        <v>0</v>
      </c>
      <c r="K58" s="53">
        <v>1</v>
      </c>
      <c r="L58" s="53">
        <v>30</v>
      </c>
      <c r="M58" s="79" t="s">
        <v>462</v>
      </c>
    </row>
    <row r="59" spans="1:13" s="5" customFormat="1" ht="53.25" customHeight="1" x14ac:dyDescent="0.2">
      <c r="A59" s="79" t="s">
        <v>435</v>
      </c>
      <c r="B59" s="53" t="s">
        <v>42</v>
      </c>
      <c r="C59" s="53" t="s">
        <v>43</v>
      </c>
      <c r="D59" s="84">
        <v>1</v>
      </c>
      <c r="E59" s="49">
        <v>30</v>
      </c>
      <c r="F59" s="80">
        <v>45938</v>
      </c>
      <c r="G59" s="81">
        <v>0.375</v>
      </c>
      <c r="H59" s="80">
        <v>45937</v>
      </c>
      <c r="I59" s="81">
        <v>0.58333333333333337</v>
      </c>
      <c r="J59" s="87">
        <f t="shared" si="0"/>
        <v>0</v>
      </c>
      <c r="K59" s="53">
        <v>1</v>
      </c>
      <c r="L59" s="53">
        <v>30</v>
      </c>
      <c r="M59" s="79" t="s">
        <v>462</v>
      </c>
    </row>
    <row r="60" spans="1:13" s="5" customFormat="1" ht="58.5" customHeight="1" x14ac:dyDescent="0.2">
      <c r="A60" s="79" t="s">
        <v>435</v>
      </c>
      <c r="B60" s="53" t="s">
        <v>36</v>
      </c>
      <c r="C60" s="53" t="s">
        <v>37</v>
      </c>
      <c r="D60" s="84">
        <v>1</v>
      </c>
      <c r="E60" s="49">
        <v>30</v>
      </c>
      <c r="F60" s="80">
        <v>45938</v>
      </c>
      <c r="G60" s="81">
        <v>0.375</v>
      </c>
      <c r="H60" s="80">
        <v>45937</v>
      </c>
      <c r="I60" s="81">
        <v>0.5625</v>
      </c>
      <c r="J60" s="87">
        <f t="shared" ref="J60" si="11">E60-L60</f>
        <v>2</v>
      </c>
      <c r="K60" s="53">
        <v>1</v>
      </c>
      <c r="L60" s="53">
        <v>28</v>
      </c>
      <c r="M60" s="79" t="s">
        <v>462</v>
      </c>
    </row>
    <row r="61" spans="1:13" s="5" customFormat="1" ht="57.75" customHeight="1" x14ac:dyDescent="0.2">
      <c r="A61" s="79" t="s">
        <v>435</v>
      </c>
      <c r="B61" s="53" t="s">
        <v>136</v>
      </c>
      <c r="C61" s="53" t="s">
        <v>34</v>
      </c>
      <c r="D61" s="84">
        <v>1</v>
      </c>
      <c r="E61" s="49">
        <v>30</v>
      </c>
      <c r="F61" s="80">
        <v>45938</v>
      </c>
      <c r="G61" s="81">
        <v>0.375</v>
      </c>
      <c r="H61" s="80">
        <v>45937</v>
      </c>
      <c r="I61" s="81">
        <v>0.45833333333333331</v>
      </c>
      <c r="J61" s="87">
        <f t="shared" si="0"/>
        <v>10</v>
      </c>
      <c r="K61" s="53">
        <v>1</v>
      </c>
      <c r="L61" s="53">
        <v>20</v>
      </c>
      <c r="M61" s="79" t="s">
        <v>462</v>
      </c>
    </row>
    <row r="62" spans="1:13" s="5" customFormat="1" ht="40.5" customHeight="1" x14ac:dyDescent="0.2">
      <c r="A62" s="79" t="s">
        <v>436</v>
      </c>
      <c r="B62" s="53" t="s">
        <v>21</v>
      </c>
      <c r="C62" s="53" t="s">
        <v>22</v>
      </c>
      <c r="D62" s="84">
        <v>1</v>
      </c>
      <c r="E62" s="49">
        <v>30</v>
      </c>
      <c r="F62" s="80">
        <v>45938</v>
      </c>
      <c r="G62" s="81">
        <v>0.375</v>
      </c>
      <c r="H62" s="80">
        <v>45937</v>
      </c>
      <c r="I62" s="81">
        <v>0.6875</v>
      </c>
      <c r="J62" s="87">
        <f t="shared" si="0"/>
        <v>0</v>
      </c>
      <c r="K62" s="53">
        <v>1</v>
      </c>
      <c r="L62" s="53">
        <v>30</v>
      </c>
      <c r="M62" s="79" t="s">
        <v>463</v>
      </c>
    </row>
    <row r="63" spans="1:13" s="5" customFormat="1" ht="40.5" customHeight="1" x14ac:dyDescent="0.2">
      <c r="A63" s="79" t="s">
        <v>437</v>
      </c>
      <c r="B63" s="53" t="s">
        <v>36</v>
      </c>
      <c r="C63" s="53" t="s">
        <v>37</v>
      </c>
      <c r="D63" s="84">
        <v>1</v>
      </c>
      <c r="E63" s="49">
        <v>30</v>
      </c>
      <c r="F63" s="80">
        <v>45938</v>
      </c>
      <c r="G63" s="81">
        <v>0.375</v>
      </c>
      <c r="H63" s="80">
        <v>45937</v>
      </c>
      <c r="I63" s="81">
        <v>0.6875</v>
      </c>
      <c r="J63" s="87">
        <f t="shared" si="0"/>
        <v>0</v>
      </c>
      <c r="K63" s="53">
        <v>1</v>
      </c>
      <c r="L63" s="53">
        <v>30</v>
      </c>
      <c r="M63" s="79" t="s">
        <v>438</v>
      </c>
    </row>
    <row r="64" spans="1:13" s="5" customFormat="1" ht="38.25" customHeight="1" x14ac:dyDescent="0.2">
      <c r="A64" s="106" t="s">
        <v>123</v>
      </c>
      <c r="B64" s="85" t="s">
        <v>36</v>
      </c>
      <c r="C64" s="85" t="s">
        <v>37</v>
      </c>
      <c r="D64" s="49">
        <v>1</v>
      </c>
      <c r="E64" s="49">
        <v>20</v>
      </c>
      <c r="F64" s="85">
        <v>45938</v>
      </c>
      <c r="G64" s="86">
        <v>0.375</v>
      </c>
      <c r="H64" s="85">
        <v>45937</v>
      </c>
      <c r="I64" s="86">
        <v>0.80555555555555558</v>
      </c>
      <c r="J64" s="87">
        <f>E64-L64</f>
        <v>0</v>
      </c>
      <c r="K64" s="53">
        <v>1</v>
      </c>
      <c r="L64" s="88">
        <v>20</v>
      </c>
      <c r="M64" s="93" t="s">
        <v>124</v>
      </c>
    </row>
    <row r="65" spans="1:13" s="5" customFormat="1" ht="38.25" customHeight="1" x14ac:dyDescent="0.2">
      <c r="A65" s="38" t="s">
        <v>123</v>
      </c>
      <c r="B65" s="85" t="s">
        <v>143</v>
      </c>
      <c r="C65" s="85" t="s">
        <v>43</v>
      </c>
      <c r="D65" s="49">
        <v>1</v>
      </c>
      <c r="E65" s="49">
        <v>20</v>
      </c>
      <c r="F65" s="85">
        <v>45938</v>
      </c>
      <c r="G65" s="86">
        <v>0.375</v>
      </c>
      <c r="H65" s="85">
        <v>45937</v>
      </c>
      <c r="I65" s="86">
        <v>0.80555555555555558</v>
      </c>
      <c r="J65" s="87">
        <f t="shared" ref="J65:J86" si="12">E65-L65</f>
        <v>0</v>
      </c>
      <c r="K65" s="8">
        <v>1</v>
      </c>
      <c r="L65" s="88">
        <v>20</v>
      </c>
      <c r="M65" s="93" t="s">
        <v>124</v>
      </c>
    </row>
    <row r="66" spans="1:13" s="5" customFormat="1" ht="27" customHeight="1" x14ac:dyDescent="0.2">
      <c r="A66" s="13" t="s">
        <v>175</v>
      </c>
      <c r="B66" s="13" t="s">
        <v>36</v>
      </c>
      <c r="C66" s="13" t="s">
        <v>37</v>
      </c>
      <c r="D66" s="53">
        <v>1</v>
      </c>
      <c r="E66" s="53">
        <v>30</v>
      </c>
      <c r="F66" s="13">
        <v>45938</v>
      </c>
      <c r="G66" s="86">
        <v>0.375</v>
      </c>
      <c r="H66" s="13">
        <v>45937</v>
      </c>
      <c r="I66" s="12">
        <v>0.83333333333333337</v>
      </c>
      <c r="J66" s="53">
        <f t="shared" si="12"/>
        <v>6</v>
      </c>
      <c r="K66" s="50">
        <v>1</v>
      </c>
      <c r="L66" s="68">
        <v>24</v>
      </c>
      <c r="M66" s="52" t="s">
        <v>176</v>
      </c>
    </row>
    <row r="67" spans="1:13" s="5" customFormat="1" ht="33" customHeight="1" x14ac:dyDescent="0.2">
      <c r="A67" s="13" t="s">
        <v>177</v>
      </c>
      <c r="B67" s="13" t="s">
        <v>39</v>
      </c>
      <c r="C67" s="13" t="s">
        <v>40</v>
      </c>
      <c r="D67" s="53">
        <v>1</v>
      </c>
      <c r="E67" s="53">
        <v>30</v>
      </c>
      <c r="F67" s="13">
        <v>45938</v>
      </c>
      <c r="G67" s="86">
        <v>0.375</v>
      </c>
      <c r="H67" s="13">
        <v>45937</v>
      </c>
      <c r="I67" s="12">
        <v>0.83333333333333337</v>
      </c>
      <c r="J67" s="53">
        <f t="shared" si="12"/>
        <v>0</v>
      </c>
      <c r="K67" s="50">
        <v>1</v>
      </c>
      <c r="L67" s="68">
        <v>30</v>
      </c>
      <c r="M67" s="52" t="s">
        <v>178</v>
      </c>
    </row>
    <row r="68" spans="1:13" s="5" customFormat="1" ht="33.75" customHeight="1" x14ac:dyDescent="0.2">
      <c r="A68" s="61" t="s">
        <v>179</v>
      </c>
      <c r="B68" s="13" t="s">
        <v>39</v>
      </c>
      <c r="C68" s="13" t="s">
        <v>40</v>
      </c>
      <c r="D68" s="53">
        <v>5</v>
      </c>
      <c r="E68" s="53">
        <v>50</v>
      </c>
      <c r="F68" s="13">
        <v>45938</v>
      </c>
      <c r="G68" s="86">
        <v>0.375</v>
      </c>
      <c r="H68" s="13">
        <v>45937</v>
      </c>
      <c r="I68" s="12">
        <v>0.86805555555555558</v>
      </c>
      <c r="J68" s="53">
        <f t="shared" si="12"/>
        <v>5</v>
      </c>
      <c r="K68" s="50">
        <v>5</v>
      </c>
      <c r="L68" s="68">
        <v>45</v>
      </c>
      <c r="M68" s="52" t="s">
        <v>180</v>
      </c>
    </row>
    <row r="69" spans="1:13" s="5" customFormat="1" ht="32.25" customHeight="1" x14ac:dyDescent="0.2">
      <c r="A69" s="23" t="s">
        <v>146</v>
      </c>
      <c r="B69" s="85" t="s">
        <v>30</v>
      </c>
      <c r="C69" s="90" t="s">
        <v>207</v>
      </c>
      <c r="D69" s="84">
        <v>1</v>
      </c>
      <c r="E69" s="49">
        <v>60</v>
      </c>
      <c r="F69" s="85">
        <v>45938</v>
      </c>
      <c r="G69" s="86">
        <v>0.375</v>
      </c>
      <c r="H69" s="85">
        <v>45937</v>
      </c>
      <c r="I69" s="86">
        <v>0.91666666666666663</v>
      </c>
      <c r="J69" s="87">
        <f t="shared" si="12"/>
        <v>50</v>
      </c>
      <c r="K69" s="8">
        <v>1</v>
      </c>
      <c r="L69" s="88">
        <v>10</v>
      </c>
      <c r="M69" s="91" t="s">
        <v>149</v>
      </c>
    </row>
    <row r="70" spans="1:13" s="5" customFormat="1" ht="27" customHeight="1" x14ac:dyDescent="0.2">
      <c r="A70" s="23" t="s">
        <v>146</v>
      </c>
      <c r="B70" s="85" t="s">
        <v>42</v>
      </c>
      <c r="C70" s="85" t="s">
        <v>77</v>
      </c>
      <c r="D70" s="84">
        <v>1</v>
      </c>
      <c r="E70" s="49">
        <v>60</v>
      </c>
      <c r="F70" s="85">
        <v>45938</v>
      </c>
      <c r="G70" s="86">
        <v>0.375</v>
      </c>
      <c r="H70" s="85">
        <v>45937</v>
      </c>
      <c r="I70" s="86">
        <v>0.91666666666666663</v>
      </c>
      <c r="J70" s="87">
        <f t="shared" si="12"/>
        <v>50</v>
      </c>
      <c r="K70" s="8">
        <v>1</v>
      </c>
      <c r="L70" s="88">
        <v>10</v>
      </c>
      <c r="M70" s="91" t="s">
        <v>149</v>
      </c>
    </row>
    <row r="71" spans="1:13" s="5" customFormat="1" ht="24.95" customHeight="1" x14ac:dyDescent="0.2">
      <c r="A71" s="23" t="s">
        <v>146</v>
      </c>
      <c r="B71" s="85" t="s">
        <v>21</v>
      </c>
      <c r="C71" s="85" t="s">
        <v>86</v>
      </c>
      <c r="D71" s="84">
        <v>1</v>
      </c>
      <c r="E71" s="49">
        <v>60</v>
      </c>
      <c r="F71" s="85">
        <v>45938</v>
      </c>
      <c r="G71" s="86">
        <v>0.375</v>
      </c>
      <c r="H71" s="85">
        <v>45937</v>
      </c>
      <c r="I71" s="86">
        <v>0.91666666666666663</v>
      </c>
      <c r="J71" s="87">
        <f t="shared" si="12"/>
        <v>50</v>
      </c>
      <c r="K71" s="8">
        <v>1</v>
      </c>
      <c r="L71" s="88">
        <v>10</v>
      </c>
      <c r="M71" s="91" t="s">
        <v>149</v>
      </c>
    </row>
    <row r="72" spans="1:13" s="5" customFormat="1" ht="28.5" customHeight="1" x14ac:dyDescent="0.2">
      <c r="A72" s="23" t="s">
        <v>146</v>
      </c>
      <c r="B72" s="85" t="s">
        <v>136</v>
      </c>
      <c r="C72" s="85" t="s">
        <v>151</v>
      </c>
      <c r="D72" s="84">
        <v>1</v>
      </c>
      <c r="E72" s="49">
        <v>60</v>
      </c>
      <c r="F72" s="85">
        <v>45938</v>
      </c>
      <c r="G72" s="86">
        <v>0.375</v>
      </c>
      <c r="H72" s="85">
        <v>45937</v>
      </c>
      <c r="I72" s="86">
        <v>0.91666666666666663</v>
      </c>
      <c r="J72" s="87">
        <f t="shared" si="12"/>
        <v>50</v>
      </c>
      <c r="K72" s="8">
        <v>1</v>
      </c>
      <c r="L72" s="88">
        <v>10</v>
      </c>
      <c r="M72" s="91" t="s">
        <v>149</v>
      </c>
    </row>
    <row r="73" spans="1:13" s="5" customFormat="1" ht="35.450000000000003" customHeight="1" x14ac:dyDescent="0.2">
      <c r="A73" s="23" t="s">
        <v>146</v>
      </c>
      <c r="B73" s="85" t="s">
        <v>36</v>
      </c>
      <c r="C73" s="85" t="s">
        <v>80</v>
      </c>
      <c r="D73" s="84">
        <v>1</v>
      </c>
      <c r="E73" s="49">
        <v>60</v>
      </c>
      <c r="F73" s="85">
        <v>45938</v>
      </c>
      <c r="G73" s="86">
        <v>0.375</v>
      </c>
      <c r="H73" s="85">
        <v>45937</v>
      </c>
      <c r="I73" s="86">
        <v>0.91666666666666663</v>
      </c>
      <c r="J73" s="87">
        <f t="shared" si="12"/>
        <v>50</v>
      </c>
      <c r="K73" s="8">
        <v>1</v>
      </c>
      <c r="L73" s="88">
        <v>10</v>
      </c>
      <c r="M73" s="91" t="s">
        <v>149</v>
      </c>
    </row>
    <row r="74" spans="1:13" s="5" customFormat="1" ht="36.6" customHeight="1" x14ac:dyDescent="0.2">
      <c r="A74" s="23" t="s">
        <v>146</v>
      </c>
      <c r="B74" s="85" t="s">
        <v>39</v>
      </c>
      <c r="C74" s="85" t="s">
        <v>150</v>
      </c>
      <c r="D74" s="84">
        <v>1</v>
      </c>
      <c r="E74" s="49">
        <v>60</v>
      </c>
      <c r="F74" s="85">
        <v>45938</v>
      </c>
      <c r="G74" s="86">
        <v>0.375</v>
      </c>
      <c r="H74" s="85">
        <v>45937</v>
      </c>
      <c r="I74" s="86">
        <v>0.91666666666666663</v>
      </c>
      <c r="J74" s="87">
        <f t="shared" si="12"/>
        <v>50</v>
      </c>
      <c r="K74" s="8">
        <v>1</v>
      </c>
      <c r="L74" s="88">
        <v>10</v>
      </c>
      <c r="M74" s="91" t="s">
        <v>149</v>
      </c>
    </row>
    <row r="75" spans="1:13" s="5" customFormat="1" ht="36.6" customHeight="1" x14ac:dyDescent="0.2">
      <c r="A75" s="23" t="s">
        <v>52</v>
      </c>
      <c r="B75" s="89" t="s">
        <v>21</v>
      </c>
      <c r="C75" s="90" t="s">
        <v>22</v>
      </c>
      <c r="D75" s="84">
        <v>1</v>
      </c>
      <c r="E75" s="49">
        <v>30</v>
      </c>
      <c r="F75" s="85">
        <v>45938</v>
      </c>
      <c r="G75" s="86">
        <v>0.375</v>
      </c>
      <c r="H75" s="85">
        <v>45937</v>
      </c>
      <c r="I75" s="86">
        <v>0.91666666666666663</v>
      </c>
      <c r="J75" s="87">
        <f t="shared" si="12"/>
        <v>0</v>
      </c>
      <c r="K75" s="8">
        <v>1</v>
      </c>
      <c r="L75" s="88">
        <v>30</v>
      </c>
      <c r="M75" s="91" t="s">
        <v>53</v>
      </c>
    </row>
    <row r="76" spans="1:13" s="5" customFormat="1" ht="35.450000000000003" customHeight="1" x14ac:dyDescent="0.2">
      <c r="A76" s="23" t="s">
        <v>153</v>
      </c>
      <c r="B76" s="89" t="s">
        <v>36</v>
      </c>
      <c r="C76" s="90" t="s">
        <v>37</v>
      </c>
      <c r="D76" s="84">
        <v>1</v>
      </c>
      <c r="E76" s="5">
        <v>30</v>
      </c>
      <c r="F76" s="85">
        <v>45938</v>
      </c>
      <c r="G76" s="86">
        <v>0.375</v>
      </c>
      <c r="H76" s="85">
        <v>45937</v>
      </c>
      <c r="I76" s="86">
        <v>0.91666666666666663</v>
      </c>
      <c r="J76" s="87">
        <f t="shared" si="12"/>
        <v>0</v>
      </c>
      <c r="K76" s="8">
        <v>1</v>
      </c>
      <c r="L76" s="88">
        <v>30</v>
      </c>
      <c r="M76" s="91" t="s">
        <v>53</v>
      </c>
    </row>
    <row r="77" spans="1:13" s="5" customFormat="1" ht="35.450000000000003" customHeight="1" x14ac:dyDescent="0.2">
      <c r="A77" s="23" t="s">
        <v>79</v>
      </c>
      <c r="B77" s="85" t="s">
        <v>36</v>
      </c>
      <c r="C77" s="90" t="s">
        <v>37</v>
      </c>
      <c r="D77" s="84">
        <v>1</v>
      </c>
      <c r="E77" s="49">
        <v>45</v>
      </c>
      <c r="F77" s="85">
        <v>45938</v>
      </c>
      <c r="G77" s="86">
        <v>0.375</v>
      </c>
      <c r="H77" s="85">
        <v>45937</v>
      </c>
      <c r="I77" s="86">
        <v>0.9375</v>
      </c>
      <c r="J77" s="87">
        <f t="shared" si="12"/>
        <v>-35</v>
      </c>
      <c r="K77" s="8">
        <v>1</v>
      </c>
      <c r="L77" s="88">
        <v>80</v>
      </c>
      <c r="M77" s="91" t="s">
        <v>81</v>
      </c>
    </row>
    <row r="78" spans="1:13" s="5" customFormat="1" ht="35.450000000000003" customHeight="1" x14ac:dyDescent="0.2">
      <c r="A78" s="23" t="s">
        <v>85</v>
      </c>
      <c r="B78" s="85" t="s">
        <v>21</v>
      </c>
      <c r="C78" s="90" t="s">
        <v>22</v>
      </c>
      <c r="D78" s="84">
        <v>1</v>
      </c>
      <c r="E78" s="49">
        <v>60</v>
      </c>
      <c r="F78" s="85">
        <v>45938</v>
      </c>
      <c r="G78" s="86">
        <v>0.375</v>
      </c>
      <c r="H78" s="85">
        <v>45937</v>
      </c>
      <c r="I78" s="86">
        <v>0.9375</v>
      </c>
      <c r="J78" s="87">
        <f t="shared" si="12"/>
        <v>10</v>
      </c>
      <c r="K78" s="8">
        <v>1</v>
      </c>
      <c r="L78" s="88">
        <v>50</v>
      </c>
      <c r="M78" s="91" t="s">
        <v>87</v>
      </c>
    </row>
    <row r="79" spans="1:13" s="5" customFormat="1" ht="35.450000000000003" customHeight="1" x14ac:dyDescent="0.2">
      <c r="A79" s="23" t="s">
        <v>88</v>
      </c>
      <c r="B79" s="85" t="s">
        <v>21</v>
      </c>
      <c r="C79" s="85" t="s">
        <v>22</v>
      </c>
      <c r="D79" s="84">
        <v>1</v>
      </c>
      <c r="E79" s="49">
        <v>55</v>
      </c>
      <c r="F79" s="85">
        <v>45938</v>
      </c>
      <c r="G79" s="86">
        <v>0.375</v>
      </c>
      <c r="H79" s="85">
        <v>45937</v>
      </c>
      <c r="I79" s="86">
        <v>0.9375</v>
      </c>
      <c r="J79" s="87">
        <f t="shared" si="12"/>
        <v>0</v>
      </c>
      <c r="K79" s="8">
        <v>1</v>
      </c>
      <c r="L79" s="88">
        <v>55</v>
      </c>
      <c r="M79" s="91" t="s">
        <v>89</v>
      </c>
    </row>
    <row r="80" spans="1:13" s="5" customFormat="1" ht="35.450000000000003" customHeight="1" x14ac:dyDescent="0.2">
      <c r="A80" s="33" t="s">
        <v>131</v>
      </c>
      <c r="B80" s="85" t="s">
        <v>36</v>
      </c>
      <c r="C80" s="85" t="s">
        <v>37</v>
      </c>
      <c r="D80" s="49">
        <v>1</v>
      </c>
      <c r="E80" s="49">
        <v>30</v>
      </c>
      <c r="F80" s="85">
        <v>45938</v>
      </c>
      <c r="G80" s="86">
        <v>0.375</v>
      </c>
      <c r="H80" s="85">
        <v>45937</v>
      </c>
      <c r="I80" s="86">
        <v>0.9375</v>
      </c>
      <c r="J80" s="87">
        <f t="shared" si="12"/>
        <v>-2</v>
      </c>
      <c r="K80" s="8">
        <v>1</v>
      </c>
      <c r="L80" s="88">
        <v>32</v>
      </c>
      <c r="M80" s="91" t="s">
        <v>132</v>
      </c>
    </row>
    <row r="81" spans="1:13" s="5" customFormat="1" ht="35.450000000000003" customHeight="1" x14ac:dyDescent="0.2">
      <c r="A81" s="33" t="s">
        <v>131</v>
      </c>
      <c r="B81" s="85" t="s">
        <v>42</v>
      </c>
      <c r="C81" s="85" t="s">
        <v>43</v>
      </c>
      <c r="D81" s="49">
        <v>1</v>
      </c>
      <c r="E81" s="49">
        <v>30</v>
      </c>
      <c r="F81" s="85">
        <v>45938</v>
      </c>
      <c r="G81" s="86">
        <v>0.375</v>
      </c>
      <c r="H81" s="85">
        <v>45937</v>
      </c>
      <c r="I81" s="86">
        <v>0.9375</v>
      </c>
      <c r="J81" s="87">
        <f t="shared" si="12"/>
        <v>-2</v>
      </c>
      <c r="K81" s="8">
        <v>1</v>
      </c>
      <c r="L81" s="88">
        <v>32</v>
      </c>
      <c r="M81" s="91" t="s">
        <v>132</v>
      </c>
    </row>
    <row r="82" spans="1:13" s="5" customFormat="1" ht="35.450000000000003" customHeight="1" x14ac:dyDescent="0.2">
      <c r="A82" s="33" t="s">
        <v>131</v>
      </c>
      <c r="B82" s="85" t="s">
        <v>30</v>
      </c>
      <c r="C82" s="85" t="s">
        <v>31</v>
      </c>
      <c r="D82" s="49">
        <v>1</v>
      </c>
      <c r="E82" s="49">
        <v>30</v>
      </c>
      <c r="F82" s="85">
        <v>45938</v>
      </c>
      <c r="G82" s="86">
        <v>0.375</v>
      </c>
      <c r="H82" s="85">
        <v>45937</v>
      </c>
      <c r="I82" s="86">
        <v>0.9375</v>
      </c>
      <c r="J82" s="87">
        <f t="shared" si="12"/>
        <v>-2</v>
      </c>
      <c r="K82" s="8">
        <v>1</v>
      </c>
      <c r="L82" s="88">
        <v>32</v>
      </c>
      <c r="M82" s="91" t="s">
        <v>132</v>
      </c>
    </row>
    <row r="83" spans="1:13" s="5" customFormat="1" ht="35.450000000000003" customHeight="1" x14ac:dyDescent="0.2">
      <c r="A83" s="33" t="s">
        <v>131</v>
      </c>
      <c r="B83" s="85" t="s">
        <v>21</v>
      </c>
      <c r="C83" s="85" t="s">
        <v>22</v>
      </c>
      <c r="D83" s="49">
        <v>1</v>
      </c>
      <c r="E83" s="49">
        <v>30</v>
      </c>
      <c r="F83" s="85">
        <v>45938</v>
      </c>
      <c r="G83" s="86">
        <v>0.375</v>
      </c>
      <c r="H83" s="85">
        <v>45937</v>
      </c>
      <c r="I83" s="86">
        <v>0.9375</v>
      </c>
      <c r="J83" s="87">
        <f t="shared" si="12"/>
        <v>-2</v>
      </c>
      <c r="K83" s="8">
        <v>1</v>
      </c>
      <c r="L83" s="88">
        <v>32</v>
      </c>
      <c r="M83" s="91" t="s">
        <v>132</v>
      </c>
    </row>
    <row r="84" spans="1:13" s="5" customFormat="1" ht="35.450000000000003" customHeight="1" x14ac:dyDescent="0.2">
      <c r="A84" s="33" t="s">
        <v>131</v>
      </c>
      <c r="B84" s="85" t="s">
        <v>136</v>
      </c>
      <c r="C84" s="85" t="s">
        <v>34</v>
      </c>
      <c r="D84" s="49">
        <v>1</v>
      </c>
      <c r="E84" s="49">
        <v>30</v>
      </c>
      <c r="F84" s="85">
        <v>45938</v>
      </c>
      <c r="G84" s="86">
        <v>0.375</v>
      </c>
      <c r="H84" s="85">
        <v>45937</v>
      </c>
      <c r="I84" s="86">
        <v>0.9375</v>
      </c>
      <c r="J84" s="87">
        <f t="shared" si="12"/>
        <v>-2</v>
      </c>
      <c r="K84" s="8">
        <v>1</v>
      </c>
      <c r="L84" s="88">
        <v>32</v>
      </c>
      <c r="M84" s="91" t="s">
        <v>132</v>
      </c>
    </row>
    <row r="85" spans="1:13" s="5" customFormat="1" ht="35.450000000000003" customHeight="1" x14ac:dyDescent="0.2">
      <c r="A85" s="33" t="s">
        <v>131</v>
      </c>
      <c r="B85" s="85" t="s">
        <v>39</v>
      </c>
      <c r="C85" s="85" t="s">
        <v>40</v>
      </c>
      <c r="D85" s="49">
        <v>1</v>
      </c>
      <c r="E85" s="49">
        <v>30</v>
      </c>
      <c r="F85" s="85">
        <v>45938</v>
      </c>
      <c r="G85" s="86">
        <v>0.375</v>
      </c>
      <c r="H85" s="85">
        <v>45937</v>
      </c>
      <c r="I85" s="86">
        <v>0.9375</v>
      </c>
      <c r="J85" s="87">
        <f t="shared" si="12"/>
        <v>-2</v>
      </c>
      <c r="K85" s="8">
        <v>1</v>
      </c>
      <c r="L85" s="88">
        <v>32</v>
      </c>
      <c r="M85" s="91" t="s">
        <v>132</v>
      </c>
    </row>
    <row r="86" spans="1:13" s="5" customFormat="1" ht="35.450000000000003" customHeight="1" x14ac:dyDescent="0.2">
      <c r="A86" s="33" t="s">
        <v>133</v>
      </c>
      <c r="B86" s="85" t="s">
        <v>21</v>
      </c>
      <c r="C86" s="85" t="s">
        <v>22</v>
      </c>
      <c r="D86" s="49">
        <v>3</v>
      </c>
      <c r="E86" s="49">
        <v>20</v>
      </c>
      <c r="F86" s="85">
        <v>45938</v>
      </c>
      <c r="G86" s="86">
        <v>0.375</v>
      </c>
      <c r="H86" s="85">
        <v>45938</v>
      </c>
      <c r="I86" s="86">
        <v>0.375</v>
      </c>
      <c r="J86" s="87">
        <f t="shared" si="12"/>
        <v>5</v>
      </c>
      <c r="K86" s="8">
        <v>3</v>
      </c>
      <c r="L86" s="88">
        <v>15</v>
      </c>
      <c r="M86" s="91" t="s">
        <v>134</v>
      </c>
    </row>
    <row r="87" spans="1:13" s="5" customFormat="1" ht="35.450000000000003" customHeight="1" x14ac:dyDescent="0.2">
      <c r="A87"/>
      <c r="B87"/>
      <c r="C87"/>
      <c r="D87"/>
      <c r="E87"/>
      <c r="F87"/>
      <c r="G87"/>
      <c r="H87"/>
      <c r="I87"/>
      <c r="J87"/>
      <c r="K87"/>
      <c r="L87"/>
      <c r="M87"/>
    </row>
    <row r="88" spans="1:13" s="5" customFormat="1" ht="37.5" customHeight="1" x14ac:dyDescent="0.2">
      <c r="A88" s="4"/>
      <c r="B88" s="4"/>
      <c r="C88" s="4"/>
      <c r="D88" s="4"/>
      <c r="E88" s="4"/>
      <c r="F88" s="4"/>
      <c r="G88" s="4"/>
      <c r="H88" s="4"/>
      <c r="I88" s="3"/>
      <c r="J88" s="3"/>
      <c r="K88" s="2"/>
      <c r="L88" s="1"/>
      <c r="M88" s="1"/>
    </row>
    <row r="103" customFormat="1" x14ac:dyDescent="0.2"/>
    <row r="104" customFormat="1" x14ac:dyDescent="0.2"/>
    <row r="117" spans="1:20" s="4" customFormat="1" ht="30" customHeight="1" x14ac:dyDescent="0.2">
      <c r="I117" s="3"/>
      <c r="J117" s="3"/>
      <c r="K117" s="2"/>
      <c r="L117" s="1"/>
      <c r="M117" s="1"/>
      <c r="N117"/>
      <c r="O117"/>
      <c r="P117"/>
      <c r="Q117"/>
      <c r="R117"/>
      <c r="S117"/>
      <c r="T117"/>
    </row>
    <row r="118" spans="1:20" s="4" customFormat="1" ht="23.25" customHeight="1" x14ac:dyDescent="0.2">
      <c r="I118" s="3"/>
      <c r="J118" s="3"/>
      <c r="K118" s="2"/>
      <c r="L118" s="1"/>
      <c r="M118" s="1"/>
      <c r="N118"/>
      <c r="O118"/>
      <c r="P118"/>
      <c r="Q118"/>
      <c r="R118"/>
      <c r="S118"/>
      <c r="T118"/>
    </row>
    <row r="125" spans="1:20" s="5" customFormat="1" ht="12" customHeight="1" x14ac:dyDescent="0.2">
      <c r="A125" s="4"/>
      <c r="B125" s="4"/>
      <c r="C125" s="4"/>
      <c r="D125" s="4"/>
      <c r="E125" s="4"/>
      <c r="F125" s="4"/>
      <c r="G125" s="4"/>
      <c r="H125" s="4"/>
      <c r="I125" s="3"/>
      <c r="J125" s="3"/>
      <c r="K125" s="2"/>
      <c r="L125" s="1"/>
      <c r="M125" s="1"/>
    </row>
    <row r="129" spans="9:20" x14ac:dyDescent="0.2">
      <c r="Q129" s="42" t="e">
        <f>SUM(#REF!)</f>
        <v>#REF!</v>
      </c>
      <c r="R129" s="42" t="e">
        <f>SUM(#REF!)</f>
        <v>#REF!</v>
      </c>
      <c r="S129" s="42" t="e">
        <f>SUM(#REF!)</f>
        <v>#REF!</v>
      </c>
      <c r="T129" s="42" t="e">
        <f>SUM(#REF!)</f>
        <v>#REF!</v>
      </c>
    </row>
    <row r="130" spans="9:20" ht="35.25" customHeight="1" x14ac:dyDescent="0.2"/>
    <row r="131" spans="9:20" ht="36.75" customHeight="1" x14ac:dyDescent="0.2"/>
    <row r="132" spans="9:20" ht="33.75" customHeight="1" x14ac:dyDescent="0.2"/>
    <row r="133" spans="9:20" ht="26.25" customHeight="1" x14ac:dyDescent="0.2"/>
    <row r="134" spans="9:20" ht="27.75" customHeight="1" x14ac:dyDescent="0.2"/>
    <row r="135" spans="9:20" s="4" customFormat="1" ht="40.5" customHeight="1" x14ac:dyDescent="0.2">
      <c r="I135" s="3"/>
      <c r="J135" s="3"/>
      <c r="K135" s="2"/>
      <c r="L135" s="1"/>
      <c r="M135" s="1"/>
      <c r="N135"/>
      <c r="O135"/>
      <c r="P135"/>
      <c r="Q135"/>
      <c r="R135"/>
      <c r="S135"/>
      <c r="T135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4529F-47E1-421E-AB8D-C5C8E22856D2}">
  <dimension ref="A1:T139"/>
  <sheetViews>
    <sheetView topLeftCell="B97" zoomScale="84" zoomScaleNormal="76" workbookViewId="0">
      <selection activeCell="E117" sqref="E117"/>
    </sheetView>
  </sheetViews>
  <sheetFormatPr baseColWidth="10" defaultColWidth="11.42578125" defaultRowHeight="12.75" x14ac:dyDescent="0.2"/>
  <cols>
    <col min="1" max="1" width="18.7109375" style="4" bestFit="1" customWidth="1"/>
    <col min="2" max="2" width="45.42578125" style="4" bestFit="1" customWidth="1"/>
    <col min="3" max="3" width="36.7109375" style="4" bestFit="1" customWidth="1"/>
    <col min="4" max="4" width="21.28515625" style="4" bestFit="1" customWidth="1"/>
    <col min="5" max="5" width="21.570312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26"/>
      <c r="B1" s="128" t="s">
        <v>0</v>
      </c>
      <c r="C1" s="128"/>
      <c r="D1" s="128"/>
      <c r="E1" s="128"/>
      <c r="F1" s="128"/>
      <c r="G1" s="128"/>
      <c r="H1" s="128"/>
      <c r="I1" s="128"/>
      <c r="J1" s="128"/>
      <c r="K1" s="128"/>
      <c r="L1" s="130"/>
      <c r="M1" s="131"/>
    </row>
    <row r="2" spans="1:20" ht="20.25" customHeight="1" x14ac:dyDescent="0.2">
      <c r="A2" s="127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32"/>
      <c r="M2" s="133"/>
    </row>
    <row r="3" spans="1:20" ht="12.75" customHeight="1" x14ac:dyDescent="0.2">
      <c r="A3" s="134" t="s">
        <v>1</v>
      </c>
      <c r="B3" s="136" t="s">
        <v>2</v>
      </c>
      <c r="C3" s="136"/>
      <c r="D3" s="136"/>
      <c r="E3" s="136"/>
      <c r="F3" s="136"/>
      <c r="G3" s="136"/>
      <c r="H3" s="136"/>
      <c r="I3" s="136"/>
      <c r="J3" s="136"/>
      <c r="K3" s="136"/>
      <c r="L3" s="138" t="s">
        <v>3</v>
      </c>
      <c r="M3" s="139"/>
    </row>
    <row r="4" spans="1:20" ht="13.5" thickBot="1" x14ac:dyDescent="0.25">
      <c r="A4" s="135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22" t="s">
        <v>6</v>
      </c>
      <c r="C6" s="122"/>
      <c r="D6" s="122"/>
      <c r="E6" s="122"/>
      <c r="F6" s="122"/>
      <c r="G6" s="122"/>
      <c r="H6" s="123" t="s">
        <v>7</v>
      </c>
      <c r="I6" s="124"/>
      <c r="J6" s="124"/>
      <c r="K6" s="124"/>
      <c r="L6" s="125"/>
      <c r="M6" s="25"/>
    </row>
    <row r="7" spans="1:20" s="14" customFormat="1" ht="49.5" customHeight="1" x14ac:dyDescent="0.2">
      <c r="A7" s="18" cm="1">
        <f t="array" aca="1" ref="A7" ca="1">+A71+A1:L7+A7:L7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474</v>
      </c>
      <c r="B8" s="85" t="s">
        <v>36</v>
      </c>
      <c r="C8" s="85" t="s">
        <v>37</v>
      </c>
      <c r="D8" s="84">
        <v>1</v>
      </c>
      <c r="E8" s="49">
        <v>30</v>
      </c>
      <c r="F8" s="80">
        <v>45945</v>
      </c>
      <c r="G8" s="81">
        <v>0.375</v>
      </c>
      <c r="H8" s="85">
        <v>45943</v>
      </c>
      <c r="I8" s="86">
        <v>0.79166666666666663</v>
      </c>
      <c r="J8" s="87">
        <f>E8-L8</f>
        <v>0</v>
      </c>
      <c r="K8" s="8">
        <v>1</v>
      </c>
      <c r="L8" s="88">
        <v>30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">
      <c r="A9" s="23" t="s">
        <v>474</v>
      </c>
      <c r="B9" s="85" t="s">
        <v>30</v>
      </c>
      <c r="C9" s="85" t="s">
        <v>31</v>
      </c>
      <c r="D9" s="84">
        <v>1</v>
      </c>
      <c r="E9" s="49">
        <v>30</v>
      </c>
      <c r="F9" s="80">
        <v>45945</v>
      </c>
      <c r="G9" s="81">
        <v>0.375</v>
      </c>
      <c r="H9" s="85">
        <v>45943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475</v>
      </c>
      <c r="O9" s="5" t="s">
        <v>155</v>
      </c>
    </row>
    <row r="10" spans="1:20" s="5" customFormat="1" ht="78.75" customHeight="1" x14ac:dyDescent="0.2">
      <c r="A10" s="79" t="s">
        <v>473</v>
      </c>
      <c r="B10" s="53" t="s">
        <v>36</v>
      </c>
      <c r="C10" s="53" t="s">
        <v>37</v>
      </c>
      <c r="D10" s="84">
        <v>1</v>
      </c>
      <c r="E10" s="49">
        <v>30</v>
      </c>
      <c r="F10" s="80">
        <v>45945</v>
      </c>
      <c r="G10" s="81">
        <v>0.375</v>
      </c>
      <c r="H10" s="80">
        <v>45943</v>
      </c>
      <c r="I10" s="81">
        <v>0.41666666666666669</v>
      </c>
      <c r="J10" s="87">
        <f t="shared" ref="J10:J67" si="0">E10-L10</f>
        <v>2</v>
      </c>
      <c r="K10" s="53">
        <v>1</v>
      </c>
      <c r="L10" s="53">
        <v>28</v>
      </c>
      <c r="M10" s="79" t="s">
        <v>476</v>
      </c>
    </row>
    <row r="11" spans="1:20" s="5" customFormat="1" ht="75" customHeight="1" x14ac:dyDescent="0.2">
      <c r="A11" s="79" t="s">
        <v>473</v>
      </c>
      <c r="B11" s="53" t="s">
        <v>42</v>
      </c>
      <c r="C11" s="53" t="s">
        <v>43</v>
      </c>
      <c r="D11" s="84">
        <v>1</v>
      </c>
      <c r="E11" s="49">
        <v>30</v>
      </c>
      <c r="F11" s="80">
        <v>45945</v>
      </c>
      <c r="G11" s="81">
        <v>0.375</v>
      </c>
      <c r="H11" s="80">
        <v>45943</v>
      </c>
      <c r="I11" s="81">
        <v>0.41666666666666669</v>
      </c>
      <c r="J11" s="87">
        <f t="shared" si="0"/>
        <v>2</v>
      </c>
      <c r="K11" s="53">
        <v>1</v>
      </c>
      <c r="L11" s="53">
        <v>28</v>
      </c>
      <c r="M11" s="79" t="s">
        <v>476</v>
      </c>
    </row>
    <row r="12" spans="1:20" s="5" customFormat="1" ht="84.75" customHeight="1" x14ac:dyDescent="0.2">
      <c r="A12" s="108" t="s">
        <v>477</v>
      </c>
      <c r="B12" s="53" t="s">
        <v>36</v>
      </c>
      <c r="C12" s="53" t="s">
        <v>37</v>
      </c>
      <c r="D12" s="84">
        <v>1</v>
      </c>
      <c r="E12" s="49">
        <v>30</v>
      </c>
      <c r="F12" s="80">
        <v>45945</v>
      </c>
      <c r="G12" s="81">
        <v>0.375</v>
      </c>
      <c r="H12" s="80">
        <v>45943</v>
      </c>
      <c r="I12" s="81">
        <v>0.4375</v>
      </c>
      <c r="J12" s="87">
        <f t="shared" si="0"/>
        <v>1</v>
      </c>
      <c r="K12" s="53">
        <v>1</v>
      </c>
      <c r="L12" s="53">
        <v>29</v>
      </c>
      <c r="M12" s="79" t="s">
        <v>478</v>
      </c>
    </row>
    <row r="13" spans="1:20" s="5" customFormat="1" ht="81.75" customHeight="1" x14ac:dyDescent="0.2">
      <c r="A13" s="79" t="s">
        <v>477</v>
      </c>
      <c r="B13" s="53" t="s">
        <v>42</v>
      </c>
      <c r="C13" s="53" t="s">
        <v>43</v>
      </c>
      <c r="D13" s="84">
        <v>1</v>
      </c>
      <c r="E13" s="49">
        <v>30</v>
      </c>
      <c r="F13" s="80">
        <v>45945</v>
      </c>
      <c r="G13" s="81">
        <v>0.375</v>
      </c>
      <c r="H13" s="80">
        <v>45943</v>
      </c>
      <c r="I13" s="81">
        <v>0.4375</v>
      </c>
      <c r="J13" s="87">
        <f t="shared" si="0"/>
        <v>1</v>
      </c>
      <c r="K13" s="53">
        <v>1</v>
      </c>
      <c r="L13" s="53">
        <v>29</v>
      </c>
      <c r="M13" s="79" t="s">
        <v>478</v>
      </c>
    </row>
    <row r="14" spans="1:20" s="5" customFormat="1" ht="61.5" customHeight="1" x14ac:dyDescent="0.2">
      <c r="A14" s="79" t="s">
        <v>479</v>
      </c>
      <c r="B14" s="53" t="s">
        <v>30</v>
      </c>
      <c r="C14" s="53" t="s">
        <v>31</v>
      </c>
      <c r="D14" s="84">
        <v>1</v>
      </c>
      <c r="E14" s="49">
        <v>30</v>
      </c>
      <c r="F14" s="80">
        <v>45945</v>
      </c>
      <c r="G14" s="81">
        <v>0.375</v>
      </c>
      <c r="H14" s="80">
        <v>45943</v>
      </c>
      <c r="I14" s="81">
        <v>0.41666666666666669</v>
      </c>
      <c r="J14" s="87">
        <f t="shared" si="0"/>
        <v>3</v>
      </c>
      <c r="K14" s="53">
        <v>2</v>
      </c>
      <c r="L14" s="53">
        <v>27</v>
      </c>
      <c r="M14" s="79" t="s">
        <v>480</v>
      </c>
    </row>
    <row r="15" spans="1:20" s="5" customFormat="1" ht="61.5" customHeight="1" x14ac:dyDescent="0.2">
      <c r="A15" s="79" t="s">
        <v>479</v>
      </c>
      <c r="B15" s="53" t="s">
        <v>39</v>
      </c>
      <c r="C15" s="53" t="s">
        <v>40</v>
      </c>
      <c r="D15" s="84">
        <v>1</v>
      </c>
      <c r="E15" s="49">
        <v>30</v>
      </c>
      <c r="F15" s="80">
        <v>45945</v>
      </c>
      <c r="G15" s="81">
        <v>0.375</v>
      </c>
      <c r="H15" s="80">
        <v>45943</v>
      </c>
      <c r="I15" s="81">
        <v>0.41666666666666669</v>
      </c>
      <c r="J15" s="87">
        <f t="shared" si="0"/>
        <v>3</v>
      </c>
      <c r="K15" s="53">
        <v>2</v>
      </c>
      <c r="L15" s="53">
        <v>27</v>
      </c>
      <c r="M15" s="79" t="s">
        <v>480</v>
      </c>
    </row>
    <row r="16" spans="1:20" s="5" customFormat="1" ht="63" customHeight="1" x14ac:dyDescent="0.2">
      <c r="A16" s="107" t="s">
        <v>481</v>
      </c>
      <c r="B16" s="53" t="s">
        <v>21</v>
      </c>
      <c r="C16" s="53" t="s">
        <v>22</v>
      </c>
      <c r="D16" s="84">
        <v>1</v>
      </c>
      <c r="E16" s="49">
        <v>30</v>
      </c>
      <c r="F16" s="80">
        <v>45945</v>
      </c>
      <c r="G16" s="81">
        <v>0.375</v>
      </c>
      <c r="H16" s="80">
        <v>45943</v>
      </c>
      <c r="I16" s="81">
        <v>0.41666666666666669</v>
      </c>
      <c r="J16" s="87">
        <f t="shared" si="0"/>
        <v>0</v>
      </c>
      <c r="K16" s="53">
        <v>2</v>
      </c>
      <c r="L16" s="53">
        <v>30</v>
      </c>
      <c r="M16" s="79" t="s">
        <v>482</v>
      </c>
    </row>
    <row r="17" spans="1:13" s="5" customFormat="1" ht="63" customHeight="1" x14ac:dyDescent="0.2">
      <c r="A17" s="107" t="s">
        <v>481</v>
      </c>
      <c r="B17" s="53" t="s">
        <v>136</v>
      </c>
      <c r="C17" s="53" t="s">
        <v>34</v>
      </c>
      <c r="D17" s="84">
        <v>1</v>
      </c>
      <c r="E17" s="49">
        <v>30</v>
      </c>
      <c r="F17" s="80">
        <v>45945</v>
      </c>
      <c r="G17" s="81">
        <v>0.375</v>
      </c>
      <c r="H17" s="80">
        <v>45943</v>
      </c>
      <c r="I17" s="81">
        <v>0.41666666666666669</v>
      </c>
      <c r="J17" s="87">
        <f t="shared" si="0"/>
        <v>0</v>
      </c>
      <c r="K17" s="53">
        <v>2</v>
      </c>
      <c r="L17" s="53">
        <v>30</v>
      </c>
      <c r="M17" s="79" t="s">
        <v>482</v>
      </c>
    </row>
    <row r="18" spans="1:13" s="5" customFormat="1" ht="75" customHeight="1" x14ac:dyDescent="0.2">
      <c r="A18" s="107" t="s">
        <v>483</v>
      </c>
      <c r="B18" s="53" t="s">
        <v>21</v>
      </c>
      <c r="C18" s="53" t="s">
        <v>22</v>
      </c>
      <c r="D18" s="84">
        <v>1</v>
      </c>
      <c r="E18" s="49">
        <v>30</v>
      </c>
      <c r="F18" s="80">
        <v>45945</v>
      </c>
      <c r="G18" s="81">
        <v>0.375</v>
      </c>
      <c r="H18" s="80">
        <v>45943</v>
      </c>
      <c r="I18" s="81">
        <v>0.4375</v>
      </c>
      <c r="J18" s="87">
        <f t="shared" si="0"/>
        <v>4</v>
      </c>
      <c r="K18" s="53">
        <v>1</v>
      </c>
      <c r="L18" s="53">
        <v>26</v>
      </c>
      <c r="M18" s="79" t="s">
        <v>484</v>
      </c>
    </row>
    <row r="19" spans="1:13" s="5" customFormat="1" ht="72.75" customHeight="1" x14ac:dyDescent="0.2">
      <c r="A19" s="109" t="s">
        <v>483</v>
      </c>
      <c r="B19" s="53" t="s">
        <v>136</v>
      </c>
      <c r="C19" s="53" t="s">
        <v>34</v>
      </c>
      <c r="D19" s="84">
        <v>1</v>
      </c>
      <c r="E19" s="49">
        <v>30</v>
      </c>
      <c r="F19" s="80">
        <v>45945</v>
      </c>
      <c r="G19" s="81">
        <v>0.375</v>
      </c>
      <c r="H19" s="80">
        <v>45943</v>
      </c>
      <c r="I19" s="81">
        <v>0.4375</v>
      </c>
      <c r="J19" s="87">
        <f t="shared" si="0"/>
        <v>4</v>
      </c>
      <c r="K19" s="53">
        <v>1</v>
      </c>
      <c r="L19" s="53">
        <v>26</v>
      </c>
      <c r="M19" s="79" t="s">
        <v>484</v>
      </c>
    </row>
    <row r="20" spans="1:13" s="5" customFormat="1" ht="77.25" customHeight="1" x14ac:dyDescent="0.2">
      <c r="A20" s="79" t="s">
        <v>485</v>
      </c>
      <c r="B20" s="53" t="s">
        <v>21</v>
      </c>
      <c r="C20" s="53" t="s">
        <v>22</v>
      </c>
      <c r="D20" s="84">
        <v>1</v>
      </c>
      <c r="E20" s="49">
        <v>30</v>
      </c>
      <c r="F20" s="80">
        <v>45945</v>
      </c>
      <c r="G20" s="81">
        <v>0.375</v>
      </c>
      <c r="H20" s="80">
        <v>45943</v>
      </c>
      <c r="I20" s="81">
        <v>0.45833333333333331</v>
      </c>
      <c r="J20" s="87">
        <f t="shared" si="0"/>
        <v>0</v>
      </c>
      <c r="K20" s="53">
        <v>1</v>
      </c>
      <c r="L20" s="53">
        <v>30</v>
      </c>
      <c r="M20" s="79" t="s">
        <v>486</v>
      </c>
    </row>
    <row r="21" spans="1:13" s="5" customFormat="1" ht="70.5" customHeight="1" x14ac:dyDescent="0.2">
      <c r="A21" s="79" t="s">
        <v>485</v>
      </c>
      <c r="B21" s="53" t="s">
        <v>136</v>
      </c>
      <c r="C21" s="53" t="s">
        <v>34</v>
      </c>
      <c r="D21" s="84">
        <v>1</v>
      </c>
      <c r="E21" s="49">
        <v>30</v>
      </c>
      <c r="F21" s="80">
        <v>45945</v>
      </c>
      <c r="G21" s="81">
        <v>0.375</v>
      </c>
      <c r="H21" s="80">
        <v>45943</v>
      </c>
      <c r="I21" s="81">
        <v>0.45833333333333331</v>
      </c>
      <c r="J21" s="87">
        <f t="shared" si="0"/>
        <v>0</v>
      </c>
      <c r="K21" s="53">
        <v>1</v>
      </c>
      <c r="L21" s="53">
        <v>30</v>
      </c>
      <c r="M21" s="79" t="s">
        <v>486</v>
      </c>
    </row>
    <row r="22" spans="1:13" s="5" customFormat="1" ht="66" customHeight="1" x14ac:dyDescent="0.2">
      <c r="A22" s="79" t="s">
        <v>487</v>
      </c>
      <c r="B22" s="53" t="s">
        <v>36</v>
      </c>
      <c r="C22" s="53" t="s">
        <v>37</v>
      </c>
      <c r="D22" s="84">
        <v>1</v>
      </c>
      <c r="E22" s="49">
        <v>30</v>
      </c>
      <c r="F22" s="80">
        <v>45945</v>
      </c>
      <c r="G22" s="81">
        <v>0.375</v>
      </c>
      <c r="H22" s="80">
        <v>45943</v>
      </c>
      <c r="I22" s="81">
        <v>0.45833333333333331</v>
      </c>
      <c r="J22" s="87">
        <f t="shared" si="0"/>
        <v>2</v>
      </c>
      <c r="K22" s="53">
        <v>1</v>
      </c>
      <c r="L22" s="53">
        <v>28</v>
      </c>
      <c r="M22" s="79" t="s">
        <v>488</v>
      </c>
    </row>
    <row r="23" spans="1:13" s="5" customFormat="1" ht="69" customHeight="1" x14ac:dyDescent="0.2">
      <c r="A23" s="79" t="s">
        <v>487</v>
      </c>
      <c r="B23" s="53" t="s">
        <v>42</v>
      </c>
      <c r="C23" s="53" t="s">
        <v>43</v>
      </c>
      <c r="D23" s="84">
        <v>1</v>
      </c>
      <c r="E23" s="49">
        <v>30</v>
      </c>
      <c r="F23" s="80">
        <v>45945</v>
      </c>
      <c r="G23" s="81">
        <v>0.375</v>
      </c>
      <c r="H23" s="80">
        <v>45943</v>
      </c>
      <c r="I23" s="81">
        <v>0.45833333333333331</v>
      </c>
      <c r="J23" s="87">
        <f t="shared" si="0"/>
        <v>2</v>
      </c>
      <c r="K23" s="53">
        <v>1</v>
      </c>
      <c r="L23" s="53">
        <v>28</v>
      </c>
      <c r="M23" s="79" t="s">
        <v>488</v>
      </c>
    </row>
    <row r="24" spans="1:13" s="5" customFormat="1" ht="60" customHeight="1" x14ac:dyDescent="0.2">
      <c r="A24" s="79" t="s">
        <v>489</v>
      </c>
      <c r="B24" s="53" t="s">
        <v>36</v>
      </c>
      <c r="C24" s="53" t="s">
        <v>37</v>
      </c>
      <c r="D24" s="84">
        <v>1</v>
      </c>
      <c r="E24" s="49">
        <v>30</v>
      </c>
      <c r="F24" s="80">
        <v>45945</v>
      </c>
      <c r="G24" s="81">
        <v>0.375</v>
      </c>
      <c r="H24" s="80">
        <v>45943</v>
      </c>
      <c r="I24" s="81">
        <v>0.47916666666666669</v>
      </c>
      <c r="J24" s="87">
        <f t="shared" si="0"/>
        <v>2</v>
      </c>
      <c r="K24" s="53">
        <v>1</v>
      </c>
      <c r="L24" s="53">
        <v>28</v>
      </c>
      <c r="M24" s="79" t="s">
        <v>490</v>
      </c>
    </row>
    <row r="25" spans="1:13" s="5" customFormat="1" ht="59.25" customHeight="1" x14ac:dyDescent="0.2">
      <c r="A25" s="79" t="s">
        <v>489</v>
      </c>
      <c r="B25" s="53" t="s">
        <v>42</v>
      </c>
      <c r="C25" s="53" t="s">
        <v>43</v>
      </c>
      <c r="D25" s="84">
        <v>1</v>
      </c>
      <c r="E25" s="49">
        <v>30</v>
      </c>
      <c r="F25" s="80">
        <v>45945</v>
      </c>
      <c r="G25" s="81">
        <v>0.375</v>
      </c>
      <c r="H25" s="80">
        <v>45943</v>
      </c>
      <c r="I25" s="81">
        <v>0.47916666666666669</v>
      </c>
      <c r="J25" s="87">
        <f t="shared" si="0"/>
        <v>2</v>
      </c>
      <c r="K25" s="53">
        <v>1</v>
      </c>
      <c r="L25" s="53">
        <v>28</v>
      </c>
      <c r="M25" s="79" t="s">
        <v>490</v>
      </c>
    </row>
    <row r="26" spans="1:13" s="5" customFormat="1" ht="89.25" customHeight="1" x14ac:dyDescent="0.2">
      <c r="A26" s="79" t="s">
        <v>491</v>
      </c>
      <c r="B26" s="53" t="s">
        <v>21</v>
      </c>
      <c r="C26" s="53" t="s">
        <v>22</v>
      </c>
      <c r="D26" s="84">
        <v>1</v>
      </c>
      <c r="E26" s="49">
        <v>30</v>
      </c>
      <c r="F26" s="80">
        <v>45945</v>
      </c>
      <c r="G26" s="81">
        <v>0.375</v>
      </c>
      <c r="H26" s="80">
        <v>45943</v>
      </c>
      <c r="I26" s="81">
        <v>0.75</v>
      </c>
      <c r="J26" s="87">
        <f t="shared" si="0"/>
        <v>0</v>
      </c>
      <c r="K26" s="53">
        <v>1</v>
      </c>
      <c r="L26" s="53">
        <v>30</v>
      </c>
      <c r="M26" s="79" t="s">
        <v>492</v>
      </c>
    </row>
    <row r="27" spans="1:13" s="5" customFormat="1" ht="87" customHeight="1" x14ac:dyDescent="0.2">
      <c r="A27" s="79" t="s">
        <v>491</v>
      </c>
      <c r="B27" s="53" t="s">
        <v>30</v>
      </c>
      <c r="C27" s="53" t="s">
        <v>31</v>
      </c>
      <c r="D27" s="84">
        <v>1</v>
      </c>
      <c r="E27" s="49">
        <v>30</v>
      </c>
      <c r="F27" s="80">
        <v>45945</v>
      </c>
      <c r="G27" s="81">
        <v>0.375</v>
      </c>
      <c r="H27" s="80">
        <v>45943</v>
      </c>
      <c r="I27" s="81">
        <v>0.75</v>
      </c>
      <c r="J27" s="87">
        <f t="shared" si="0"/>
        <v>0</v>
      </c>
      <c r="K27" s="53">
        <v>1</v>
      </c>
      <c r="L27" s="53">
        <v>30</v>
      </c>
      <c r="M27" s="79" t="s">
        <v>492</v>
      </c>
    </row>
    <row r="28" spans="1:13" s="5" customFormat="1" ht="48.75" customHeight="1" x14ac:dyDescent="0.2">
      <c r="A28" s="79" t="s">
        <v>491</v>
      </c>
      <c r="B28" s="53" t="s">
        <v>136</v>
      </c>
      <c r="C28" s="53" t="s">
        <v>34</v>
      </c>
      <c r="D28" s="84">
        <v>1</v>
      </c>
      <c r="E28" s="49">
        <v>30</v>
      </c>
      <c r="F28" s="80">
        <v>45945</v>
      </c>
      <c r="G28" s="81">
        <v>0.375</v>
      </c>
      <c r="H28" s="80">
        <v>45943</v>
      </c>
      <c r="I28" s="81">
        <v>0.75</v>
      </c>
      <c r="J28" s="87">
        <f t="shared" si="0"/>
        <v>0</v>
      </c>
      <c r="K28" s="53">
        <v>1</v>
      </c>
      <c r="L28" s="53">
        <v>30</v>
      </c>
      <c r="M28" s="79" t="s">
        <v>492</v>
      </c>
    </row>
    <row r="29" spans="1:13" s="5" customFormat="1" ht="36.75" customHeight="1" x14ac:dyDescent="0.2">
      <c r="A29" s="79" t="s">
        <v>491</v>
      </c>
      <c r="B29" s="53" t="s">
        <v>39</v>
      </c>
      <c r="C29" s="53" t="s">
        <v>40</v>
      </c>
      <c r="D29" s="84">
        <v>1</v>
      </c>
      <c r="E29" s="49">
        <v>30</v>
      </c>
      <c r="F29" s="80">
        <v>45945</v>
      </c>
      <c r="G29" s="81">
        <v>0.375</v>
      </c>
      <c r="H29" s="80">
        <v>45943</v>
      </c>
      <c r="I29" s="81">
        <v>0.75</v>
      </c>
      <c r="J29" s="87">
        <f t="shared" si="0"/>
        <v>0</v>
      </c>
      <c r="K29" s="53">
        <v>1</v>
      </c>
      <c r="L29" s="53">
        <v>30</v>
      </c>
      <c r="M29" s="79" t="s">
        <v>492</v>
      </c>
    </row>
    <row r="30" spans="1:13" s="5" customFormat="1" ht="37.5" customHeight="1" x14ac:dyDescent="0.2">
      <c r="A30" s="79" t="s">
        <v>491</v>
      </c>
      <c r="B30" s="53" t="s">
        <v>36</v>
      </c>
      <c r="C30" s="53" t="s">
        <v>37</v>
      </c>
      <c r="D30" s="84">
        <v>1</v>
      </c>
      <c r="E30" s="49">
        <v>30</v>
      </c>
      <c r="F30" s="80">
        <v>45945</v>
      </c>
      <c r="G30" s="81">
        <v>0.375</v>
      </c>
      <c r="H30" s="80">
        <v>45943</v>
      </c>
      <c r="I30" s="81">
        <v>0.75</v>
      </c>
      <c r="J30" s="87">
        <f t="shared" si="0"/>
        <v>0</v>
      </c>
      <c r="K30" s="53">
        <v>1</v>
      </c>
      <c r="L30" s="53">
        <v>30</v>
      </c>
      <c r="M30" s="79" t="s">
        <v>492</v>
      </c>
    </row>
    <row r="31" spans="1:13" s="5" customFormat="1" ht="38.25" customHeight="1" x14ac:dyDescent="0.2">
      <c r="A31" s="79" t="s">
        <v>491</v>
      </c>
      <c r="B31" s="53" t="s">
        <v>42</v>
      </c>
      <c r="C31" s="53" t="s">
        <v>43</v>
      </c>
      <c r="D31" s="84">
        <v>1</v>
      </c>
      <c r="E31" s="49">
        <v>30</v>
      </c>
      <c r="F31" s="80">
        <v>45945</v>
      </c>
      <c r="G31" s="81">
        <v>0.375</v>
      </c>
      <c r="H31" s="80">
        <v>45943</v>
      </c>
      <c r="I31" s="81">
        <v>0.75</v>
      </c>
      <c r="J31" s="87">
        <f t="shared" si="0"/>
        <v>0</v>
      </c>
      <c r="K31" s="53">
        <v>1</v>
      </c>
      <c r="L31" s="53">
        <v>30</v>
      </c>
      <c r="M31" s="79" t="s">
        <v>492</v>
      </c>
    </row>
    <row r="32" spans="1:13" s="5" customFormat="1" ht="38.25" customHeight="1" x14ac:dyDescent="0.2">
      <c r="A32" s="79" t="s">
        <v>493</v>
      </c>
      <c r="B32" s="53" t="s">
        <v>21</v>
      </c>
      <c r="C32" s="53" t="s">
        <v>22</v>
      </c>
      <c r="D32" s="84">
        <v>1</v>
      </c>
      <c r="E32" s="49">
        <v>30</v>
      </c>
      <c r="F32" s="80">
        <v>45945</v>
      </c>
      <c r="G32" s="81">
        <v>0.375</v>
      </c>
      <c r="H32" s="80">
        <v>45943</v>
      </c>
      <c r="I32" s="81">
        <v>0.77083333333333337</v>
      </c>
      <c r="J32" s="87">
        <f t="shared" si="0"/>
        <v>2</v>
      </c>
      <c r="K32" s="53">
        <v>2</v>
      </c>
      <c r="L32" s="53">
        <v>28</v>
      </c>
      <c r="M32" s="79" t="s">
        <v>494</v>
      </c>
    </row>
    <row r="33" spans="1:13" s="5" customFormat="1" ht="38.25" customHeight="1" x14ac:dyDescent="0.2">
      <c r="A33" s="79" t="s">
        <v>493</v>
      </c>
      <c r="B33" s="53" t="s">
        <v>30</v>
      </c>
      <c r="C33" s="53" t="s">
        <v>31</v>
      </c>
      <c r="D33" s="84">
        <v>1</v>
      </c>
      <c r="E33" s="49">
        <v>30</v>
      </c>
      <c r="F33" s="80">
        <v>45945</v>
      </c>
      <c r="G33" s="81">
        <v>0.375</v>
      </c>
      <c r="H33" s="80">
        <v>45943</v>
      </c>
      <c r="I33" s="81">
        <v>0.77083333333333337</v>
      </c>
      <c r="J33" s="87">
        <f t="shared" si="0"/>
        <v>2</v>
      </c>
      <c r="K33" s="53">
        <v>2</v>
      </c>
      <c r="L33" s="53">
        <v>28</v>
      </c>
      <c r="M33" s="79" t="s">
        <v>494</v>
      </c>
    </row>
    <row r="34" spans="1:13" s="5" customFormat="1" ht="44.25" customHeight="1" x14ac:dyDescent="0.2">
      <c r="A34" s="79" t="s">
        <v>493</v>
      </c>
      <c r="B34" s="53" t="s">
        <v>136</v>
      </c>
      <c r="C34" s="53" t="s">
        <v>34</v>
      </c>
      <c r="D34" s="84">
        <v>1</v>
      </c>
      <c r="E34" s="49">
        <v>30</v>
      </c>
      <c r="F34" s="80">
        <v>45945</v>
      </c>
      <c r="G34" s="81">
        <v>0.375</v>
      </c>
      <c r="H34" s="80">
        <v>45943</v>
      </c>
      <c r="I34" s="81">
        <v>0.77083333333333337</v>
      </c>
      <c r="J34" s="87">
        <f t="shared" si="0"/>
        <v>2</v>
      </c>
      <c r="K34" s="53">
        <v>2</v>
      </c>
      <c r="L34" s="53">
        <v>28</v>
      </c>
      <c r="M34" s="79" t="s">
        <v>494</v>
      </c>
    </row>
    <row r="35" spans="1:13" s="5" customFormat="1" ht="55.5" customHeight="1" x14ac:dyDescent="0.2">
      <c r="A35" s="79" t="s">
        <v>493</v>
      </c>
      <c r="B35" s="53" t="s">
        <v>39</v>
      </c>
      <c r="C35" s="53" t="s">
        <v>40</v>
      </c>
      <c r="D35" s="84">
        <v>1</v>
      </c>
      <c r="E35" s="49">
        <v>30</v>
      </c>
      <c r="F35" s="80">
        <v>45945</v>
      </c>
      <c r="G35" s="81">
        <v>0.375</v>
      </c>
      <c r="H35" s="80">
        <v>45943</v>
      </c>
      <c r="I35" s="81">
        <v>0.77083333333333337</v>
      </c>
      <c r="J35" s="87">
        <f t="shared" si="0"/>
        <v>2</v>
      </c>
      <c r="K35" s="53">
        <v>2</v>
      </c>
      <c r="L35" s="53">
        <v>28</v>
      </c>
      <c r="M35" s="79" t="s">
        <v>494</v>
      </c>
    </row>
    <row r="36" spans="1:13" s="5" customFormat="1" ht="39" customHeight="1" x14ac:dyDescent="0.2">
      <c r="A36" s="79" t="s">
        <v>493</v>
      </c>
      <c r="B36" s="53" t="s">
        <v>36</v>
      </c>
      <c r="C36" s="53" t="s">
        <v>37</v>
      </c>
      <c r="D36" s="84">
        <v>1</v>
      </c>
      <c r="E36" s="49">
        <v>30</v>
      </c>
      <c r="F36" s="80">
        <v>45945</v>
      </c>
      <c r="G36" s="81">
        <v>0.375</v>
      </c>
      <c r="H36" s="80">
        <v>45943</v>
      </c>
      <c r="I36" s="81">
        <v>0.77083333333333337</v>
      </c>
      <c r="J36" s="87">
        <f t="shared" si="0"/>
        <v>2</v>
      </c>
      <c r="K36" s="53">
        <v>2</v>
      </c>
      <c r="L36" s="53">
        <v>28</v>
      </c>
      <c r="M36" s="79" t="s">
        <v>494</v>
      </c>
    </row>
    <row r="37" spans="1:13" s="5" customFormat="1" ht="42" customHeight="1" x14ac:dyDescent="0.2">
      <c r="A37" s="79" t="s">
        <v>493</v>
      </c>
      <c r="B37" s="53" t="s">
        <v>42</v>
      </c>
      <c r="C37" s="53" t="s">
        <v>43</v>
      </c>
      <c r="D37" s="84">
        <v>1</v>
      </c>
      <c r="E37" s="49">
        <v>30</v>
      </c>
      <c r="F37" s="80">
        <v>45945</v>
      </c>
      <c r="G37" s="81">
        <v>0.375</v>
      </c>
      <c r="H37" s="80">
        <v>45943</v>
      </c>
      <c r="I37" s="81">
        <v>0.77083333333333337</v>
      </c>
      <c r="J37" s="87">
        <f t="shared" si="0"/>
        <v>2</v>
      </c>
      <c r="K37" s="53">
        <v>2</v>
      </c>
      <c r="L37" s="53">
        <v>28</v>
      </c>
      <c r="M37" s="79" t="s">
        <v>494</v>
      </c>
    </row>
    <row r="38" spans="1:13" s="5" customFormat="1" ht="71.25" customHeight="1" x14ac:dyDescent="0.2">
      <c r="A38" s="79" t="s">
        <v>495</v>
      </c>
      <c r="B38" s="53" t="s">
        <v>36</v>
      </c>
      <c r="C38" s="53" t="s">
        <v>37</v>
      </c>
      <c r="D38" s="84">
        <v>1</v>
      </c>
      <c r="E38" s="49">
        <v>30</v>
      </c>
      <c r="F38" s="80">
        <v>45945</v>
      </c>
      <c r="G38" s="81">
        <v>0.375</v>
      </c>
      <c r="H38" s="80">
        <v>45943</v>
      </c>
      <c r="I38" s="81">
        <v>0.5</v>
      </c>
      <c r="J38" s="87">
        <f t="shared" si="0"/>
        <v>5</v>
      </c>
      <c r="K38" s="53">
        <v>1</v>
      </c>
      <c r="L38" s="53">
        <v>25</v>
      </c>
      <c r="M38" s="79" t="s">
        <v>496</v>
      </c>
    </row>
    <row r="39" spans="1:13" s="5" customFormat="1" ht="66" customHeight="1" x14ac:dyDescent="0.2">
      <c r="A39" s="79" t="s">
        <v>495</v>
      </c>
      <c r="B39" s="53" t="s">
        <v>42</v>
      </c>
      <c r="C39" s="53" t="s">
        <v>43</v>
      </c>
      <c r="D39" s="84">
        <v>1</v>
      </c>
      <c r="E39" s="49">
        <v>30</v>
      </c>
      <c r="F39" s="80">
        <v>45945</v>
      </c>
      <c r="G39" s="81">
        <v>0.375</v>
      </c>
      <c r="H39" s="80">
        <v>45943</v>
      </c>
      <c r="I39" s="81">
        <v>0.5</v>
      </c>
      <c r="J39" s="87">
        <f t="shared" si="0"/>
        <v>5</v>
      </c>
      <c r="K39" s="53">
        <v>1</v>
      </c>
      <c r="L39" s="53">
        <v>25</v>
      </c>
      <c r="M39" s="79" t="s">
        <v>496</v>
      </c>
    </row>
    <row r="40" spans="1:13" s="5" customFormat="1" ht="56.25" customHeight="1" x14ac:dyDescent="0.2">
      <c r="A40" s="79" t="s">
        <v>497</v>
      </c>
      <c r="B40" s="53" t="s">
        <v>21</v>
      </c>
      <c r="C40" s="53" t="s">
        <v>43</v>
      </c>
      <c r="D40" s="84">
        <v>1</v>
      </c>
      <c r="E40" s="49">
        <v>30</v>
      </c>
      <c r="F40" s="80">
        <v>45945</v>
      </c>
      <c r="G40" s="81">
        <v>0.375</v>
      </c>
      <c r="H40" s="80">
        <v>45943</v>
      </c>
      <c r="I40" s="81">
        <v>0.79166666666666663</v>
      </c>
      <c r="J40" s="87">
        <f t="shared" si="0"/>
        <v>4</v>
      </c>
      <c r="K40" s="53">
        <v>1</v>
      </c>
      <c r="L40" s="53">
        <v>26</v>
      </c>
      <c r="M40" s="79" t="s">
        <v>498</v>
      </c>
    </row>
    <row r="41" spans="1:13" s="5" customFormat="1" ht="63" customHeight="1" x14ac:dyDescent="0.2">
      <c r="A41" s="79" t="s">
        <v>497</v>
      </c>
      <c r="B41" s="53" t="s">
        <v>30</v>
      </c>
      <c r="C41" s="53" t="s">
        <v>31</v>
      </c>
      <c r="D41" s="84">
        <v>1</v>
      </c>
      <c r="E41" s="49">
        <v>30</v>
      </c>
      <c r="F41" s="80">
        <v>45945</v>
      </c>
      <c r="G41" s="81">
        <v>0.375</v>
      </c>
      <c r="H41" s="80">
        <v>45943</v>
      </c>
      <c r="I41" s="81">
        <v>0.79166666666666663</v>
      </c>
      <c r="J41" s="87">
        <f t="shared" si="0"/>
        <v>4</v>
      </c>
      <c r="K41" s="53">
        <v>1</v>
      </c>
      <c r="L41" s="53">
        <v>26</v>
      </c>
      <c r="M41" s="79" t="s">
        <v>498</v>
      </c>
    </row>
    <row r="42" spans="1:13" s="5" customFormat="1" ht="66" customHeight="1" x14ac:dyDescent="0.2">
      <c r="A42" s="79" t="s">
        <v>497</v>
      </c>
      <c r="B42" s="53" t="s">
        <v>136</v>
      </c>
      <c r="C42" s="53" t="s">
        <v>34</v>
      </c>
      <c r="D42" s="84">
        <v>1</v>
      </c>
      <c r="E42" s="49">
        <v>30</v>
      </c>
      <c r="F42" s="80">
        <v>45945</v>
      </c>
      <c r="G42" s="81">
        <v>0.375</v>
      </c>
      <c r="H42" s="80">
        <v>45943</v>
      </c>
      <c r="I42" s="81">
        <v>0.79166666666666663</v>
      </c>
      <c r="J42" s="87">
        <f t="shared" si="0"/>
        <v>4</v>
      </c>
      <c r="K42" s="53">
        <v>1</v>
      </c>
      <c r="L42" s="53">
        <v>26</v>
      </c>
      <c r="M42" s="79" t="s">
        <v>498</v>
      </c>
    </row>
    <row r="43" spans="1:13" s="5" customFormat="1" ht="58.5" customHeight="1" x14ac:dyDescent="0.2">
      <c r="A43" s="79" t="s">
        <v>497</v>
      </c>
      <c r="B43" s="53" t="s">
        <v>39</v>
      </c>
      <c r="C43" s="53" t="s">
        <v>40</v>
      </c>
      <c r="D43" s="84">
        <v>1</v>
      </c>
      <c r="E43" s="49">
        <v>30</v>
      </c>
      <c r="F43" s="80">
        <v>45945</v>
      </c>
      <c r="G43" s="81">
        <v>0.375</v>
      </c>
      <c r="H43" s="80">
        <v>45943</v>
      </c>
      <c r="I43" s="81">
        <v>0.79166666666666663</v>
      </c>
      <c r="J43" s="87">
        <f t="shared" si="0"/>
        <v>4</v>
      </c>
      <c r="K43" s="53">
        <v>1</v>
      </c>
      <c r="L43" s="53">
        <v>26</v>
      </c>
      <c r="M43" s="79" t="s">
        <v>498</v>
      </c>
    </row>
    <row r="44" spans="1:13" s="5" customFormat="1" ht="57" customHeight="1" x14ac:dyDescent="0.2">
      <c r="A44" s="79" t="s">
        <v>497</v>
      </c>
      <c r="B44" s="53" t="s">
        <v>36</v>
      </c>
      <c r="C44" s="53" t="s">
        <v>37</v>
      </c>
      <c r="D44" s="84">
        <v>1</v>
      </c>
      <c r="E44" s="49">
        <v>30</v>
      </c>
      <c r="F44" s="80">
        <v>45945</v>
      </c>
      <c r="G44" s="81">
        <v>0.375</v>
      </c>
      <c r="H44" s="80">
        <v>45943</v>
      </c>
      <c r="I44" s="81">
        <v>0.79166666666666663</v>
      </c>
      <c r="J44" s="87">
        <f t="shared" si="0"/>
        <v>4</v>
      </c>
      <c r="K44" s="53">
        <v>1</v>
      </c>
      <c r="L44" s="53">
        <v>26</v>
      </c>
      <c r="M44" s="79" t="s">
        <v>498</v>
      </c>
    </row>
    <row r="45" spans="1:13" s="5" customFormat="1" ht="55.5" customHeight="1" x14ac:dyDescent="0.2">
      <c r="A45" s="79" t="s">
        <v>497</v>
      </c>
      <c r="B45" s="53" t="s">
        <v>42</v>
      </c>
      <c r="C45" s="53" t="s">
        <v>43</v>
      </c>
      <c r="D45" s="84">
        <v>1</v>
      </c>
      <c r="E45" s="49">
        <v>30</v>
      </c>
      <c r="F45" s="80">
        <v>45945</v>
      </c>
      <c r="G45" s="81">
        <v>0.375</v>
      </c>
      <c r="H45" s="80">
        <v>45943</v>
      </c>
      <c r="I45" s="81">
        <v>0.79166666666666663</v>
      </c>
      <c r="J45" s="87">
        <f t="shared" si="0"/>
        <v>4</v>
      </c>
      <c r="K45" s="53">
        <v>1</v>
      </c>
      <c r="L45" s="53">
        <v>26</v>
      </c>
      <c r="M45" s="79" t="s">
        <v>498</v>
      </c>
    </row>
    <row r="46" spans="1:13" ht="87" customHeight="1" x14ac:dyDescent="0.2">
      <c r="A46" s="79" t="s">
        <v>499</v>
      </c>
      <c r="B46" s="53" t="s">
        <v>21</v>
      </c>
      <c r="C46" s="53" t="s">
        <v>22</v>
      </c>
      <c r="D46" s="84">
        <v>1</v>
      </c>
      <c r="E46" s="49">
        <v>30</v>
      </c>
      <c r="F46" s="80">
        <v>45945</v>
      </c>
      <c r="G46" s="81">
        <v>0.375</v>
      </c>
      <c r="H46" s="80">
        <v>45943</v>
      </c>
      <c r="I46" s="81">
        <v>0.79166666666666663</v>
      </c>
      <c r="J46" s="87">
        <f t="shared" si="0"/>
        <v>0</v>
      </c>
      <c r="K46" s="53">
        <v>1</v>
      </c>
      <c r="L46" s="53">
        <v>30</v>
      </c>
      <c r="M46" s="79" t="s">
        <v>500</v>
      </c>
    </row>
    <row r="47" spans="1:13" s="5" customFormat="1" ht="56.25" customHeight="1" x14ac:dyDescent="0.2">
      <c r="A47" s="79" t="s">
        <v>499</v>
      </c>
      <c r="B47" s="53" t="s">
        <v>30</v>
      </c>
      <c r="C47" s="53" t="s">
        <v>31</v>
      </c>
      <c r="D47" s="84">
        <v>1</v>
      </c>
      <c r="E47" s="49">
        <v>30</v>
      </c>
      <c r="F47" s="80">
        <v>45945</v>
      </c>
      <c r="G47" s="81">
        <v>0.375</v>
      </c>
      <c r="H47" s="80">
        <v>45943</v>
      </c>
      <c r="I47" s="81">
        <v>0.79166666666666663</v>
      </c>
      <c r="J47" s="87">
        <f t="shared" si="0"/>
        <v>0</v>
      </c>
      <c r="K47" s="53">
        <v>1</v>
      </c>
      <c r="L47" s="53">
        <v>30</v>
      </c>
      <c r="M47" s="79" t="s">
        <v>500</v>
      </c>
    </row>
    <row r="48" spans="1:13" s="5" customFormat="1" ht="67.5" customHeight="1" x14ac:dyDescent="0.2">
      <c r="A48" s="79" t="s">
        <v>499</v>
      </c>
      <c r="B48" s="53" t="s">
        <v>136</v>
      </c>
      <c r="C48" s="53" t="s">
        <v>34</v>
      </c>
      <c r="D48" s="84">
        <v>1</v>
      </c>
      <c r="E48" s="49">
        <v>30</v>
      </c>
      <c r="F48" s="80">
        <v>45945</v>
      </c>
      <c r="G48" s="81">
        <v>0.375</v>
      </c>
      <c r="H48" s="80">
        <v>45943</v>
      </c>
      <c r="I48" s="81">
        <v>0.79166666666666663</v>
      </c>
      <c r="J48" s="87">
        <f t="shared" si="0"/>
        <v>0</v>
      </c>
      <c r="K48" s="53">
        <v>1</v>
      </c>
      <c r="L48" s="53">
        <v>30</v>
      </c>
      <c r="M48" s="79" t="s">
        <v>500</v>
      </c>
    </row>
    <row r="49" spans="1:13" s="5" customFormat="1" ht="69.75" customHeight="1" x14ac:dyDescent="0.2">
      <c r="A49" s="79" t="s">
        <v>499</v>
      </c>
      <c r="B49" s="53" t="s">
        <v>39</v>
      </c>
      <c r="C49" s="53" t="s">
        <v>40</v>
      </c>
      <c r="D49" s="84">
        <v>1</v>
      </c>
      <c r="E49" s="49">
        <v>30</v>
      </c>
      <c r="F49" s="80">
        <v>45945</v>
      </c>
      <c r="G49" s="81">
        <v>0.375</v>
      </c>
      <c r="H49" s="80">
        <v>45943</v>
      </c>
      <c r="I49" s="81">
        <v>0.79166666666666663</v>
      </c>
      <c r="J49" s="87">
        <f t="shared" si="0"/>
        <v>0</v>
      </c>
      <c r="K49" s="53">
        <v>1</v>
      </c>
      <c r="L49" s="53">
        <v>30</v>
      </c>
      <c r="M49" s="79" t="s">
        <v>500</v>
      </c>
    </row>
    <row r="50" spans="1:13" s="5" customFormat="1" ht="61.5" customHeight="1" x14ac:dyDescent="0.2">
      <c r="A50" s="79" t="s">
        <v>499</v>
      </c>
      <c r="B50" s="53" t="s">
        <v>36</v>
      </c>
      <c r="C50" s="53" t="s">
        <v>37</v>
      </c>
      <c r="D50" s="84">
        <v>1</v>
      </c>
      <c r="E50" s="49">
        <v>30</v>
      </c>
      <c r="F50" s="80">
        <v>45945</v>
      </c>
      <c r="G50" s="81">
        <v>0.375</v>
      </c>
      <c r="H50" s="80">
        <v>45943</v>
      </c>
      <c r="I50" s="81">
        <v>0.79166666666666663</v>
      </c>
      <c r="J50" s="87">
        <f t="shared" si="0"/>
        <v>0</v>
      </c>
      <c r="K50" s="53">
        <v>1</v>
      </c>
      <c r="L50" s="53">
        <v>30</v>
      </c>
      <c r="M50" s="79" t="s">
        <v>500</v>
      </c>
    </row>
    <row r="51" spans="1:13" s="5" customFormat="1" ht="56.25" customHeight="1" x14ac:dyDescent="0.2">
      <c r="A51" s="79" t="s">
        <v>499</v>
      </c>
      <c r="B51" s="53" t="s">
        <v>42</v>
      </c>
      <c r="C51" s="53" t="s">
        <v>43</v>
      </c>
      <c r="D51" s="84">
        <v>1</v>
      </c>
      <c r="E51" s="49">
        <v>30</v>
      </c>
      <c r="F51" s="80">
        <v>45945</v>
      </c>
      <c r="G51" s="81">
        <v>0.375</v>
      </c>
      <c r="H51" s="80">
        <v>45943</v>
      </c>
      <c r="I51" s="81">
        <v>0.79166666666666663</v>
      </c>
      <c r="J51" s="87">
        <f t="shared" si="0"/>
        <v>0</v>
      </c>
      <c r="K51" s="53">
        <v>1</v>
      </c>
      <c r="L51" s="53">
        <v>30</v>
      </c>
      <c r="M51" s="79" t="s">
        <v>500</v>
      </c>
    </row>
    <row r="52" spans="1:13" s="5" customFormat="1" ht="97.5" customHeight="1" x14ac:dyDescent="0.2">
      <c r="A52" s="79" t="s">
        <v>501</v>
      </c>
      <c r="B52" s="53" t="s">
        <v>30</v>
      </c>
      <c r="C52" s="53" t="s">
        <v>31</v>
      </c>
      <c r="D52" s="84">
        <v>1</v>
      </c>
      <c r="E52" s="49">
        <v>30</v>
      </c>
      <c r="F52" s="80">
        <v>45945</v>
      </c>
      <c r="G52" s="81">
        <v>0.375</v>
      </c>
      <c r="H52" s="80">
        <v>45943</v>
      </c>
      <c r="I52" s="81">
        <v>0.4375</v>
      </c>
      <c r="J52" s="87">
        <f t="shared" si="0"/>
        <v>6</v>
      </c>
      <c r="K52" s="53">
        <v>1</v>
      </c>
      <c r="L52" s="53">
        <v>24</v>
      </c>
      <c r="M52" s="79" t="s">
        <v>502</v>
      </c>
    </row>
    <row r="53" spans="1:13" s="5" customFormat="1" ht="75" customHeight="1" x14ac:dyDescent="0.2">
      <c r="A53" s="79" t="s">
        <v>501</v>
      </c>
      <c r="B53" s="53" t="s">
        <v>39</v>
      </c>
      <c r="C53" s="53" t="s">
        <v>40</v>
      </c>
      <c r="D53" s="84">
        <v>1</v>
      </c>
      <c r="E53" s="49">
        <v>30</v>
      </c>
      <c r="F53" s="80">
        <v>45945</v>
      </c>
      <c r="G53" s="81">
        <v>0.375</v>
      </c>
      <c r="H53" s="80">
        <v>45943</v>
      </c>
      <c r="I53" s="81">
        <v>0.4375</v>
      </c>
      <c r="J53" s="87">
        <f t="shared" si="0"/>
        <v>6</v>
      </c>
      <c r="K53" s="53">
        <v>1</v>
      </c>
      <c r="L53" s="53">
        <v>24</v>
      </c>
      <c r="M53" s="79" t="s">
        <v>502</v>
      </c>
    </row>
    <row r="54" spans="1:13" s="5" customFormat="1" ht="70.5" customHeight="1" x14ac:dyDescent="0.2">
      <c r="A54" s="79" t="s">
        <v>503</v>
      </c>
      <c r="B54" s="53" t="s">
        <v>21</v>
      </c>
      <c r="C54" s="53" t="s">
        <v>22</v>
      </c>
      <c r="D54" s="84">
        <v>1</v>
      </c>
      <c r="E54" s="49">
        <v>30</v>
      </c>
      <c r="F54" s="80">
        <v>45945</v>
      </c>
      <c r="G54" s="81">
        <v>0.375</v>
      </c>
      <c r="H54" s="80">
        <v>45943</v>
      </c>
      <c r="I54" s="81">
        <v>0.8125</v>
      </c>
      <c r="J54" s="87">
        <f t="shared" si="0"/>
        <v>2</v>
      </c>
      <c r="K54" s="53">
        <v>1</v>
      </c>
      <c r="L54" s="53">
        <v>28</v>
      </c>
      <c r="M54" s="79" t="s">
        <v>504</v>
      </c>
    </row>
    <row r="55" spans="1:13" s="5" customFormat="1" ht="73.5" customHeight="1" x14ac:dyDescent="0.2">
      <c r="A55" s="79" t="s">
        <v>503</v>
      </c>
      <c r="B55" s="53" t="s">
        <v>30</v>
      </c>
      <c r="C55" s="53" t="s">
        <v>31</v>
      </c>
      <c r="D55" s="84">
        <v>1</v>
      </c>
      <c r="E55" s="49">
        <v>30</v>
      </c>
      <c r="F55" s="80">
        <v>45945</v>
      </c>
      <c r="G55" s="81">
        <v>0.375</v>
      </c>
      <c r="H55" s="80">
        <v>45943</v>
      </c>
      <c r="I55" s="81">
        <v>0.8125</v>
      </c>
      <c r="J55" s="87">
        <f t="shared" si="0"/>
        <v>2</v>
      </c>
      <c r="K55" s="53">
        <v>1</v>
      </c>
      <c r="L55" s="53">
        <v>28</v>
      </c>
      <c r="M55" s="79" t="s">
        <v>504</v>
      </c>
    </row>
    <row r="56" spans="1:13" s="5" customFormat="1" ht="66.75" customHeight="1" x14ac:dyDescent="0.2">
      <c r="A56" s="79" t="s">
        <v>503</v>
      </c>
      <c r="B56" s="53" t="s">
        <v>136</v>
      </c>
      <c r="C56" s="53" t="s">
        <v>34</v>
      </c>
      <c r="D56" s="84">
        <v>1</v>
      </c>
      <c r="E56" s="49">
        <v>30</v>
      </c>
      <c r="F56" s="80">
        <v>45945</v>
      </c>
      <c r="G56" s="81">
        <v>0.375</v>
      </c>
      <c r="H56" s="80">
        <v>45943</v>
      </c>
      <c r="I56" s="81">
        <v>0.8125</v>
      </c>
      <c r="J56" s="87">
        <f t="shared" si="0"/>
        <v>2</v>
      </c>
      <c r="K56" s="53">
        <v>1</v>
      </c>
      <c r="L56" s="53">
        <v>28</v>
      </c>
      <c r="M56" s="79" t="s">
        <v>504</v>
      </c>
    </row>
    <row r="57" spans="1:13" s="5" customFormat="1" ht="55.5" customHeight="1" x14ac:dyDescent="0.2">
      <c r="A57" s="79" t="s">
        <v>503</v>
      </c>
      <c r="B57" s="53" t="s">
        <v>39</v>
      </c>
      <c r="C57" s="53" t="s">
        <v>40</v>
      </c>
      <c r="D57" s="84">
        <v>1</v>
      </c>
      <c r="E57" s="49">
        <v>30</v>
      </c>
      <c r="F57" s="80">
        <v>45945</v>
      </c>
      <c r="G57" s="81">
        <v>0.375</v>
      </c>
      <c r="H57" s="80">
        <v>45943</v>
      </c>
      <c r="I57" s="81">
        <v>0.8125</v>
      </c>
      <c r="J57" s="87">
        <f t="shared" si="0"/>
        <v>2</v>
      </c>
      <c r="K57" s="53">
        <v>1</v>
      </c>
      <c r="L57" s="53">
        <v>28</v>
      </c>
      <c r="M57" s="79" t="s">
        <v>504</v>
      </c>
    </row>
    <row r="58" spans="1:13" s="5" customFormat="1" ht="59.25" customHeight="1" x14ac:dyDescent="0.2">
      <c r="A58" s="79" t="s">
        <v>503</v>
      </c>
      <c r="B58" s="53" t="s">
        <v>36</v>
      </c>
      <c r="C58" s="53" t="s">
        <v>37</v>
      </c>
      <c r="D58" s="84">
        <v>1</v>
      </c>
      <c r="E58" s="49">
        <v>30</v>
      </c>
      <c r="F58" s="80">
        <v>45945</v>
      </c>
      <c r="G58" s="81">
        <v>0.375</v>
      </c>
      <c r="H58" s="80">
        <v>45943</v>
      </c>
      <c r="I58" s="81">
        <v>0.8125</v>
      </c>
      <c r="J58" s="87">
        <f t="shared" si="0"/>
        <v>2</v>
      </c>
      <c r="K58" s="53">
        <v>1</v>
      </c>
      <c r="L58" s="53">
        <v>28</v>
      </c>
      <c r="M58" s="79" t="s">
        <v>504</v>
      </c>
    </row>
    <row r="59" spans="1:13" s="5" customFormat="1" ht="53.25" customHeight="1" x14ac:dyDescent="0.2">
      <c r="A59" s="79" t="s">
        <v>503</v>
      </c>
      <c r="B59" s="53" t="s">
        <v>42</v>
      </c>
      <c r="C59" s="53" t="s">
        <v>43</v>
      </c>
      <c r="D59" s="84">
        <v>1</v>
      </c>
      <c r="E59" s="49">
        <v>30</v>
      </c>
      <c r="F59" s="80">
        <v>45945</v>
      </c>
      <c r="G59" s="81">
        <v>0.375</v>
      </c>
      <c r="H59" s="80">
        <v>45943</v>
      </c>
      <c r="I59" s="81">
        <v>0.8125</v>
      </c>
      <c r="J59" s="87">
        <f t="shared" si="0"/>
        <v>2</v>
      </c>
      <c r="K59" s="53">
        <v>1</v>
      </c>
      <c r="L59" s="53">
        <v>28</v>
      </c>
      <c r="M59" s="79" t="s">
        <v>504</v>
      </c>
    </row>
    <row r="60" spans="1:13" s="5" customFormat="1" ht="63.75" customHeight="1" x14ac:dyDescent="0.2">
      <c r="A60" s="79" t="s">
        <v>506</v>
      </c>
      <c r="B60" s="53" t="s">
        <v>21</v>
      </c>
      <c r="C60" s="53" t="s">
        <v>22</v>
      </c>
      <c r="D60" s="84">
        <v>1</v>
      </c>
      <c r="E60" s="49">
        <v>30</v>
      </c>
      <c r="F60" s="80">
        <v>45945</v>
      </c>
      <c r="G60" s="81">
        <v>0.375</v>
      </c>
      <c r="H60" s="80">
        <v>45943</v>
      </c>
      <c r="I60" s="81">
        <v>0.8125</v>
      </c>
      <c r="J60" s="87">
        <f t="shared" si="0"/>
        <v>0</v>
      </c>
      <c r="K60" s="53">
        <v>2</v>
      </c>
      <c r="L60" s="53">
        <v>30</v>
      </c>
      <c r="M60" s="79" t="s">
        <v>507</v>
      </c>
    </row>
    <row r="61" spans="1:13" s="5" customFormat="1" ht="57.75" customHeight="1" x14ac:dyDescent="0.2">
      <c r="A61" s="79" t="s">
        <v>506</v>
      </c>
      <c r="B61" s="53" t="s">
        <v>30</v>
      </c>
      <c r="C61" s="53" t="s">
        <v>31</v>
      </c>
      <c r="D61" s="84">
        <v>1</v>
      </c>
      <c r="E61" s="49">
        <v>30</v>
      </c>
      <c r="F61" s="80">
        <v>45945</v>
      </c>
      <c r="G61" s="81">
        <v>0.375</v>
      </c>
      <c r="H61" s="80">
        <v>45943</v>
      </c>
      <c r="I61" s="81">
        <v>0.8125</v>
      </c>
      <c r="J61" s="87">
        <f t="shared" si="0"/>
        <v>0</v>
      </c>
      <c r="K61" s="53">
        <v>2</v>
      </c>
      <c r="L61" s="53">
        <v>30</v>
      </c>
      <c r="M61" s="79" t="s">
        <v>507</v>
      </c>
    </row>
    <row r="62" spans="1:13" s="5" customFormat="1" ht="63" customHeight="1" x14ac:dyDescent="0.2">
      <c r="A62" s="79" t="s">
        <v>506</v>
      </c>
      <c r="B62" s="53" t="s">
        <v>136</v>
      </c>
      <c r="C62" s="53" t="s">
        <v>34</v>
      </c>
      <c r="D62" s="84">
        <v>1</v>
      </c>
      <c r="E62" s="49">
        <v>30</v>
      </c>
      <c r="F62" s="80">
        <v>45945</v>
      </c>
      <c r="G62" s="81">
        <v>0.375</v>
      </c>
      <c r="H62" s="80">
        <v>45943</v>
      </c>
      <c r="I62" s="81">
        <v>0.8125</v>
      </c>
      <c r="J62" s="87">
        <f t="shared" si="0"/>
        <v>0</v>
      </c>
      <c r="K62" s="53">
        <v>2</v>
      </c>
      <c r="L62" s="53">
        <v>30</v>
      </c>
      <c r="M62" s="79" t="s">
        <v>507</v>
      </c>
    </row>
    <row r="63" spans="1:13" s="5" customFormat="1" ht="71.25" customHeight="1" x14ac:dyDescent="0.2">
      <c r="A63" s="79" t="s">
        <v>506</v>
      </c>
      <c r="B63" s="53" t="s">
        <v>39</v>
      </c>
      <c r="C63" s="53" t="s">
        <v>40</v>
      </c>
      <c r="D63" s="84">
        <v>1</v>
      </c>
      <c r="E63" s="49">
        <v>30</v>
      </c>
      <c r="F63" s="80">
        <v>45945</v>
      </c>
      <c r="G63" s="81">
        <v>0.375</v>
      </c>
      <c r="H63" s="80">
        <v>45943</v>
      </c>
      <c r="I63" s="81">
        <v>0.8125</v>
      </c>
      <c r="J63" s="87">
        <f t="shared" si="0"/>
        <v>0</v>
      </c>
      <c r="K63" s="53">
        <v>2</v>
      </c>
      <c r="L63" s="53">
        <v>30</v>
      </c>
      <c r="M63" s="79" t="s">
        <v>507</v>
      </c>
    </row>
    <row r="64" spans="1:13" s="5" customFormat="1" ht="78.75" customHeight="1" x14ac:dyDescent="0.2">
      <c r="A64" s="79" t="s">
        <v>506</v>
      </c>
      <c r="B64" s="53" t="s">
        <v>36</v>
      </c>
      <c r="C64" s="53" t="s">
        <v>37</v>
      </c>
      <c r="D64" s="84">
        <v>1</v>
      </c>
      <c r="E64" s="49">
        <v>30</v>
      </c>
      <c r="F64" s="80">
        <v>45945</v>
      </c>
      <c r="G64" s="81">
        <v>0.375</v>
      </c>
      <c r="H64" s="80">
        <v>45943</v>
      </c>
      <c r="I64" s="81">
        <v>0.8125</v>
      </c>
      <c r="J64" s="87">
        <f t="shared" si="0"/>
        <v>0</v>
      </c>
      <c r="K64" s="53">
        <v>2</v>
      </c>
      <c r="L64" s="53">
        <v>30</v>
      </c>
      <c r="M64" s="79" t="s">
        <v>507</v>
      </c>
    </row>
    <row r="65" spans="1:13" s="5" customFormat="1" ht="66.75" customHeight="1" x14ac:dyDescent="0.2">
      <c r="A65" s="79" t="s">
        <v>506</v>
      </c>
      <c r="B65" s="53" t="s">
        <v>42</v>
      </c>
      <c r="C65" s="53" t="s">
        <v>43</v>
      </c>
      <c r="D65" s="84">
        <v>1</v>
      </c>
      <c r="E65" s="49">
        <v>30</v>
      </c>
      <c r="F65" s="80">
        <v>45945</v>
      </c>
      <c r="G65" s="81">
        <v>0.375</v>
      </c>
      <c r="H65" s="80">
        <v>45943</v>
      </c>
      <c r="I65" s="81">
        <v>0.8125</v>
      </c>
      <c r="J65" s="87">
        <f t="shared" si="0"/>
        <v>0</v>
      </c>
      <c r="K65" s="53">
        <v>2</v>
      </c>
      <c r="L65" s="53">
        <v>30</v>
      </c>
      <c r="M65" s="79" t="s">
        <v>507</v>
      </c>
    </row>
    <row r="66" spans="1:13" s="5" customFormat="1" ht="72.75" customHeight="1" x14ac:dyDescent="0.2">
      <c r="A66" s="79" t="s">
        <v>508</v>
      </c>
      <c r="B66" s="53" t="s">
        <v>21</v>
      </c>
      <c r="C66" s="53" t="s">
        <v>22</v>
      </c>
      <c r="D66" s="84">
        <v>1</v>
      </c>
      <c r="E66" s="49">
        <v>30</v>
      </c>
      <c r="F66" s="80">
        <v>45945</v>
      </c>
      <c r="G66" s="81">
        <v>0.375</v>
      </c>
      <c r="H66" s="80">
        <v>45943</v>
      </c>
      <c r="I66" s="81">
        <v>0.8125</v>
      </c>
      <c r="J66" s="87">
        <f t="shared" si="0"/>
        <v>0</v>
      </c>
      <c r="K66" s="53">
        <v>7</v>
      </c>
      <c r="L66" s="53">
        <v>30</v>
      </c>
      <c r="M66" s="79" t="s">
        <v>509</v>
      </c>
    </row>
    <row r="67" spans="1:13" s="5" customFormat="1" ht="40.5" customHeight="1" x14ac:dyDescent="0.2">
      <c r="A67" s="79" t="s">
        <v>505</v>
      </c>
      <c r="B67" s="53" t="s">
        <v>36</v>
      </c>
      <c r="C67" s="53" t="s">
        <v>37</v>
      </c>
      <c r="D67" s="84">
        <v>1</v>
      </c>
      <c r="E67" s="49">
        <v>30</v>
      </c>
      <c r="F67" s="80">
        <v>45938</v>
      </c>
      <c r="G67" s="81">
        <v>0.375</v>
      </c>
      <c r="H67" s="80">
        <v>45943</v>
      </c>
      <c r="I67" s="81">
        <v>0.6875</v>
      </c>
      <c r="J67" s="87">
        <f t="shared" si="0"/>
        <v>0</v>
      </c>
      <c r="K67" s="53">
        <v>1</v>
      </c>
      <c r="L67" s="53">
        <v>30</v>
      </c>
      <c r="M67" s="79" t="s">
        <v>438</v>
      </c>
    </row>
    <row r="68" spans="1:13" s="5" customFormat="1" ht="38.25" customHeight="1" x14ac:dyDescent="0.2">
      <c r="A68" s="106" t="s">
        <v>123</v>
      </c>
      <c r="B68" s="85" t="s">
        <v>36</v>
      </c>
      <c r="C68" s="85" t="s">
        <v>37</v>
      </c>
      <c r="D68" s="49">
        <v>1</v>
      </c>
      <c r="E68" s="49">
        <v>20</v>
      </c>
      <c r="F68" s="85">
        <v>45945</v>
      </c>
      <c r="G68" s="86">
        <v>0.375</v>
      </c>
      <c r="H68" s="85">
        <v>45943</v>
      </c>
      <c r="I68" s="86">
        <v>0.80555555555555558</v>
      </c>
      <c r="J68" s="87">
        <f>E68-L68</f>
        <v>0</v>
      </c>
      <c r="K68" s="53">
        <v>1</v>
      </c>
      <c r="L68" s="88">
        <v>20</v>
      </c>
      <c r="M68" s="93" t="s">
        <v>124</v>
      </c>
    </row>
    <row r="69" spans="1:13" s="5" customFormat="1" ht="38.25" customHeight="1" x14ac:dyDescent="0.2">
      <c r="A69" s="38" t="s">
        <v>123</v>
      </c>
      <c r="B69" s="85" t="s">
        <v>143</v>
      </c>
      <c r="C69" s="85" t="s">
        <v>43</v>
      </c>
      <c r="D69" s="49">
        <v>1</v>
      </c>
      <c r="E69" s="49">
        <v>20</v>
      </c>
      <c r="F69" s="85">
        <v>45945</v>
      </c>
      <c r="G69" s="86">
        <v>0.375</v>
      </c>
      <c r="H69" s="85">
        <v>45943</v>
      </c>
      <c r="I69" s="86">
        <v>0.80555555555555558</v>
      </c>
      <c r="J69" s="87">
        <f t="shared" ref="J69:J90" si="1">E69-L69</f>
        <v>0</v>
      </c>
      <c r="K69" s="8">
        <v>1</v>
      </c>
      <c r="L69" s="88">
        <v>20</v>
      </c>
      <c r="M69" s="93" t="s">
        <v>124</v>
      </c>
    </row>
    <row r="70" spans="1:13" s="5" customFormat="1" ht="27" customHeight="1" x14ac:dyDescent="0.2">
      <c r="A70" s="13" t="s">
        <v>175</v>
      </c>
      <c r="B70" s="13" t="s">
        <v>36</v>
      </c>
      <c r="C70" s="13" t="s">
        <v>37</v>
      </c>
      <c r="D70" s="53">
        <v>1</v>
      </c>
      <c r="E70" s="53">
        <v>30</v>
      </c>
      <c r="F70" s="13">
        <v>45945</v>
      </c>
      <c r="G70" s="86">
        <v>0.375</v>
      </c>
      <c r="H70" s="13">
        <v>45943</v>
      </c>
      <c r="I70" s="12">
        <v>0.83333333333333337</v>
      </c>
      <c r="J70" s="53">
        <f t="shared" si="1"/>
        <v>6</v>
      </c>
      <c r="K70" s="50">
        <v>1</v>
      </c>
      <c r="L70" s="68">
        <v>24</v>
      </c>
      <c r="M70" s="52" t="s">
        <v>176</v>
      </c>
    </row>
    <row r="71" spans="1:13" s="5" customFormat="1" ht="33" customHeight="1" x14ac:dyDescent="0.2">
      <c r="A71" s="13" t="s">
        <v>177</v>
      </c>
      <c r="B71" s="13" t="s">
        <v>39</v>
      </c>
      <c r="C71" s="13" t="s">
        <v>40</v>
      </c>
      <c r="D71" s="53">
        <v>1</v>
      </c>
      <c r="E71" s="53">
        <v>30</v>
      </c>
      <c r="F71" s="13">
        <v>45945</v>
      </c>
      <c r="G71" s="86">
        <v>0.375</v>
      </c>
      <c r="H71" s="13">
        <v>45943</v>
      </c>
      <c r="I71" s="12">
        <v>0.83333333333333337</v>
      </c>
      <c r="J71" s="53">
        <f t="shared" si="1"/>
        <v>0</v>
      </c>
      <c r="K71" s="50">
        <v>1</v>
      </c>
      <c r="L71" s="68">
        <v>30</v>
      </c>
      <c r="M71" s="52" t="s">
        <v>178</v>
      </c>
    </row>
    <row r="72" spans="1:13" s="5" customFormat="1" ht="33.75" customHeight="1" x14ac:dyDescent="0.2">
      <c r="A72" s="61" t="s">
        <v>179</v>
      </c>
      <c r="B72" s="13" t="s">
        <v>39</v>
      </c>
      <c r="C72" s="13" t="s">
        <v>40</v>
      </c>
      <c r="D72" s="53">
        <v>5</v>
      </c>
      <c r="E72" s="53">
        <v>50</v>
      </c>
      <c r="F72" s="13">
        <v>45945</v>
      </c>
      <c r="G72" s="86">
        <v>0.375</v>
      </c>
      <c r="H72" s="13">
        <v>45943</v>
      </c>
      <c r="I72" s="12">
        <v>0.86805555555555558</v>
      </c>
      <c r="J72" s="53">
        <f t="shared" si="1"/>
        <v>5</v>
      </c>
      <c r="K72" s="50">
        <v>5</v>
      </c>
      <c r="L72" s="68">
        <v>45</v>
      </c>
      <c r="M72" s="52" t="s">
        <v>180</v>
      </c>
    </row>
    <row r="73" spans="1:13" s="5" customFormat="1" ht="32.25" customHeight="1" x14ac:dyDescent="0.2">
      <c r="A73" s="23" t="s">
        <v>146</v>
      </c>
      <c r="B73" s="85" t="s">
        <v>30</v>
      </c>
      <c r="C73" s="90" t="s">
        <v>31</v>
      </c>
      <c r="D73" s="84">
        <v>1</v>
      </c>
      <c r="E73" s="49">
        <v>60</v>
      </c>
      <c r="F73" s="85">
        <v>45945</v>
      </c>
      <c r="G73" s="86">
        <v>0.375</v>
      </c>
      <c r="H73" s="85">
        <v>45943</v>
      </c>
      <c r="I73" s="86">
        <v>0.91666666666666663</v>
      </c>
      <c r="J73" s="87">
        <f t="shared" si="1"/>
        <v>50</v>
      </c>
      <c r="K73" s="8">
        <v>1</v>
      </c>
      <c r="L73" s="88">
        <v>10</v>
      </c>
      <c r="M73" s="91" t="s">
        <v>149</v>
      </c>
    </row>
    <row r="74" spans="1:13" s="5" customFormat="1" ht="27" customHeight="1" x14ac:dyDescent="0.2">
      <c r="A74" s="23" t="s">
        <v>146</v>
      </c>
      <c r="B74" s="85" t="s">
        <v>42</v>
      </c>
      <c r="C74" s="90" t="s">
        <v>43</v>
      </c>
      <c r="D74" s="84">
        <v>1</v>
      </c>
      <c r="E74" s="49">
        <v>60</v>
      </c>
      <c r="F74" s="85">
        <v>45945</v>
      </c>
      <c r="G74" s="86">
        <v>0.375</v>
      </c>
      <c r="H74" s="85">
        <v>45943</v>
      </c>
      <c r="I74" s="86">
        <v>0.91666666666666663</v>
      </c>
      <c r="J74" s="87">
        <f t="shared" si="1"/>
        <v>50</v>
      </c>
      <c r="K74" s="8">
        <v>1</v>
      </c>
      <c r="L74" s="88">
        <v>10</v>
      </c>
      <c r="M74" s="91" t="s">
        <v>149</v>
      </c>
    </row>
    <row r="75" spans="1:13" s="5" customFormat="1" ht="24.95" customHeight="1" x14ac:dyDescent="0.2">
      <c r="A75" s="23" t="s">
        <v>146</v>
      </c>
      <c r="B75" s="85" t="s">
        <v>21</v>
      </c>
      <c r="C75" s="90" t="s">
        <v>22</v>
      </c>
      <c r="D75" s="84">
        <v>1</v>
      </c>
      <c r="E75" s="49">
        <v>60</v>
      </c>
      <c r="F75" s="85">
        <v>45945</v>
      </c>
      <c r="G75" s="86">
        <v>0.375</v>
      </c>
      <c r="H75" s="85">
        <v>45943</v>
      </c>
      <c r="I75" s="86">
        <v>0.91666666666666663</v>
      </c>
      <c r="J75" s="87">
        <f t="shared" si="1"/>
        <v>50</v>
      </c>
      <c r="K75" s="8">
        <v>1</v>
      </c>
      <c r="L75" s="88">
        <v>10</v>
      </c>
      <c r="M75" s="91" t="s">
        <v>149</v>
      </c>
    </row>
    <row r="76" spans="1:13" s="5" customFormat="1" ht="28.5" customHeight="1" x14ac:dyDescent="0.2">
      <c r="A76" s="23" t="s">
        <v>146</v>
      </c>
      <c r="B76" s="85" t="s">
        <v>136</v>
      </c>
      <c r="C76" s="90" t="s">
        <v>34</v>
      </c>
      <c r="D76" s="84">
        <v>1</v>
      </c>
      <c r="E76" s="49">
        <v>60</v>
      </c>
      <c r="F76" s="85">
        <v>45945</v>
      </c>
      <c r="G76" s="86">
        <v>0.375</v>
      </c>
      <c r="H76" s="85">
        <v>45943</v>
      </c>
      <c r="I76" s="86">
        <v>0.91666666666666663</v>
      </c>
      <c r="J76" s="87">
        <f t="shared" si="1"/>
        <v>50</v>
      </c>
      <c r="K76" s="8">
        <v>1</v>
      </c>
      <c r="L76" s="88">
        <v>10</v>
      </c>
      <c r="M76" s="91" t="s">
        <v>149</v>
      </c>
    </row>
    <row r="77" spans="1:13" s="5" customFormat="1" ht="35.450000000000003" customHeight="1" x14ac:dyDescent="0.2">
      <c r="A77" s="23" t="s">
        <v>146</v>
      </c>
      <c r="B77" s="85" t="s">
        <v>36</v>
      </c>
      <c r="C77" s="90" t="s">
        <v>37</v>
      </c>
      <c r="D77" s="84">
        <v>1</v>
      </c>
      <c r="E77" s="49">
        <v>60</v>
      </c>
      <c r="F77" s="85">
        <v>45945</v>
      </c>
      <c r="G77" s="86">
        <v>0.375</v>
      </c>
      <c r="H77" s="85">
        <v>45943</v>
      </c>
      <c r="I77" s="86">
        <v>0.91666666666666663</v>
      </c>
      <c r="J77" s="87">
        <f t="shared" si="1"/>
        <v>50</v>
      </c>
      <c r="K77" s="8">
        <v>1</v>
      </c>
      <c r="L77" s="88">
        <v>10</v>
      </c>
      <c r="M77" s="91" t="s">
        <v>149</v>
      </c>
    </row>
    <row r="78" spans="1:13" s="5" customFormat="1" ht="36.6" customHeight="1" x14ac:dyDescent="0.2">
      <c r="A78" s="23" t="s">
        <v>146</v>
      </c>
      <c r="B78" s="85" t="s">
        <v>39</v>
      </c>
      <c r="C78" s="90" t="s">
        <v>40</v>
      </c>
      <c r="D78" s="84">
        <v>1</v>
      </c>
      <c r="E78" s="49">
        <v>60</v>
      </c>
      <c r="F78" s="85">
        <v>45945</v>
      </c>
      <c r="G78" s="86">
        <v>0.375</v>
      </c>
      <c r="H78" s="85">
        <v>45943</v>
      </c>
      <c r="I78" s="86">
        <v>0.91666666666666663</v>
      </c>
      <c r="J78" s="87">
        <f t="shared" si="1"/>
        <v>50</v>
      </c>
      <c r="K78" s="8">
        <v>1</v>
      </c>
      <c r="L78" s="88">
        <v>10</v>
      </c>
      <c r="M78" s="91" t="s">
        <v>149</v>
      </c>
    </row>
    <row r="79" spans="1:13" s="5" customFormat="1" ht="36.6" customHeight="1" x14ac:dyDescent="0.2">
      <c r="A79" s="23" t="s">
        <v>52</v>
      </c>
      <c r="B79" s="90" t="s">
        <v>21</v>
      </c>
      <c r="C79" s="90" t="s">
        <v>22</v>
      </c>
      <c r="D79" s="84">
        <v>1</v>
      </c>
      <c r="E79" s="49">
        <v>30</v>
      </c>
      <c r="F79" s="85">
        <v>45945</v>
      </c>
      <c r="G79" s="86">
        <v>0.375</v>
      </c>
      <c r="H79" s="85">
        <v>45943</v>
      </c>
      <c r="I79" s="86">
        <v>0.91666666666666663</v>
      </c>
      <c r="J79" s="87">
        <f t="shared" si="1"/>
        <v>0</v>
      </c>
      <c r="K79" s="8">
        <v>1</v>
      </c>
      <c r="L79" s="88">
        <v>30</v>
      </c>
      <c r="M79" s="91" t="s">
        <v>53</v>
      </c>
    </row>
    <row r="80" spans="1:13" s="5" customFormat="1" ht="35.450000000000003" customHeight="1" x14ac:dyDescent="0.2">
      <c r="A80" s="23" t="s">
        <v>153</v>
      </c>
      <c r="B80" s="90" t="s">
        <v>36</v>
      </c>
      <c r="C80" s="90" t="s">
        <v>37</v>
      </c>
      <c r="D80" s="84">
        <v>1</v>
      </c>
      <c r="E80" s="5">
        <v>30</v>
      </c>
      <c r="F80" s="85">
        <v>45945</v>
      </c>
      <c r="G80" s="86">
        <v>0.375</v>
      </c>
      <c r="H80" s="85">
        <v>45943</v>
      </c>
      <c r="I80" s="86">
        <v>0.91666666666666663</v>
      </c>
      <c r="J80" s="87">
        <f t="shared" si="1"/>
        <v>0</v>
      </c>
      <c r="K80" s="8">
        <v>1</v>
      </c>
      <c r="L80" s="88">
        <v>30</v>
      </c>
      <c r="M80" s="91" t="s">
        <v>53</v>
      </c>
    </row>
    <row r="81" spans="1:13" s="5" customFormat="1" ht="35.450000000000003" customHeight="1" x14ac:dyDescent="0.2">
      <c r="A81" s="23" t="s">
        <v>79</v>
      </c>
      <c r="B81" s="85" t="s">
        <v>36</v>
      </c>
      <c r="C81" s="90" t="s">
        <v>37</v>
      </c>
      <c r="D81" s="84">
        <v>1</v>
      </c>
      <c r="E81" s="49">
        <v>45</v>
      </c>
      <c r="F81" s="85">
        <v>45945</v>
      </c>
      <c r="G81" s="86">
        <v>0.375</v>
      </c>
      <c r="H81" s="85">
        <v>45943</v>
      </c>
      <c r="I81" s="86">
        <v>0.9375</v>
      </c>
      <c r="J81" s="87">
        <f t="shared" si="1"/>
        <v>-35</v>
      </c>
      <c r="K81" s="8">
        <v>1</v>
      </c>
      <c r="L81" s="88">
        <v>80</v>
      </c>
      <c r="M81" s="91" t="s">
        <v>81</v>
      </c>
    </row>
    <row r="82" spans="1:13" s="5" customFormat="1" ht="35.450000000000003" customHeight="1" x14ac:dyDescent="0.2">
      <c r="A82" s="23" t="s">
        <v>85</v>
      </c>
      <c r="B82" s="85" t="s">
        <v>21</v>
      </c>
      <c r="C82" s="90" t="s">
        <v>22</v>
      </c>
      <c r="D82" s="84">
        <v>1</v>
      </c>
      <c r="E82" s="49">
        <v>60</v>
      </c>
      <c r="F82" s="85">
        <v>45945</v>
      </c>
      <c r="G82" s="86">
        <v>0.375</v>
      </c>
      <c r="H82" s="85">
        <v>45943</v>
      </c>
      <c r="I82" s="86">
        <v>0.9375</v>
      </c>
      <c r="J82" s="87">
        <f t="shared" si="1"/>
        <v>10</v>
      </c>
      <c r="K82" s="8">
        <v>1</v>
      </c>
      <c r="L82" s="88">
        <v>50</v>
      </c>
      <c r="M82" s="91" t="s">
        <v>87</v>
      </c>
    </row>
    <row r="83" spans="1:13" s="5" customFormat="1" ht="35.450000000000003" customHeight="1" x14ac:dyDescent="0.2">
      <c r="A83" s="23" t="s">
        <v>88</v>
      </c>
      <c r="B83" s="85" t="s">
        <v>21</v>
      </c>
      <c r="C83" s="85" t="s">
        <v>22</v>
      </c>
      <c r="D83" s="84">
        <v>1</v>
      </c>
      <c r="E83" s="49">
        <v>55</v>
      </c>
      <c r="F83" s="85">
        <v>45945</v>
      </c>
      <c r="G83" s="86">
        <v>0.375</v>
      </c>
      <c r="H83" s="85">
        <v>45943</v>
      </c>
      <c r="I83" s="86">
        <v>0.9375</v>
      </c>
      <c r="J83" s="87">
        <f t="shared" si="1"/>
        <v>0</v>
      </c>
      <c r="K83" s="8">
        <v>1</v>
      </c>
      <c r="L83" s="88">
        <v>55</v>
      </c>
      <c r="M83" s="91" t="s">
        <v>89</v>
      </c>
    </row>
    <row r="84" spans="1:13" s="5" customFormat="1" ht="35.450000000000003" customHeight="1" x14ac:dyDescent="0.2">
      <c r="A84" s="33" t="s">
        <v>131</v>
      </c>
      <c r="B84" s="85" t="s">
        <v>36</v>
      </c>
      <c r="C84" s="85" t="s">
        <v>37</v>
      </c>
      <c r="D84" s="49">
        <v>1</v>
      </c>
      <c r="E84" s="49">
        <v>30</v>
      </c>
      <c r="F84" s="85">
        <v>45945</v>
      </c>
      <c r="G84" s="86">
        <v>0.375</v>
      </c>
      <c r="H84" s="85">
        <v>45943</v>
      </c>
      <c r="I84" s="86">
        <v>0.9375</v>
      </c>
      <c r="J84" s="87">
        <f t="shared" si="1"/>
        <v>-2</v>
      </c>
      <c r="K84" s="8">
        <v>1</v>
      </c>
      <c r="L84" s="88">
        <v>32</v>
      </c>
      <c r="M84" s="91" t="s">
        <v>132</v>
      </c>
    </row>
    <row r="85" spans="1:13" s="5" customFormat="1" ht="35.450000000000003" customHeight="1" x14ac:dyDescent="0.2">
      <c r="A85" s="33" t="s">
        <v>131</v>
      </c>
      <c r="B85" s="85" t="s">
        <v>42</v>
      </c>
      <c r="C85" s="85" t="s">
        <v>43</v>
      </c>
      <c r="D85" s="49">
        <v>1</v>
      </c>
      <c r="E85" s="49">
        <v>30</v>
      </c>
      <c r="F85" s="85">
        <v>45945</v>
      </c>
      <c r="G85" s="86">
        <v>0.375</v>
      </c>
      <c r="H85" s="85">
        <v>45943</v>
      </c>
      <c r="I85" s="86">
        <v>0.9375</v>
      </c>
      <c r="J85" s="87">
        <f t="shared" si="1"/>
        <v>-2</v>
      </c>
      <c r="K85" s="8">
        <v>1</v>
      </c>
      <c r="L85" s="88">
        <v>32</v>
      </c>
      <c r="M85" s="91" t="s">
        <v>132</v>
      </c>
    </row>
    <row r="86" spans="1:13" s="5" customFormat="1" ht="35.450000000000003" customHeight="1" x14ac:dyDescent="0.2">
      <c r="A86" s="33" t="s">
        <v>131</v>
      </c>
      <c r="B86" s="85" t="s">
        <v>30</v>
      </c>
      <c r="C86" s="85" t="s">
        <v>31</v>
      </c>
      <c r="D86" s="49">
        <v>1</v>
      </c>
      <c r="E86" s="49">
        <v>30</v>
      </c>
      <c r="F86" s="85">
        <v>45945</v>
      </c>
      <c r="G86" s="86">
        <v>0.375</v>
      </c>
      <c r="H86" s="85">
        <v>45943</v>
      </c>
      <c r="I86" s="86">
        <v>0.9375</v>
      </c>
      <c r="J86" s="87">
        <f t="shared" si="1"/>
        <v>-2</v>
      </c>
      <c r="K86" s="8">
        <v>1</v>
      </c>
      <c r="L86" s="88">
        <v>32</v>
      </c>
      <c r="M86" s="91" t="s">
        <v>132</v>
      </c>
    </row>
    <row r="87" spans="1:13" s="5" customFormat="1" ht="35.450000000000003" customHeight="1" x14ac:dyDescent="0.2">
      <c r="A87" s="33" t="s">
        <v>131</v>
      </c>
      <c r="B87" s="85" t="s">
        <v>21</v>
      </c>
      <c r="C87" s="85" t="s">
        <v>22</v>
      </c>
      <c r="D87" s="49">
        <v>1</v>
      </c>
      <c r="E87" s="49">
        <v>30</v>
      </c>
      <c r="F87" s="85">
        <v>45945</v>
      </c>
      <c r="G87" s="86">
        <v>0.375</v>
      </c>
      <c r="H87" s="85">
        <v>45943</v>
      </c>
      <c r="I87" s="86">
        <v>0.9375</v>
      </c>
      <c r="J87" s="87">
        <f t="shared" si="1"/>
        <v>-2</v>
      </c>
      <c r="K87" s="8">
        <v>1</v>
      </c>
      <c r="L87" s="88">
        <v>32</v>
      </c>
      <c r="M87" s="91" t="s">
        <v>132</v>
      </c>
    </row>
    <row r="88" spans="1:13" s="5" customFormat="1" ht="35.450000000000003" customHeight="1" x14ac:dyDescent="0.2">
      <c r="A88" s="33" t="s">
        <v>131</v>
      </c>
      <c r="B88" s="85" t="s">
        <v>136</v>
      </c>
      <c r="C88" s="85" t="s">
        <v>34</v>
      </c>
      <c r="D88" s="49">
        <v>1</v>
      </c>
      <c r="E88" s="49">
        <v>30</v>
      </c>
      <c r="F88" s="85">
        <v>45945</v>
      </c>
      <c r="G88" s="86">
        <v>0.375</v>
      </c>
      <c r="H88" s="85">
        <v>45943</v>
      </c>
      <c r="I88" s="86">
        <v>0.9375</v>
      </c>
      <c r="J88" s="87">
        <f t="shared" si="1"/>
        <v>-2</v>
      </c>
      <c r="K88" s="8">
        <v>1</v>
      </c>
      <c r="L88" s="88">
        <v>32</v>
      </c>
      <c r="M88" s="91" t="s">
        <v>132</v>
      </c>
    </row>
    <row r="89" spans="1:13" s="5" customFormat="1" ht="35.450000000000003" customHeight="1" x14ac:dyDescent="0.2">
      <c r="A89" s="33" t="s">
        <v>131</v>
      </c>
      <c r="B89" s="85" t="s">
        <v>39</v>
      </c>
      <c r="C89" s="85" t="s">
        <v>40</v>
      </c>
      <c r="D89" s="49">
        <v>1</v>
      </c>
      <c r="E89" s="49">
        <v>30</v>
      </c>
      <c r="F89" s="85">
        <v>45945</v>
      </c>
      <c r="G89" s="86">
        <v>0.375</v>
      </c>
      <c r="H89" s="85">
        <v>45943</v>
      </c>
      <c r="I89" s="86">
        <v>0.9375</v>
      </c>
      <c r="J89" s="87">
        <f t="shared" si="1"/>
        <v>-2</v>
      </c>
      <c r="K89" s="8">
        <v>1</v>
      </c>
      <c r="L89" s="88">
        <v>32</v>
      </c>
      <c r="M89" s="91" t="s">
        <v>132</v>
      </c>
    </row>
    <row r="90" spans="1:13" s="5" customFormat="1" ht="35.450000000000003" customHeight="1" x14ac:dyDescent="0.2">
      <c r="A90" s="33" t="s">
        <v>133</v>
      </c>
      <c r="B90" s="85" t="s">
        <v>21</v>
      </c>
      <c r="C90" s="85" t="s">
        <v>22</v>
      </c>
      <c r="D90" s="49">
        <v>3</v>
      </c>
      <c r="E90" s="49">
        <v>20</v>
      </c>
      <c r="F90" s="85">
        <v>45945</v>
      </c>
      <c r="G90" s="86">
        <v>0.375</v>
      </c>
      <c r="H90" s="85">
        <v>45945</v>
      </c>
      <c r="I90" s="86">
        <v>0.375</v>
      </c>
      <c r="J90" s="87">
        <f t="shared" si="1"/>
        <v>5</v>
      </c>
      <c r="K90" s="8">
        <v>3</v>
      </c>
      <c r="L90" s="88">
        <v>15</v>
      </c>
      <c r="M90" s="91" t="s">
        <v>134</v>
      </c>
    </row>
    <row r="91" spans="1:13" s="5" customFormat="1" ht="35.450000000000003" customHeight="1" x14ac:dyDescent="0.2">
      <c r="A91"/>
      <c r="B91"/>
      <c r="C91"/>
      <c r="D91"/>
      <c r="E91"/>
      <c r="F91"/>
      <c r="G91"/>
      <c r="H91"/>
      <c r="I91"/>
      <c r="J91"/>
      <c r="K91"/>
      <c r="L91"/>
      <c r="M91"/>
    </row>
    <row r="92" spans="1:13" s="5" customFormat="1" ht="37.5" customHeight="1" x14ac:dyDescent="0.2">
      <c r="A92" s="4"/>
      <c r="B92" s="4"/>
      <c r="C92" s="4"/>
      <c r="D92" s="4"/>
      <c r="E92" s="4"/>
      <c r="F92" s="4"/>
      <c r="G92" s="4"/>
      <c r="H92" s="4"/>
      <c r="I92" s="3"/>
      <c r="J92" s="3"/>
      <c r="K92" s="2"/>
      <c r="L92" s="1"/>
      <c r="M92" s="1"/>
    </row>
    <row r="93" spans="1:13" x14ac:dyDescent="0.2">
      <c r="A93" t="s">
        <v>210</v>
      </c>
      <c r="B93" t="s">
        <v>215</v>
      </c>
      <c r="C93" t="s">
        <v>214</v>
      </c>
      <c r="D93" t="s">
        <v>212</v>
      </c>
      <c r="E93" t="s">
        <v>213</v>
      </c>
    </row>
    <row r="94" spans="1:13" x14ac:dyDescent="0.2">
      <c r="A94" s="71" t="s">
        <v>36</v>
      </c>
      <c r="B94">
        <v>19</v>
      </c>
      <c r="C94">
        <v>605</v>
      </c>
      <c r="D94">
        <v>566</v>
      </c>
      <c r="E94">
        <v>21</v>
      </c>
    </row>
    <row r="95" spans="1:13" x14ac:dyDescent="0.2">
      <c r="A95" s="71" t="s">
        <v>39</v>
      </c>
      <c r="B95">
        <v>16</v>
      </c>
      <c r="C95">
        <v>410</v>
      </c>
      <c r="D95">
        <v>340</v>
      </c>
      <c r="E95">
        <v>19</v>
      </c>
    </row>
    <row r="96" spans="1:13" x14ac:dyDescent="0.2">
      <c r="A96" s="71" t="s">
        <v>21</v>
      </c>
      <c r="B96">
        <v>18</v>
      </c>
      <c r="C96">
        <v>555</v>
      </c>
      <c r="D96">
        <v>480</v>
      </c>
      <c r="E96">
        <v>27</v>
      </c>
    </row>
    <row r="97" spans="1:13" x14ac:dyDescent="0.2">
      <c r="A97" s="71" t="s">
        <v>136</v>
      </c>
      <c r="B97">
        <v>11</v>
      </c>
      <c r="C97">
        <v>360</v>
      </c>
      <c r="D97">
        <v>300</v>
      </c>
      <c r="E97">
        <v>14</v>
      </c>
    </row>
    <row r="98" spans="1:13" x14ac:dyDescent="0.2">
      <c r="A98" s="71" t="s">
        <v>42</v>
      </c>
      <c r="B98">
        <v>13</v>
      </c>
      <c r="C98">
        <v>420</v>
      </c>
      <c r="D98">
        <v>352</v>
      </c>
      <c r="E98">
        <v>15</v>
      </c>
    </row>
    <row r="99" spans="1:13" x14ac:dyDescent="0.2">
      <c r="A99" s="71" t="s">
        <v>30</v>
      </c>
      <c r="B99">
        <v>11</v>
      </c>
      <c r="C99">
        <v>360</v>
      </c>
      <c r="D99">
        <v>295</v>
      </c>
      <c r="E99">
        <v>14</v>
      </c>
    </row>
    <row r="100" spans="1:13" x14ac:dyDescent="0.2">
      <c r="A100" s="71" t="s">
        <v>211</v>
      </c>
      <c r="B100">
        <v>88</v>
      </c>
      <c r="C100">
        <v>2710</v>
      </c>
      <c r="D100">
        <v>2333</v>
      </c>
      <c r="E100">
        <v>110</v>
      </c>
    </row>
    <row r="101" spans="1:13" x14ac:dyDescent="0.2">
      <c r="A101"/>
      <c r="B101"/>
      <c r="C101"/>
      <c r="D101"/>
      <c r="E101"/>
    </row>
    <row r="102" spans="1:13" x14ac:dyDescent="0.2">
      <c r="A102"/>
      <c r="B102"/>
      <c r="C102"/>
    </row>
    <row r="103" spans="1:13" x14ac:dyDescent="0.2">
      <c r="A103"/>
      <c r="B103"/>
      <c r="C103"/>
    </row>
    <row r="104" spans="1:13" x14ac:dyDescent="0.2">
      <c r="A104"/>
      <c r="B104"/>
      <c r="C104"/>
    </row>
    <row r="105" spans="1:13" x14ac:dyDescent="0.2">
      <c r="A105"/>
      <c r="B105"/>
      <c r="C105"/>
    </row>
    <row r="106" spans="1:13" x14ac:dyDescent="0.2">
      <c r="A106"/>
      <c r="B106"/>
      <c r="C106"/>
    </row>
    <row r="107" spans="1:13" x14ac:dyDescent="0.2">
      <c r="A107"/>
      <c r="B107"/>
      <c r="C107"/>
      <c r="D107"/>
      <c r="E107"/>
      <c r="F107"/>
      <c r="G107"/>
      <c r="H107"/>
      <c r="I107"/>
      <c r="J107"/>
      <c r="K107"/>
      <c r="L107"/>
      <c r="M107"/>
    </row>
    <row r="108" spans="1:13" x14ac:dyDescent="0.2">
      <c r="A108"/>
      <c r="B108"/>
      <c r="C108"/>
      <c r="D108"/>
      <c r="E108"/>
      <c r="F108"/>
      <c r="G108"/>
      <c r="H108"/>
      <c r="I108"/>
      <c r="J108"/>
      <c r="K108"/>
      <c r="L108"/>
      <c r="M108"/>
    </row>
    <row r="109" spans="1:13" x14ac:dyDescent="0.2">
      <c r="A109"/>
      <c r="B109"/>
      <c r="C109"/>
    </row>
    <row r="110" spans="1:13" x14ac:dyDescent="0.2">
      <c r="A110"/>
      <c r="B110"/>
      <c r="C110"/>
    </row>
    <row r="121" spans="9:20" s="4" customFormat="1" ht="30" customHeight="1" x14ac:dyDescent="0.2">
      <c r="I121" s="3"/>
      <c r="J121" s="3"/>
      <c r="K121" s="2"/>
      <c r="L121" s="1"/>
      <c r="M121" s="1"/>
      <c r="N121"/>
      <c r="O121"/>
      <c r="P121"/>
      <c r="Q121"/>
      <c r="R121"/>
      <c r="S121"/>
      <c r="T121"/>
    </row>
    <row r="122" spans="9:20" s="4" customFormat="1" ht="23.25" customHeight="1" x14ac:dyDescent="0.2">
      <c r="I122" s="3"/>
      <c r="J122" s="3"/>
      <c r="K122" s="2"/>
      <c r="L122" s="1"/>
      <c r="M122" s="1"/>
      <c r="N122"/>
      <c r="O122"/>
      <c r="P122"/>
      <c r="Q122"/>
      <c r="R122"/>
      <c r="S122"/>
      <c r="T122"/>
    </row>
    <row r="129" spans="1:20" s="5" customFormat="1" ht="12" customHeight="1" x14ac:dyDescent="0.2">
      <c r="A129" s="4"/>
      <c r="B129" s="4"/>
      <c r="C129" s="4"/>
      <c r="D129" s="4"/>
      <c r="E129" s="4"/>
      <c r="F129" s="4"/>
      <c r="G129" s="4"/>
      <c r="H129" s="4"/>
      <c r="I129" s="3"/>
      <c r="J129" s="3"/>
      <c r="K129" s="2"/>
      <c r="L129" s="1"/>
      <c r="M129" s="1"/>
    </row>
    <row r="133" spans="1:20" x14ac:dyDescent="0.2">
      <c r="Q133" s="42" t="e">
        <f>SUM(#REF!)</f>
        <v>#REF!</v>
      </c>
      <c r="R133" s="42" t="e">
        <f>SUM(#REF!)</f>
        <v>#REF!</v>
      </c>
      <c r="S133" s="42" t="e">
        <f>SUM(#REF!)</f>
        <v>#REF!</v>
      </c>
      <c r="T133" s="42" t="e">
        <f>SUM(#REF!)</f>
        <v>#REF!</v>
      </c>
    </row>
    <row r="134" spans="1:20" ht="35.25" customHeight="1" x14ac:dyDescent="0.2"/>
    <row r="135" spans="1:20" ht="36.75" customHeight="1" x14ac:dyDescent="0.2"/>
    <row r="136" spans="1:20" ht="33.75" customHeight="1" x14ac:dyDescent="0.2"/>
    <row r="137" spans="1:20" ht="26.25" customHeight="1" x14ac:dyDescent="0.2"/>
    <row r="138" spans="1:20" ht="27.75" customHeight="1" x14ac:dyDescent="0.2"/>
    <row r="139" spans="1:20" s="4" customFormat="1" ht="40.5" customHeight="1" x14ac:dyDescent="0.2">
      <c r="I139" s="3"/>
      <c r="J139" s="3"/>
      <c r="K139" s="2"/>
      <c r="L139" s="1"/>
      <c r="M139" s="1"/>
      <c r="N139"/>
      <c r="O139"/>
      <c r="P139"/>
      <c r="Q139"/>
      <c r="R139"/>
      <c r="S139"/>
      <c r="T139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A9E4E-CD03-4451-813E-06658CE50F97}">
  <dimension ref="A1:T134"/>
  <sheetViews>
    <sheetView topLeftCell="A45" zoomScale="84" zoomScaleNormal="76" workbookViewId="0">
      <selection activeCell="J30" sqref="J30"/>
    </sheetView>
  </sheetViews>
  <sheetFormatPr baseColWidth="10" defaultColWidth="11.42578125" defaultRowHeight="12.75" x14ac:dyDescent="0.2"/>
  <cols>
    <col min="1" max="1" width="18.7109375" style="4" bestFit="1" customWidth="1"/>
    <col min="2" max="2" width="45.42578125" style="4" bestFit="1" customWidth="1"/>
    <col min="3" max="3" width="36.7109375" style="4" bestFit="1" customWidth="1"/>
    <col min="4" max="4" width="21.5703125" style="4" bestFit="1" customWidth="1"/>
    <col min="5" max="5" width="21.2851562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26"/>
      <c r="B1" s="128" t="s">
        <v>0</v>
      </c>
      <c r="C1" s="128"/>
      <c r="D1" s="128"/>
      <c r="E1" s="128"/>
      <c r="F1" s="128"/>
      <c r="G1" s="128"/>
      <c r="H1" s="128"/>
      <c r="I1" s="128"/>
      <c r="J1" s="128"/>
      <c r="K1" s="128"/>
      <c r="L1" s="130"/>
      <c r="M1" s="131"/>
    </row>
    <row r="2" spans="1:20" ht="20.25" customHeight="1" x14ac:dyDescent="0.2">
      <c r="A2" s="127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32"/>
      <c r="M2" s="133"/>
    </row>
    <row r="3" spans="1:20" ht="12.75" customHeight="1" x14ac:dyDescent="0.2">
      <c r="A3" s="134" t="s">
        <v>1</v>
      </c>
      <c r="B3" s="136" t="s">
        <v>2</v>
      </c>
      <c r="C3" s="136"/>
      <c r="D3" s="136"/>
      <c r="E3" s="136"/>
      <c r="F3" s="136"/>
      <c r="G3" s="136"/>
      <c r="H3" s="136"/>
      <c r="I3" s="136"/>
      <c r="J3" s="136"/>
      <c r="K3" s="136"/>
      <c r="L3" s="138" t="s">
        <v>3</v>
      </c>
      <c r="M3" s="139"/>
    </row>
    <row r="4" spans="1:20" ht="13.5" thickBot="1" x14ac:dyDescent="0.25">
      <c r="A4" s="135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22" t="s">
        <v>6</v>
      </c>
      <c r="C6" s="122"/>
      <c r="D6" s="122"/>
      <c r="E6" s="122"/>
      <c r="F6" s="122"/>
      <c r="G6" s="122"/>
      <c r="H6" s="123" t="s">
        <v>7</v>
      </c>
      <c r="I6" s="124"/>
      <c r="J6" s="124"/>
      <c r="K6" s="124"/>
      <c r="L6" s="125"/>
      <c r="M6" s="25"/>
    </row>
    <row r="7" spans="1:20" s="14" customFormat="1" ht="49.5" customHeight="1" x14ac:dyDescent="0.2">
      <c r="A7" s="18" cm="1">
        <f t="array" aca="1" ref="A7" ca="1">+#REF!+A1:L7+A7:L50</f>
        <v>0</v>
      </c>
      <c r="B7" s="19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23" t="s">
        <v>20</v>
      </c>
      <c r="B8" s="62" t="s">
        <v>21</v>
      </c>
      <c r="C8" s="17" t="s">
        <v>22</v>
      </c>
      <c r="D8" s="66">
        <v>1</v>
      </c>
      <c r="E8" s="66">
        <v>45</v>
      </c>
      <c r="F8" s="11">
        <v>45882</v>
      </c>
      <c r="G8" s="10">
        <v>0.375</v>
      </c>
      <c r="H8" s="11">
        <v>45877</v>
      </c>
      <c r="I8" s="10">
        <v>0.4375</v>
      </c>
      <c r="J8" s="9">
        <f t="shared" ref="J8:J50" si="0">E8-L8</f>
        <v>-15</v>
      </c>
      <c r="K8" s="65">
        <v>1</v>
      </c>
      <c r="L8" s="7">
        <v>60</v>
      </c>
      <c r="M8" s="6" t="s">
        <v>23</v>
      </c>
      <c r="Q8" s="20">
        <v>1</v>
      </c>
      <c r="R8" s="20">
        <v>45</v>
      </c>
      <c r="S8" s="8">
        <v>1</v>
      </c>
      <c r="T8" s="7">
        <v>60</v>
      </c>
    </row>
    <row r="9" spans="1:20" s="5" customFormat="1" ht="39" customHeight="1" x14ac:dyDescent="0.2">
      <c r="A9" s="23" t="s">
        <v>24</v>
      </c>
      <c r="B9" s="62" t="s">
        <v>21</v>
      </c>
      <c r="C9" s="17" t="s">
        <v>22</v>
      </c>
      <c r="D9" s="66">
        <v>1</v>
      </c>
      <c r="E9" s="66">
        <v>60</v>
      </c>
      <c r="F9" s="11">
        <v>45882</v>
      </c>
      <c r="G9" s="10">
        <v>0.375</v>
      </c>
      <c r="H9" s="11">
        <v>45877</v>
      </c>
      <c r="I9" s="10">
        <v>0.4375</v>
      </c>
      <c r="J9" s="9">
        <f>E9-L9</f>
        <v>0</v>
      </c>
      <c r="K9" s="65">
        <v>1</v>
      </c>
      <c r="L9" s="7">
        <v>60</v>
      </c>
      <c r="M9" s="6" t="s">
        <v>25</v>
      </c>
      <c r="Q9" s="20">
        <v>1</v>
      </c>
      <c r="R9" s="20">
        <v>60</v>
      </c>
      <c r="S9" s="8">
        <v>1</v>
      </c>
      <c r="T9" s="7">
        <v>60</v>
      </c>
    </row>
    <row r="10" spans="1:20" s="5" customFormat="1" ht="43.5" customHeight="1" x14ac:dyDescent="0.2">
      <c r="A10" s="23" t="s">
        <v>24</v>
      </c>
      <c r="B10" s="62" t="s">
        <v>135</v>
      </c>
      <c r="C10" s="17" t="s">
        <v>31</v>
      </c>
      <c r="D10" s="66">
        <v>1</v>
      </c>
      <c r="E10" s="66">
        <v>60</v>
      </c>
      <c r="F10" s="11">
        <v>45882</v>
      </c>
      <c r="G10" s="10">
        <v>0.375</v>
      </c>
      <c r="H10" s="11">
        <v>45877</v>
      </c>
      <c r="I10" s="10">
        <v>0.4375</v>
      </c>
      <c r="J10" s="9">
        <f>E10-L10</f>
        <v>0</v>
      </c>
      <c r="K10" s="65">
        <v>1</v>
      </c>
      <c r="L10" s="7">
        <v>60</v>
      </c>
      <c r="M10" s="6" t="s">
        <v>25</v>
      </c>
      <c r="Q10" s="20">
        <v>1</v>
      </c>
      <c r="R10" s="20">
        <v>60</v>
      </c>
      <c r="S10" s="8">
        <v>1</v>
      </c>
      <c r="T10" s="7">
        <v>60</v>
      </c>
    </row>
    <row r="11" spans="1:20" s="5" customFormat="1" ht="35.1" customHeight="1" x14ac:dyDescent="0.2">
      <c r="A11" s="23" t="s">
        <v>24</v>
      </c>
      <c r="B11" s="62" t="s">
        <v>136</v>
      </c>
      <c r="C11" s="17" t="s">
        <v>34</v>
      </c>
      <c r="D11" s="20">
        <v>1</v>
      </c>
      <c r="E11" s="20">
        <v>60</v>
      </c>
      <c r="F11" s="11">
        <v>45882</v>
      </c>
      <c r="G11" s="10">
        <v>0.375</v>
      </c>
      <c r="H11" s="11">
        <v>45877</v>
      </c>
      <c r="I11" s="10">
        <v>0.4375</v>
      </c>
      <c r="J11" s="9">
        <f>E11-L11</f>
        <v>0</v>
      </c>
      <c r="K11" s="65">
        <v>1</v>
      </c>
      <c r="L11" s="7">
        <v>60</v>
      </c>
      <c r="M11" s="6" t="s">
        <v>25</v>
      </c>
      <c r="Q11" s="20">
        <v>1</v>
      </c>
      <c r="R11" s="20">
        <v>60</v>
      </c>
      <c r="S11" s="8">
        <v>1</v>
      </c>
      <c r="T11" s="7">
        <v>60</v>
      </c>
    </row>
    <row r="12" spans="1:20" s="5" customFormat="1" ht="35.1" customHeight="1" x14ac:dyDescent="0.2">
      <c r="A12" s="23" t="s">
        <v>24</v>
      </c>
      <c r="B12" s="62" t="s">
        <v>137</v>
      </c>
      <c r="C12" s="17" t="s">
        <v>37</v>
      </c>
      <c r="D12" s="20">
        <v>1</v>
      </c>
      <c r="E12" s="20">
        <v>60</v>
      </c>
      <c r="F12" s="11">
        <v>45882</v>
      </c>
      <c r="G12" s="10">
        <v>0.375</v>
      </c>
      <c r="H12" s="11">
        <v>45877</v>
      </c>
      <c r="I12" s="10">
        <v>0.4375</v>
      </c>
      <c r="J12" s="9">
        <f>E12-L12</f>
        <v>0</v>
      </c>
      <c r="K12" s="65">
        <v>1</v>
      </c>
      <c r="L12" s="7">
        <v>60</v>
      </c>
      <c r="M12" s="6" t="s">
        <v>25</v>
      </c>
      <c r="Q12" s="20">
        <v>1</v>
      </c>
      <c r="R12" s="20">
        <v>60</v>
      </c>
      <c r="S12" s="8">
        <v>1</v>
      </c>
      <c r="T12" s="7">
        <v>60</v>
      </c>
    </row>
    <row r="13" spans="1:20" s="5" customFormat="1" ht="35.1" customHeight="1" x14ac:dyDescent="0.2">
      <c r="A13" s="23" t="s">
        <v>24</v>
      </c>
      <c r="B13" s="62" t="s">
        <v>42</v>
      </c>
      <c r="C13" s="17" t="s">
        <v>43</v>
      </c>
      <c r="D13" s="20">
        <v>1</v>
      </c>
      <c r="E13" s="20">
        <v>60</v>
      </c>
      <c r="F13" s="11">
        <v>45882</v>
      </c>
      <c r="G13" s="10">
        <v>0.375</v>
      </c>
      <c r="H13" s="11">
        <v>45877</v>
      </c>
      <c r="I13" s="10">
        <v>0.4375</v>
      </c>
      <c r="J13" s="9">
        <f>E13-L13</f>
        <v>0</v>
      </c>
      <c r="K13" s="65">
        <v>1</v>
      </c>
      <c r="L13" s="7">
        <v>60</v>
      </c>
      <c r="M13" s="6" t="s">
        <v>25</v>
      </c>
      <c r="Q13" s="20">
        <v>1</v>
      </c>
      <c r="R13" s="20">
        <v>60</v>
      </c>
      <c r="S13" s="8">
        <v>1</v>
      </c>
      <c r="T13" s="7">
        <v>60</v>
      </c>
    </row>
    <row r="14" spans="1:20" s="5" customFormat="1" ht="33.950000000000003" customHeight="1" x14ac:dyDescent="0.2">
      <c r="A14" s="23" t="s">
        <v>24</v>
      </c>
      <c r="B14" s="62" t="s">
        <v>138</v>
      </c>
      <c r="C14" s="17" t="s">
        <v>40</v>
      </c>
      <c r="D14" s="20">
        <v>1</v>
      </c>
      <c r="E14" s="20">
        <v>60</v>
      </c>
      <c r="F14" s="11">
        <v>45882</v>
      </c>
      <c r="G14" s="10">
        <v>0.375</v>
      </c>
      <c r="H14" s="11">
        <v>45877</v>
      </c>
      <c r="I14" s="10">
        <v>0.4375</v>
      </c>
      <c r="J14" s="9">
        <f t="shared" si="0"/>
        <v>0</v>
      </c>
      <c r="K14" s="65">
        <v>1</v>
      </c>
      <c r="L14" s="7">
        <v>60</v>
      </c>
      <c r="M14" s="6" t="s">
        <v>25</v>
      </c>
      <c r="Q14" s="20">
        <v>1</v>
      </c>
      <c r="R14" s="20">
        <v>60</v>
      </c>
      <c r="S14" s="8">
        <v>1</v>
      </c>
      <c r="T14" s="7">
        <v>60</v>
      </c>
    </row>
    <row r="15" spans="1:20" s="5" customFormat="1" ht="38.450000000000003" customHeight="1" x14ac:dyDescent="0.2">
      <c r="A15" s="23" t="s">
        <v>26</v>
      </c>
      <c r="B15" s="78" t="s">
        <v>27</v>
      </c>
      <c r="C15" s="8" t="s">
        <v>28</v>
      </c>
      <c r="D15" s="66">
        <v>1</v>
      </c>
      <c r="E15" s="66">
        <v>50</v>
      </c>
      <c r="F15" s="11">
        <v>45882</v>
      </c>
      <c r="G15" s="10">
        <v>0.375</v>
      </c>
      <c r="H15" s="11">
        <v>45877</v>
      </c>
      <c r="I15" s="10">
        <v>0.45833333333333331</v>
      </c>
      <c r="J15" s="9">
        <f t="shared" si="0"/>
        <v>-10</v>
      </c>
      <c r="K15" s="65">
        <v>1</v>
      </c>
      <c r="L15" s="7">
        <v>60</v>
      </c>
      <c r="M15" s="6" t="s">
        <v>29</v>
      </c>
      <c r="Q15" s="20">
        <v>1</v>
      </c>
      <c r="R15" s="28">
        <v>50</v>
      </c>
      <c r="S15" s="8">
        <v>1</v>
      </c>
      <c r="T15" s="7">
        <v>60</v>
      </c>
    </row>
    <row r="16" spans="1:20" s="5" customFormat="1" ht="30.95" customHeight="1" x14ac:dyDescent="0.2">
      <c r="A16" s="23" t="s">
        <v>26</v>
      </c>
      <c r="B16" s="63" t="s">
        <v>30</v>
      </c>
      <c r="C16" s="21" t="s">
        <v>31</v>
      </c>
      <c r="D16" s="66">
        <v>1</v>
      </c>
      <c r="E16" s="66">
        <v>50</v>
      </c>
      <c r="F16" s="11">
        <v>45882</v>
      </c>
      <c r="G16" s="10">
        <v>0.375</v>
      </c>
      <c r="H16" s="11">
        <v>45877</v>
      </c>
      <c r="I16" s="10">
        <v>0.45833333333333331</v>
      </c>
      <c r="J16" s="9">
        <f t="shared" si="0"/>
        <v>-10</v>
      </c>
      <c r="K16" s="65">
        <v>1</v>
      </c>
      <c r="L16" s="7">
        <v>60</v>
      </c>
      <c r="M16" s="6" t="s">
        <v>32</v>
      </c>
      <c r="Q16" s="20">
        <v>1</v>
      </c>
      <c r="R16" s="28">
        <v>50</v>
      </c>
      <c r="S16" s="8">
        <v>1</v>
      </c>
      <c r="T16" s="7">
        <v>60</v>
      </c>
    </row>
    <row r="17" spans="1:20" s="5" customFormat="1" ht="27" customHeight="1" x14ac:dyDescent="0.2">
      <c r="A17" s="23" t="s">
        <v>26</v>
      </c>
      <c r="B17" s="62" t="s">
        <v>33</v>
      </c>
      <c r="C17" s="17" t="s">
        <v>34</v>
      </c>
      <c r="D17" s="20">
        <v>1</v>
      </c>
      <c r="E17" s="28">
        <v>50</v>
      </c>
      <c r="F17" s="11">
        <v>45882</v>
      </c>
      <c r="G17" s="10">
        <v>0.375</v>
      </c>
      <c r="H17" s="11">
        <v>45877</v>
      </c>
      <c r="I17" s="10">
        <v>0.45833333333333331</v>
      </c>
      <c r="J17" s="9">
        <f t="shared" si="0"/>
        <v>-10</v>
      </c>
      <c r="K17" s="65">
        <v>1</v>
      </c>
      <c r="L17" s="7">
        <v>60</v>
      </c>
      <c r="M17" s="6" t="s">
        <v>35</v>
      </c>
      <c r="Q17" s="20">
        <v>1</v>
      </c>
      <c r="R17" s="28">
        <v>50</v>
      </c>
      <c r="S17" s="8">
        <v>1</v>
      </c>
      <c r="T17" s="7">
        <v>60</v>
      </c>
    </row>
    <row r="18" spans="1:20" s="5" customFormat="1" ht="27.6" customHeight="1" x14ac:dyDescent="0.2">
      <c r="A18" s="23" t="s">
        <v>26</v>
      </c>
      <c r="B18" s="62" t="s">
        <v>36</v>
      </c>
      <c r="C18" s="17" t="s">
        <v>37</v>
      </c>
      <c r="D18" s="20">
        <v>1</v>
      </c>
      <c r="E18" s="28">
        <v>50</v>
      </c>
      <c r="F18" s="11">
        <v>45882</v>
      </c>
      <c r="G18" s="10">
        <v>0.375</v>
      </c>
      <c r="H18" s="11">
        <v>45877</v>
      </c>
      <c r="I18" s="10">
        <v>0.45833333333333331</v>
      </c>
      <c r="J18" s="9">
        <f t="shared" si="0"/>
        <v>-10</v>
      </c>
      <c r="K18" s="65">
        <v>1</v>
      </c>
      <c r="L18" s="7">
        <v>60</v>
      </c>
      <c r="M18" s="6" t="s">
        <v>38</v>
      </c>
      <c r="Q18" s="20">
        <v>1</v>
      </c>
      <c r="R18" s="28">
        <v>50</v>
      </c>
      <c r="S18" s="8">
        <v>1</v>
      </c>
      <c r="T18" s="7">
        <v>60</v>
      </c>
    </row>
    <row r="19" spans="1:20" s="5" customFormat="1" ht="24" customHeight="1" x14ac:dyDescent="0.2">
      <c r="A19" s="23" t="s">
        <v>26</v>
      </c>
      <c r="B19" s="62" t="s">
        <v>39</v>
      </c>
      <c r="C19" s="17" t="s">
        <v>40</v>
      </c>
      <c r="D19" s="20">
        <v>1</v>
      </c>
      <c r="E19" s="28">
        <v>50</v>
      </c>
      <c r="F19" s="11">
        <v>45882</v>
      </c>
      <c r="G19" s="10">
        <v>0.375</v>
      </c>
      <c r="H19" s="11">
        <v>45877</v>
      </c>
      <c r="I19" s="10">
        <v>0.45833333333333331</v>
      </c>
      <c r="J19" s="9">
        <f t="shared" si="0"/>
        <v>-10</v>
      </c>
      <c r="K19" s="65">
        <v>1</v>
      </c>
      <c r="L19" s="7">
        <v>60</v>
      </c>
      <c r="M19" s="6" t="s">
        <v>41</v>
      </c>
      <c r="Q19" s="20">
        <v>1</v>
      </c>
      <c r="R19" s="28">
        <v>50</v>
      </c>
      <c r="S19" s="8">
        <v>1</v>
      </c>
      <c r="T19" s="7">
        <v>60</v>
      </c>
    </row>
    <row r="20" spans="1:20" s="5" customFormat="1" ht="29.45" customHeight="1" x14ac:dyDescent="0.2">
      <c r="A20" s="23" t="s">
        <v>26</v>
      </c>
      <c r="B20" s="62" t="s">
        <v>42</v>
      </c>
      <c r="C20" s="17" t="s">
        <v>43</v>
      </c>
      <c r="D20" s="20">
        <v>1</v>
      </c>
      <c r="E20" s="28">
        <v>50</v>
      </c>
      <c r="F20" s="11">
        <v>45882</v>
      </c>
      <c r="G20" s="10">
        <v>0.375</v>
      </c>
      <c r="H20" s="11">
        <v>45877</v>
      </c>
      <c r="I20" s="10">
        <v>0.45833333333333331</v>
      </c>
      <c r="J20" s="9">
        <f t="shared" si="0"/>
        <v>-10</v>
      </c>
      <c r="K20" s="65">
        <v>1</v>
      </c>
      <c r="L20" s="7">
        <v>60</v>
      </c>
      <c r="M20" s="6" t="s">
        <v>44</v>
      </c>
      <c r="Q20" s="20">
        <v>1</v>
      </c>
      <c r="R20" s="28">
        <v>50</v>
      </c>
      <c r="S20" s="8">
        <v>1</v>
      </c>
      <c r="T20" s="7">
        <v>60</v>
      </c>
    </row>
    <row r="21" spans="1:20" s="5" customFormat="1" ht="33.950000000000003" customHeight="1" x14ac:dyDescent="0.2">
      <c r="A21" s="23" t="s">
        <v>45</v>
      </c>
      <c r="B21" s="62" t="s">
        <v>21</v>
      </c>
      <c r="C21" s="17" t="s">
        <v>22</v>
      </c>
      <c r="D21" s="66">
        <v>1</v>
      </c>
      <c r="E21" s="66">
        <v>70</v>
      </c>
      <c r="F21" s="11">
        <v>45882</v>
      </c>
      <c r="G21" s="10">
        <v>0.375</v>
      </c>
      <c r="H21" s="11">
        <v>45877</v>
      </c>
      <c r="I21" s="10">
        <v>0.5</v>
      </c>
      <c r="J21" s="9">
        <f t="shared" si="0"/>
        <v>10</v>
      </c>
      <c r="K21" s="65">
        <v>1</v>
      </c>
      <c r="L21" s="7">
        <v>60</v>
      </c>
      <c r="M21" s="6" t="s">
        <v>46</v>
      </c>
      <c r="Q21" s="20">
        <v>1</v>
      </c>
      <c r="R21" s="28">
        <v>70</v>
      </c>
      <c r="S21" s="8">
        <v>1</v>
      </c>
      <c r="T21" s="7">
        <v>60</v>
      </c>
    </row>
    <row r="22" spans="1:20" s="5" customFormat="1" ht="33.950000000000003" customHeight="1" x14ac:dyDescent="0.2">
      <c r="A22" s="23" t="s">
        <v>45</v>
      </c>
      <c r="B22" s="62" t="s">
        <v>30</v>
      </c>
      <c r="C22" s="17" t="s">
        <v>31</v>
      </c>
      <c r="D22" s="66">
        <v>1</v>
      </c>
      <c r="E22" s="66">
        <v>70</v>
      </c>
      <c r="F22" s="11">
        <v>45882</v>
      </c>
      <c r="G22" s="10">
        <v>0.375</v>
      </c>
      <c r="H22" s="11">
        <v>45877</v>
      </c>
      <c r="I22" s="10">
        <v>0.5</v>
      </c>
      <c r="J22" s="9">
        <f t="shared" si="0"/>
        <v>10</v>
      </c>
      <c r="K22" s="65">
        <v>1</v>
      </c>
      <c r="L22" s="7">
        <v>60</v>
      </c>
      <c r="M22" s="6" t="s">
        <v>47</v>
      </c>
      <c r="Q22" s="20">
        <v>1</v>
      </c>
      <c r="R22" s="28">
        <v>70</v>
      </c>
      <c r="S22" s="8">
        <v>1</v>
      </c>
      <c r="T22" s="7">
        <v>60</v>
      </c>
    </row>
    <row r="23" spans="1:20" s="5" customFormat="1" ht="28.5" customHeight="1" x14ac:dyDescent="0.2">
      <c r="A23" s="5" t="s">
        <v>45</v>
      </c>
      <c r="B23" s="63" t="s">
        <v>33</v>
      </c>
      <c r="C23" s="21" t="s">
        <v>34</v>
      </c>
      <c r="D23" s="20">
        <v>1</v>
      </c>
      <c r="E23" s="28">
        <v>70</v>
      </c>
      <c r="F23" s="11">
        <v>45882</v>
      </c>
      <c r="G23" s="10">
        <v>0.375</v>
      </c>
      <c r="H23" s="11">
        <v>45877</v>
      </c>
      <c r="I23" s="10">
        <v>0.5</v>
      </c>
      <c r="J23" s="9">
        <f t="shared" si="0"/>
        <v>10</v>
      </c>
      <c r="K23" s="65">
        <v>1</v>
      </c>
      <c r="L23" s="7">
        <v>60</v>
      </c>
      <c r="M23" s="6" t="s">
        <v>48</v>
      </c>
      <c r="Q23" s="20">
        <v>1</v>
      </c>
      <c r="R23" s="28">
        <v>70</v>
      </c>
      <c r="S23" s="8">
        <v>1</v>
      </c>
      <c r="T23" s="7">
        <v>60</v>
      </c>
    </row>
    <row r="24" spans="1:20" s="5" customFormat="1" ht="24.95" customHeight="1" x14ac:dyDescent="0.2">
      <c r="A24" s="23" t="s">
        <v>45</v>
      </c>
      <c r="B24" s="62" t="s">
        <v>36</v>
      </c>
      <c r="C24" s="17" t="s">
        <v>37</v>
      </c>
      <c r="D24" s="20">
        <v>1</v>
      </c>
      <c r="E24" s="28">
        <v>70</v>
      </c>
      <c r="F24" s="11">
        <v>45882</v>
      </c>
      <c r="G24" s="10">
        <v>0.375</v>
      </c>
      <c r="H24" s="11">
        <v>45877</v>
      </c>
      <c r="I24" s="10">
        <v>0.5</v>
      </c>
      <c r="J24" s="9">
        <f t="shared" si="0"/>
        <v>10</v>
      </c>
      <c r="K24" s="65">
        <v>1</v>
      </c>
      <c r="L24" s="7">
        <v>60</v>
      </c>
      <c r="M24" s="6" t="s">
        <v>49</v>
      </c>
      <c r="Q24" s="20">
        <v>1</v>
      </c>
      <c r="R24" s="28">
        <v>70</v>
      </c>
      <c r="S24" s="8">
        <v>1</v>
      </c>
      <c r="T24" s="7">
        <v>60</v>
      </c>
    </row>
    <row r="25" spans="1:20" s="5" customFormat="1" ht="12.75" customHeight="1" x14ac:dyDescent="0.2">
      <c r="A25" s="23" t="s">
        <v>45</v>
      </c>
      <c r="B25" s="63" t="s">
        <v>39</v>
      </c>
      <c r="C25" s="21" t="s">
        <v>40</v>
      </c>
      <c r="D25" s="20">
        <v>1</v>
      </c>
      <c r="E25" s="28">
        <v>70</v>
      </c>
      <c r="F25" s="11">
        <v>45882</v>
      </c>
      <c r="G25" s="10">
        <v>0.375</v>
      </c>
      <c r="H25" s="11">
        <v>45877</v>
      </c>
      <c r="I25" s="10">
        <v>0.5</v>
      </c>
      <c r="J25" s="9">
        <f t="shared" si="0"/>
        <v>10</v>
      </c>
      <c r="K25" s="65">
        <v>1</v>
      </c>
      <c r="L25" s="7">
        <v>60</v>
      </c>
      <c r="M25" s="6" t="s">
        <v>50</v>
      </c>
      <c r="Q25" s="20">
        <v>1</v>
      </c>
      <c r="R25" s="28">
        <v>70</v>
      </c>
      <c r="S25" s="8">
        <v>1</v>
      </c>
      <c r="T25" s="7">
        <v>60</v>
      </c>
    </row>
    <row r="26" spans="1:20" s="5" customFormat="1" ht="12.75" customHeight="1" x14ac:dyDescent="0.2">
      <c r="A26" s="23" t="s">
        <v>45</v>
      </c>
      <c r="B26" s="63" t="s">
        <v>42</v>
      </c>
      <c r="C26" s="21" t="s">
        <v>43</v>
      </c>
      <c r="D26" s="20">
        <v>1</v>
      </c>
      <c r="E26" s="28">
        <v>70</v>
      </c>
      <c r="F26" s="11">
        <v>45882</v>
      </c>
      <c r="G26" s="10">
        <v>0.375</v>
      </c>
      <c r="H26" s="11">
        <v>45877</v>
      </c>
      <c r="I26" s="10">
        <v>0.5</v>
      </c>
      <c r="J26" s="9">
        <f t="shared" si="0"/>
        <v>10</v>
      </c>
      <c r="K26" s="65">
        <v>1</v>
      </c>
      <c r="L26" s="7">
        <v>60</v>
      </c>
      <c r="M26" s="6" t="s">
        <v>51</v>
      </c>
      <c r="Q26" s="20">
        <v>1</v>
      </c>
      <c r="R26" s="28">
        <v>70</v>
      </c>
      <c r="S26" s="8">
        <v>1</v>
      </c>
      <c r="T26" s="7">
        <v>60</v>
      </c>
    </row>
    <row r="27" spans="1:20" s="5" customFormat="1" ht="33.950000000000003" customHeight="1" x14ac:dyDescent="0.2">
      <c r="A27" s="23" t="s">
        <v>52</v>
      </c>
      <c r="B27" s="63" t="s">
        <v>21</v>
      </c>
      <c r="C27" s="21" t="s">
        <v>22</v>
      </c>
      <c r="D27" s="66">
        <v>1</v>
      </c>
      <c r="E27" s="9">
        <v>30</v>
      </c>
      <c r="F27" s="11">
        <v>45882</v>
      </c>
      <c r="G27" s="10">
        <v>0.375</v>
      </c>
      <c r="H27" s="11">
        <v>45877</v>
      </c>
      <c r="I27" s="10">
        <v>4.1666666666666664E-2</v>
      </c>
      <c r="J27" s="9">
        <f t="shared" si="0"/>
        <v>0</v>
      </c>
      <c r="K27" s="65">
        <v>1</v>
      </c>
      <c r="L27" s="7">
        <v>30</v>
      </c>
      <c r="M27" s="6" t="s">
        <v>53</v>
      </c>
      <c r="Q27" s="20">
        <v>1</v>
      </c>
      <c r="R27" s="29">
        <v>30</v>
      </c>
      <c r="S27" s="8">
        <v>1</v>
      </c>
      <c r="T27" s="7">
        <v>30</v>
      </c>
    </row>
    <row r="28" spans="1:20" s="5" customFormat="1" ht="32.450000000000003" customHeight="1" x14ac:dyDescent="0.2">
      <c r="A28" s="23" t="s">
        <v>52</v>
      </c>
      <c r="B28" s="63" t="s">
        <v>36</v>
      </c>
      <c r="C28" s="21" t="s">
        <v>37</v>
      </c>
      <c r="D28" s="20">
        <v>1</v>
      </c>
      <c r="E28" s="5">
        <v>30</v>
      </c>
      <c r="F28" s="11">
        <v>45882</v>
      </c>
      <c r="G28" s="10">
        <v>0.375</v>
      </c>
      <c r="H28" s="11">
        <v>45877</v>
      </c>
      <c r="I28" s="10">
        <v>4.1666666666666664E-2</v>
      </c>
      <c r="J28" s="9">
        <f>E28-L28</f>
        <v>0</v>
      </c>
      <c r="K28" s="65">
        <v>1</v>
      </c>
      <c r="L28" s="7">
        <v>30</v>
      </c>
      <c r="M28" s="6" t="s">
        <v>53</v>
      </c>
      <c r="Q28" s="20">
        <v>1</v>
      </c>
      <c r="R28" s="5">
        <v>30</v>
      </c>
      <c r="S28" s="8">
        <v>1</v>
      </c>
      <c r="T28" s="7">
        <v>30</v>
      </c>
    </row>
    <row r="29" spans="1:20" ht="35.25" customHeight="1" x14ac:dyDescent="0.2">
      <c r="A29" s="107" t="s">
        <v>471</v>
      </c>
      <c r="B29" s="53" t="s">
        <v>36</v>
      </c>
      <c r="C29" s="53" t="s">
        <v>37</v>
      </c>
      <c r="D29" s="53">
        <v>1</v>
      </c>
      <c r="E29" s="53">
        <v>30</v>
      </c>
      <c r="F29" s="80">
        <v>45882</v>
      </c>
      <c r="G29" s="81">
        <v>0.375</v>
      </c>
      <c r="H29" s="80">
        <v>45877</v>
      </c>
      <c r="I29" s="81">
        <v>0.79166666666666663</v>
      </c>
      <c r="J29" s="87">
        <f t="shared" ref="J29" si="1">E29-L29</f>
        <v>0</v>
      </c>
      <c r="K29" s="53">
        <v>3</v>
      </c>
      <c r="L29" s="53">
        <v>30</v>
      </c>
      <c r="M29" s="79" t="s">
        <v>472</v>
      </c>
      <c r="Q29" s="20">
        <v>1</v>
      </c>
      <c r="R29" s="8">
        <v>30</v>
      </c>
      <c r="S29" s="8">
        <v>1</v>
      </c>
      <c r="T29" s="7">
        <v>30</v>
      </c>
    </row>
    <row r="30" spans="1:20" s="5" customFormat="1" ht="47.1" customHeight="1" x14ac:dyDescent="0.2">
      <c r="A30" s="23" t="s">
        <v>144</v>
      </c>
      <c r="B30" s="63" t="s">
        <v>30</v>
      </c>
      <c r="C30" s="21" t="s">
        <v>31</v>
      </c>
      <c r="D30" s="66">
        <v>1</v>
      </c>
      <c r="E30" s="65">
        <v>30</v>
      </c>
      <c r="F30" s="11">
        <v>45882</v>
      </c>
      <c r="G30" s="10">
        <v>0.375</v>
      </c>
      <c r="H30" s="11">
        <v>45877</v>
      </c>
      <c r="I30" s="10">
        <v>4.1666666666666664E-2</v>
      </c>
      <c r="J30" s="9">
        <f t="shared" si="0"/>
        <v>0</v>
      </c>
      <c r="K30" s="65">
        <v>1</v>
      </c>
      <c r="L30" s="7">
        <v>30</v>
      </c>
      <c r="M30" s="6" t="s">
        <v>145</v>
      </c>
      <c r="Q30" s="20">
        <v>1</v>
      </c>
      <c r="R30" s="29">
        <v>120</v>
      </c>
      <c r="S30" s="8">
        <v>1</v>
      </c>
      <c r="T30" s="7">
        <v>60</v>
      </c>
    </row>
    <row r="31" spans="1:20" s="5" customFormat="1" ht="33" customHeight="1" x14ac:dyDescent="0.2">
      <c r="A31" s="23" t="s">
        <v>54</v>
      </c>
      <c r="B31" s="62" t="s">
        <v>55</v>
      </c>
      <c r="C31" s="11" t="s">
        <v>28</v>
      </c>
      <c r="D31" s="66">
        <v>1</v>
      </c>
      <c r="E31" s="9">
        <v>120</v>
      </c>
      <c r="F31" s="11">
        <v>45882</v>
      </c>
      <c r="G31" s="10">
        <v>0.375</v>
      </c>
      <c r="H31" s="27">
        <v>45879</v>
      </c>
      <c r="I31" s="10">
        <v>0.91666666666666663</v>
      </c>
      <c r="J31" s="9">
        <f t="shared" si="0"/>
        <v>60</v>
      </c>
      <c r="K31" s="65">
        <v>1</v>
      </c>
      <c r="L31" s="7">
        <v>60</v>
      </c>
      <c r="M31" s="6" t="s">
        <v>56</v>
      </c>
      <c r="Q31" s="20">
        <v>1</v>
      </c>
      <c r="R31" s="29">
        <v>120</v>
      </c>
      <c r="S31" s="8">
        <v>1</v>
      </c>
      <c r="T31" s="7">
        <v>60</v>
      </c>
    </row>
    <row r="32" spans="1:20" s="5" customFormat="1" ht="27" customHeight="1" x14ac:dyDescent="0.2">
      <c r="A32" s="23" t="s">
        <v>54</v>
      </c>
      <c r="B32" s="62" t="s">
        <v>57</v>
      </c>
      <c r="C32" s="11" t="s">
        <v>58</v>
      </c>
      <c r="D32" s="20">
        <v>1</v>
      </c>
      <c r="E32" s="29">
        <v>120</v>
      </c>
      <c r="F32" s="11">
        <v>45882</v>
      </c>
      <c r="G32" s="10">
        <v>0.375</v>
      </c>
      <c r="H32" s="11">
        <v>45879</v>
      </c>
      <c r="I32" s="10">
        <v>0.91666666666666663</v>
      </c>
      <c r="J32" s="9">
        <f t="shared" si="0"/>
        <v>60</v>
      </c>
      <c r="K32" s="65">
        <v>1</v>
      </c>
      <c r="L32" s="7">
        <v>60</v>
      </c>
      <c r="M32" s="6" t="s">
        <v>59</v>
      </c>
      <c r="Q32" s="20">
        <v>1</v>
      </c>
      <c r="R32" s="29">
        <v>30</v>
      </c>
      <c r="S32" s="8">
        <v>1</v>
      </c>
      <c r="T32" s="30">
        <v>60</v>
      </c>
    </row>
    <row r="33" spans="1:20" s="5" customFormat="1" ht="33.6" customHeight="1" x14ac:dyDescent="0.2">
      <c r="A33" s="26" t="s">
        <v>60</v>
      </c>
      <c r="B33" s="62" t="s">
        <v>61</v>
      </c>
      <c r="C33" s="11" t="s">
        <v>62</v>
      </c>
      <c r="D33" s="66">
        <v>1</v>
      </c>
      <c r="E33" s="9">
        <v>30</v>
      </c>
      <c r="F33" s="11">
        <v>45882</v>
      </c>
      <c r="G33" s="10">
        <v>0.375</v>
      </c>
      <c r="H33" s="13">
        <v>45879</v>
      </c>
      <c r="I33" s="12">
        <v>0.91666666666666663</v>
      </c>
      <c r="J33" s="9">
        <f>E33-L33</f>
        <v>-30</v>
      </c>
      <c r="K33" s="65">
        <v>1</v>
      </c>
      <c r="L33" s="30">
        <v>60</v>
      </c>
      <c r="M33" s="31" t="s">
        <v>63</v>
      </c>
      <c r="Q33" s="20">
        <v>1</v>
      </c>
      <c r="R33" s="29">
        <v>30</v>
      </c>
      <c r="S33" s="8">
        <v>1</v>
      </c>
      <c r="T33" s="7">
        <v>60</v>
      </c>
    </row>
    <row r="34" spans="1:20" s="5" customFormat="1" ht="84" customHeight="1" x14ac:dyDescent="0.2">
      <c r="A34" s="23" t="s">
        <v>60</v>
      </c>
      <c r="B34" s="62" t="s">
        <v>64</v>
      </c>
      <c r="C34" s="11" t="s">
        <v>65</v>
      </c>
      <c r="D34" s="20">
        <v>1</v>
      </c>
      <c r="E34" s="29">
        <v>30</v>
      </c>
      <c r="F34" s="11">
        <v>45882</v>
      </c>
      <c r="G34" s="10">
        <v>0.375</v>
      </c>
      <c r="H34" s="11">
        <v>45879</v>
      </c>
      <c r="I34" s="10">
        <v>0.875</v>
      </c>
      <c r="J34" s="9">
        <f t="shared" si="0"/>
        <v>-30</v>
      </c>
      <c r="K34" s="65">
        <v>1</v>
      </c>
      <c r="L34" s="7">
        <v>60</v>
      </c>
      <c r="M34" s="6" t="s">
        <v>66</v>
      </c>
      <c r="Q34" s="20">
        <v>1</v>
      </c>
      <c r="R34" s="29">
        <v>30</v>
      </c>
      <c r="S34" s="8">
        <v>1</v>
      </c>
      <c r="T34" s="7">
        <v>120</v>
      </c>
    </row>
    <row r="35" spans="1:20" s="5" customFormat="1" ht="31.5" customHeight="1" x14ac:dyDescent="0.2">
      <c r="A35" s="23" t="s">
        <v>60</v>
      </c>
      <c r="B35" s="62" t="s">
        <v>67</v>
      </c>
      <c r="C35" s="11" t="s">
        <v>68</v>
      </c>
      <c r="D35" s="20">
        <v>1</v>
      </c>
      <c r="E35" s="29">
        <v>30</v>
      </c>
      <c r="F35" s="11">
        <v>45882</v>
      </c>
      <c r="G35" s="10">
        <v>0.375</v>
      </c>
      <c r="H35" s="11">
        <v>45879</v>
      </c>
      <c r="I35" s="10">
        <v>0.91666666666666663</v>
      </c>
      <c r="J35" s="9">
        <f t="shared" si="0"/>
        <v>-90</v>
      </c>
      <c r="K35" s="65">
        <v>1</v>
      </c>
      <c r="L35" s="7">
        <v>120</v>
      </c>
      <c r="M35" s="6" t="s">
        <v>69</v>
      </c>
      <c r="Q35" s="20">
        <v>1</v>
      </c>
      <c r="R35" s="29">
        <v>30</v>
      </c>
      <c r="S35" s="8">
        <v>1</v>
      </c>
      <c r="T35" s="7">
        <v>25</v>
      </c>
    </row>
    <row r="36" spans="1:20" s="5" customFormat="1" ht="26.45" customHeight="1" x14ac:dyDescent="0.2">
      <c r="A36" s="23" t="s">
        <v>60</v>
      </c>
      <c r="B36" s="62" t="s">
        <v>70</v>
      </c>
      <c r="C36" s="11" t="s">
        <v>71</v>
      </c>
      <c r="D36" s="20">
        <v>1</v>
      </c>
      <c r="E36" s="29">
        <v>30</v>
      </c>
      <c r="F36" s="11">
        <v>45882</v>
      </c>
      <c r="G36" s="10">
        <v>0.375</v>
      </c>
      <c r="H36" s="11">
        <v>45879</v>
      </c>
      <c r="I36" s="10">
        <v>0.46527777777777779</v>
      </c>
      <c r="J36" s="9">
        <f t="shared" si="0"/>
        <v>5</v>
      </c>
      <c r="K36" s="65">
        <v>1</v>
      </c>
      <c r="L36" s="7">
        <v>25</v>
      </c>
      <c r="M36" s="6" t="s">
        <v>72</v>
      </c>
      <c r="Q36" s="20">
        <v>1</v>
      </c>
      <c r="R36" s="29">
        <v>70</v>
      </c>
      <c r="S36" s="8">
        <v>1</v>
      </c>
      <c r="T36" s="7">
        <v>120</v>
      </c>
    </row>
    <row r="37" spans="1:20" s="5" customFormat="1" ht="29.1" customHeight="1" x14ac:dyDescent="0.2">
      <c r="A37" s="23" t="s">
        <v>73</v>
      </c>
      <c r="B37" s="62" t="s">
        <v>74</v>
      </c>
      <c r="C37" s="11" t="s">
        <v>71</v>
      </c>
      <c r="D37" s="20">
        <v>1</v>
      </c>
      <c r="E37" s="29">
        <v>70</v>
      </c>
      <c r="F37" s="11">
        <v>45882</v>
      </c>
      <c r="G37" s="10">
        <v>0.375</v>
      </c>
      <c r="H37" s="11">
        <v>45880</v>
      </c>
      <c r="I37" s="10">
        <v>0.83333333333333337</v>
      </c>
      <c r="J37" s="9">
        <f t="shared" si="0"/>
        <v>-50</v>
      </c>
      <c r="K37" s="65">
        <v>1</v>
      </c>
      <c r="L37" s="7">
        <v>120</v>
      </c>
      <c r="M37" s="6" t="s">
        <v>75</v>
      </c>
      <c r="Q37" s="20">
        <v>1</v>
      </c>
      <c r="R37" s="29">
        <v>50</v>
      </c>
      <c r="S37" s="8">
        <v>1</v>
      </c>
      <c r="T37" s="7">
        <v>120</v>
      </c>
    </row>
    <row r="38" spans="1:20" s="5" customFormat="1" ht="31.5" customHeight="1" x14ac:dyDescent="0.2">
      <c r="A38" s="23" t="s">
        <v>76</v>
      </c>
      <c r="B38" s="62" t="s">
        <v>42</v>
      </c>
      <c r="C38" s="11" t="s">
        <v>77</v>
      </c>
      <c r="D38" s="20">
        <v>1</v>
      </c>
      <c r="E38" s="29">
        <v>50</v>
      </c>
      <c r="F38" s="11">
        <v>45882</v>
      </c>
      <c r="G38" s="10">
        <v>0.375</v>
      </c>
      <c r="H38" s="11">
        <v>45880</v>
      </c>
      <c r="I38" s="10">
        <v>0.91666666666666663</v>
      </c>
      <c r="J38" s="9">
        <f t="shared" si="0"/>
        <v>-70</v>
      </c>
      <c r="K38" s="65">
        <v>1</v>
      </c>
      <c r="L38" s="7">
        <v>120</v>
      </c>
      <c r="M38" s="6" t="s">
        <v>78</v>
      </c>
      <c r="Q38" s="20">
        <v>1</v>
      </c>
      <c r="R38" s="29">
        <v>45</v>
      </c>
      <c r="S38" s="8">
        <v>1</v>
      </c>
      <c r="T38" s="7">
        <v>80</v>
      </c>
    </row>
    <row r="39" spans="1:20" s="5" customFormat="1" ht="26.1" customHeight="1" x14ac:dyDescent="0.2">
      <c r="A39" s="23" t="s">
        <v>79</v>
      </c>
      <c r="B39" s="62" t="s">
        <v>36</v>
      </c>
      <c r="C39" s="11" t="s">
        <v>80</v>
      </c>
      <c r="D39" s="20">
        <v>1</v>
      </c>
      <c r="E39" s="29">
        <v>45</v>
      </c>
      <c r="F39" s="11">
        <v>45882</v>
      </c>
      <c r="G39" s="10">
        <v>0.375</v>
      </c>
      <c r="H39" s="11">
        <v>45880</v>
      </c>
      <c r="I39" s="10">
        <v>0.9375</v>
      </c>
      <c r="J39" s="9">
        <f t="shared" si="0"/>
        <v>-35</v>
      </c>
      <c r="K39" s="65">
        <v>1</v>
      </c>
      <c r="L39" s="7">
        <v>80</v>
      </c>
      <c r="M39" s="6" t="s">
        <v>81</v>
      </c>
      <c r="Q39" s="20">
        <v>1</v>
      </c>
      <c r="R39" s="29">
        <v>50</v>
      </c>
      <c r="S39" s="8">
        <v>1</v>
      </c>
      <c r="T39" s="7">
        <v>54</v>
      </c>
    </row>
    <row r="40" spans="1:20" s="5" customFormat="1" ht="27" customHeight="1" x14ac:dyDescent="0.2">
      <c r="A40" s="23" t="s">
        <v>82</v>
      </c>
      <c r="B40" s="62" t="s">
        <v>30</v>
      </c>
      <c r="C40" s="11" t="s">
        <v>83</v>
      </c>
      <c r="D40" s="66">
        <v>1</v>
      </c>
      <c r="E40" s="9">
        <v>50</v>
      </c>
      <c r="F40" s="11">
        <v>45882</v>
      </c>
      <c r="G40" s="10">
        <v>0.375</v>
      </c>
      <c r="H40" s="11">
        <v>45880</v>
      </c>
      <c r="I40" s="10">
        <v>0.95833333333333337</v>
      </c>
      <c r="J40" s="9">
        <f t="shared" si="0"/>
        <v>-4</v>
      </c>
      <c r="K40" s="65">
        <v>1</v>
      </c>
      <c r="L40" s="7">
        <v>54</v>
      </c>
      <c r="M40" s="6" t="s">
        <v>84</v>
      </c>
      <c r="Q40" s="20">
        <v>1</v>
      </c>
      <c r="R40" s="29">
        <v>60</v>
      </c>
      <c r="S40" s="8">
        <v>1</v>
      </c>
      <c r="T40" s="7">
        <v>50</v>
      </c>
    </row>
    <row r="41" spans="1:20" s="5" customFormat="1" ht="27" customHeight="1" x14ac:dyDescent="0.2">
      <c r="A41" s="23" t="s">
        <v>85</v>
      </c>
      <c r="B41" s="62" t="s">
        <v>21</v>
      </c>
      <c r="C41" s="11" t="s">
        <v>86</v>
      </c>
      <c r="D41" s="66">
        <v>1</v>
      </c>
      <c r="E41" s="9">
        <v>60</v>
      </c>
      <c r="F41" s="11">
        <v>45882</v>
      </c>
      <c r="G41" s="10">
        <v>0.375</v>
      </c>
      <c r="H41" s="11">
        <v>45880</v>
      </c>
      <c r="I41" s="10">
        <v>0.95833333333333337</v>
      </c>
      <c r="J41" s="9">
        <f t="shared" si="0"/>
        <v>10</v>
      </c>
      <c r="K41" s="65">
        <v>1</v>
      </c>
      <c r="L41" s="7">
        <v>50</v>
      </c>
      <c r="M41" s="6" t="s">
        <v>87</v>
      </c>
      <c r="Q41" s="20">
        <v>1</v>
      </c>
      <c r="R41" s="29">
        <v>55</v>
      </c>
      <c r="S41" s="8">
        <v>1</v>
      </c>
      <c r="T41" s="7">
        <v>55</v>
      </c>
    </row>
    <row r="42" spans="1:20" s="5" customFormat="1" ht="40.5" customHeight="1" x14ac:dyDescent="0.2">
      <c r="A42" s="23" t="s">
        <v>88</v>
      </c>
      <c r="B42" s="62" t="s">
        <v>21</v>
      </c>
      <c r="C42" s="11" t="s">
        <v>86</v>
      </c>
      <c r="D42" s="66">
        <v>1</v>
      </c>
      <c r="E42" s="9">
        <v>55</v>
      </c>
      <c r="F42" s="11">
        <v>45882</v>
      </c>
      <c r="G42" s="10">
        <v>0.375</v>
      </c>
      <c r="H42" s="11">
        <v>45880</v>
      </c>
      <c r="I42" s="10">
        <v>0.95833333333333337</v>
      </c>
      <c r="J42" s="9">
        <f t="shared" si="0"/>
        <v>0</v>
      </c>
      <c r="K42" s="65">
        <v>1</v>
      </c>
      <c r="L42" s="7">
        <v>55</v>
      </c>
      <c r="M42" s="6" t="s">
        <v>89</v>
      </c>
      <c r="Q42" s="20">
        <v>1</v>
      </c>
      <c r="R42" s="29">
        <v>60</v>
      </c>
      <c r="S42" s="8">
        <v>1</v>
      </c>
      <c r="T42" s="7">
        <v>66</v>
      </c>
    </row>
    <row r="43" spans="1:20" s="5" customFormat="1" ht="38.25" customHeight="1" x14ac:dyDescent="0.2">
      <c r="A43" s="23" t="s">
        <v>146</v>
      </c>
      <c r="B43" s="62" t="s">
        <v>30</v>
      </c>
      <c r="C43" s="11" t="s">
        <v>83</v>
      </c>
      <c r="D43" s="66">
        <v>1</v>
      </c>
      <c r="E43" s="9">
        <v>60</v>
      </c>
      <c r="F43" s="11">
        <v>45882</v>
      </c>
      <c r="G43" s="10">
        <v>0.375</v>
      </c>
      <c r="H43" s="11">
        <v>45880</v>
      </c>
      <c r="I43" s="10">
        <v>0.875</v>
      </c>
      <c r="J43" s="9">
        <f>E43-L43</f>
        <v>-6</v>
      </c>
      <c r="K43" s="65">
        <v>1</v>
      </c>
      <c r="L43" s="7">
        <v>66</v>
      </c>
      <c r="M43" s="6" t="s">
        <v>149</v>
      </c>
      <c r="Q43" s="20">
        <v>1</v>
      </c>
      <c r="R43" s="29">
        <v>60</v>
      </c>
      <c r="S43" s="8">
        <v>1</v>
      </c>
      <c r="T43" s="7">
        <v>66</v>
      </c>
    </row>
    <row r="44" spans="1:20" s="5" customFormat="1" ht="38.25" customHeight="1" x14ac:dyDescent="0.2">
      <c r="A44" s="23" t="s">
        <v>146</v>
      </c>
      <c r="B44" s="62" t="s">
        <v>21</v>
      </c>
      <c r="C44" s="11" t="s">
        <v>86</v>
      </c>
      <c r="D44" s="66">
        <v>1</v>
      </c>
      <c r="E44" s="9">
        <v>60</v>
      </c>
      <c r="F44" s="11">
        <v>45882</v>
      </c>
      <c r="G44" s="10">
        <v>0.375</v>
      </c>
      <c r="H44" s="11">
        <v>45880</v>
      </c>
      <c r="I44" s="10">
        <v>0.875</v>
      </c>
      <c r="J44" s="9">
        <f>E44-L44</f>
        <v>-6</v>
      </c>
      <c r="K44" s="65">
        <v>1</v>
      </c>
      <c r="L44" s="7">
        <v>66</v>
      </c>
      <c r="M44" s="6" t="s">
        <v>149</v>
      </c>
      <c r="Q44" s="20">
        <v>1</v>
      </c>
      <c r="R44" s="29">
        <v>60</v>
      </c>
      <c r="S44" s="8">
        <v>1</v>
      </c>
      <c r="T44" s="7">
        <v>66</v>
      </c>
    </row>
    <row r="45" spans="1:20" s="5" customFormat="1" ht="27" customHeight="1" x14ac:dyDescent="0.2">
      <c r="A45" s="23" t="s">
        <v>146</v>
      </c>
      <c r="B45" s="62" t="s">
        <v>39</v>
      </c>
      <c r="C45" s="11" t="s">
        <v>150</v>
      </c>
      <c r="D45" s="20">
        <v>1</v>
      </c>
      <c r="E45" s="29">
        <v>60</v>
      </c>
      <c r="F45" s="11">
        <v>45882</v>
      </c>
      <c r="G45" s="10">
        <v>0.375</v>
      </c>
      <c r="H45" s="11">
        <v>45880</v>
      </c>
      <c r="I45" s="10">
        <v>0.875</v>
      </c>
      <c r="J45" s="9">
        <f>E45-L45</f>
        <v>-6</v>
      </c>
      <c r="K45" s="65">
        <v>1</v>
      </c>
      <c r="L45" s="7">
        <v>66</v>
      </c>
      <c r="M45" s="6" t="s">
        <v>149</v>
      </c>
      <c r="Q45" s="20">
        <v>1</v>
      </c>
      <c r="R45" s="29">
        <v>60</v>
      </c>
      <c r="S45" s="8">
        <v>1</v>
      </c>
      <c r="T45" s="7">
        <v>66</v>
      </c>
    </row>
    <row r="46" spans="1:20" s="5" customFormat="1" ht="33" customHeight="1" x14ac:dyDescent="0.2">
      <c r="A46" s="23" t="s">
        <v>146</v>
      </c>
      <c r="B46" s="62" t="s">
        <v>136</v>
      </c>
      <c r="C46" s="11" t="s">
        <v>151</v>
      </c>
      <c r="D46" s="20">
        <v>1</v>
      </c>
      <c r="E46" s="29">
        <v>60</v>
      </c>
      <c r="F46" s="11">
        <v>45882</v>
      </c>
      <c r="G46" s="10">
        <v>0.375</v>
      </c>
      <c r="H46" s="11">
        <v>45880</v>
      </c>
      <c r="I46" s="10">
        <v>0.875</v>
      </c>
      <c r="J46" s="9">
        <f>E46-L46</f>
        <v>-6</v>
      </c>
      <c r="K46" s="65">
        <v>1</v>
      </c>
      <c r="L46" s="7">
        <v>66</v>
      </c>
      <c r="M46" s="6" t="s">
        <v>149</v>
      </c>
      <c r="Q46" s="20">
        <v>1</v>
      </c>
      <c r="R46" s="29">
        <v>60</v>
      </c>
      <c r="S46" s="8">
        <v>1</v>
      </c>
      <c r="T46" s="7">
        <v>66</v>
      </c>
    </row>
    <row r="47" spans="1:20" s="5" customFormat="1" ht="33.75" customHeight="1" x14ac:dyDescent="0.2">
      <c r="A47" s="23" t="s">
        <v>146</v>
      </c>
      <c r="B47" s="62" t="s">
        <v>42</v>
      </c>
      <c r="C47" s="11" t="s">
        <v>77</v>
      </c>
      <c r="D47" s="20">
        <v>1</v>
      </c>
      <c r="E47" s="29">
        <v>60</v>
      </c>
      <c r="F47" s="11">
        <v>45882</v>
      </c>
      <c r="G47" s="10">
        <v>0.375</v>
      </c>
      <c r="H47" s="11">
        <v>45880</v>
      </c>
      <c r="I47" s="10">
        <v>0.875</v>
      </c>
      <c r="J47" s="9">
        <f>E47-L47</f>
        <v>-6</v>
      </c>
      <c r="K47" s="65">
        <v>1</v>
      </c>
      <c r="L47" s="7">
        <v>66</v>
      </c>
      <c r="M47" s="6" t="s">
        <v>149</v>
      </c>
      <c r="Q47" s="20">
        <v>1</v>
      </c>
      <c r="R47" s="29">
        <v>60</v>
      </c>
      <c r="S47" s="8">
        <v>1</v>
      </c>
      <c r="T47" s="7">
        <v>66</v>
      </c>
    </row>
    <row r="48" spans="1:20" s="5" customFormat="1" ht="27" customHeight="1" x14ac:dyDescent="0.2">
      <c r="A48" s="23" t="s">
        <v>146</v>
      </c>
      <c r="B48" s="62" t="s">
        <v>36</v>
      </c>
      <c r="C48" s="11" t="s">
        <v>80</v>
      </c>
      <c r="D48" s="20">
        <v>1</v>
      </c>
      <c r="E48" s="29">
        <v>60</v>
      </c>
      <c r="F48" s="11">
        <v>45882</v>
      </c>
      <c r="G48" s="10">
        <v>0.375</v>
      </c>
      <c r="H48" s="11">
        <v>45880</v>
      </c>
      <c r="I48" s="10">
        <v>0.875</v>
      </c>
      <c r="J48" s="9">
        <f t="shared" si="0"/>
        <v>-6</v>
      </c>
      <c r="K48" s="65">
        <v>1</v>
      </c>
      <c r="L48" s="7">
        <v>66</v>
      </c>
      <c r="M48" s="6" t="s">
        <v>149</v>
      </c>
      <c r="Q48" s="20">
        <v>1</v>
      </c>
      <c r="R48" s="29">
        <v>30</v>
      </c>
      <c r="S48" s="8">
        <v>1</v>
      </c>
      <c r="T48" s="7">
        <v>25</v>
      </c>
    </row>
    <row r="49" spans="1:20" s="5" customFormat="1" ht="26.1" customHeight="1" x14ac:dyDescent="0.2">
      <c r="A49" s="23" t="s">
        <v>147</v>
      </c>
      <c r="B49" s="62" t="s">
        <v>30</v>
      </c>
      <c r="C49" s="11" t="s">
        <v>83</v>
      </c>
      <c r="D49" s="66">
        <v>1</v>
      </c>
      <c r="E49" s="9">
        <v>30</v>
      </c>
      <c r="F49" s="11">
        <v>45882</v>
      </c>
      <c r="G49" s="10">
        <v>0.375</v>
      </c>
      <c r="H49" s="11">
        <v>45880</v>
      </c>
      <c r="I49" s="10">
        <v>0.95833333333333337</v>
      </c>
      <c r="J49" s="9">
        <f t="shared" si="0"/>
        <v>5</v>
      </c>
      <c r="K49" s="65">
        <v>1</v>
      </c>
      <c r="L49" s="7">
        <v>25</v>
      </c>
      <c r="M49" s="6" t="s">
        <v>148</v>
      </c>
      <c r="Q49" s="20">
        <v>1</v>
      </c>
      <c r="R49" s="29">
        <v>20</v>
      </c>
      <c r="S49" s="8">
        <v>1</v>
      </c>
      <c r="T49" s="7">
        <v>20</v>
      </c>
    </row>
    <row r="50" spans="1:20" s="5" customFormat="1" ht="24.95" customHeight="1" x14ac:dyDescent="0.2">
      <c r="A50" s="23" t="s">
        <v>90</v>
      </c>
      <c r="B50" s="62" t="s">
        <v>42</v>
      </c>
      <c r="C50" s="11" t="s">
        <v>77</v>
      </c>
      <c r="D50" s="20">
        <v>1</v>
      </c>
      <c r="E50" s="29">
        <v>20</v>
      </c>
      <c r="F50" s="11">
        <v>45882</v>
      </c>
      <c r="G50" s="10">
        <v>0.375</v>
      </c>
      <c r="H50" s="11">
        <v>45880</v>
      </c>
      <c r="I50" s="10">
        <v>0.95833333333333337</v>
      </c>
      <c r="J50" s="9">
        <f t="shared" si="0"/>
        <v>0</v>
      </c>
      <c r="K50" s="65">
        <v>1</v>
      </c>
      <c r="L50" s="7">
        <v>20</v>
      </c>
      <c r="M50" s="6" t="s">
        <v>91</v>
      </c>
      <c r="Q50" s="20">
        <v>1</v>
      </c>
      <c r="R50" s="29">
        <v>30</v>
      </c>
      <c r="S50" s="8">
        <v>1</v>
      </c>
      <c r="T50" s="7">
        <v>25</v>
      </c>
    </row>
    <row r="51" spans="1:20" s="5" customFormat="1" ht="22.5" customHeight="1" x14ac:dyDescent="0.2">
      <c r="A51" s="4"/>
      <c r="B51" s="4"/>
      <c r="C51" s="4"/>
      <c r="D51" s="4"/>
      <c r="E51" s="4"/>
      <c r="F51" s="4"/>
      <c r="G51" s="4"/>
      <c r="H51" s="4"/>
      <c r="I51" s="3"/>
      <c r="J51" s="3"/>
      <c r="K51" s="2"/>
      <c r="L51" s="1"/>
      <c r="M51" s="1"/>
      <c r="Q51" s="20">
        <v>1</v>
      </c>
      <c r="R51" s="29">
        <v>30</v>
      </c>
      <c r="S51" s="8">
        <v>1</v>
      </c>
      <c r="T51" s="7">
        <v>25</v>
      </c>
    </row>
    <row r="52" spans="1:20" s="5" customFormat="1" ht="35.450000000000003" customHeight="1" x14ac:dyDescent="0.2">
      <c r="A52" s="70" t="s">
        <v>210</v>
      </c>
      <c r="B52" t="s">
        <v>215</v>
      </c>
      <c r="C52" t="s">
        <v>214</v>
      </c>
      <c r="D52" t="s">
        <v>213</v>
      </c>
      <c r="E52" t="s">
        <v>212</v>
      </c>
      <c r="F52" s="4"/>
      <c r="G52" s="4"/>
      <c r="H52" s="4"/>
      <c r="I52" s="3"/>
      <c r="J52" s="3"/>
      <c r="K52" s="2"/>
      <c r="L52" s="1"/>
      <c r="M52" s="1"/>
      <c r="Q52" s="20">
        <v>1</v>
      </c>
      <c r="R52" s="8">
        <v>30</v>
      </c>
      <c r="S52" s="8">
        <v>1</v>
      </c>
      <c r="T52" s="7">
        <v>30</v>
      </c>
    </row>
    <row r="53" spans="1:20" s="5" customFormat="1" ht="36.6" customHeight="1" x14ac:dyDescent="0.2">
      <c r="A53" s="71" t="s">
        <v>55</v>
      </c>
      <c r="B53">
        <v>1</v>
      </c>
      <c r="C53">
        <v>120</v>
      </c>
      <c r="D53" s="2">
        <v>1</v>
      </c>
      <c r="E53" s="2">
        <v>60</v>
      </c>
      <c r="F53" s="4"/>
      <c r="G53" s="4"/>
      <c r="H53" s="4"/>
      <c r="I53" s="3"/>
      <c r="J53" s="3"/>
      <c r="K53" s="2"/>
      <c r="L53" s="1"/>
      <c r="M53" s="1"/>
      <c r="Q53" s="20">
        <v>3</v>
      </c>
      <c r="R53" s="29">
        <v>60</v>
      </c>
      <c r="S53" s="8">
        <v>3</v>
      </c>
      <c r="T53" s="7">
        <v>60</v>
      </c>
    </row>
    <row r="54" spans="1:20" s="5" customFormat="1" ht="36.6" customHeight="1" x14ac:dyDescent="0.2">
      <c r="A54" s="71" t="s">
        <v>70</v>
      </c>
      <c r="B54">
        <v>1</v>
      </c>
      <c r="C54">
        <v>30</v>
      </c>
      <c r="D54" s="2">
        <v>1</v>
      </c>
      <c r="E54" s="2">
        <v>25</v>
      </c>
      <c r="F54" s="4"/>
      <c r="G54" s="4"/>
      <c r="H54" s="4"/>
      <c r="I54" s="3"/>
      <c r="J54" s="3"/>
      <c r="K54" s="2"/>
      <c r="L54" s="1"/>
      <c r="M54" s="1"/>
      <c r="Q54" s="20">
        <v>3</v>
      </c>
      <c r="R54" s="29">
        <v>60</v>
      </c>
      <c r="S54" s="8">
        <v>3</v>
      </c>
      <c r="T54" s="7">
        <v>60</v>
      </c>
    </row>
    <row r="55" spans="1:20" s="5" customFormat="1" ht="35.450000000000003" customHeight="1" x14ac:dyDescent="0.2">
      <c r="A55" s="71" t="s">
        <v>57</v>
      </c>
      <c r="B55">
        <v>1</v>
      </c>
      <c r="C55">
        <v>120</v>
      </c>
      <c r="D55" s="2">
        <v>1</v>
      </c>
      <c r="E55" s="2">
        <v>60</v>
      </c>
      <c r="F55" s="4"/>
      <c r="G55" s="4"/>
      <c r="H55" s="4"/>
      <c r="I55" s="3"/>
      <c r="J55" s="3"/>
      <c r="K55" s="2"/>
      <c r="L55" s="1"/>
      <c r="M55" s="1"/>
      <c r="Q55" s="20">
        <v>1</v>
      </c>
      <c r="R55" s="29">
        <v>30</v>
      </c>
      <c r="S55" s="8">
        <v>1</v>
      </c>
      <c r="T55" s="7">
        <v>30</v>
      </c>
    </row>
    <row r="56" spans="1:20" s="5" customFormat="1" ht="35.450000000000003" customHeight="1" x14ac:dyDescent="0.2">
      <c r="A56" s="71" t="s">
        <v>64</v>
      </c>
      <c r="B56">
        <v>1</v>
      </c>
      <c r="C56">
        <v>30</v>
      </c>
      <c r="D56" s="2">
        <v>1</v>
      </c>
      <c r="E56" s="2">
        <v>60</v>
      </c>
      <c r="F56" s="4"/>
      <c r="G56" s="4"/>
      <c r="H56" s="4"/>
      <c r="I56" s="3"/>
      <c r="J56" s="3"/>
      <c r="K56" s="2"/>
      <c r="L56" s="1"/>
      <c r="M56" s="1"/>
      <c r="Q56" s="20">
        <v>1</v>
      </c>
      <c r="R56" s="29">
        <v>30</v>
      </c>
      <c r="S56" s="8">
        <v>1</v>
      </c>
      <c r="T56" s="7">
        <v>30</v>
      </c>
    </row>
    <row r="57" spans="1:20" s="5" customFormat="1" ht="35.450000000000003" customHeight="1" x14ac:dyDescent="0.2">
      <c r="A57" s="71" t="s">
        <v>67</v>
      </c>
      <c r="B57">
        <v>1</v>
      </c>
      <c r="C57">
        <v>30</v>
      </c>
      <c r="D57" s="2">
        <v>1</v>
      </c>
      <c r="E57" s="2">
        <v>120</v>
      </c>
      <c r="F57" s="4"/>
      <c r="G57" s="4"/>
      <c r="H57" s="4"/>
      <c r="I57" s="3"/>
      <c r="J57" s="3"/>
      <c r="K57" s="2"/>
      <c r="L57" s="1"/>
      <c r="M57" s="1"/>
      <c r="Q57" s="20">
        <v>1</v>
      </c>
      <c r="R57" s="29">
        <v>20</v>
      </c>
      <c r="S57" s="8">
        <v>1</v>
      </c>
      <c r="T57" s="7">
        <v>20</v>
      </c>
    </row>
    <row r="58" spans="1:20" s="5" customFormat="1" ht="35.450000000000003" customHeight="1" x14ac:dyDescent="0.2">
      <c r="A58" s="71" t="s">
        <v>61</v>
      </c>
      <c r="B58">
        <v>1</v>
      </c>
      <c r="C58">
        <v>30</v>
      </c>
      <c r="D58" s="2">
        <v>1</v>
      </c>
      <c r="E58" s="2">
        <v>60</v>
      </c>
      <c r="F58" s="4"/>
      <c r="G58" s="4"/>
      <c r="H58" s="4"/>
      <c r="I58" s="3"/>
      <c r="J58" s="3"/>
      <c r="K58" s="2"/>
      <c r="L58" s="1"/>
      <c r="M58" s="1"/>
      <c r="Q58" s="20">
        <v>1</v>
      </c>
      <c r="R58" s="29">
        <v>20</v>
      </c>
      <c r="S58" s="8">
        <v>1</v>
      </c>
      <c r="T58" s="7">
        <v>20</v>
      </c>
    </row>
    <row r="59" spans="1:20" s="5" customFormat="1" ht="35.450000000000003" customHeight="1" x14ac:dyDescent="0.2">
      <c r="A59" s="71" t="s">
        <v>211</v>
      </c>
      <c r="B59">
        <v>6</v>
      </c>
      <c r="C59">
        <v>360</v>
      </c>
      <c r="D59" s="2">
        <v>6</v>
      </c>
      <c r="E59" s="2">
        <v>385</v>
      </c>
      <c r="F59" s="4"/>
      <c r="G59" s="4"/>
      <c r="H59" s="4"/>
      <c r="I59" s="3"/>
      <c r="J59" s="3"/>
      <c r="K59" s="2"/>
      <c r="L59" s="1"/>
      <c r="M59" s="1"/>
      <c r="Q59" s="29">
        <v>1</v>
      </c>
      <c r="R59" s="34">
        <v>20</v>
      </c>
      <c r="S59" s="8">
        <v>1</v>
      </c>
      <c r="T59" s="7">
        <v>18</v>
      </c>
    </row>
    <row r="60" spans="1:20" s="5" customFormat="1" ht="35.450000000000003" customHeight="1" x14ac:dyDescent="0.2">
      <c r="A60"/>
      <c r="B60"/>
      <c r="C60"/>
      <c r="D60"/>
      <c r="E60"/>
      <c r="F60" s="4"/>
      <c r="G60" s="4"/>
      <c r="H60" s="4"/>
      <c r="I60" s="3"/>
      <c r="J60" s="3"/>
      <c r="K60" s="2"/>
      <c r="L60" s="1"/>
      <c r="M60" s="1"/>
      <c r="Q60" s="29">
        <v>1</v>
      </c>
      <c r="R60" s="40">
        <v>20</v>
      </c>
      <c r="S60" s="8">
        <v>1</v>
      </c>
      <c r="T60" s="7">
        <v>18</v>
      </c>
    </row>
    <row r="61" spans="1:20" s="5" customFormat="1" ht="35.450000000000003" customHeight="1" x14ac:dyDescent="0.2">
      <c r="A61"/>
      <c r="B61"/>
      <c r="C61"/>
      <c r="D61"/>
      <c r="E61"/>
      <c r="F61" s="4"/>
      <c r="G61" s="4"/>
      <c r="H61" s="4"/>
      <c r="I61" s="3"/>
      <c r="J61" s="3"/>
      <c r="K61" s="2"/>
      <c r="L61" s="1"/>
      <c r="M61" s="1"/>
      <c r="Q61" s="29">
        <v>1</v>
      </c>
      <c r="R61" s="29">
        <v>20</v>
      </c>
      <c r="S61" s="8">
        <v>1</v>
      </c>
      <c r="T61" s="7">
        <v>19</v>
      </c>
    </row>
    <row r="62" spans="1:20" s="5" customFormat="1" ht="35.450000000000003" customHeight="1" x14ac:dyDescent="0.2">
      <c r="A62"/>
      <c r="B62"/>
      <c r="C62"/>
      <c r="D62"/>
      <c r="E62"/>
      <c r="F62" s="4"/>
      <c r="G62" s="4"/>
      <c r="H62" s="4"/>
      <c r="I62" s="3"/>
      <c r="J62" s="3"/>
      <c r="K62" s="2"/>
      <c r="L62" s="1"/>
      <c r="M62" s="1"/>
      <c r="Q62" s="29">
        <v>1</v>
      </c>
      <c r="R62" s="29">
        <v>20</v>
      </c>
      <c r="S62" s="8">
        <v>1</v>
      </c>
      <c r="T62" s="7">
        <v>19</v>
      </c>
    </row>
    <row r="63" spans="1:20" s="5" customFormat="1" ht="35.450000000000003" customHeight="1" x14ac:dyDescent="0.2">
      <c r="A63"/>
      <c r="B63"/>
      <c r="C63"/>
      <c r="D63"/>
      <c r="E63"/>
      <c r="F63" s="4"/>
      <c r="G63" s="4"/>
      <c r="H63" s="4"/>
      <c r="I63" s="3"/>
      <c r="J63" s="3"/>
      <c r="K63" s="2"/>
      <c r="L63" s="1"/>
      <c r="M63" s="1"/>
      <c r="Q63" s="29">
        <v>1</v>
      </c>
      <c r="R63" s="29">
        <v>30</v>
      </c>
      <c r="S63" s="8">
        <v>1</v>
      </c>
      <c r="T63" s="7">
        <v>25</v>
      </c>
    </row>
    <row r="64" spans="1:20" s="5" customFormat="1" ht="35.450000000000003" customHeight="1" x14ac:dyDescent="0.2">
      <c r="A64"/>
      <c r="B64"/>
      <c r="C64"/>
      <c r="D64"/>
      <c r="E64"/>
      <c r="F64" s="4"/>
      <c r="G64" s="4"/>
      <c r="H64" s="4"/>
      <c r="I64" s="3"/>
      <c r="J64" s="3"/>
      <c r="K64" s="2"/>
      <c r="L64" s="1"/>
      <c r="M64" s="1"/>
      <c r="Q64" s="29">
        <v>1</v>
      </c>
      <c r="R64" s="29">
        <v>30</v>
      </c>
      <c r="S64" s="8">
        <v>1</v>
      </c>
      <c r="T64" s="7">
        <v>25</v>
      </c>
    </row>
    <row r="65" spans="1:20" s="5" customFormat="1" ht="35.450000000000003" customHeight="1" x14ac:dyDescent="0.2">
      <c r="A65"/>
      <c r="B65"/>
      <c r="C65"/>
      <c r="D65"/>
      <c r="E65"/>
      <c r="F65" s="4"/>
      <c r="G65" s="4"/>
      <c r="H65" s="4"/>
      <c r="I65" s="3"/>
      <c r="J65" s="3"/>
      <c r="K65" s="2"/>
      <c r="L65" s="1"/>
      <c r="M65" s="1"/>
      <c r="Q65" s="29">
        <v>1</v>
      </c>
      <c r="R65" s="29">
        <v>30</v>
      </c>
      <c r="S65" s="8">
        <v>1</v>
      </c>
      <c r="T65" s="7">
        <v>24</v>
      </c>
    </row>
    <row r="66" spans="1:20" s="5" customFormat="1" ht="35.450000000000003" customHeight="1" x14ac:dyDescent="0.2">
      <c r="A66"/>
      <c r="B66"/>
      <c r="C66"/>
      <c r="D66"/>
      <c r="E66"/>
      <c r="F66" s="44"/>
      <c r="G66" s="45"/>
      <c r="H66" s="44"/>
      <c r="I66" s="45"/>
      <c r="J66" s="46"/>
      <c r="L66" s="47"/>
      <c r="M66" s="48"/>
      <c r="Q66" s="29">
        <v>1</v>
      </c>
      <c r="R66" s="29">
        <v>30</v>
      </c>
      <c r="S66" s="8">
        <v>1</v>
      </c>
      <c r="T66" s="7">
        <v>24</v>
      </c>
    </row>
    <row r="67" spans="1:20" s="5" customFormat="1" ht="35.450000000000003" customHeight="1" x14ac:dyDescent="0.2">
      <c r="A67"/>
      <c r="B67"/>
      <c r="C67"/>
      <c r="D67"/>
      <c r="E67"/>
      <c r="F67" s="4"/>
      <c r="G67" s="4"/>
      <c r="H67" s="4"/>
      <c r="I67" s="3"/>
      <c r="J67" s="3"/>
      <c r="K67" s="2"/>
      <c r="L67" s="1"/>
      <c r="M67" s="1"/>
      <c r="Q67" s="29">
        <v>1</v>
      </c>
      <c r="R67" s="29">
        <v>60</v>
      </c>
      <c r="S67" s="8">
        <v>1</v>
      </c>
      <c r="T67" s="7">
        <v>45</v>
      </c>
    </row>
    <row r="68" spans="1:20" s="5" customFormat="1" ht="30" customHeight="1" x14ac:dyDescent="0.2">
      <c r="A68"/>
      <c r="B68"/>
      <c r="C68"/>
      <c r="D68"/>
      <c r="E68"/>
      <c r="F68" s="4"/>
      <c r="G68" s="4"/>
      <c r="H68" s="4"/>
      <c r="I68" s="3"/>
      <c r="J68" s="3"/>
      <c r="K68" s="2"/>
      <c r="L68" s="1"/>
      <c r="M68" s="1"/>
      <c r="Q68" s="29">
        <v>1</v>
      </c>
      <c r="R68" s="29">
        <v>60</v>
      </c>
      <c r="S68" s="8">
        <v>1</v>
      </c>
      <c r="T68" s="7">
        <v>45</v>
      </c>
    </row>
    <row r="69" spans="1:20" x14ac:dyDescent="0.2">
      <c r="A69"/>
      <c r="B69"/>
      <c r="C69"/>
      <c r="D69"/>
      <c r="E69"/>
      <c r="Q69" s="29">
        <v>1</v>
      </c>
      <c r="R69" s="29">
        <v>30</v>
      </c>
      <c r="S69" s="8">
        <v>1</v>
      </c>
      <c r="T69" s="7">
        <v>20</v>
      </c>
    </row>
    <row r="70" spans="1:20" x14ac:dyDescent="0.2">
      <c r="A70"/>
      <c r="B70"/>
      <c r="C70"/>
      <c r="D70"/>
      <c r="E70"/>
      <c r="Q70" s="29">
        <v>1</v>
      </c>
      <c r="R70" s="29">
        <v>30</v>
      </c>
      <c r="S70" s="8">
        <v>1</v>
      </c>
      <c r="T70" s="7">
        <v>20</v>
      </c>
    </row>
    <row r="71" spans="1:20" x14ac:dyDescent="0.2">
      <c r="A71"/>
      <c r="B71"/>
      <c r="C71"/>
      <c r="D71"/>
      <c r="E71"/>
      <c r="Q71" s="29">
        <v>1</v>
      </c>
      <c r="R71" s="29">
        <v>30</v>
      </c>
      <c r="S71" s="8">
        <v>1</v>
      </c>
      <c r="T71" s="7">
        <v>30</v>
      </c>
    </row>
    <row r="72" spans="1:20" x14ac:dyDescent="0.2">
      <c r="A72"/>
      <c r="B72"/>
      <c r="C72"/>
      <c r="D72"/>
      <c r="E72"/>
      <c r="Q72" s="29">
        <v>1</v>
      </c>
      <c r="R72" s="29">
        <v>30</v>
      </c>
      <c r="S72" s="8">
        <v>1</v>
      </c>
      <c r="T72" s="7">
        <v>30</v>
      </c>
    </row>
    <row r="73" spans="1:20" x14ac:dyDescent="0.2">
      <c r="A73"/>
      <c r="B73"/>
      <c r="C73"/>
      <c r="D73"/>
      <c r="E73"/>
      <c r="Q73" s="29">
        <v>1</v>
      </c>
      <c r="R73" s="29">
        <v>30</v>
      </c>
      <c r="S73" s="8">
        <v>1</v>
      </c>
      <c r="T73" s="7">
        <v>32</v>
      </c>
    </row>
    <row r="74" spans="1:20" x14ac:dyDescent="0.2">
      <c r="A74"/>
      <c r="B74"/>
      <c r="C74"/>
      <c r="D74"/>
      <c r="E74"/>
      <c r="Q74" s="29">
        <v>1</v>
      </c>
      <c r="R74" s="29">
        <v>30</v>
      </c>
      <c r="S74" s="8">
        <v>1</v>
      </c>
      <c r="T74" s="7">
        <v>32</v>
      </c>
    </row>
    <row r="75" spans="1:20" x14ac:dyDescent="0.2">
      <c r="A75"/>
      <c r="B75"/>
      <c r="C75"/>
      <c r="D75"/>
      <c r="E75"/>
      <c r="Q75" s="29">
        <v>1</v>
      </c>
      <c r="R75" s="29">
        <v>20</v>
      </c>
      <c r="S75" s="8">
        <v>1</v>
      </c>
      <c r="T75" s="7">
        <v>20</v>
      </c>
    </row>
    <row r="76" spans="1:20" x14ac:dyDescent="0.2">
      <c r="A76"/>
      <c r="B76"/>
      <c r="C76"/>
      <c r="D76"/>
      <c r="E76"/>
      <c r="Q76" s="29">
        <v>1</v>
      </c>
      <c r="R76" s="29">
        <v>20</v>
      </c>
      <c r="S76" s="8">
        <v>1</v>
      </c>
      <c r="T76" s="7">
        <v>20</v>
      </c>
    </row>
    <row r="77" spans="1:20" x14ac:dyDescent="0.2">
      <c r="A77"/>
      <c r="B77"/>
      <c r="C77"/>
      <c r="D77"/>
      <c r="E77"/>
      <c r="Q77" s="29">
        <v>1</v>
      </c>
      <c r="R77" s="29">
        <v>20</v>
      </c>
      <c r="S77" s="8">
        <v>1</v>
      </c>
      <c r="T77" s="7">
        <v>20</v>
      </c>
    </row>
    <row r="78" spans="1:20" x14ac:dyDescent="0.2">
      <c r="A78"/>
      <c r="B78"/>
      <c r="C78"/>
      <c r="D78"/>
      <c r="E78"/>
      <c r="Q78" s="29">
        <v>1</v>
      </c>
      <c r="R78" s="29">
        <v>20</v>
      </c>
      <c r="S78" s="8">
        <v>1</v>
      </c>
      <c r="T78" s="7">
        <v>20</v>
      </c>
    </row>
    <row r="79" spans="1:20" x14ac:dyDescent="0.2">
      <c r="A79"/>
      <c r="B79"/>
      <c r="C79"/>
      <c r="D79"/>
      <c r="E79"/>
      <c r="Q79" s="29">
        <v>1</v>
      </c>
      <c r="R79" s="29">
        <v>20</v>
      </c>
      <c r="S79" s="8">
        <v>1</v>
      </c>
      <c r="T79" s="7">
        <v>20</v>
      </c>
    </row>
    <row r="80" spans="1:20" ht="194.25" customHeight="1" x14ac:dyDescent="0.2">
      <c r="A80"/>
      <c r="B80"/>
      <c r="C80"/>
      <c r="D80"/>
      <c r="E80"/>
      <c r="Q80" s="29">
        <v>1</v>
      </c>
      <c r="R80" s="29">
        <v>20</v>
      </c>
      <c r="S80" s="8">
        <v>1</v>
      </c>
      <c r="T80" s="7">
        <v>20</v>
      </c>
    </row>
    <row r="81" spans="1:20" x14ac:dyDescent="0.2">
      <c r="A81"/>
      <c r="B81"/>
      <c r="C81"/>
      <c r="D81"/>
      <c r="E81"/>
      <c r="Q81" s="29">
        <v>1</v>
      </c>
      <c r="R81" s="29">
        <v>20</v>
      </c>
      <c r="S81" s="8">
        <v>1</v>
      </c>
      <c r="T81" s="7">
        <v>18</v>
      </c>
    </row>
    <row r="82" spans="1:20" x14ac:dyDescent="0.2">
      <c r="A82"/>
      <c r="B82"/>
      <c r="C82"/>
      <c r="D82"/>
      <c r="E82"/>
      <c r="Q82" s="29">
        <v>1</v>
      </c>
      <c r="R82" s="29">
        <v>20</v>
      </c>
      <c r="S82" s="8">
        <v>1</v>
      </c>
      <c r="T82" s="7">
        <v>18</v>
      </c>
    </row>
    <row r="83" spans="1:20" x14ac:dyDescent="0.2">
      <c r="A83"/>
      <c r="B83"/>
      <c r="C83"/>
      <c r="D83"/>
      <c r="E83"/>
      <c r="Q83" s="29">
        <v>1</v>
      </c>
      <c r="R83" s="29">
        <v>20</v>
      </c>
      <c r="S83" s="8">
        <v>1</v>
      </c>
      <c r="T83" s="7">
        <v>20</v>
      </c>
    </row>
    <row r="84" spans="1:20" x14ac:dyDescent="0.2">
      <c r="A84"/>
      <c r="B84"/>
      <c r="C84"/>
      <c r="D84"/>
      <c r="E84"/>
      <c r="Q84" s="29">
        <v>1</v>
      </c>
      <c r="R84" s="29">
        <v>20</v>
      </c>
      <c r="S84" s="8">
        <v>1</v>
      </c>
      <c r="T84" s="7">
        <v>20</v>
      </c>
    </row>
    <row r="85" spans="1:20" x14ac:dyDescent="0.2">
      <c r="A85"/>
      <c r="B85"/>
      <c r="C85"/>
      <c r="D85"/>
      <c r="E85"/>
      <c r="Q85" s="29">
        <v>1</v>
      </c>
      <c r="R85" s="29">
        <v>20</v>
      </c>
      <c r="S85" s="8">
        <v>1</v>
      </c>
      <c r="T85" s="7">
        <v>21</v>
      </c>
    </row>
    <row r="86" spans="1:20" x14ac:dyDescent="0.2">
      <c r="A86"/>
      <c r="B86"/>
      <c r="C86"/>
      <c r="D86"/>
      <c r="E86"/>
      <c r="Q86" s="29">
        <v>1</v>
      </c>
      <c r="R86" s="29">
        <v>20</v>
      </c>
      <c r="S86" s="8">
        <v>1</v>
      </c>
      <c r="T86" s="7">
        <v>21</v>
      </c>
    </row>
    <row r="87" spans="1:20" x14ac:dyDescent="0.2">
      <c r="A87"/>
      <c r="B87"/>
      <c r="C87"/>
      <c r="D87"/>
      <c r="E87"/>
      <c r="Q87" s="29">
        <v>1</v>
      </c>
      <c r="R87" s="29">
        <v>30</v>
      </c>
      <c r="S87" s="8">
        <v>1</v>
      </c>
      <c r="T87" s="7">
        <v>25</v>
      </c>
    </row>
    <row r="88" spans="1:20" x14ac:dyDescent="0.2">
      <c r="A88"/>
      <c r="B88"/>
      <c r="C88"/>
      <c r="D88"/>
      <c r="E88"/>
      <c r="Q88" s="29">
        <v>1</v>
      </c>
      <c r="R88" s="29">
        <v>30</v>
      </c>
      <c r="S88" s="8">
        <v>1</v>
      </c>
      <c r="T88" s="7">
        <v>25</v>
      </c>
    </row>
    <row r="89" spans="1:20" ht="255" customHeight="1" x14ac:dyDescent="0.2">
      <c r="A89"/>
      <c r="B89"/>
      <c r="C89"/>
      <c r="D89"/>
      <c r="E89"/>
      <c r="Q89" s="29">
        <v>1</v>
      </c>
      <c r="R89" s="29">
        <v>30</v>
      </c>
      <c r="S89" s="8">
        <v>1</v>
      </c>
      <c r="T89" s="7">
        <v>20</v>
      </c>
    </row>
    <row r="90" spans="1:20" x14ac:dyDescent="0.2">
      <c r="A90"/>
      <c r="B90"/>
      <c r="C90"/>
      <c r="D90"/>
      <c r="E90"/>
      <c r="Q90" s="29">
        <v>1</v>
      </c>
      <c r="R90" s="29">
        <v>30</v>
      </c>
      <c r="S90" s="8">
        <v>1</v>
      </c>
      <c r="T90" s="7">
        <v>20</v>
      </c>
    </row>
    <row r="91" spans="1:20" x14ac:dyDescent="0.2">
      <c r="A91"/>
      <c r="B91"/>
      <c r="C91"/>
      <c r="D91"/>
      <c r="E91"/>
      <c r="Q91" s="20">
        <v>1</v>
      </c>
      <c r="R91" s="29">
        <v>60</v>
      </c>
      <c r="S91" s="8">
        <v>1</v>
      </c>
      <c r="T91" s="7">
        <v>10</v>
      </c>
    </row>
    <row r="92" spans="1:20" x14ac:dyDescent="0.2">
      <c r="A92"/>
      <c r="B92"/>
      <c r="C92"/>
      <c r="D92"/>
      <c r="E92"/>
      <c r="Q92" s="20">
        <v>1</v>
      </c>
      <c r="R92" s="29">
        <v>60</v>
      </c>
      <c r="S92" s="8">
        <v>1</v>
      </c>
      <c r="T92" s="7">
        <v>10</v>
      </c>
    </row>
    <row r="93" spans="1:20" x14ac:dyDescent="0.2">
      <c r="A93"/>
      <c r="B93"/>
      <c r="C93"/>
      <c r="D93"/>
      <c r="E93"/>
      <c r="Q93" s="20">
        <v>1</v>
      </c>
      <c r="R93" s="29">
        <v>60</v>
      </c>
      <c r="S93" s="8">
        <v>1</v>
      </c>
      <c r="T93" s="7">
        <v>10</v>
      </c>
    </row>
    <row r="94" spans="1:20" x14ac:dyDescent="0.2">
      <c r="A94"/>
      <c r="B94"/>
      <c r="C94"/>
      <c r="D94"/>
      <c r="E94"/>
      <c r="Q94" s="20">
        <v>1</v>
      </c>
      <c r="R94" s="29">
        <v>60</v>
      </c>
      <c r="S94" s="8">
        <v>1</v>
      </c>
      <c r="T94" s="7">
        <v>10</v>
      </c>
    </row>
    <row r="95" spans="1:20" x14ac:dyDescent="0.2">
      <c r="A95"/>
      <c r="B95"/>
      <c r="C95"/>
      <c r="D95"/>
      <c r="E95"/>
      <c r="Q95" s="20">
        <v>1</v>
      </c>
      <c r="R95" s="29">
        <v>60</v>
      </c>
      <c r="S95" s="8">
        <v>1</v>
      </c>
      <c r="T95" s="7">
        <v>10</v>
      </c>
    </row>
    <row r="96" spans="1:20" ht="228" customHeight="1" x14ac:dyDescent="0.2">
      <c r="A96"/>
      <c r="B96"/>
      <c r="C96"/>
      <c r="D96"/>
      <c r="E96"/>
      <c r="Q96" s="20">
        <v>1</v>
      </c>
      <c r="R96" s="29">
        <v>60</v>
      </c>
      <c r="S96" s="8">
        <v>1</v>
      </c>
      <c r="T96" s="7">
        <v>10</v>
      </c>
    </row>
    <row r="97" spans="1:20" ht="30" customHeight="1" x14ac:dyDescent="0.2">
      <c r="A97"/>
      <c r="B97"/>
      <c r="C97"/>
      <c r="D97"/>
      <c r="E97"/>
      <c r="Q97" s="20">
        <v>1</v>
      </c>
      <c r="R97" s="29">
        <v>30</v>
      </c>
      <c r="S97" s="8">
        <v>1</v>
      </c>
      <c r="T97" s="7">
        <v>30</v>
      </c>
    </row>
    <row r="98" spans="1:20" ht="23.25" customHeight="1" x14ac:dyDescent="0.2">
      <c r="A98"/>
      <c r="B98"/>
      <c r="C98"/>
      <c r="D98"/>
      <c r="E98"/>
      <c r="Q98" s="20">
        <v>1</v>
      </c>
      <c r="R98" s="5">
        <v>30</v>
      </c>
      <c r="S98" s="8">
        <v>1</v>
      </c>
      <c r="T98" s="7">
        <v>30</v>
      </c>
    </row>
    <row r="99" spans="1:20" x14ac:dyDescent="0.2">
      <c r="A99"/>
      <c r="B99"/>
      <c r="C99"/>
      <c r="D99"/>
      <c r="E99"/>
      <c r="K99"/>
      <c r="L99"/>
      <c r="M99"/>
      <c r="Q99" s="20">
        <v>1</v>
      </c>
      <c r="R99" s="29">
        <v>45</v>
      </c>
      <c r="S99" s="8">
        <v>1</v>
      </c>
      <c r="T99" s="7">
        <v>80</v>
      </c>
    </row>
    <row r="100" spans="1:20" x14ac:dyDescent="0.2">
      <c r="A100"/>
      <c r="B100"/>
      <c r="C100"/>
      <c r="D100"/>
      <c r="E100"/>
      <c r="K100"/>
      <c r="L100"/>
      <c r="M100"/>
      <c r="Q100" s="20">
        <v>1</v>
      </c>
      <c r="R100" s="29">
        <v>60</v>
      </c>
      <c r="S100" s="8">
        <v>1</v>
      </c>
      <c r="T100" s="7">
        <v>50</v>
      </c>
    </row>
    <row r="101" spans="1:20" x14ac:dyDescent="0.2">
      <c r="A101"/>
      <c r="B101"/>
      <c r="C101"/>
      <c r="D101"/>
      <c r="E101"/>
      <c r="K101"/>
      <c r="L101"/>
      <c r="M101"/>
      <c r="Q101" s="20">
        <v>1</v>
      </c>
      <c r="R101" s="29">
        <v>55</v>
      </c>
      <c r="S101" s="8">
        <v>1</v>
      </c>
      <c r="T101" s="7">
        <v>55</v>
      </c>
    </row>
    <row r="102" spans="1:20" x14ac:dyDescent="0.2">
      <c r="A102"/>
      <c r="B102"/>
      <c r="C102"/>
      <c r="D102"/>
      <c r="E102"/>
      <c r="K102"/>
      <c r="L102"/>
      <c r="M102"/>
      <c r="Q102" s="29">
        <v>1</v>
      </c>
      <c r="R102" s="29">
        <v>30</v>
      </c>
      <c r="S102" s="8">
        <v>1</v>
      </c>
      <c r="T102" s="7">
        <v>32</v>
      </c>
    </row>
    <row r="103" spans="1:20" x14ac:dyDescent="0.2">
      <c r="A103"/>
      <c r="B103"/>
      <c r="C103"/>
      <c r="D103"/>
      <c r="E103"/>
      <c r="K103"/>
      <c r="L103"/>
      <c r="M103"/>
      <c r="Q103" s="29">
        <v>1</v>
      </c>
      <c r="R103" s="29">
        <v>30</v>
      </c>
      <c r="S103" s="8">
        <v>1</v>
      </c>
      <c r="T103" s="7">
        <v>32</v>
      </c>
    </row>
    <row r="104" spans="1:20" x14ac:dyDescent="0.2">
      <c r="A104"/>
      <c r="B104"/>
      <c r="C104"/>
      <c r="D104"/>
      <c r="E104"/>
      <c r="K104"/>
      <c r="L104"/>
      <c r="M104"/>
      <c r="Q104" s="29">
        <v>1</v>
      </c>
      <c r="R104" s="29">
        <v>30</v>
      </c>
      <c r="S104" s="8">
        <v>1</v>
      </c>
      <c r="T104" s="7">
        <v>32</v>
      </c>
    </row>
    <row r="105" spans="1:20" s="5" customFormat="1" ht="12" customHeight="1" x14ac:dyDescent="0.2">
      <c r="A105"/>
      <c r="B105"/>
      <c r="C105"/>
      <c r="D105"/>
      <c r="E105"/>
      <c r="F105" s="4"/>
      <c r="G105" s="4"/>
      <c r="H105" s="4"/>
      <c r="I105" s="3"/>
      <c r="J105" s="3"/>
      <c r="K105"/>
      <c r="L105"/>
      <c r="M105"/>
      <c r="N105"/>
      <c r="O105"/>
      <c r="P105"/>
      <c r="Q105" s="29">
        <v>1</v>
      </c>
      <c r="R105" s="29">
        <v>30</v>
      </c>
      <c r="S105" s="8">
        <v>1</v>
      </c>
      <c r="T105" s="7">
        <v>32</v>
      </c>
    </row>
    <row r="106" spans="1:20" x14ac:dyDescent="0.2">
      <c r="A106"/>
      <c r="B106"/>
      <c r="C106"/>
      <c r="D106"/>
      <c r="E106"/>
      <c r="K106"/>
      <c r="L106"/>
      <c r="M106"/>
      <c r="Q106" s="29">
        <v>1</v>
      </c>
      <c r="R106" s="29">
        <v>30</v>
      </c>
      <c r="S106" s="8">
        <v>1</v>
      </c>
      <c r="T106" s="7">
        <v>32</v>
      </c>
    </row>
    <row r="107" spans="1:20" x14ac:dyDescent="0.2">
      <c r="A107"/>
      <c r="B107"/>
      <c r="C107"/>
      <c r="D107"/>
      <c r="E107"/>
      <c r="K107"/>
      <c r="L107"/>
      <c r="M107"/>
      <c r="Q107" s="29">
        <v>1</v>
      </c>
      <c r="R107" s="29">
        <v>30</v>
      </c>
      <c r="S107" s="8">
        <v>1</v>
      </c>
      <c r="T107" s="7">
        <v>32</v>
      </c>
    </row>
    <row r="108" spans="1:20" x14ac:dyDescent="0.2">
      <c r="A108"/>
      <c r="B108"/>
      <c r="C108"/>
      <c r="D108"/>
      <c r="E108"/>
      <c r="K108"/>
      <c r="L108"/>
      <c r="M108"/>
      <c r="Q108" s="29">
        <v>3</v>
      </c>
      <c r="R108" s="29">
        <v>20</v>
      </c>
      <c r="S108" s="8">
        <v>3</v>
      </c>
      <c r="T108" s="7">
        <v>15</v>
      </c>
    </row>
    <row r="109" spans="1:20" x14ac:dyDescent="0.2">
      <c r="A109"/>
      <c r="B109"/>
      <c r="C109"/>
      <c r="D109"/>
      <c r="E109"/>
      <c r="K109"/>
      <c r="L109"/>
      <c r="M109"/>
      <c r="Q109" s="42">
        <f>SUM(Q8:Q108)</f>
        <v>107</v>
      </c>
      <c r="R109" s="42">
        <f>SUM(R8:R108)</f>
        <v>4265</v>
      </c>
      <c r="S109" s="42">
        <f>SUM(S8:S108)</f>
        <v>107</v>
      </c>
      <c r="T109" s="42">
        <f>SUM(T8:T108)</f>
        <v>4101</v>
      </c>
    </row>
    <row r="110" spans="1:20" ht="35.25" customHeight="1" x14ac:dyDescent="0.2">
      <c r="A110"/>
      <c r="B110"/>
      <c r="C110"/>
      <c r="D110"/>
      <c r="E110"/>
      <c r="K110"/>
      <c r="L110"/>
      <c r="M110"/>
    </row>
    <row r="111" spans="1:20" ht="36.75" customHeight="1" x14ac:dyDescent="0.2">
      <c r="A111"/>
      <c r="B111"/>
      <c r="C111"/>
      <c r="D111"/>
      <c r="E111"/>
    </row>
    <row r="112" spans="1:20" ht="33.75" customHeight="1" x14ac:dyDescent="0.2">
      <c r="A112"/>
      <c r="B112"/>
      <c r="C112"/>
      <c r="D112"/>
      <c r="E112"/>
    </row>
    <row r="113" spans="1:5" ht="26.25" customHeight="1" x14ac:dyDescent="0.2">
      <c r="A113"/>
      <c r="B113"/>
      <c r="C113"/>
      <c r="D113"/>
      <c r="E113"/>
    </row>
    <row r="114" spans="1:5" ht="27.75" customHeight="1" x14ac:dyDescent="0.2">
      <c r="A114"/>
      <c r="B114"/>
      <c r="C114"/>
      <c r="D114"/>
      <c r="E114"/>
    </row>
    <row r="115" spans="1:5" ht="40.5" customHeight="1" x14ac:dyDescent="0.2">
      <c r="A115"/>
      <c r="B115"/>
      <c r="C115"/>
      <c r="D115"/>
      <c r="E115"/>
    </row>
    <row r="116" spans="1:5" x14ac:dyDescent="0.2">
      <c r="A116"/>
      <c r="B116"/>
      <c r="C116"/>
      <c r="D116"/>
      <c r="E116"/>
    </row>
    <row r="117" spans="1:5" x14ac:dyDescent="0.2">
      <c r="A117"/>
      <c r="B117"/>
      <c r="C117"/>
      <c r="D117"/>
      <c r="E117"/>
    </row>
    <row r="118" spans="1:5" x14ac:dyDescent="0.2">
      <c r="A118"/>
      <c r="B118"/>
      <c r="C118"/>
      <c r="D118"/>
      <c r="E118"/>
    </row>
    <row r="119" spans="1:5" x14ac:dyDescent="0.2">
      <c r="A119"/>
      <c r="B119"/>
      <c r="C119"/>
      <c r="D119"/>
      <c r="E119"/>
    </row>
    <row r="120" spans="1:5" x14ac:dyDescent="0.2">
      <c r="A120"/>
      <c r="B120"/>
      <c r="C120"/>
      <c r="D120"/>
      <c r="E120"/>
    </row>
    <row r="121" spans="1:5" x14ac:dyDescent="0.2">
      <c r="A121"/>
      <c r="B121"/>
      <c r="C121"/>
      <c r="D121"/>
      <c r="E121"/>
    </row>
    <row r="122" spans="1:5" x14ac:dyDescent="0.2">
      <c r="A122"/>
      <c r="B122"/>
      <c r="C122"/>
      <c r="D122"/>
      <c r="E122"/>
    </row>
    <row r="123" spans="1:5" x14ac:dyDescent="0.2">
      <c r="A123"/>
      <c r="B123"/>
      <c r="C123"/>
      <c r="D123"/>
      <c r="E123"/>
    </row>
    <row r="124" spans="1:5" x14ac:dyDescent="0.2">
      <c r="A124"/>
      <c r="B124"/>
      <c r="C124"/>
      <c r="D124"/>
      <c r="E124"/>
    </row>
    <row r="125" spans="1:5" x14ac:dyDescent="0.2">
      <c r="A125"/>
      <c r="B125"/>
      <c r="C125"/>
      <c r="D125"/>
      <c r="E125"/>
    </row>
    <row r="126" spans="1:5" x14ac:dyDescent="0.2">
      <c r="A126"/>
      <c r="B126"/>
      <c r="C126"/>
      <c r="D126"/>
      <c r="E126"/>
    </row>
    <row r="127" spans="1:5" x14ac:dyDescent="0.2">
      <c r="A127"/>
      <c r="B127"/>
      <c r="C127"/>
      <c r="D127"/>
      <c r="E127"/>
    </row>
    <row r="128" spans="1:5" x14ac:dyDescent="0.2">
      <c r="A128"/>
      <c r="B128"/>
      <c r="C128"/>
      <c r="D128"/>
      <c r="E128"/>
    </row>
    <row r="129" spans="1:5" x14ac:dyDescent="0.2">
      <c r="A129"/>
      <c r="B129"/>
      <c r="C129"/>
      <c r="D129"/>
      <c r="E129"/>
    </row>
    <row r="130" spans="1:5" x14ac:dyDescent="0.2">
      <c r="A130"/>
      <c r="B130"/>
      <c r="C130"/>
      <c r="D130"/>
      <c r="E130"/>
    </row>
    <row r="131" spans="1:5" x14ac:dyDescent="0.2">
      <c r="A131"/>
      <c r="B131"/>
      <c r="C131"/>
      <c r="D131"/>
      <c r="E131"/>
    </row>
    <row r="132" spans="1:5" x14ac:dyDescent="0.2">
      <c r="A132"/>
      <c r="B132"/>
      <c r="C132"/>
      <c r="D132"/>
      <c r="E132"/>
    </row>
    <row r="133" spans="1:5" x14ac:dyDescent="0.2">
      <c r="A133"/>
      <c r="B133"/>
      <c r="C133"/>
      <c r="D133"/>
      <c r="E133"/>
    </row>
    <row r="134" spans="1:5" x14ac:dyDescent="0.2">
      <c r="A134"/>
      <c r="B134"/>
      <c r="C134"/>
      <c r="D134"/>
      <c r="E134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D6F16-C9F8-4D20-BD69-634A178239E5}">
  <dimension ref="A1:AG125"/>
  <sheetViews>
    <sheetView topLeftCell="H1" zoomScale="84" zoomScaleNormal="84" workbookViewId="0">
      <selection activeCell="A49" sqref="A49:M49"/>
    </sheetView>
  </sheetViews>
  <sheetFormatPr baseColWidth="10" defaultColWidth="11.42578125" defaultRowHeight="12.75" x14ac:dyDescent="0.2"/>
  <cols>
    <col min="1" max="1" width="18.7109375" style="4" bestFit="1" customWidth="1"/>
    <col min="2" max="2" width="45.42578125" style="4" bestFit="1" customWidth="1"/>
    <col min="3" max="3" width="36.7109375" style="4" bestFit="1" customWidth="1"/>
    <col min="4" max="4" width="21.28515625" style="4" bestFit="1" customWidth="1"/>
    <col min="5" max="5" width="21.5703125" style="4" bestFit="1" customWidth="1"/>
    <col min="6" max="6" width="17.7109375" style="4" bestFit="1" customWidth="1"/>
    <col min="7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26"/>
      <c r="B1" s="128" t="s">
        <v>0</v>
      </c>
      <c r="C1" s="128"/>
      <c r="D1" s="128"/>
      <c r="E1" s="128"/>
      <c r="F1" s="128"/>
      <c r="G1" s="128"/>
      <c r="H1" s="128"/>
      <c r="I1" s="128"/>
      <c r="J1" s="128"/>
      <c r="K1" s="128"/>
      <c r="L1" s="130"/>
      <c r="M1" s="131"/>
    </row>
    <row r="2" spans="1:20" ht="20.25" customHeight="1" x14ac:dyDescent="0.2">
      <c r="A2" s="127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32"/>
      <c r="M2" s="133"/>
    </row>
    <row r="3" spans="1:20" ht="12.75" customHeight="1" x14ac:dyDescent="0.2">
      <c r="A3" s="134" t="s">
        <v>1</v>
      </c>
      <c r="B3" s="136" t="s">
        <v>2</v>
      </c>
      <c r="C3" s="136"/>
      <c r="D3" s="136"/>
      <c r="E3" s="136"/>
      <c r="F3" s="136"/>
      <c r="G3" s="136"/>
      <c r="H3" s="136"/>
      <c r="I3" s="136"/>
      <c r="J3" s="136"/>
      <c r="K3" s="136"/>
      <c r="L3" s="138" t="s">
        <v>3</v>
      </c>
      <c r="M3" s="139"/>
    </row>
    <row r="4" spans="1:20" ht="13.5" thickBot="1" x14ac:dyDescent="0.25">
      <c r="A4" s="135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22" t="s">
        <v>6</v>
      </c>
      <c r="C6" s="122"/>
      <c r="D6" s="122"/>
      <c r="E6" s="122"/>
      <c r="F6" s="122"/>
      <c r="G6" s="122"/>
      <c r="H6" s="123" t="s">
        <v>7</v>
      </c>
      <c r="I6" s="124"/>
      <c r="J6" s="124"/>
      <c r="K6" s="124"/>
      <c r="L6" s="125"/>
      <c r="M6" s="25"/>
    </row>
    <row r="7" spans="1:20" s="14" customFormat="1" ht="49.5" customHeight="1" x14ac:dyDescent="0.2">
      <c r="A7" s="18" cm="1">
        <f t="array" aca="1" ref="A7" ca="1">+#REF!+A1:L7+A7:L66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209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32" t="s">
        <v>92</v>
      </c>
      <c r="B8" s="11" t="s">
        <v>140</v>
      </c>
      <c r="C8" s="11" t="s">
        <v>22</v>
      </c>
      <c r="D8" s="20">
        <v>1</v>
      </c>
      <c r="E8" s="29">
        <v>30</v>
      </c>
      <c r="F8" s="11">
        <v>45896</v>
      </c>
      <c r="G8" s="10">
        <v>0.375</v>
      </c>
      <c r="H8" s="11">
        <v>45890</v>
      </c>
      <c r="I8" s="10">
        <v>0.8125</v>
      </c>
      <c r="J8" s="9">
        <f>E8-L8</f>
        <v>5</v>
      </c>
      <c r="K8" s="8">
        <v>1</v>
      </c>
      <c r="L8" s="7">
        <v>25</v>
      </c>
      <c r="M8" s="6" t="s">
        <v>93</v>
      </c>
      <c r="Q8" s="20">
        <v>1</v>
      </c>
      <c r="R8" s="20">
        <v>45</v>
      </c>
      <c r="S8" s="8">
        <v>1</v>
      </c>
      <c r="T8" s="7">
        <v>60</v>
      </c>
    </row>
    <row r="9" spans="1:20" s="5" customFormat="1" ht="39" customHeight="1" x14ac:dyDescent="0.2">
      <c r="A9" s="37" t="s">
        <v>92</v>
      </c>
      <c r="B9" s="11" t="s">
        <v>139</v>
      </c>
      <c r="C9" s="11" t="s">
        <v>34</v>
      </c>
      <c r="D9" s="20">
        <v>1</v>
      </c>
      <c r="E9" s="29">
        <v>30</v>
      </c>
      <c r="F9" s="11">
        <v>45896</v>
      </c>
      <c r="G9" s="10">
        <v>0.375</v>
      </c>
      <c r="H9" s="11">
        <v>45890</v>
      </c>
      <c r="I9" s="10">
        <v>0.8125</v>
      </c>
      <c r="J9" s="9">
        <f t="shared" ref="J9:J28" si="0">E9-L9</f>
        <v>5</v>
      </c>
      <c r="K9" s="8">
        <v>1</v>
      </c>
      <c r="L9" s="7">
        <v>25</v>
      </c>
      <c r="M9" s="6" t="s">
        <v>93</v>
      </c>
      <c r="Q9" s="20">
        <v>1</v>
      </c>
      <c r="R9" s="20">
        <v>60</v>
      </c>
      <c r="S9" s="8">
        <v>1</v>
      </c>
      <c r="T9" s="7">
        <v>60</v>
      </c>
    </row>
    <row r="10" spans="1:20" s="5" customFormat="1" ht="43.5" customHeight="1" x14ac:dyDescent="0.2">
      <c r="A10" s="23" t="s">
        <v>144</v>
      </c>
      <c r="B10" s="63" t="s">
        <v>30</v>
      </c>
      <c r="C10" s="21" t="s">
        <v>31</v>
      </c>
      <c r="D10" s="20">
        <v>1</v>
      </c>
      <c r="E10" s="8">
        <v>30</v>
      </c>
      <c r="F10" s="11">
        <v>45882</v>
      </c>
      <c r="G10" s="10">
        <v>0.375</v>
      </c>
      <c r="H10" s="11">
        <v>45890</v>
      </c>
      <c r="I10" s="10">
        <v>0.83333333333333337</v>
      </c>
      <c r="J10" s="9">
        <f t="shared" si="0"/>
        <v>0</v>
      </c>
      <c r="K10" s="8">
        <v>1</v>
      </c>
      <c r="L10" s="7">
        <v>30</v>
      </c>
      <c r="M10" s="6" t="s">
        <v>152</v>
      </c>
      <c r="Q10" s="20">
        <v>1</v>
      </c>
      <c r="R10" s="20">
        <v>60</v>
      </c>
      <c r="S10" s="8">
        <v>1</v>
      </c>
      <c r="T10" s="7">
        <v>60</v>
      </c>
    </row>
    <row r="11" spans="1:20" s="5" customFormat="1" ht="35.1" customHeight="1" x14ac:dyDescent="0.2">
      <c r="A11" s="33" t="s">
        <v>94</v>
      </c>
      <c r="B11" s="11" t="s">
        <v>139</v>
      </c>
      <c r="C11" s="11" t="s">
        <v>34</v>
      </c>
      <c r="D11" s="20">
        <v>3</v>
      </c>
      <c r="E11" s="29">
        <v>60</v>
      </c>
      <c r="F11" s="11">
        <v>45896</v>
      </c>
      <c r="G11" s="10">
        <v>0.375</v>
      </c>
      <c r="H11" s="11">
        <v>45890</v>
      </c>
      <c r="I11" s="10">
        <v>0.85416666666666663</v>
      </c>
      <c r="J11" s="9">
        <f>E11-L11</f>
        <v>0</v>
      </c>
      <c r="K11" s="8">
        <v>3</v>
      </c>
      <c r="L11" s="7">
        <v>60</v>
      </c>
      <c r="M11" s="6" t="s">
        <v>141</v>
      </c>
      <c r="Q11" s="20">
        <v>1</v>
      </c>
      <c r="R11" s="20">
        <v>60</v>
      </c>
      <c r="S11" s="8">
        <v>1</v>
      </c>
      <c r="T11" s="7">
        <v>60</v>
      </c>
    </row>
    <row r="12" spans="1:20" s="5" customFormat="1" ht="35.1" customHeight="1" x14ac:dyDescent="0.2">
      <c r="A12" s="33" t="s">
        <v>94</v>
      </c>
      <c r="B12" s="11" t="s">
        <v>21</v>
      </c>
      <c r="C12" s="11" t="s">
        <v>22</v>
      </c>
      <c r="D12" s="20">
        <v>3</v>
      </c>
      <c r="E12" s="29">
        <v>60</v>
      </c>
      <c r="F12" s="11">
        <v>45896</v>
      </c>
      <c r="G12" s="10">
        <v>0.375</v>
      </c>
      <c r="H12" s="11">
        <v>45890</v>
      </c>
      <c r="I12" s="10">
        <v>0.85416666666666663</v>
      </c>
      <c r="J12" s="9">
        <f t="shared" si="0"/>
        <v>0</v>
      </c>
      <c r="K12" s="8">
        <v>3</v>
      </c>
      <c r="L12" s="7">
        <v>60</v>
      </c>
      <c r="M12" s="6" t="s">
        <v>141</v>
      </c>
      <c r="Q12" s="20">
        <v>1</v>
      </c>
      <c r="R12" s="20">
        <v>60</v>
      </c>
      <c r="S12" s="8">
        <v>1</v>
      </c>
      <c r="T12" s="7">
        <v>60</v>
      </c>
    </row>
    <row r="13" spans="1:20" s="5" customFormat="1" ht="35.1" customHeight="1" x14ac:dyDescent="0.2">
      <c r="A13" s="33" t="s">
        <v>95</v>
      </c>
      <c r="B13" s="11" t="s">
        <v>21</v>
      </c>
      <c r="C13" s="11" t="s">
        <v>22</v>
      </c>
      <c r="D13" s="20">
        <v>1</v>
      </c>
      <c r="E13" s="29">
        <v>30</v>
      </c>
      <c r="F13" s="11">
        <v>45896</v>
      </c>
      <c r="G13" s="10">
        <v>0.375</v>
      </c>
      <c r="H13" s="11">
        <v>45890</v>
      </c>
      <c r="I13" s="10">
        <v>0.875</v>
      </c>
      <c r="J13" s="9">
        <f>E13-L13</f>
        <v>0</v>
      </c>
      <c r="K13" s="8">
        <v>1</v>
      </c>
      <c r="L13" s="7">
        <v>30</v>
      </c>
      <c r="M13" s="6" t="s">
        <v>96</v>
      </c>
      <c r="Q13" s="20">
        <v>1</v>
      </c>
      <c r="R13" s="20">
        <v>60</v>
      </c>
      <c r="S13" s="8">
        <v>1</v>
      </c>
      <c r="T13" s="7">
        <v>60</v>
      </c>
    </row>
    <row r="14" spans="1:20" s="5" customFormat="1" ht="33.950000000000003" customHeight="1" x14ac:dyDescent="0.2">
      <c r="A14" s="33" t="s">
        <v>95</v>
      </c>
      <c r="B14" s="11" t="s">
        <v>139</v>
      </c>
      <c r="C14" s="11" t="s">
        <v>34</v>
      </c>
      <c r="D14" s="20">
        <v>1</v>
      </c>
      <c r="E14" s="29">
        <v>30</v>
      </c>
      <c r="F14" s="11">
        <v>45896</v>
      </c>
      <c r="G14" s="10">
        <v>0.375</v>
      </c>
      <c r="H14" s="11">
        <v>45890</v>
      </c>
      <c r="I14" s="10">
        <v>0.875</v>
      </c>
      <c r="J14" s="9">
        <f t="shared" si="0"/>
        <v>0</v>
      </c>
      <c r="K14" s="8">
        <v>1</v>
      </c>
      <c r="L14" s="7">
        <v>30</v>
      </c>
      <c r="M14" s="6" t="s">
        <v>96</v>
      </c>
      <c r="Q14" s="20">
        <v>1</v>
      </c>
      <c r="R14" s="20">
        <v>60</v>
      </c>
      <c r="S14" s="8">
        <v>1</v>
      </c>
      <c r="T14" s="7">
        <v>60</v>
      </c>
    </row>
    <row r="15" spans="1:20" s="5" customFormat="1" ht="38.450000000000003" customHeight="1" x14ac:dyDescent="0.2">
      <c r="A15" s="23" t="s">
        <v>97</v>
      </c>
      <c r="B15" s="11" t="s">
        <v>21</v>
      </c>
      <c r="C15" s="11" t="s">
        <v>22</v>
      </c>
      <c r="D15" s="20">
        <v>1</v>
      </c>
      <c r="E15" s="29">
        <v>20</v>
      </c>
      <c r="F15" s="11">
        <v>45896</v>
      </c>
      <c r="G15" s="10">
        <v>0.375</v>
      </c>
      <c r="H15" s="11">
        <v>45890</v>
      </c>
      <c r="I15" s="10">
        <v>0.88888888888888884</v>
      </c>
      <c r="J15" s="9">
        <f>E15-L15</f>
        <v>0</v>
      </c>
      <c r="K15" s="8">
        <v>1</v>
      </c>
      <c r="L15" s="7">
        <v>20</v>
      </c>
      <c r="M15" s="6" t="s">
        <v>98</v>
      </c>
      <c r="Q15" s="20">
        <v>1</v>
      </c>
      <c r="R15" s="28">
        <v>50</v>
      </c>
      <c r="S15" s="8">
        <v>1</v>
      </c>
      <c r="T15" s="7">
        <v>60</v>
      </c>
    </row>
    <row r="16" spans="1:20" s="5" customFormat="1" ht="30.95" customHeight="1" x14ac:dyDescent="0.2">
      <c r="A16" s="23" t="s">
        <v>97</v>
      </c>
      <c r="B16" s="11" t="s">
        <v>139</v>
      </c>
      <c r="C16" s="11" t="s">
        <v>34</v>
      </c>
      <c r="D16" s="20">
        <v>1</v>
      </c>
      <c r="E16" s="29">
        <v>20</v>
      </c>
      <c r="F16" s="11">
        <v>45896</v>
      </c>
      <c r="G16" s="10">
        <v>0.375</v>
      </c>
      <c r="H16" s="11">
        <v>45890</v>
      </c>
      <c r="I16" s="10">
        <v>0.88888888888888884</v>
      </c>
      <c r="J16" s="9">
        <f t="shared" si="0"/>
        <v>0</v>
      </c>
      <c r="K16" s="8">
        <v>1</v>
      </c>
      <c r="L16" s="7">
        <v>20</v>
      </c>
      <c r="M16" s="6" t="s">
        <v>98</v>
      </c>
      <c r="Q16" s="20">
        <v>1</v>
      </c>
      <c r="R16" s="28">
        <v>50</v>
      </c>
      <c r="S16" s="8">
        <v>1</v>
      </c>
      <c r="T16" s="7">
        <v>60</v>
      </c>
    </row>
    <row r="17" spans="1:20" s="5" customFormat="1" ht="27" customHeight="1" x14ac:dyDescent="0.2">
      <c r="A17" s="23" t="s">
        <v>99</v>
      </c>
      <c r="B17" s="11" t="s">
        <v>21</v>
      </c>
      <c r="C17" s="11" t="s">
        <v>22</v>
      </c>
      <c r="D17" s="29">
        <v>1</v>
      </c>
      <c r="E17" s="34">
        <v>20</v>
      </c>
      <c r="F17" s="11">
        <v>45896</v>
      </c>
      <c r="G17" s="10">
        <v>0.375</v>
      </c>
      <c r="H17" s="11">
        <v>45890</v>
      </c>
      <c r="I17" s="10">
        <v>0.90277777777777779</v>
      </c>
      <c r="J17" s="9">
        <f>E17-L17</f>
        <v>2</v>
      </c>
      <c r="K17" s="8">
        <v>1</v>
      </c>
      <c r="L17" s="7">
        <v>18</v>
      </c>
      <c r="M17" s="6" t="s">
        <v>100</v>
      </c>
      <c r="Q17" s="20">
        <v>1</v>
      </c>
      <c r="R17" s="28">
        <v>50</v>
      </c>
      <c r="S17" s="8">
        <v>1</v>
      </c>
      <c r="T17" s="7">
        <v>60</v>
      </c>
    </row>
    <row r="18" spans="1:20" s="5" customFormat="1" ht="27.6" customHeight="1" x14ac:dyDescent="0.2">
      <c r="A18" s="23" t="s">
        <v>99</v>
      </c>
      <c r="B18" s="11" t="s">
        <v>139</v>
      </c>
      <c r="C18" s="11" t="s">
        <v>34</v>
      </c>
      <c r="D18" s="29">
        <v>1</v>
      </c>
      <c r="E18" s="40">
        <v>20</v>
      </c>
      <c r="F18" s="11">
        <v>45896</v>
      </c>
      <c r="G18" s="10">
        <v>0.375</v>
      </c>
      <c r="H18" s="11">
        <v>45890</v>
      </c>
      <c r="I18" s="10">
        <v>0.90277777777777779</v>
      </c>
      <c r="J18" s="9">
        <f t="shared" si="0"/>
        <v>2</v>
      </c>
      <c r="K18" s="8">
        <v>1</v>
      </c>
      <c r="L18" s="7">
        <v>18</v>
      </c>
      <c r="M18" s="6" t="s">
        <v>100</v>
      </c>
      <c r="Q18" s="20">
        <v>1</v>
      </c>
      <c r="R18" s="28">
        <v>50</v>
      </c>
      <c r="S18" s="8">
        <v>1</v>
      </c>
      <c r="T18" s="7">
        <v>60</v>
      </c>
    </row>
    <row r="19" spans="1:20" s="5" customFormat="1" ht="24" customHeight="1" x14ac:dyDescent="0.2">
      <c r="A19" s="5" t="s">
        <v>101</v>
      </c>
      <c r="B19" s="11" t="s">
        <v>21</v>
      </c>
      <c r="C19" s="11" t="s">
        <v>22</v>
      </c>
      <c r="D19" s="29">
        <v>1</v>
      </c>
      <c r="E19" s="29">
        <v>20</v>
      </c>
      <c r="F19" s="11">
        <v>45896</v>
      </c>
      <c r="G19" s="10">
        <v>0.375</v>
      </c>
      <c r="H19" s="11">
        <v>45890</v>
      </c>
      <c r="I19" s="10">
        <v>0.91666666666666663</v>
      </c>
      <c r="J19" s="9">
        <f>E19-L19</f>
        <v>1</v>
      </c>
      <c r="K19" s="8">
        <v>1</v>
      </c>
      <c r="L19" s="7">
        <v>19</v>
      </c>
      <c r="M19" s="6" t="s">
        <v>102</v>
      </c>
      <c r="Q19" s="20">
        <v>1</v>
      </c>
      <c r="R19" s="28">
        <v>50</v>
      </c>
      <c r="S19" s="8">
        <v>1</v>
      </c>
      <c r="T19" s="7">
        <v>60</v>
      </c>
    </row>
    <row r="20" spans="1:20" s="5" customFormat="1" ht="29.45" customHeight="1" x14ac:dyDescent="0.2">
      <c r="A20" s="41" t="s">
        <v>101</v>
      </c>
      <c r="B20" s="11" t="s">
        <v>136</v>
      </c>
      <c r="C20" s="11" t="s">
        <v>34</v>
      </c>
      <c r="D20" s="29">
        <v>1</v>
      </c>
      <c r="E20" s="29">
        <v>20</v>
      </c>
      <c r="F20" s="11">
        <v>45896</v>
      </c>
      <c r="G20" s="10">
        <v>0.375</v>
      </c>
      <c r="H20" s="11">
        <v>45890</v>
      </c>
      <c r="I20" s="10">
        <v>0.91666666666666663</v>
      </c>
      <c r="J20" s="9">
        <f t="shared" si="0"/>
        <v>1</v>
      </c>
      <c r="K20" s="8">
        <v>1</v>
      </c>
      <c r="L20" s="7">
        <v>19</v>
      </c>
      <c r="M20" s="6" t="s">
        <v>102</v>
      </c>
      <c r="Q20" s="20">
        <v>1</v>
      </c>
      <c r="R20" s="28">
        <v>50</v>
      </c>
      <c r="S20" s="8">
        <v>1</v>
      </c>
      <c r="T20" s="7">
        <v>60</v>
      </c>
    </row>
    <row r="21" spans="1:20" s="5" customFormat="1" ht="33.950000000000003" customHeight="1" x14ac:dyDescent="0.2">
      <c r="A21" s="23" t="s">
        <v>103</v>
      </c>
      <c r="B21" s="11" t="s">
        <v>21</v>
      </c>
      <c r="C21" s="11" t="s">
        <v>22</v>
      </c>
      <c r="D21" s="29">
        <v>1</v>
      </c>
      <c r="E21" s="29">
        <v>30</v>
      </c>
      <c r="F21" s="11">
        <v>45896</v>
      </c>
      <c r="G21" s="10">
        <v>0.375</v>
      </c>
      <c r="H21" s="11">
        <v>45890</v>
      </c>
      <c r="I21" s="10">
        <v>0.9375</v>
      </c>
      <c r="J21" s="9">
        <f>E21-L21</f>
        <v>5</v>
      </c>
      <c r="K21" s="8">
        <v>1</v>
      </c>
      <c r="L21" s="7">
        <v>25</v>
      </c>
      <c r="M21" s="6" t="s">
        <v>104</v>
      </c>
      <c r="Q21" s="20">
        <v>1</v>
      </c>
      <c r="R21" s="28">
        <v>70</v>
      </c>
      <c r="S21" s="8">
        <v>1</v>
      </c>
      <c r="T21" s="7">
        <v>60</v>
      </c>
    </row>
    <row r="22" spans="1:20" s="5" customFormat="1" ht="33.950000000000003" customHeight="1" x14ac:dyDescent="0.2">
      <c r="A22" s="23" t="s">
        <v>103</v>
      </c>
      <c r="B22" s="11" t="s">
        <v>136</v>
      </c>
      <c r="C22" s="11" t="s">
        <v>34</v>
      </c>
      <c r="D22" s="29">
        <v>1</v>
      </c>
      <c r="E22" s="29">
        <v>30</v>
      </c>
      <c r="F22" s="11">
        <v>45896</v>
      </c>
      <c r="G22" s="10">
        <v>0.375</v>
      </c>
      <c r="H22" s="11">
        <v>45890</v>
      </c>
      <c r="I22" s="10">
        <v>0.9375</v>
      </c>
      <c r="J22" s="9">
        <f t="shared" si="0"/>
        <v>5</v>
      </c>
      <c r="K22" s="8">
        <v>1</v>
      </c>
      <c r="L22" s="7">
        <v>25</v>
      </c>
      <c r="M22" s="6" t="s">
        <v>104</v>
      </c>
      <c r="Q22" s="20">
        <v>1</v>
      </c>
      <c r="R22" s="28">
        <v>70</v>
      </c>
      <c r="S22" s="8">
        <v>1</v>
      </c>
      <c r="T22" s="7">
        <v>60</v>
      </c>
    </row>
    <row r="23" spans="1:20" s="5" customFormat="1" ht="28.5" customHeight="1" x14ac:dyDescent="0.2">
      <c r="A23" s="23" t="s">
        <v>105</v>
      </c>
      <c r="B23" s="11" t="s">
        <v>30</v>
      </c>
      <c r="C23" s="11" t="s">
        <v>31</v>
      </c>
      <c r="D23" s="29">
        <v>1</v>
      </c>
      <c r="E23" s="29">
        <v>30</v>
      </c>
      <c r="F23" s="11">
        <v>45896</v>
      </c>
      <c r="G23" s="10">
        <v>0.375</v>
      </c>
      <c r="H23" s="11">
        <v>45890</v>
      </c>
      <c r="I23" s="10">
        <v>0.8125</v>
      </c>
      <c r="J23" s="9">
        <f>E23-L23</f>
        <v>6</v>
      </c>
      <c r="K23" s="8">
        <v>1</v>
      </c>
      <c r="L23" s="7">
        <v>24</v>
      </c>
      <c r="M23" s="6" t="s">
        <v>106</v>
      </c>
      <c r="Q23" s="20">
        <v>1</v>
      </c>
      <c r="R23" s="28">
        <v>70</v>
      </c>
      <c r="S23" s="8">
        <v>1</v>
      </c>
      <c r="T23" s="7">
        <v>60</v>
      </c>
    </row>
    <row r="24" spans="1:20" s="5" customFormat="1" ht="24.95" customHeight="1" x14ac:dyDescent="0.2">
      <c r="A24" s="23" t="s">
        <v>105</v>
      </c>
      <c r="B24" s="11" t="s">
        <v>39</v>
      </c>
      <c r="C24" s="11" t="s">
        <v>40</v>
      </c>
      <c r="D24" s="29">
        <v>1</v>
      </c>
      <c r="E24" s="29">
        <v>30</v>
      </c>
      <c r="F24" s="11">
        <v>45896</v>
      </c>
      <c r="G24" s="10">
        <v>0.375</v>
      </c>
      <c r="H24" s="11">
        <v>45890</v>
      </c>
      <c r="I24" s="10">
        <v>0.8125</v>
      </c>
      <c r="J24" s="9">
        <f t="shared" si="0"/>
        <v>6</v>
      </c>
      <c r="K24" s="8">
        <v>1</v>
      </c>
      <c r="L24" s="7">
        <v>24</v>
      </c>
      <c r="M24" s="6" t="s">
        <v>106</v>
      </c>
      <c r="Q24" s="20">
        <v>1</v>
      </c>
      <c r="R24" s="28">
        <v>70</v>
      </c>
      <c r="S24" s="8">
        <v>1</v>
      </c>
      <c r="T24" s="7">
        <v>60</v>
      </c>
    </row>
    <row r="25" spans="1:20" s="5" customFormat="1" ht="12.75" customHeight="1" x14ac:dyDescent="0.2">
      <c r="A25" s="33" t="s">
        <v>107</v>
      </c>
      <c r="B25" s="11" t="s">
        <v>30</v>
      </c>
      <c r="C25" s="11" t="s">
        <v>31</v>
      </c>
      <c r="D25" s="29">
        <v>1</v>
      </c>
      <c r="E25" s="29">
        <v>60</v>
      </c>
      <c r="F25" s="11">
        <v>45896</v>
      </c>
      <c r="G25" s="10">
        <v>0.375</v>
      </c>
      <c r="H25" s="11">
        <v>45890</v>
      </c>
      <c r="I25" s="10">
        <v>0.85416666666666663</v>
      </c>
      <c r="J25" s="9">
        <f>E25-L25</f>
        <v>15</v>
      </c>
      <c r="K25" s="8">
        <v>1</v>
      </c>
      <c r="L25" s="7">
        <v>45</v>
      </c>
      <c r="M25" s="6" t="s">
        <v>108</v>
      </c>
      <c r="Q25" s="20">
        <v>1</v>
      </c>
      <c r="R25" s="28">
        <v>70</v>
      </c>
      <c r="S25" s="8">
        <v>1</v>
      </c>
      <c r="T25" s="7">
        <v>60</v>
      </c>
    </row>
    <row r="26" spans="1:20" s="5" customFormat="1" ht="12.75" customHeight="1" x14ac:dyDescent="0.2">
      <c r="A26" s="33" t="s">
        <v>107</v>
      </c>
      <c r="B26" s="11" t="s">
        <v>39</v>
      </c>
      <c r="C26" s="11" t="s">
        <v>40</v>
      </c>
      <c r="D26" s="29">
        <v>1</v>
      </c>
      <c r="E26" s="29">
        <v>60</v>
      </c>
      <c r="F26" s="11">
        <v>45896</v>
      </c>
      <c r="G26" s="10">
        <v>0.375</v>
      </c>
      <c r="H26" s="11">
        <v>45890</v>
      </c>
      <c r="I26" s="10">
        <v>0.85416666666666663</v>
      </c>
      <c r="J26" s="9">
        <f t="shared" si="0"/>
        <v>15</v>
      </c>
      <c r="K26" s="8">
        <v>1</v>
      </c>
      <c r="L26" s="7">
        <v>45</v>
      </c>
      <c r="M26" s="6" t="s">
        <v>108</v>
      </c>
      <c r="Q26" s="20">
        <v>1</v>
      </c>
      <c r="R26" s="28">
        <v>70</v>
      </c>
      <c r="S26" s="8">
        <v>1</v>
      </c>
      <c r="T26" s="7">
        <v>60</v>
      </c>
    </row>
    <row r="27" spans="1:20" s="5" customFormat="1" ht="33.950000000000003" customHeight="1" x14ac:dyDescent="0.2">
      <c r="A27" s="23" t="s">
        <v>109</v>
      </c>
      <c r="B27" s="11" t="s">
        <v>30</v>
      </c>
      <c r="C27" s="11" t="s">
        <v>31</v>
      </c>
      <c r="D27" s="29">
        <v>1</v>
      </c>
      <c r="E27" s="29">
        <v>30</v>
      </c>
      <c r="F27" s="11">
        <v>45896</v>
      </c>
      <c r="G27" s="10">
        <v>0.375</v>
      </c>
      <c r="H27" s="11">
        <v>45890</v>
      </c>
      <c r="I27" s="10">
        <v>0.875</v>
      </c>
      <c r="J27" s="9">
        <f>E27-L27</f>
        <v>10</v>
      </c>
      <c r="K27" s="8">
        <v>1</v>
      </c>
      <c r="L27" s="7">
        <v>20</v>
      </c>
      <c r="M27" s="6" t="s">
        <v>110</v>
      </c>
      <c r="Q27" s="20">
        <v>1</v>
      </c>
      <c r="R27" s="29">
        <v>30</v>
      </c>
      <c r="S27" s="8">
        <v>1</v>
      </c>
      <c r="T27" s="7">
        <v>30</v>
      </c>
    </row>
    <row r="28" spans="1:20" s="5" customFormat="1" ht="32.450000000000003" customHeight="1" x14ac:dyDescent="0.2">
      <c r="A28" s="23" t="s">
        <v>109</v>
      </c>
      <c r="B28" s="11" t="s">
        <v>39</v>
      </c>
      <c r="C28" s="11" t="s">
        <v>40</v>
      </c>
      <c r="D28" s="29">
        <v>1</v>
      </c>
      <c r="E28" s="29">
        <v>30</v>
      </c>
      <c r="F28" s="11">
        <v>45896</v>
      </c>
      <c r="G28" s="10">
        <v>0.375</v>
      </c>
      <c r="H28" s="11">
        <v>45890</v>
      </c>
      <c r="I28" s="10">
        <v>0.875</v>
      </c>
      <c r="J28" s="9">
        <f t="shared" si="0"/>
        <v>10</v>
      </c>
      <c r="K28" s="8">
        <v>1</v>
      </c>
      <c r="L28" s="7">
        <v>20</v>
      </c>
      <c r="M28" s="6" t="s">
        <v>110</v>
      </c>
      <c r="Q28" s="20">
        <v>1</v>
      </c>
      <c r="R28" s="5">
        <v>30</v>
      </c>
      <c r="S28" s="8">
        <v>1</v>
      </c>
      <c r="T28" s="7">
        <v>30</v>
      </c>
    </row>
    <row r="29" spans="1:20" ht="35.25" customHeight="1" x14ac:dyDescent="0.2">
      <c r="A29" s="23" t="s">
        <v>111</v>
      </c>
      <c r="B29" s="11" t="s">
        <v>39</v>
      </c>
      <c r="C29" s="11" t="s">
        <v>142</v>
      </c>
      <c r="D29" s="29">
        <v>1</v>
      </c>
      <c r="E29" s="29">
        <v>30</v>
      </c>
      <c r="F29" s="11">
        <v>45896</v>
      </c>
      <c r="G29" s="10">
        <v>0.375</v>
      </c>
      <c r="H29" s="11">
        <v>45890</v>
      </c>
      <c r="I29" s="10">
        <v>0.89583333333333337</v>
      </c>
      <c r="J29" s="9">
        <f t="shared" ref="J29:J35" si="1">E29-L29</f>
        <v>0</v>
      </c>
      <c r="K29" s="8">
        <v>1</v>
      </c>
      <c r="L29" s="7">
        <v>30</v>
      </c>
      <c r="M29" s="6" t="s">
        <v>112</v>
      </c>
      <c r="Q29" s="20">
        <v>1</v>
      </c>
      <c r="R29" s="8">
        <v>30</v>
      </c>
      <c r="S29" s="8">
        <v>1</v>
      </c>
      <c r="T29" s="7">
        <v>30</v>
      </c>
    </row>
    <row r="30" spans="1:20" s="5" customFormat="1" ht="47.1" customHeight="1" x14ac:dyDescent="0.2">
      <c r="A30" s="23" t="s">
        <v>111</v>
      </c>
      <c r="B30" s="11" t="s">
        <v>30</v>
      </c>
      <c r="C30" s="11" t="s">
        <v>31</v>
      </c>
      <c r="D30" s="29">
        <v>1</v>
      </c>
      <c r="E30" s="29">
        <v>30</v>
      </c>
      <c r="F30" s="11">
        <v>45896</v>
      </c>
      <c r="G30" s="10">
        <v>0.375</v>
      </c>
      <c r="H30" s="11">
        <v>45890</v>
      </c>
      <c r="I30" s="10">
        <v>0.89583333333333337</v>
      </c>
      <c r="J30" s="9">
        <f t="shared" si="1"/>
        <v>0</v>
      </c>
      <c r="K30" s="8">
        <v>1</v>
      </c>
      <c r="L30" s="7">
        <v>30</v>
      </c>
      <c r="M30" s="6" t="s">
        <v>112</v>
      </c>
      <c r="Q30" s="20">
        <v>1</v>
      </c>
      <c r="R30" s="29">
        <v>120</v>
      </c>
      <c r="S30" s="8">
        <v>1</v>
      </c>
      <c r="T30" s="7">
        <v>60</v>
      </c>
    </row>
    <row r="31" spans="1:20" s="5" customFormat="1" ht="33" customHeight="1" x14ac:dyDescent="0.2">
      <c r="A31" s="33" t="s">
        <v>113</v>
      </c>
      <c r="B31" s="11" t="s">
        <v>30</v>
      </c>
      <c r="C31" s="11" t="s">
        <v>31</v>
      </c>
      <c r="D31" s="29">
        <v>1</v>
      </c>
      <c r="E31" s="29">
        <v>30</v>
      </c>
      <c r="F31" s="11">
        <v>45896</v>
      </c>
      <c r="G31" s="10">
        <v>0.375</v>
      </c>
      <c r="H31" s="11">
        <v>45890</v>
      </c>
      <c r="I31" s="10">
        <v>0.91666666666666663</v>
      </c>
      <c r="J31" s="9">
        <f t="shared" si="1"/>
        <v>-2</v>
      </c>
      <c r="K31" s="8">
        <v>1</v>
      </c>
      <c r="L31" s="7">
        <v>32</v>
      </c>
      <c r="M31" s="6" t="s">
        <v>114</v>
      </c>
      <c r="Q31" s="20">
        <v>1</v>
      </c>
      <c r="R31" s="29">
        <v>120</v>
      </c>
      <c r="S31" s="8">
        <v>1</v>
      </c>
      <c r="T31" s="7">
        <v>60</v>
      </c>
    </row>
    <row r="32" spans="1:20" s="5" customFormat="1" ht="27" customHeight="1" x14ac:dyDescent="0.2">
      <c r="A32" s="33" t="s">
        <v>113</v>
      </c>
      <c r="B32" s="11" t="s">
        <v>39</v>
      </c>
      <c r="C32" s="11" t="s">
        <v>40</v>
      </c>
      <c r="D32" s="29">
        <v>1</v>
      </c>
      <c r="E32" s="29">
        <v>30</v>
      </c>
      <c r="F32" s="11">
        <v>45896</v>
      </c>
      <c r="G32" s="10">
        <v>0.375</v>
      </c>
      <c r="H32" s="11">
        <v>45890</v>
      </c>
      <c r="I32" s="10">
        <v>0.91666666666666663</v>
      </c>
      <c r="J32" s="9">
        <f t="shared" si="1"/>
        <v>-2</v>
      </c>
      <c r="K32" s="8">
        <v>1</v>
      </c>
      <c r="L32" s="7">
        <v>32</v>
      </c>
      <c r="M32" s="6" t="s">
        <v>114</v>
      </c>
      <c r="Q32" s="20">
        <v>1</v>
      </c>
      <c r="R32" s="29">
        <v>30</v>
      </c>
      <c r="S32" s="8">
        <v>1</v>
      </c>
      <c r="T32" s="30">
        <v>60</v>
      </c>
    </row>
    <row r="33" spans="1:20" s="5" customFormat="1" ht="33.6" customHeight="1" x14ac:dyDescent="0.2">
      <c r="A33" s="33" t="s">
        <v>115</v>
      </c>
      <c r="B33" s="11" t="s">
        <v>36</v>
      </c>
      <c r="C33" s="11" t="s">
        <v>37</v>
      </c>
      <c r="D33" s="29">
        <v>1</v>
      </c>
      <c r="E33" s="29">
        <v>20</v>
      </c>
      <c r="F33" s="11">
        <v>45896</v>
      </c>
      <c r="G33" s="10">
        <v>0.375</v>
      </c>
      <c r="H33" s="11">
        <v>45890</v>
      </c>
      <c r="I33" s="10">
        <v>0.80555555555555558</v>
      </c>
      <c r="J33" s="9">
        <f t="shared" si="1"/>
        <v>0</v>
      </c>
      <c r="K33" s="8">
        <v>1</v>
      </c>
      <c r="L33" s="7">
        <v>20</v>
      </c>
      <c r="M33" s="6" t="s">
        <v>116</v>
      </c>
      <c r="Q33" s="20">
        <v>1</v>
      </c>
      <c r="R33" s="29">
        <v>30</v>
      </c>
      <c r="S33" s="8">
        <v>1</v>
      </c>
      <c r="T33" s="7">
        <v>60</v>
      </c>
    </row>
    <row r="34" spans="1:20" s="5" customFormat="1" ht="84" customHeight="1" x14ac:dyDescent="0.2">
      <c r="A34" s="33" t="s">
        <v>115</v>
      </c>
      <c r="B34" s="11" t="s">
        <v>42</v>
      </c>
      <c r="C34" s="11" t="s">
        <v>43</v>
      </c>
      <c r="D34" s="29">
        <v>1</v>
      </c>
      <c r="E34" s="29">
        <v>20</v>
      </c>
      <c r="F34" s="11">
        <v>45896</v>
      </c>
      <c r="G34" s="10">
        <v>0.375</v>
      </c>
      <c r="H34" s="11">
        <v>45890</v>
      </c>
      <c r="I34" s="10">
        <v>0.80555555555555558</v>
      </c>
      <c r="J34" s="9">
        <f t="shared" si="1"/>
        <v>0</v>
      </c>
      <c r="K34" s="8">
        <v>1</v>
      </c>
      <c r="L34" s="7">
        <v>20</v>
      </c>
      <c r="M34" s="6" t="s">
        <v>116</v>
      </c>
      <c r="Q34" s="20">
        <v>1</v>
      </c>
      <c r="R34" s="29">
        <v>30</v>
      </c>
      <c r="S34" s="8">
        <v>1</v>
      </c>
      <c r="T34" s="7">
        <v>120</v>
      </c>
    </row>
    <row r="35" spans="1:20" s="5" customFormat="1" ht="31.5" customHeight="1" x14ac:dyDescent="0.2">
      <c r="A35" s="33" t="s">
        <v>117</v>
      </c>
      <c r="B35" s="11" t="s">
        <v>36</v>
      </c>
      <c r="C35" s="11" t="s">
        <v>37</v>
      </c>
      <c r="D35" s="29">
        <v>1</v>
      </c>
      <c r="E35" s="29">
        <v>20</v>
      </c>
      <c r="F35" s="11">
        <v>45896</v>
      </c>
      <c r="G35" s="10">
        <v>0.375</v>
      </c>
      <c r="H35" s="11">
        <v>45890</v>
      </c>
      <c r="I35" s="10">
        <v>0.81944444444444442</v>
      </c>
      <c r="J35" s="9">
        <f t="shared" si="1"/>
        <v>0</v>
      </c>
      <c r="K35" s="8">
        <v>1</v>
      </c>
      <c r="L35" s="7">
        <v>20</v>
      </c>
      <c r="M35" s="6" t="s">
        <v>118</v>
      </c>
      <c r="Q35" s="20">
        <v>1</v>
      </c>
      <c r="R35" s="29">
        <v>30</v>
      </c>
      <c r="S35" s="8">
        <v>1</v>
      </c>
      <c r="T35" s="7">
        <v>25</v>
      </c>
    </row>
    <row r="36" spans="1:20" s="5" customFormat="1" ht="26.45" customHeight="1" x14ac:dyDescent="0.2">
      <c r="A36" s="33" t="s">
        <v>117</v>
      </c>
      <c r="B36" s="11" t="s">
        <v>42</v>
      </c>
      <c r="C36" s="11" t="s">
        <v>43</v>
      </c>
      <c r="D36" s="29">
        <v>1</v>
      </c>
      <c r="E36" s="29">
        <v>20</v>
      </c>
      <c r="F36" s="11">
        <v>45896</v>
      </c>
      <c r="G36" s="10">
        <v>0.375</v>
      </c>
      <c r="H36" s="11">
        <v>45890</v>
      </c>
      <c r="I36" s="10">
        <v>0.81944444444444442</v>
      </c>
      <c r="J36" s="9">
        <f t="shared" ref="J36:J66" si="2">E36-L36</f>
        <v>0</v>
      </c>
      <c r="K36" s="8">
        <v>1</v>
      </c>
      <c r="L36" s="7">
        <v>20</v>
      </c>
      <c r="M36" s="6" t="s">
        <v>118</v>
      </c>
      <c r="Q36" s="20">
        <v>1</v>
      </c>
      <c r="R36" s="29">
        <v>70</v>
      </c>
      <c r="S36" s="8">
        <v>1</v>
      </c>
      <c r="T36" s="7">
        <v>120</v>
      </c>
    </row>
    <row r="37" spans="1:20" s="5" customFormat="1" ht="29.1" customHeight="1" x14ac:dyDescent="0.2">
      <c r="A37" s="33" t="s">
        <v>119</v>
      </c>
      <c r="B37" s="11" t="s">
        <v>36</v>
      </c>
      <c r="C37" s="11" t="s">
        <v>37</v>
      </c>
      <c r="D37" s="29">
        <v>1</v>
      </c>
      <c r="E37" s="29">
        <v>20</v>
      </c>
      <c r="F37" s="11">
        <v>45896</v>
      </c>
      <c r="G37" s="10">
        <v>0.375</v>
      </c>
      <c r="H37" s="11">
        <v>45890</v>
      </c>
      <c r="I37" s="10">
        <v>0.83333333333333337</v>
      </c>
      <c r="J37" s="9">
        <f>E37-L37</f>
        <v>0</v>
      </c>
      <c r="K37" s="8">
        <v>4</v>
      </c>
      <c r="L37" s="7">
        <v>20</v>
      </c>
      <c r="M37" s="6" t="s">
        <v>120</v>
      </c>
      <c r="Q37" s="20">
        <v>1</v>
      </c>
      <c r="R37" s="29">
        <v>50</v>
      </c>
      <c r="S37" s="8">
        <v>1</v>
      </c>
      <c r="T37" s="7">
        <v>120</v>
      </c>
    </row>
    <row r="38" spans="1:20" s="5" customFormat="1" ht="31.5" customHeight="1" x14ac:dyDescent="0.2">
      <c r="A38" s="33" t="s">
        <v>119</v>
      </c>
      <c r="B38" s="11" t="s">
        <v>42</v>
      </c>
      <c r="C38" s="11" t="s">
        <v>43</v>
      </c>
      <c r="D38" s="29">
        <v>1</v>
      </c>
      <c r="E38" s="29">
        <v>20</v>
      </c>
      <c r="F38" s="11">
        <v>45896</v>
      </c>
      <c r="G38" s="10">
        <v>0.375</v>
      </c>
      <c r="H38" s="11">
        <v>45890</v>
      </c>
      <c r="I38" s="10">
        <v>0.83333333333333337</v>
      </c>
      <c r="J38" s="9">
        <f t="shared" si="2"/>
        <v>0</v>
      </c>
      <c r="K38" s="8">
        <v>1</v>
      </c>
      <c r="L38" s="7">
        <v>20</v>
      </c>
      <c r="M38" s="6" t="s">
        <v>120</v>
      </c>
      <c r="Q38" s="20">
        <v>1</v>
      </c>
      <c r="R38" s="29">
        <v>45</v>
      </c>
      <c r="S38" s="8">
        <v>1</v>
      </c>
      <c r="T38" s="7">
        <v>80</v>
      </c>
    </row>
    <row r="39" spans="1:20" s="5" customFormat="1" ht="26.1" customHeight="1" x14ac:dyDescent="0.2">
      <c r="A39" s="33" t="s">
        <v>121</v>
      </c>
      <c r="B39" s="11" t="s">
        <v>36</v>
      </c>
      <c r="C39" s="11" t="s">
        <v>37</v>
      </c>
      <c r="D39" s="29">
        <v>1</v>
      </c>
      <c r="E39" s="29">
        <v>20</v>
      </c>
      <c r="F39" s="11">
        <v>45896</v>
      </c>
      <c r="G39" s="10">
        <v>0.375</v>
      </c>
      <c r="H39" s="11">
        <v>45890</v>
      </c>
      <c r="I39" s="10">
        <v>0.84722222222222221</v>
      </c>
      <c r="J39" s="9">
        <f>E39-L39</f>
        <v>2</v>
      </c>
      <c r="K39" s="8">
        <v>1</v>
      </c>
      <c r="L39" s="7">
        <v>18</v>
      </c>
      <c r="M39" s="6" t="s">
        <v>122</v>
      </c>
      <c r="Q39" s="20">
        <v>1</v>
      </c>
      <c r="R39" s="29">
        <v>50</v>
      </c>
      <c r="S39" s="8">
        <v>1</v>
      </c>
      <c r="T39" s="7">
        <v>54</v>
      </c>
    </row>
    <row r="40" spans="1:20" s="5" customFormat="1" ht="27" customHeight="1" x14ac:dyDescent="0.2">
      <c r="A40" s="33" t="s">
        <v>121</v>
      </c>
      <c r="B40" s="11" t="s">
        <v>42</v>
      </c>
      <c r="C40" s="11" t="s">
        <v>43</v>
      </c>
      <c r="D40" s="29">
        <v>1</v>
      </c>
      <c r="E40" s="29">
        <v>20</v>
      </c>
      <c r="F40" s="11">
        <v>45896</v>
      </c>
      <c r="G40" s="10">
        <v>0.375</v>
      </c>
      <c r="H40" s="11">
        <v>45890</v>
      </c>
      <c r="I40" s="10">
        <v>0.84722222222222221</v>
      </c>
      <c r="J40" s="9">
        <f t="shared" si="2"/>
        <v>2</v>
      </c>
      <c r="K40" s="8">
        <v>1</v>
      </c>
      <c r="L40" s="7">
        <v>18</v>
      </c>
      <c r="M40" s="6" t="s">
        <v>122</v>
      </c>
      <c r="Q40" s="20">
        <v>1</v>
      </c>
      <c r="R40" s="29">
        <v>60</v>
      </c>
      <c r="S40" s="8">
        <v>1</v>
      </c>
      <c r="T40" s="7">
        <v>50</v>
      </c>
    </row>
    <row r="41" spans="1:20" s="5" customFormat="1" ht="27" customHeight="1" x14ac:dyDescent="0.2">
      <c r="A41" s="38" t="s">
        <v>123</v>
      </c>
      <c r="B41" s="11" t="s">
        <v>36</v>
      </c>
      <c r="C41" s="11" t="s">
        <v>37</v>
      </c>
      <c r="D41" s="29">
        <v>1</v>
      </c>
      <c r="E41" s="29">
        <v>20</v>
      </c>
      <c r="F41" s="11">
        <v>45896</v>
      </c>
      <c r="G41" s="10">
        <v>0.375</v>
      </c>
      <c r="H41" s="11">
        <v>45890</v>
      </c>
      <c r="I41" s="10">
        <v>0.86111111111111116</v>
      </c>
      <c r="J41" s="9">
        <f>E41-L41</f>
        <v>0</v>
      </c>
      <c r="K41" s="8">
        <v>1</v>
      </c>
      <c r="L41" s="7">
        <v>20</v>
      </c>
      <c r="M41" s="36" t="s">
        <v>124</v>
      </c>
      <c r="Q41" s="20">
        <v>1</v>
      </c>
      <c r="R41" s="29">
        <v>55</v>
      </c>
      <c r="S41" s="8">
        <v>1</v>
      </c>
      <c r="T41" s="7">
        <v>55</v>
      </c>
    </row>
    <row r="42" spans="1:20" s="5" customFormat="1" ht="40.5" customHeight="1" x14ac:dyDescent="0.2">
      <c r="A42" s="35" t="s">
        <v>123</v>
      </c>
      <c r="B42" s="11" t="s">
        <v>143</v>
      </c>
      <c r="C42" s="11" t="s">
        <v>43</v>
      </c>
      <c r="D42" s="29">
        <v>1</v>
      </c>
      <c r="E42" s="29">
        <v>20</v>
      </c>
      <c r="F42" s="11">
        <v>45896</v>
      </c>
      <c r="G42" s="10">
        <v>0.375</v>
      </c>
      <c r="H42" s="11">
        <v>45890</v>
      </c>
      <c r="I42" s="10">
        <v>0.86111111111111116</v>
      </c>
      <c r="J42" s="9">
        <f t="shared" si="2"/>
        <v>0</v>
      </c>
      <c r="K42" s="8">
        <v>1</v>
      </c>
      <c r="L42" s="7">
        <v>20</v>
      </c>
      <c r="M42" s="36" t="s">
        <v>124</v>
      </c>
      <c r="Q42" s="20">
        <v>1</v>
      </c>
      <c r="R42" s="29">
        <v>60</v>
      </c>
      <c r="S42" s="8">
        <v>1</v>
      </c>
      <c r="T42" s="7">
        <v>66</v>
      </c>
    </row>
    <row r="43" spans="1:20" s="5" customFormat="1" ht="38.25" customHeight="1" x14ac:dyDescent="0.2">
      <c r="A43" s="33" t="s">
        <v>125</v>
      </c>
      <c r="B43" s="11" t="s">
        <v>36</v>
      </c>
      <c r="C43" s="11" t="s">
        <v>37</v>
      </c>
      <c r="D43" s="29">
        <v>1</v>
      </c>
      <c r="E43" s="29">
        <v>20</v>
      </c>
      <c r="F43" s="11">
        <v>45896</v>
      </c>
      <c r="G43" s="10">
        <v>0.375</v>
      </c>
      <c r="H43" s="11">
        <v>45890</v>
      </c>
      <c r="I43" s="10">
        <v>0.875</v>
      </c>
      <c r="J43" s="9">
        <f>E43-L43</f>
        <v>-1</v>
      </c>
      <c r="K43" s="8">
        <v>1</v>
      </c>
      <c r="L43" s="7">
        <v>21</v>
      </c>
      <c r="M43" s="6" t="s">
        <v>126</v>
      </c>
      <c r="Q43" s="20">
        <v>1</v>
      </c>
      <c r="R43" s="29">
        <v>60</v>
      </c>
      <c r="S43" s="8">
        <v>1</v>
      </c>
      <c r="T43" s="7">
        <v>66</v>
      </c>
    </row>
    <row r="44" spans="1:20" s="5" customFormat="1" ht="38.25" customHeight="1" x14ac:dyDescent="0.2">
      <c r="A44" s="33" t="s">
        <v>125</v>
      </c>
      <c r="B44" s="11" t="s">
        <v>42</v>
      </c>
      <c r="C44" s="11" t="s">
        <v>43</v>
      </c>
      <c r="D44" s="29">
        <v>1</v>
      </c>
      <c r="E44" s="29">
        <v>20</v>
      </c>
      <c r="F44" s="11">
        <v>45896</v>
      </c>
      <c r="G44" s="10">
        <v>0.375</v>
      </c>
      <c r="H44" s="11">
        <v>45890</v>
      </c>
      <c r="I44" s="10">
        <v>0.875</v>
      </c>
      <c r="J44" s="9">
        <f t="shared" si="2"/>
        <v>-1</v>
      </c>
      <c r="K44" s="8">
        <v>1</v>
      </c>
      <c r="L44" s="7">
        <v>21</v>
      </c>
      <c r="M44" s="6" t="s">
        <v>126</v>
      </c>
      <c r="Q44" s="20">
        <v>1</v>
      </c>
      <c r="R44" s="29">
        <v>60</v>
      </c>
      <c r="S44" s="8">
        <v>1</v>
      </c>
      <c r="T44" s="7">
        <v>66</v>
      </c>
    </row>
    <row r="45" spans="1:20" s="5" customFormat="1" ht="27" customHeight="1" x14ac:dyDescent="0.2">
      <c r="A45" s="39" t="s">
        <v>127</v>
      </c>
      <c r="B45" s="11" t="s">
        <v>36</v>
      </c>
      <c r="C45" s="11" t="s">
        <v>37</v>
      </c>
      <c r="D45" s="29">
        <v>1</v>
      </c>
      <c r="E45" s="29">
        <v>30</v>
      </c>
      <c r="F45" s="11">
        <v>45896</v>
      </c>
      <c r="G45" s="10">
        <v>0.375</v>
      </c>
      <c r="H45" s="11">
        <v>45890</v>
      </c>
      <c r="I45" s="10">
        <v>0.89583333333333337</v>
      </c>
      <c r="J45" s="9">
        <f>E45-L45</f>
        <v>5</v>
      </c>
      <c r="K45" s="8">
        <v>1</v>
      </c>
      <c r="L45" s="7">
        <v>25</v>
      </c>
      <c r="M45" s="6" t="s">
        <v>128</v>
      </c>
      <c r="Q45" s="20">
        <v>1</v>
      </c>
      <c r="R45" s="29">
        <v>60</v>
      </c>
      <c r="S45" s="8">
        <v>1</v>
      </c>
      <c r="T45" s="7">
        <v>66</v>
      </c>
    </row>
    <row r="46" spans="1:20" s="5" customFormat="1" ht="33" customHeight="1" x14ac:dyDescent="0.2">
      <c r="A46" t="s">
        <v>127</v>
      </c>
      <c r="B46" s="11" t="s">
        <v>42</v>
      </c>
      <c r="C46" s="11" t="s">
        <v>43</v>
      </c>
      <c r="D46" s="29">
        <v>1</v>
      </c>
      <c r="E46" s="29">
        <v>30</v>
      </c>
      <c r="F46" s="11">
        <v>45896</v>
      </c>
      <c r="G46" s="10">
        <v>0.375</v>
      </c>
      <c r="H46" s="11">
        <v>45890</v>
      </c>
      <c r="I46" s="10">
        <v>0.89583333333333337</v>
      </c>
      <c r="J46" s="9">
        <f t="shared" si="2"/>
        <v>5</v>
      </c>
      <c r="K46" s="8">
        <v>1</v>
      </c>
      <c r="L46" s="7">
        <v>25</v>
      </c>
      <c r="M46" s="6" t="s">
        <v>128</v>
      </c>
      <c r="Q46" s="20">
        <v>1</v>
      </c>
      <c r="R46" s="29">
        <v>60</v>
      </c>
      <c r="S46" s="8">
        <v>1</v>
      </c>
      <c r="T46" s="7">
        <v>66</v>
      </c>
    </row>
    <row r="47" spans="1:20" s="5" customFormat="1" ht="33.75" customHeight="1" x14ac:dyDescent="0.2">
      <c r="A47" s="33" t="s">
        <v>129</v>
      </c>
      <c r="B47" s="11" t="s">
        <v>36</v>
      </c>
      <c r="C47" s="11" t="s">
        <v>37</v>
      </c>
      <c r="D47" s="29">
        <v>1</v>
      </c>
      <c r="E47" s="29">
        <v>30</v>
      </c>
      <c r="F47" s="11">
        <v>45896</v>
      </c>
      <c r="G47" s="10">
        <v>0.375</v>
      </c>
      <c r="H47" s="11">
        <v>45890</v>
      </c>
      <c r="I47" s="10">
        <v>0.91666666666666663</v>
      </c>
      <c r="J47" s="9">
        <f>E47-L47</f>
        <v>10</v>
      </c>
      <c r="K47" s="8">
        <v>1</v>
      </c>
      <c r="L47" s="7">
        <v>20</v>
      </c>
      <c r="M47" s="6" t="s">
        <v>130</v>
      </c>
      <c r="Q47" s="20">
        <v>1</v>
      </c>
      <c r="R47" s="29">
        <v>60</v>
      </c>
      <c r="S47" s="8">
        <v>1</v>
      </c>
      <c r="T47" s="7">
        <v>66</v>
      </c>
    </row>
    <row r="48" spans="1:20" s="5" customFormat="1" ht="27" customHeight="1" x14ac:dyDescent="0.2">
      <c r="A48" s="33" t="s">
        <v>129</v>
      </c>
      <c r="B48" s="11" t="s">
        <v>42</v>
      </c>
      <c r="C48" s="11" t="s">
        <v>43</v>
      </c>
      <c r="D48" s="29">
        <v>1</v>
      </c>
      <c r="E48" s="29">
        <v>30</v>
      </c>
      <c r="F48" s="11">
        <v>45896</v>
      </c>
      <c r="G48" s="10">
        <v>0.375</v>
      </c>
      <c r="H48" s="11">
        <v>45890</v>
      </c>
      <c r="I48" s="10">
        <v>0.91666666666666663</v>
      </c>
      <c r="J48" s="9">
        <f t="shared" si="2"/>
        <v>10</v>
      </c>
      <c r="K48" s="8">
        <v>1</v>
      </c>
      <c r="L48" s="7">
        <v>20</v>
      </c>
      <c r="M48" s="6" t="s">
        <v>130</v>
      </c>
      <c r="Q48" s="20">
        <v>1</v>
      </c>
      <c r="R48" s="29">
        <v>30</v>
      </c>
      <c r="S48" s="8">
        <v>1</v>
      </c>
      <c r="T48" s="7">
        <v>25</v>
      </c>
    </row>
    <row r="49" spans="1:33" s="5" customFormat="1" ht="26.1" customHeight="1" x14ac:dyDescent="0.2">
      <c r="A49" s="107" t="s">
        <v>471</v>
      </c>
      <c r="B49" s="53" t="s">
        <v>36</v>
      </c>
      <c r="C49" s="53" t="s">
        <v>37</v>
      </c>
      <c r="D49" s="53">
        <v>1</v>
      </c>
      <c r="E49" s="53">
        <v>30</v>
      </c>
      <c r="F49" s="80">
        <v>45896</v>
      </c>
      <c r="G49" s="81">
        <v>0.375</v>
      </c>
      <c r="H49" s="80">
        <v>45890</v>
      </c>
      <c r="I49" s="81">
        <v>0.79166666666666663</v>
      </c>
      <c r="J49" s="87">
        <f t="shared" si="2"/>
        <v>0</v>
      </c>
      <c r="K49" s="53">
        <v>3</v>
      </c>
      <c r="L49" s="53">
        <v>30</v>
      </c>
      <c r="M49" s="79" t="s">
        <v>472</v>
      </c>
      <c r="N49" s="23" t="s">
        <v>146</v>
      </c>
      <c r="O49" s="11" t="s">
        <v>30</v>
      </c>
      <c r="P49" s="11" t="s">
        <v>83</v>
      </c>
      <c r="Q49" s="20">
        <v>1</v>
      </c>
      <c r="R49" s="29">
        <v>60</v>
      </c>
      <c r="S49" s="11">
        <v>45896</v>
      </c>
      <c r="T49" s="10">
        <v>0.375</v>
      </c>
      <c r="U49" s="11">
        <v>45890</v>
      </c>
      <c r="V49" s="10">
        <v>0.91666666666666663</v>
      </c>
      <c r="W49" s="9">
        <f>R49-Y49</f>
        <v>50</v>
      </c>
      <c r="X49" s="8">
        <v>1</v>
      </c>
      <c r="Y49" s="7">
        <v>10</v>
      </c>
      <c r="Z49" s="6" t="s">
        <v>149</v>
      </c>
      <c r="AD49" s="20">
        <v>1</v>
      </c>
      <c r="AE49" s="29">
        <v>20</v>
      </c>
      <c r="AF49" s="8">
        <v>1</v>
      </c>
      <c r="AG49" s="7">
        <v>20</v>
      </c>
    </row>
    <row r="50" spans="1:33" s="5" customFormat="1" ht="24.95" customHeight="1" x14ac:dyDescent="0.2">
      <c r="A50" s="23" t="s">
        <v>146</v>
      </c>
      <c r="B50" s="11" t="s">
        <v>42</v>
      </c>
      <c r="C50" s="11" t="s">
        <v>77</v>
      </c>
      <c r="D50" s="20">
        <v>1</v>
      </c>
      <c r="E50" s="29">
        <v>60</v>
      </c>
      <c r="F50" s="11">
        <v>45896</v>
      </c>
      <c r="G50" s="10">
        <v>0.375</v>
      </c>
      <c r="H50" s="11">
        <v>45890</v>
      </c>
      <c r="I50" s="10">
        <v>0.91666666666666663</v>
      </c>
      <c r="J50" s="9">
        <f>E50-L50</f>
        <v>50</v>
      </c>
      <c r="K50" s="8">
        <v>2</v>
      </c>
      <c r="L50" s="7">
        <v>10</v>
      </c>
      <c r="M50" s="6" t="s">
        <v>149</v>
      </c>
      <c r="Q50" s="20">
        <v>1</v>
      </c>
      <c r="R50" s="29">
        <v>30</v>
      </c>
      <c r="S50" s="8">
        <v>1</v>
      </c>
      <c r="T50" s="7">
        <v>25</v>
      </c>
    </row>
    <row r="51" spans="1:33" s="5" customFormat="1" ht="22.5" customHeight="1" x14ac:dyDescent="0.2">
      <c r="A51" s="23" t="s">
        <v>146</v>
      </c>
      <c r="B51" s="11" t="s">
        <v>21</v>
      </c>
      <c r="C51" s="11" t="s">
        <v>86</v>
      </c>
      <c r="D51" s="20">
        <v>1</v>
      </c>
      <c r="E51" s="29">
        <v>60</v>
      </c>
      <c r="F51" s="11">
        <v>45896</v>
      </c>
      <c r="G51" s="10">
        <v>0.375</v>
      </c>
      <c r="H51" s="11">
        <v>45890</v>
      </c>
      <c r="I51" s="10">
        <v>0.91666666666666663</v>
      </c>
      <c r="J51" s="9">
        <f>E51-L51</f>
        <v>50</v>
      </c>
      <c r="K51" s="8">
        <v>1</v>
      </c>
      <c r="L51" s="7">
        <v>10</v>
      </c>
      <c r="M51" s="6" t="s">
        <v>149</v>
      </c>
      <c r="Q51" s="20">
        <v>1</v>
      </c>
      <c r="R51" s="29">
        <v>30</v>
      </c>
      <c r="S51" s="8">
        <v>1</v>
      </c>
      <c r="T51" s="7">
        <v>25</v>
      </c>
    </row>
    <row r="52" spans="1:33" s="5" customFormat="1" ht="35.450000000000003" customHeight="1" x14ac:dyDescent="0.2">
      <c r="A52" s="23" t="s">
        <v>146</v>
      </c>
      <c r="B52" s="11" t="s">
        <v>136</v>
      </c>
      <c r="C52" s="11" t="s">
        <v>151</v>
      </c>
      <c r="D52" s="20">
        <v>1</v>
      </c>
      <c r="E52" s="29">
        <v>60</v>
      </c>
      <c r="F52" s="11">
        <v>45896</v>
      </c>
      <c r="G52" s="10">
        <v>0.375</v>
      </c>
      <c r="H52" s="11">
        <v>45890</v>
      </c>
      <c r="I52" s="10">
        <v>0.91666666666666663</v>
      </c>
      <c r="J52" s="9">
        <f>E52-L52</f>
        <v>50</v>
      </c>
      <c r="K52" s="8">
        <v>1</v>
      </c>
      <c r="L52" s="7">
        <v>10</v>
      </c>
      <c r="M52" s="6" t="s">
        <v>149</v>
      </c>
      <c r="Q52" s="20">
        <v>1</v>
      </c>
      <c r="R52" s="8">
        <v>30</v>
      </c>
      <c r="S52" s="8">
        <v>1</v>
      </c>
      <c r="T52" s="7">
        <v>30</v>
      </c>
    </row>
    <row r="53" spans="1:33" s="5" customFormat="1" ht="36.6" customHeight="1" x14ac:dyDescent="0.2">
      <c r="A53" s="23" t="s">
        <v>146</v>
      </c>
      <c r="B53" s="11" t="s">
        <v>36</v>
      </c>
      <c r="C53" s="11" t="s">
        <v>80</v>
      </c>
      <c r="D53" s="20">
        <v>1</v>
      </c>
      <c r="E53" s="29">
        <v>60</v>
      </c>
      <c r="F53" s="11">
        <v>45882</v>
      </c>
      <c r="G53" s="10">
        <v>0.375</v>
      </c>
      <c r="H53" s="11">
        <v>45890</v>
      </c>
      <c r="I53" s="10">
        <v>0.91666666666666663</v>
      </c>
      <c r="J53" s="9">
        <f>E53-L53</f>
        <v>50</v>
      </c>
      <c r="K53" s="8">
        <v>1</v>
      </c>
      <c r="L53" s="7">
        <v>10</v>
      </c>
      <c r="M53" s="6" t="s">
        <v>149</v>
      </c>
      <c r="Q53" s="20">
        <v>3</v>
      </c>
      <c r="R53" s="29">
        <v>60</v>
      </c>
      <c r="S53" s="8">
        <v>3</v>
      </c>
      <c r="T53" s="7">
        <v>60</v>
      </c>
    </row>
    <row r="54" spans="1:33" s="5" customFormat="1" ht="36.6" customHeight="1" x14ac:dyDescent="0.2">
      <c r="A54" s="23" t="s">
        <v>146</v>
      </c>
      <c r="B54" s="11" t="s">
        <v>39</v>
      </c>
      <c r="C54" s="11" t="s">
        <v>150</v>
      </c>
      <c r="D54" s="20">
        <v>1</v>
      </c>
      <c r="E54" s="29">
        <v>60</v>
      </c>
      <c r="F54" s="11">
        <v>45896</v>
      </c>
      <c r="G54" s="10">
        <v>0.375</v>
      </c>
      <c r="H54" s="11">
        <v>45890</v>
      </c>
      <c r="I54" s="10">
        <v>0.91666666666666663</v>
      </c>
      <c r="J54" s="9">
        <f t="shared" si="2"/>
        <v>50</v>
      </c>
      <c r="K54" s="8">
        <v>1</v>
      </c>
      <c r="L54" s="7">
        <v>10</v>
      </c>
      <c r="M54" s="6" t="s">
        <v>149</v>
      </c>
      <c r="Q54" s="20">
        <v>3</v>
      </c>
      <c r="R54" s="29">
        <v>60</v>
      </c>
      <c r="S54" s="8">
        <v>3</v>
      </c>
      <c r="T54" s="7">
        <v>60</v>
      </c>
    </row>
    <row r="55" spans="1:33" s="5" customFormat="1" ht="35.450000000000003" customHeight="1" x14ac:dyDescent="0.2">
      <c r="A55" s="23" t="s">
        <v>52</v>
      </c>
      <c r="B55" s="63" t="s">
        <v>21</v>
      </c>
      <c r="C55" s="21" t="s">
        <v>22</v>
      </c>
      <c r="D55" s="20">
        <v>1</v>
      </c>
      <c r="E55" s="29">
        <v>30</v>
      </c>
      <c r="F55" s="11">
        <v>45896</v>
      </c>
      <c r="G55" s="10">
        <v>0.375</v>
      </c>
      <c r="H55" s="11">
        <v>45890</v>
      </c>
      <c r="I55" s="10">
        <v>0.91666666666666663</v>
      </c>
      <c r="J55" s="9">
        <f t="shared" si="2"/>
        <v>0</v>
      </c>
      <c r="K55" s="8">
        <v>1</v>
      </c>
      <c r="L55" s="7">
        <v>30</v>
      </c>
      <c r="M55" s="6" t="s">
        <v>53</v>
      </c>
      <c r="Q55" s="20">
        <v>1</v>
      </c>
      <c r="R55" s="29">
        <v>30</v>
      </c>
      <c r="S55" s="8">
        <v>1</v>
      </c>
      <c r="T55" s="7">
        <v>30</v>
      </c>
    </row>
    <row r="56" spans="1:33" s="5" customFormat="1" ht="35.450000000000003" customHeight="1" x14ac:dyDescent="0.2">
      <c r="A56" s="23" t="s">
        <v>153</v>
      </c>
      <c r="B56" s="63" t="s">
        <v>36</v>
      </c>
      <c r="C56" s="21" t="s">
        <v>37</v>
      </c>
      <c r="D56" s="20">
        <v>1</v>
      </c>
      <c r="E56" s="5">
        <v>30</v>
      </c>
      <c r="F56" s="11">
        <v>45896</v>
      </c>
      <c r="G56" s="10">
        <v>0.375</v>
      </c>
      <c r="H56" s="11">
        <v>45890</v>
      </c>
      <c r="I56" s="10">
        <v>0.91666666666666663</v>
      </c>
      <c r="J56" s="9">
        <f t="shared" si="2"/>
        <v>0</v>
      </c>
      <c r="K56" s="8">
        <v>1</v>
      </c>
      <c r="L56" s="7">
        <v>30</v>
      </c>
      <c r="M56" s="6" t="s">
        <v>53</v>
      </c>
      <c r="Q56" s="20">
        <v>1</v>
      </c>
      <c r="R56" s="29">
        <v>30</v>
      </c>
      <c r="S56" s="8">
        <v>1</v>
      </c>
      <c r="T56" s="7">
        <v>30</v>
      </c>
    </row>
    <row r="57" spans="1:33" s="5" customFormat="1" ht="35.450000000000003" customHeight="1" x14ac:dyDescent="0.2">
      <c r="A57" s="23" t="s">
        <v>79</v>
      </c>
      <c r="B57" s="11" t="s">
        <v>36</v>
      </c>
      <c r="C57" s="11" t="s">
        <v>80</v>
      </c>
      <c r="D57" s="20">
        <v>1</v>
      </c>
      <c r="E57" s="29">
        <v>45</v>
      </c>
      <c r="F57" s="11">
        <v>45896</v>
      </c>
      <c r="G57" s="10">
        <v>0.375</v>
      </c>
      <c r="H57" s="11">
        <v>45890</v>
      </c>
      <c r="I57" s="10">
        <v>0.9375</v>
      </c>
      <c r="J57" s="9">
        <f t="shared" si="2"/>
        <v>-35</v>
      </c>
      <c r="K57" s="8">
        <v>1</v>
      </c>
      <c r="L57" s="7">
        <v>80</v>
      </c>
      <c r="M57" s="6" t="s">
        <v>81</v>
      </c>
      <c r="Q57" s="20">
        <v>1</v>
      </c>
      <c r="R57" s="29">
        <v>20</v>
      </c>
      <c r="S57" s="8">
        <v>1</v>
      </c>
      <c r="T57" s="7">
        <v>20</v>
      </c>
    </row>
    <row r="58" spans="1:33" s="5" customFormat="1" ht="35.450000000000003" customHeight="1" x14ac:dyDescent="0.2">
      <c r="A58" s="23" t="s">
        <v>85</v>
      </c>
      <c r="B58" s="11" t="s">
        <v>21</v>
      </c>
      <c r="C58" s="11" t="s">
        <v>86</v>
      </c>
      <c r="D58" s="20">
        <v>1</v>
      </c>
      <c r="E58" s="29">
        <v>60</v>
      </c>
      <c r="F58" s="11">
        <v>45896</v>
      </c>
      <c r="G58" s="10">
        <v>0.375</v>
      </c>
      <c r="H58" s="11">
        <v>45890</v>
      </c>
      <c r="I58" s="10">
        <v>0.9375</v>
      </c>
      <c r="J58" s="9">
        <f t="shared" si="2"/>
        <v>10</v>
      </c>
      <c r="K58" s="8">
        <v>1</v>
      </c>
      <c r="L58" s="7">
        <v>50</v>
      </c>
      <c r="M58" s="6" t="s">
        <v>87</v>
      </c>
      <c r="Q58" s="20">
        <v>1</v>
      </c>
      <c r="R58" s="29">
        <v>20</v>
      </c>
      <c r="S58" s="8">
        <v>1</v>
      </c>
      <c r="T58" s="7">
        <v>20</v>
      </c>
    </row>
    <row r="59" spans="1:33" s="5" customFormat="1" ht="35.450000000000003" customHeight="1" x14ac:dyDescent="0.2">
      <c r="A59" s="23" t="s">
        <v>88</v>
      </c>
      <c r="B59" s="11" t="s">
        <v>21</v>
      </c>
      <c r="C59" s="11" t="s">
        <v>86</v>
      </c>
      <c r="D59" s="20">
        <v>1</v>
      </c>
      <c r="E59" s="29">
        <v>55</v>
      </c>
      <c r="F59" s="11">
        <v>45896</v>
      </c>
      <c r="G59" s="10">
        <v>0.375</v>
      </c>
      <c r="H59" s="11">
        <v>45890</v>
      </c>
      <c r="I59" s="10">
        <v>0.9375</v>
      </c>
      <c r="J59" s="9">
        <f t="shared" si="2"/>
        <v>0</v>
      </c>
      <c r="K59" s="8">
        <v>1</v>
      </c>
      <c r="L59" s="7">
        <v>55</v>
      </c>
      <c r="M59" s="6" t="s">
        <v>89</v>
      </c>
      <c r="Q59" s="29">
        <v>1</v>
      </c>
      <c r="R59" s="34">
        <v>20</v>
      </c>
      <c r="S59" s="8">
        <v>1</v>
      </c>
      <c r="T59" s="7">
        <v>18</v>
      </c>
    </row>
    <row r="60" spans="1:33" s="5" customFormat="1" ht="35.450000000000003" customHeight="1" x14ac:dyDescent="0.2">
      <c r="A60" s="33" t="s">
        <v>131</v>
      </c>
      <c r="B60" s="11" t="s">
        <v>36</v>
      </c>
      <c r="C60" s="11" t="s">
        <v>37</v>
      </c>
      <c r="D60" s="29">
        <v>1</v>
      </c>
      <c r="E60" s="29">
        <v>30</v>
      </c>
      <c r="F60" s="11">
        <v>45896</v>
      </c>
      <c r="G60" s="10">
        <v>0.375</v>
      </c>
      <c r="H60" s="11">
        <v>45894</v>
      </c>
      <c r="I60" s="10">
        <v>0.9375</v>
      </c>
      <c r="J60" s="9">
        <f>E60-L60</f>
        <v>-2</v>
      </c>
      <c r="K60" s="8">
        <v>1</v>
      </c>
      <c r="L60" s="7">
        <v>32</v>
      </c>
      <c r="M60" s="6" t="s">
        <v>132</v>
      </c>
      <c r="Q60" s="29">
        <v>1</v>
      </c>
      <c r="R60" s="40">
        <v>20</v>
      </c>
      <c r="S60" s="8">
        <v>1</v>
      </c>
      <c r="T60" s="7">
        <v>18</v>
      </c>
    </row>
    <row r="61" spans="1:33" s="5" customFormat="1" ht="35.450000000000003" customHeight="1" x14ac:dyDescent="0.2">
      <c r="A61" s="33" t="s">
        <v>131</v>
      </c>
      <c r="B61" s="11" t="s">
        <v>42</v>
      </c>
      <c r="C61" s="11" t="s">
        <v>43</v>
      </c>
      <c r="D61" s="29">
        <v>1</v>
      </c>
      <c r="E61" s="29">
        <v>30</v>
      </c>
      <c r="F61" s="11">
        <v>45896</v>
      </c>
      <c r="G61" s="10">
        <v>0.375</v>
      </c>
      <c r="H61" s="11">
        <v>45894</v>
      </c>
      <c r="I61" s="10">
        <v>0.9375</v>
      </c>
      <c r="J61" s="9">
        <f>E61-L61</f>
        <v>-2</v>
      </c>
      <c r="K61" s="8">
        <v>1</v>
      </c>
      <c r="L61" s="7">
        <v>32</v>
      </c>
      <c r="M61" s="6" t="s">
        <v>132</v>
      </c>
      <c r="Q61" s="29">
        <v>1</v>
      </c>
      <c r="R61" s="29">
        <v>20</v>
      </c>
      <c r="S61" s="8">
        <v>1</v>
      </c>
      <c r="T61" s="7">
        <v>19</v>
      </c>
    </row>
    <row r="62" spans="1:33" s="5" customFormat="1" ht="35.450000000000003" customHeight="1" x14ac:dyDescent="0.2">
      <c r="A62" s="33" t="s">
        <v>131</v>
      </c>
      <c r="B62" s="11" t="s">
        <v>30</v>
      </c>
      <c r="C62" s="11" t="s">
        <v>31</v>
      </c>
      <c r="D62" s="29">
        <v>1</v>
      </c>
      <c r="E62" s="29">
        <v>30</v>
      </c>
      <c r="F62" s="11">
        <v>45896</v>
      </c>
      <c r="G62" s="10">
        <v>0.375</v>
      </c>
      <c r="H62" s="11">
        <v>45894</v>
      </c>
      <c r="I62" s="10">
        <v>0.9375</v>
      </c>
      <c r="J62" s="9">
        <f>E62-L62</f>
        <v>-2</v>
      </c>
      <c r="K62" s="8">
        <v>1</v>
      </c>
      <c r="L62" s="7">
        <v>32</v>
      </c>
      <c r="M62" s="6" t="s">
        <v>132</v>
      </c>
      <c r="Q62" s="29">
        <v>1</v>
      </c>
      <c r="R62" s="29">
        <v>20</v>
      </c>
      <c r="S62" s="8">
        <v>1</v>
      </c>
      <c r="T62" s="7">
        <v>19</v>
      </c>
    </row>
    <row r="63" spans="1:33" s="5" customFormat="1" ht="35.450000000000003" customHeight="1" x14ac:dyDescent="0.2">
      <c r="A63" s="33" t="s">
        <v>131</v>
      </c>
      <c r="B63" s="11" t="s">
        <v>21</v>
      </c>
      <c r="C63" s="11" t="s">
        <v>22</v>
      </c>
      <c r="D63" s="29">
        <v>1</v>
      </c>
      <c r="E63" s="29">
        <v>30</v>
      </c>
      <c r="F63" s="11">
        <v>45896</v>
      </c>
      <c r="G63" s="10">
        <v>0.375</v>
      </c>
      <c r="H63" s="11">
        <v>45894</v>
      </c>
      <c r="I63" s="10">
        <v>0.9375</v>
      </c>
      <c r="J63" s="9">
        <f>E63-L63</f>
        <v>-2</v>
      </c>
      <c r="K63" s="8">
        <v>1</v>
      </c>
      <c r="L63" s="7">
        <v>32</v>
      </c>
      <c r="M63" s="6" t="s">
        <v>132</v>
      </c>
      <c r="Q63" s="29">
        <v>1</v>
      </c>
      <c r="R63" s="29">
        <v>30</v>
      </c>
      <c r="S63" s="8">
        <v>1</v>
      </c>
      <c r="T63" s="7">
        <v>25</v>
      </c>
    </row>
    <row r="64" spans="1:33" s="5" customFormat="1" ht="35.450000000000003" customHeight="1" x14ac:dyDescent="0.2">
      <c r="A64" s="33" t="s">
        <v>131</v>
      </c>
      <c r="B64" s="11" t="s">
        <v>136</v>
      </c>
      <c r="C64" s="11" t="s">
        <v>34</v>
      </c>
      <c r="D64" s="29">
        <v>1</v>
      </c>
      <c r="E64" s="29">
        <v>30</v>
      </c>
      <c r="F64" s="11">
        <v>45896</v>
      </c>
      <c r="G64" s="10">
        <v>0.375</v>
      </c>
      <c r="H64" s="11">
        <v>45894</v>
      </c>
      <c r="I64" s="10">
        <v>0.9375</v>
      </c>
      <c r="J64" s="9">
        <f>E64-L64</f>
        <v>-2</v>
      </c>
      <c r="K64" s="8">
        <v>1</v>
      </c>
      <c r="L64" s="7">
        <v>32</v>
      </c>
      <c r="M64" s="6" t="s">
        <v>132</v>
      </c>
      <c r="Q64" s="29">
        <v>1</v>
      </c>
      <c r="R64" s="29">
        <v>30</v>
      </c>
      <c r="S64" s="8">
        <v>1</v>
      </c>
      <c r="T64" s="7">
        <v>25</v>
      </c>
    </row>
    <row r="65" spans="1:20" s="5" customFormat="1" ht="35.450000000000003" customHeight="1" x14ac:dyDescent="0.2">
      <c r="A65" s="33" t="s">
        <v>131</v>
      </c>
      <c r="B65" s="11" t="s">
        <v>39</v>
      </c>
      <c r="C65" s="11" t="s">
        <v>40</v>
      </c>
      <c r="D65" s="29">
        <v>1</v>
      </c>
      <c r="E65" s="29">
        <v>30</v>
      </c>
      <c r="F65" s="11">
        <v>45896</v>
      </c>
      <c r="G65" s="10">
        <v>0.375</v>
      </c>
      <c r="H65" s="11">
        <v>45894</v>
      </c>
      <c r="I65" s="10">
        <v>0.9375</v>
      </c>
      <c r="J65" s="9">
        <f t="shared" si="2"/>
        <v>-2</v>
      </c>
      <c r="K65" s="8">
        <v>1</v>
      </c>
      <c r="L65" s="7">
        <v>32</v>
      </c>
      <c r="M65" s="6" t="s">
        <v>132</v>
      </c>
      <c r="Q65" s="29">
        <v>1</v>
      </c>
      <c r="R65" s="29">
        <v>30</v>
      </c>
      <c r="S65" s="8">
        <v>1</v>
      </c>
      <c r="T65" s="7">
        <v>24</v>
      </c>
    </row>
    <row r="66" spans="1:20" s="5" customFormat="1" ht="35.450000000000003" customHeight="1" x14ac:dyDescent="0.2">
      <c r="A66" s="33" t="s">
        <v>133</v>
      </c>
      <c r="B66" s="11" t="s">
        <v>21</v>
      </c>
      <c r="C66" s="11" t="s">
        <v>22</v>
      </c>
      <c r="D66" s="29">
        <v>3</v>
      </c>
      <c r="E66" s="29">
        <v>20</v>
      </c>
      <c r="F66" s="11">
        <v>45896</v>
      </c>
      <c r="G66" s="10">
        <v>0.375</v>
      </c>
      <c r="H66" s="11">
        <v>45895</v>
      </c>
      <c r="I66" s="10">
        <v>0.58333333333333337</v>
      </c>
      <c r="J66" s="9">
        <f t="shared" si="2"/>
        <v>5</v>
      </c>
      <c r="K66" s="8">
        <v>3</v>
      </c>
      <c r="L66" s="7">
        <v>15</v>
      </c>
      <c r="M66" s="6" t="s">
        <v>134</v>
      </c>
      <c r="Q66" s="29">
        <v>1</v>
      </c>
      <c r="R66" s="29">
        <v>30</v>
      </c>
      <c r="S66" s="8">
        <v>1</v>
      </c>
      <c r="T66" s="7">
        <v>24</v>
      </c>
    </row>
    <row r="67" spans="1:20" s="5" customFormat="1" x14ac:dyDescent="0.2">
      <c r="A67"/>
      <c r="B67"/>
      <c r="L67" s="64"/>
    </row>
    <row r="69" spans="1:20" x14ac:dyDescent="0.2">
      <c r="A69" s="70" t="s">
        <v>210</v>
      </c>
      <c r="B69" t="s">
        <v>215</v>
      </c>
      <c r="C69" t="s">
        <v>214</v>
      </c>
      <c r="D69" t="s">
        <v>212</v>
      </c>
      <c r="E69" t="s">
        <v>213</v>
      </c>
      <c r="F69"/>
    </row>
    <row r="70" spans="1:20" x14ac:dyDescent="0.2">
      <c r="A70" s="71" t="s">
        <v>139</v>
      </c>
      <c r="B70">
        <v>7</v>
      </c>
      <c r="C70">
        <v>160</v>
      </c>
      <c r="D70" s="2">
        <v>153</v>
      </c>
      <c r="E70">
        <v>7</v>
      </c>
      <c r="F70"/>
    </row>
    <row r="71" spans="1:20" x14ac:dyDescent="0.2">
      <c r="A71" s="71" t="s">
        <v>143</v>
      </c>
      <c r="B71">
        <v>1</v>
      </c>
      <c r="C71">
        <v>20</v>
      </c>
      <c r="D71" s="2">
        <v>20</v>
      </c>
      <c r="E71">
        <v>1</v>
      </c>
      <c r="F71"/>
    </row>
    <row r="72" spans="1:20" x14ac:dyDescent="0.2">
      <c r="A72" s="71" t="s">
        <v>36</v>
      </c>
      <c r="B72">
        <v>12</v>
      </c>
      <c r="C72">
        <v>345</v>
      </c>
      <c r="D72" s="2">
        <v>316</v>
      </c>
      <c r="E72">
        <v>15</v>
      </c>
      <c r="F72"/>
    </row>
    <row r="73" spans="1:20" x14ac:dyDescent="0.2">
      <c r="A73" s="71" t="s">
        <v>39</v>
      </c>
      <c r="B73">
        <v>7</v>
      </c>
      <c r="C73">
        <v>270</v>
      </c>
      <c r="D73" s="2">
        <v>193</v>
      </c>
      <c r="E73">
        <v>7</v>
      </c>
      <c r="F73"/>
    </row>
    <row r="74" spans="1:20" x14ac:dyDescent="0.2">
      <c r="A74" s="71" t="s">
        <v>21</v>
      </c>
      <c r="B74">
        <v>16</v>
      </c>
      <c r="C74">
        <v>435</v>
      </c>
      <c r="D74" s="2">
        <v>364</v>
      </c>
      <c r="E74">
        <v>16</v>
      </c>
      <c r="F74"/>
    </row>
    <row r="75" spans="1:20" x14ac:dyDescent="0.2">
      <c r="A75" s="71" t="s">
        <v>30</v>
      </c>
      <c r="B75">
        <v>8</v>
      </c>
      <c r="C75">
        <v>300</v>
      </c>
      <c r="D75" s="2">
        <v>223</v>
      </c>
      <c r="E75">
        <v>8</v>
      </c>
      <c r="F75"/>
    </row>
    <row r="76" spans="1:20" x14ac:dyDescent="0.2">
      <c r="A76" s="71" t="s">
        <v>211</v>
      </c>
      <c r="B76">
        <v>51</v>
      </c>
      <c r="C76">
        <v>1530</v>
      </c>
      <c r="D76" s="2">
        <v>1269</v>
      </c>
      <c r="E76">
        <v>54</v>
      </c>
      <c r="F76"/>
    </row>
    <row r="77" spans="1:20" x14ac:dyDescent="0.2">
      <c r="A77"/>
      <c r="B77"/>
      <c r="C77"/>
      <c r="D77"/>
      <c r="E77"/>
      <c r="F77"/>
    </row>
    <row r="78" spans="1:20" x14ac:dyDescent="0.2">
      <c r="A78"/>
      <c r="B78"/>
      <c r="C78"/>
      <c r="D78"/>
      <c r="E78"/>
    </row>
    <row r="79" spans="1:20" x14ac:dyDescent="0.2">
      <c r="A79"/>
      <c r="B79"/>
      <c r="C79"/>
      <c r="D79"/>
      <c r="E79"/>
    </row>
    <row r="80" spans="1:20" x14ac:dyDescent="0.2">
      <c r="A80"/>
      <c r="B80"/>
      <c r="C80"/>
      <c r="D80"/>
      <c r="E80"/>
    </row>
    <row r="81" spans="1:5" x14ac:dyDescent="0.2">
      <c r="A81"/>
      <c r="B81"/>
      <c r="C81"/>
      <c r="D81"/>
      <c r="E81"/>
    </row>
    <row r="82" spans="1:5" x14ac:dyDescent="0.2">
      <c r="A82"/>
      <c r="B82"/>
      <c r="C82"/>
      <c r="D82"/>
      <c r="E82"/>
    </row>
    <row r="83" spans="1:5" x14ac:dyDescent="0.2">
      <c r="A83"/>
      <c r="B83"/>
      <c r="C83"/>
      <c r="D83"/>
      <c r="E83"/>
    </row>
    <row r="84" spans="1:5" x14ac:dyDescent="0.2">
      <c r="A84"/>
      <c r="B84"/>
      <c r="C84"/>
      <c r="D84"/>
      <c r="E84"/>
    </row>
    <row r="85" spans="1:5" x14ac:dyDescent="0.2">
      <c r="A85"/>
      <c r="B85"/>
      <c r="C85"/>
      <c r="D85"/>
      <c r="E85"/>
    </row>
    <row r="86" spans="1:5" x14ac:dyDescent="0.2">
      <c r="A86"/>
      <c r="B86"/>
      <c r="C86"/>
      <c r="D86"/>
      <c r="E86"/>
    </row>
    <row r="87" spans="1:5" x14ac:dyDescent="0.2">
      <c r="A87"/>
      <c r="B87"/>
      <c r="C87"/>
      <c r="D87"/>
      <c r="E87"/>
    </row>
    <row r="88" spans="1:5" x14ac:dyDescent="0.2">
      <c r="A88"/>
      <c r="B88"/>
      <c r="C88"/>
      <c r="D88"/>
      <c r="E88"/>
    </row>
    <row r="89" spans="1:5" x14ac:dyDescent="0.2">
      <c r="A89"/>
      <c r="B89"/>
      <c r="C89"/>
      <c r="D89"/>
      <c r="E89"/>
    </row>
    <row r="90" spans="1:5" x14ac:dyDescent="0.2">
      <c r="A90"/>
      <c r="B90"/>
      <c r="C90"/>
      <c r="D90"/>
      <c r="E90"/>
    </row>
    <row r="91" spans="1:5" x14ac:dyDescent="0.2">
      <c r="A91"/>
      <c r="B91"/>
      <c r="C91"/>
      <c r="D91"/>
      <c r="E91"/>
    </row>
    <row r="92" spans="1:5" x14ac:dyDescent="0.2">
      <c r="A92"/>
      <c r="B92"/>
      <c r="C92"/>
      <c r="D92"/>
      <c r="E92"/>
    </row>
    <row r="93" spans="1:5" x14ac:dyDescent="0.2">
      <c r="A93"/>
      <c r="B93"/>
      <c r="C93"/>
      <c r="D93"/>
      <c r="E93"/>
    </row>
    <row r="94" spans="1:5" x14ac:dyDescent="0.2">
      <c r="A94"/>
      <c r="B94"/>
      <c r="C94"/>
      <c r="D94"/>
      <c r="E94"/>
    </row>
    <row r="95" spans="1:5" x14ac:dyDescent="0.2">
      <c r="A95"/>
      <c r="B95"/>
      <c r="C95"/>
      <c r="D95"/>
      <c r="E95"/>
    </row>
    <row r="96" spans="1:5" x14ac:dyDescent="0.2">
      <c r="A96"/>
      <c r="B96"/>
      <c r="C96"/>
      <c r="D96"/>
      <c r="E96"/>
    </row>
    <row r="97" spans="1:5" x14ac:dyDescent="0.2">
      <c r="A97"/>
      <c r="B97"/>
      <c r="C97"/>
      <c r="D97"/>
      <c r="E97"/>
    </row>
    <row r="98" spans="1:5" x14ac:dyDescent="0.2">
      <c r="A98"/>
      <c r="B98"/>
      <c r="C98"/>
      <c r="D98"/>
      <c r="E98"/>
    </row>
    <row r="99" spans="1:5" x14ac:dyDescent="0.2">
      <c r="A99"/>
      <c r="B99"/>
      <c r="C99"/>
      <c r="D99"/>
      <c r="E99"/>
    </row>
    <row r="100" spans="1:5" x14ac:dyDescent="0.2">
      <c r="A100"/>
      <c r="B100"/>
      <c r="C100"/>
      <c r="D100"/>
      <c r="E100"/>
    </row>
    <row r="101" spans="1:5" x14ac:dyDescent="0.2">
      <c r="A101"/>
      <c r="B101"/>
      <c r="C101"/>
      <c r="D101"/>
      <c r="E101"/>
    </row>
    <row r="102" spans="1:5" x14ac:dyDescent="0.2">
      <c r="A102"/>
      <c r="B102"/>
      <c r="C102"/>
      <c r="D102"/>
      <c r="E102"/>
    </row>
    <row r="103" spans="1:5" x14ac:dyDescent="0.2">
      <c r="A103"/>
      <c r="B103"/>
      <c r="C103"/>
      <c r="D103"/>
      <c r="E103"/>
    </row>
    <row r="104" spans="1:5" x14ac:dyDescent="0.2">
      <c r="A104"/>
      <c r="B104"/>
      <c r="C104"/>
      <c r="D104"/>
      <c r="E104"/>
    </row>
    <row r="105" spans="1:5" x14ac:dyDescent="0.2">
      <c r="A105"/>
      <c r="B105"/>
      <c r="C105"/>
      <c r="D105"/>
      <c r="E105"/>
    </row>
    <row r="106" spans="1:5" x14ac:dyDescent="0.2">
      <c r="A106"/>
      <c r="B106"/>
      <c r="C106"/>
      <c r="D106"/>
      <c r="E106"/>
    </row>
    <row r="107" spans="1:5" x14ac:dyDescent="0.2">
      <c r="A107"/>
      <c r="B107"/>
      <c r="C107"/>
      <c r="D107"/>
      <c r="E107"/>
    </row>
    <row r="108" spans="1:5" x14ac:dyDescent="0.2">
      <c r="A108"/>
      <c r="B108"/>
      <c r="C108"/>
      <c r="D108"/>
      <c r="E108"/>
    </row>
    <row r="109" spans="1:5" x14ac:dyDescent="0.2">
      <c r="A109"/>
      <c r="B109"/>
      <c r="C109"/>
      <c r="D109"/>
      <c r="E109"/>
    </row>
    <row r="110" spans="1:5" x14ac:dyDescent="0.2">
      <c r="A110"/>
      <c r="B110"/>
      <c r="C110"/>
      <c r="D110"/>
      <c r="E110"/>
    </row>
    <row r="111" spans="1:5" x14ac:dyDescent="0.2">
      <c r="A111"/>
      <c r="B111"/>
      <c r="C111"/>
      <c r="D111"/>
      <c r="E111"/>
    </row>
    <row r="112" spans="1:5" x14ac:dyDescent="0.2">
      <c r="A112"/>
      <c r="B112"/>
      <c r="C112"/>
      <c r="D112"/>
      <c r="E112"/>
    </row>
    <row r="113" spans="1:5" x14ac:dyDescent="0.2">
      <c r="A113"/>
      <c r="B113"/>
      <c r="C113"/>
      <c r="D113"/>
      <c r="E113"/>
    </row>
    <row r="114" spans="1:5" x14ac:dyDescent="0.2">
      <c r="A114"/>
      <c r="B114"/>
      <c r="C114"/>
      <c r="D114"/>
      <c r="E114"/>
    </row>
    <row r="115" spans="1:5" x14ac:dyDescent="0.2">
      <c r="A115"/>
      <c r="B115"/>
      <c r="C115"/>
      <c r="D115"/>
      <c r="E115"/>
    </row>
    <row r="116" spans="1:5" x14ac:dyDescent="0.2">
      <c r="A116"/>
      <c r="B116"/>
      <c r="C116"/>
      <c r="D116"/>
      <c r="E116"/>
    </row>
    <row r="117" spans="1:5" x14ac:dyDescent="0.2">
      <c r="A117"/>
      <c r="B117"/>
      <c r="C117"/>
      <c r="D117"/>
      <c r="E117"/>
    </row>
    <row r="118" spans="1:5" x14ac:dyDescent="0.2">
      <c r="A118"/>
      <c r="B118"/>
      <c r="C118"/>
      <c r="D118"/>
      <c r="E118"/>
    </row>
    <row r="119" spans="1:5" x14ac:dyDescent="0.2">
      <c r="A119"/>
      <c r="B119"/>
      <c r="C119"/>
      <c r="D119"/>
      <c r="E119"/>
    </row>
    <row r="120" spans="1:5" x14ac:dyDescent="0.2">
      <c r="A120"/>
      <c r="B120"/>
      <c r="C120"/>
      <c r="D120"/>
      <c r="E120"/>
    </row>
    <row r="121" spans="1:5" x14ac:dyDescent="0.2">
      <c r="A121"/>
      <c r="B121"/>
      <c r="C121"/>
      <c r="D121"/>
      <c r="E121"/>
    </row>
    <row r="122" spans="1:5" x14ac:dyDescent="0.2">
      <c r="A122"/>
      <c r="B122"/>
      <c r="C122"/>
      <c r="D122"/>
      <c r="E122"/>
    </row>
    <row r="123" spans="1:5" x14ac:dyDescent="0.2">
      <c r="A123"/>
      <c r="B123"/>
      <c r="C123"/>
      <c r="D123"/>
      <c r="E123"/>
    </row>
    <row r="124" spans="1:5" x14ac:dyDescent="0.2">
      <c r="A124"/>
      <c r="B124"/>
      <c r="C124"/>
      <c r="D124"/>
      <c r="E124"/>
    </row>
    <row r="125" spans="1:5" x14ac:dyDescent="0.2">
      <c r="A125"/>
      <c r="B125"/>
      <c r="C125"/>
      <c r="D125"/>
      <c r="E125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D67D4-75FB-4C16-9305-1D644D75C1B8}">
  <dimension ref="A1:T129"/>
  <sheetViews>
    <sheetView topLeftCell="B38" zoomScale="84" zoomScaleNormal="84" workbookViewId="0">
      <selection activeCell="A42" sqref="A42:M42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4" width="13.28515625" style="4" customWidth="1"/>
    <col min="5" max="5" width="12.28515625" style="4" customWidth="1"/>
    <col min="6" max="7" width="10.7109375" style="4" customWidth="1"/>
    <col min="8" max="8" width="18.7109375" style="4" bestFit="1" customWidth="1"/>
    <col min="9" max="9" width="21.28515625" style="3" bestFit="1" customWidth="1"/>
    <col min="10" max="10" width="21.5703125" style="3" bestFit="1" customWidth="1"/>
    <col min="11" max="11" width="36.7109375" style="2" bestFit="1" customWidth="1"/>
    <col min="12" max="12" width="45.42578125" style="1" bestFit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26"/>
      <c r="B1" s="128" t="s">
        <v>0</v>
      </c>
      <c r="C1" s="128"/>
      <c r="D1" s="128"/>
      <c r="E1" s="128"/>
      <c r="F1" s="128"/>
      <c r="G1" s="128"/>
      <c r="H1" s="128"/>
      <c r="I1" s="128"/>
      <c r="J1" s="128"/>
      <c r="K1" s="128"/>
      <c r="L1" s="130"/>
      <c r="M1" s="131"/>
    </row>
    <row r="2" spans="1:20" ht="20.25" customHeight="1" x14ac:dyDescent="0.2">
      <c r="A2" s="127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32"/>
      <c r="M2" s="133"/>
    </row>
    <row r="3" spans="1:20" ht="12.75" customHeight="1" x14ac:dyDescent="0.2">
      <c r="A3" s="134" t="s">
        <v>1</v>
      </c>
      <c r="B3" s="136" t="s">
        <v>2</v>
      </c>
      <c r="C3" s="136"/>
      <c r="D3" s="136"/>
      <c r="E3" s="136"/>
      <c r="F3" s="136"/>
      <c r="G3" s="136"/>
      <c r="H3" s="136"/>
      <c r="I3" s="136"/>
      <c r="J3" s="136"/>
      <c r="K3" s="136"/>
      <c r="L3" s="138" t="s">
        <v>3</v>
      </c>
      <c r="M3" s="139"/>
    </row>
    <row r="4" spans="1:20" ht="13.5" thickBot="1" x14ac:dyDescent="0.25">
      <c r="A4" s="135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22" t="s">
        <v>6</v>
      </c>
      <c r="C6" s="122"/>
      <c r="D6" s="122"/>
      <c r="E6" s="122"/>
      <c r="F6" s="122"/>
      <c r="G6" s="122"/>
      <c r="H6" s="123" t="s">
        <v>7</v>
      </c>
      <c r="I6" s="124"/>
      <c r="J6" s="124"/>
      <c r="K6" s="124"/>
      <c r="L6" s="125"/>
      <c r="M6" s="25"/>
    </row>
    <row r="7" spans="1:20" s="14" customFormat="1" ht="49.5" customHeight="1" x14ac:dyDescent="0.2">
      <c r="A7" s="18" cm="1">
        <f t="array" aca="1" ref="A7" ca="1">+A28+A1:L7+A7:L7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77"/>
      <c r="R7" s="77"/>
      <c r="S7" s="77"/>
      <c r="T7" s="77"/>
    </row>
    <row r="8" spans="1:20" s="5" customFormat="1" ht="40.5" customHeight="1" x14ac:dyDescent="0.2">
      <c r="A8" s="43" t="s">
        <v>154</v>
      </c>
      <c r="B8" s="11" t="s">
        <v>30</v>
      </c>
      <c r="C8" s="11" t="s">
        <v>31</v>
      </c>
      <c r="D8" s="9">
        <v>2</v>
      </c>
      <c r="E8" s="9">
        <v>50</v>
      </c>
      <c r="F8" s="11">
        <v>45903</v>
      </c>
      <c r="G8" s="10">
        <v>0.375</v>
      </c>
      <c r="H8" s="11">
        <v>45902</v>
      </c>
      <c r="I8" s="10">
        <v>0.66666666666666663</v>
      </c>
      <c r="J8" s="9">
        <f t="shared" ref="J8:J39" si="0">E8-L8</f>
        <v>0</v>
      </c>
      <c r="K8" s="65">
        <v>1</v>
      </c>
      <c r="L8" s="69">
        <v>50</v>
      </c>
      <c r="M8" s="36" t="s">
        <v>155</v>
      </c>
    </row>
    <row r="9" spans="1:20" s="5" customFormat="1" ht="39" customHeight="1" x14ac:dyDescent="0.2">
      <c r="A9" s="43" t="s">
        <v>154</v>
      </c>
      <c r="B9" s="11" t="s">
        <v>39</v>
      </c>
      <c r="C9" s="11" t="s">
        <v>40</v>
      </c>
      <c r="D9" s="9">
        <v>2</v>
      </c>
      <c r="E9" s="9">
        <v>50</v>
      </c>
      <c r="F9" s="11">
        <v>45903</v>
      </c>
      <c r="G9" s="10">
        <v>0.375</v>
      </c>
      <c r="H9" s="11">
        <v>45902</v>
      </c>
      <c r="I9" s="10">
        <v>0.66666666666666663</v>
      </c>
      <c r="J9" s="9">
        <f t="shared" si="0"/>
        <v>0</v>
      </c>
      <c r="K9" s="65">
        <v>1</v>
      </c>
      <c r="L9" s="7">
        <v>50</v>
      </c>
      <c r="M9" s="36" t="s">
        <v>155</v>
      </c>
    </row>
    <row r="10" spans="1:20" s="5" customFormat="1" ht="43.5" customHeight="1" x14ac:dyDescent="0.2">
      <c r="A10" s="43" t="s">
        <v>154</v>
      </c>
      <c r="B10" s="11" t="s">
        <v>21</v>
      </c>
      <c r="C10" s="11" t="s">
        <v>22</v>
      </c>
      <c r="D10" s="9">
        <v>2</v>
      </c>
      <c r="E10" s="9">
        <v>50</v>
      </c>
      <c r="F10" s="11">
        <v>45903</v>
      </c>
      <c r="G10" s="10">
        <v>0.375</v>
      </c>
      <c r="H10" s="11">
        <v>45902</v>
      </c>
      <c r="I10" s="10">
        <v>0.66666666666666663</v>
      </c>
      <c r="J10" s="9">
        <f t="shared" si="0"/>
        <v>0</v>
      </c>
      <c r="K10" s="65">
        <v>1</v>
      </c>
      <c r="L10" s="7">
        <v>50</v>
      </c>
      <c r="M10" s="36" t="s">
        <v>155</v>
      </c>
    </row>
    <row r="11" spans="1:20" s="5" customFormat="1" ht="35.1" customHeight="1" x14ac:dyDescent="0.2">
      <c r="A11" s="43" t="s">
        <v>154</v>
      </c>
      <c r="B11" s="11" t="s">
        <v>136</v>
      </c>
      <c r="C11" s="11" t="s">
        <v>34</v>
      </c>
      <c r="D11" s="9">
        <v>2</v>
      </c>
      <c r="E11" s="9">
        <v>50</v>
      </c>
      <c r="F11" s="11">
        <v>45903</v>
      </c>
      <c r="G11" s="10">
        <v>0.375</v>
      </c>
      <c r="H11" s="11">
        <v>45902</v>
      </c>
      <c r="I11" s="10">
        <v>0.66666666666666663</v>
      </c>
      <c r="J11" s="9">
        <f t="shared" si="0"/>
        <v>0</v>
      </c>
      <c r="K11" s="65">
        <v>1</v>
      </c>
      <c r="L11" s="7">
        <v>50</v>
      </c>
      <c r="M11" s="36" t="s">
        <v>155</v>
      </c>
    </row>
    <row r="12" spans="1:20" s="5" customFormat="1" ht="35.1" customHeight="1" x14ac:dyDescent="0.2">
      <c r="A12" s="43" t="s">
        <v>154</v>
      </c>
      <c r="B12" s="11" t="s">
        <v>36</v>
      </c>
      <c r="C12" s="11" t="s">
        <v>37</v>
      </c>
      <c r="D12" s="9">
        <v>2</v>
      </c>
      <c r="E12" s="9">
        <v>50</v>
      </c>
      <c r="F12" s="11">
        <v>45903</v>
      </c>
      <c r="G12" s="10">
        <v>0.375</v>
      </c>
      <c r="H12" s="11">
        <v>45902</v>
      </c>
      <c r="I12" s="10">
        <v>0.66666666666666663</v>
      </c>
      <c r="J12" s="9">
        <f t="shared" si="0"/>
        <v>0</v>
      </c>
      <c r="K12" s="65">
        <v>1</v>
      </c>
      <c r="L12" s="7">
        <v>50</v>
      </c>
      <c r="M12" s="36" t="s">
        <v>155</v>
      </c>
    </row>
    <row r="13" spans="1:20" s="5" customFormat="1" ht="35.1" customHeight="1" x14ac:dyDescent="0.2">
      <c r="A13" s="43" t="s">
        <v>154</v>
      </c>
      <c r="B13" s="11" t="s">
        <v>42</v>
      </c>
      <c r="C13" s="11" t="s">
        <v>43</v>
      </c>
      <c r="D13" s="9">
        <v>2</v>
      </c>
      <c r="E13" s="9">
        <v>50</v>
      </c>
      <c r="F13" s="11">
        <v>45903</v>
      </c>
      <c r="G13" s="10">
        <v>0.375</v>
      </c>
      <c r="H13" s="11">
        <v>45902</v>
      </c>
      <c r="I13" s="10">
        <v>0.66666666666666663</v>
      </c>
      <c r="J13" s="9">
        <f t="shared" si="0"/>
        <v>0</v>
      </c>
      <c r="K13" s="65">
        <v>1</v>
      </c>
      <c r="L13" s="7">
        <v>50</v>
      </c>
      <c r="M13" s="36" t="s">
        <v>155</v>
      </c>
    </row>
    <row r="14" spans="1:20" s="5" customFormat="1" ht="33.950000000000003" customHeight="1" x14ac:dyDescent="0.2">
      <c r="A14" s="23" t="s">
        <v>144</v>
      </c>
      <c r="B14" s="21" t="s">
        <v>30</v>
      </c>
      <c r="C14" s="63" t="s">
        <v>31</v>
      </c>
      <c r="D14" s="66">
        <v>1</v>
      </c>
      <c r="E14" s="67">
        <v>30</v>
      </c>
      <c r="F14" s="11">
        <v>45903</v>
      </c>
      <c r="G14" s="10">
        <v>0.375</v>
      </c>
      <c r="H14" s="11">
        <v>45899</v>
      </c>
      <c r="I14" s="10">
        <v>0.79166666666666663</v>
      </c>
      <c r="J14" s="9">
        <f t="shared" si="0"/>
        <v>0</v>
      </c>
      <c r="K14" s="65">
        <v>1</v>
      </c>
      <c r="L14" s="69">
        <v>30</v>
      </c>
      <c r="M14" s="6" t="s">
        <v>156</v>
      </c>
    </row>
    <row r="15" spans="1:20" s="5" customFormat="1" ht="38.450000000000003" customHeight="1" x14ac:dyDescent="0.2">
      <c r="A15" s="23" t="s">
        <v>206</v>
      </c>
      <c r="B15" s="11" t="s">
        <v>74</v>
      </c>
      <c r="C15" s="11" t="s">
        <v>208</v>
      </c>
      <c r="D15" s="66">
        <v>1</v>
      </c>
      <c r="E15" s="9">
        <v>30</v>
      </c>
      <c r="F15" s="11">
        <v>45903</v>
      </c>
      <c r="G15" s="10">
        <v>0.375</v>
      </c>
      <c r="H15" s="11">
        <v>45899</v>
      </c>
      <c r="I15" s="10">
        <v>0.79166666666666663</v>
      </c>
      <c r="J15" s="9">
        <f t="shared" si="0"/>
        <v>0</v>
      </c>
      <c r="K15" s="65">
        <v>1</v>
      </c>
      <c r="L15" s="7">
        <v>30</v>
      </c>
      <c r="M15" s="6" t="s">
        <v>75</v>
      </c>
    </row>
    <row r="16" spans="1:20" s="5" customFormat="1" ht="30.95" customHeight="1" x14ac:dyDescent="0.2">
      <c r="A16" s="38" t="s">
        <v>123</v>
      </c>
      <c r="B16" s="11" t="s">
        <v>36</v>
      </c>
      <c r="C16" s="11" t="s">
        <v>37</v>
      </c>
      <c r="D16" s="9">
        <v>1</v>
      </c>
      <c r="E16" s="9">
        <v>20</v>
      </c>
      <c r="F16" s="11">
        <v>45903</v>
      </c>
      <c r="G16" s="10">
        <v>0.375</v>
      </c>
      <c r="H16" s="11">
        <v>45902</v>
      </c>
      <c r="I16" s="10">
        <v>0.80555555555555558</v>
      </c>
      <c r="J16" s="9">
        <f t="shared" si="0"/>
        <v>0</v>
      </c>
      <c r="K16" s="65">
        <v>1</v>
      </c>
      <c r="L16" s="7">
        <v>20</v>
      </c>
      <c r="M16" s="36" t="s">
        <v>124</v>
      </c>
    </row>
    <row r="17" spans="1:13" s="5" customFormat="1" ht="27" customHeight="1" x14ac:dyDescent="0.2">
      <c r="A17" s="38" t="s">
        <v>123</v>
      </c>
      <c r="B17" s="11" t="s">
        <v>143</v>
      </c>
      <c r="C17" s="11" t="s">
        <v>43</v>
      </c>
      <c r="D17" s="9">
        <v>1</v>
      </c>
      <c r="E17" s="9">
        <v>20</v>
      </c>
      <c r="F17" s="11">
        <v>45903</v>
      </c>
      <c r="G17" s="10">
        <v>0.375</v>
      </c>
      <c r="H17" s="11">
        <v>45902</v>
      </c>
      <c r="I17" s="10">
        <v>0.80555555555555558</v>
      </c>
      <c r="J17" s="9">
        <f t="shared" si="0"/>
        <v>0</v>
      </c>
      <c r="K17" s="65">
        <v>1</v>
      </c>
      <c r="L17" s="7">
        <v>20</v>
      </c>
      <c r="M17" s="36" t="s">
        <v>124</v>
      </c>
    </row>
    <row r="18" spans="1:13" s="5" customFormat="1" ht="27.6" customHeight="1" x14ac:dyDescent="0.2">
      <c r="A18" s="38" t="s">
        <v>217</v>
      </c>
      <c r="B18" s="11" t="s">
        <v>39</v>
      </c>
      <c r="C18" s="11" t="s">
        <v>40</v>
      </c>
      <c r="D18" s="9">
        <v>1</v>
      </c>
      <c r="E18" s="9">
        <v>30</v>
      </c>
      <c r="F18" s="11">
        <v>45903</v>
      </c>
      <c r="G18" s="10">
        <v>0.375</v>
      </c>
      <c r="H18" s="11">
        <v>45902</v>
      </c>
      <c r="I18" s="10">
        <v>0.8125</v>
      </c>
      <c r="J18" s="9">
        <f t="shared" si="0"/>
        <v>2</v>
      </c>
      <c r="K18" s="65">
        <v>2</v>
      </c>
      <c r="L18" s="7">
        <v>28</v>
      </c>
      <c r="M18" s="36" t="s">
        <v>158</v>
      </c>
    </row>
    <row r="19" spans="1:13" s="5" customFormat="1" ht="24" customHeight="1" x14ac:dyDescent="0.2">
      <c r="A19" s="49" t="s">
        <v>218</v>
      </c>
      <c r="B19" s="54" t="s">
        <v>21</v>
      </c>
      <c r="C19" s="54" t="s">
        <v>22</v>
      </c>
      <c r="D19" s="58">
        <v>1</v>
      </c>
      <c r="E19" s="58">
        <v>30</v>
      </c>
      <c r="F19" s="11">
        <v>45903</v>
      </c>
      <c r="G19" s="10">
        <v>0.375</v>
      </c>
      <c r="H19" s="54">
        <v>45902</v>
      </c>
      <c r="I19" s="57">
        <v>0.8125</v>
      </c>
      <c r="J19" s="55">
        <f t="shared" si="0"/>
        <v>0</v>
      </c>
      <c r="K19" s="58">
        <v>2</v>
      </c>
      <c r="L19" s="59">
        <v>30</v>
      </c>
      <c r="M19" s="31" t="s">
        <v>235</v>
      </c>
    </row>
    <row r="20" spans="1:13" s="5" customFormat="1" ht="29.45" customHeight="1" x14ac:dyDescent="0.2">
      <c r="A20" s="60" t="s">
        <v>219</v>
      </c>
      <c r="B20" s="56" t="s">
        <v>30</v>
      </c>
      <c r="C20" s="56" t="s">
        <v>31</v>
      </c>
      <c r="D20" s="58">
        <v>1</v>
      </c>
      <c r="E20" s="58">
        <v>30</v>
      </c>
      <c r="F20" s="11">
        <v>45903</v>
      </c>
      <c r="G20" s="10">
        <v>0.375</v>
      </c>
      <c r="H20" s="54">
        <v>45902</v>
      </c>
      <c r="I20" s="57">
        <v>0.8125</v>
      </c>
      <c r="J20" s="55">
        <f t="shared" si="0"/>
        <v>3</v>
      </c>
      <c r="K20" s="58">
        <v>1</v>
      </c>
      <c r="L20" s="68">
        <v>27</v>
      </c>
      <c r="M20" s="31" t="s">
        <v>236</v>
      </c>
    </row>
    <row r="21" spans="1:13" s="5" customFormat="1" ht="33.950000000000003" customHeight="1" x14ac:dyDescent="0.2">
      <c r="A21" s="60" t="s">
        <v>220</v>
      </c>
      <c r="B21" s="54" t="s">
        <v>30</v>
      </c>
      <c r="C21" s="54" t="s">
        <v>31</v>
      </c>
      <c r="D21" s="58">
        <v>1</v>
      </c>
      <c r="E21" s="58">
        <v>30</v>
      </c>
      <c r="F21" s="11">
        <v>45903</v>
      </c>
      <c r="G21" s="10">
        <v>0.375</v>
      </c>
      <c r="H21" s="54">
        <v>45902</v>
      </c>
      <c r="I21" s="57">
        <v>0.83333333333333337</v>
      </c>
      <c r="J21" s="55">
        <f t="shared" si="0"/>
        <v>2</v>
      </c>
      <c r="K21" s="58">
        <v>1</v>
      </c>
      <c r="L21" s="68">
        <v>28</v>
      </c>
      <c r="M21" s="52" t="s">
        <v>237</v>
      </c>
    </row>
    <row r="22" spans="1:13" s="5" customFormat="1" ht="33.950000000000003" customHeight="1" x14ac:dyDescent="0.2">
      <c r="A22" s="61" t="s">
        <v>221</v>
      </c>
      <c r="B22" s="54" t="s">
        <v>30</v>
      </c>
      <c r="C22" s="54" t="s">
        <v>31</v>
      </c>
      <c r="D22" s="58">
        <v>1</v>
      </c>
      <c r="E22" s="58">
        <v>30</v>
      </c>
      <c r="F22" s="11">
        <v>45903</v>
      </c>
      <c r="G22" s="10">
        <v>0.375</v>
      </c>
      <c r="H22" s="54">
        <v>45902</v>
      </c>
      <c r="I22" s="57">
        <v>0.85416666666666663</v>
      </c>
      <c r="J22" s="55">
        <f t="shared" si="0"/>
        <v>10</v>
      </c>
      <c r="K22" s="58">
        <v>2</v>
      </c>
      <c r="L22" s="68">
        <v>20</v>
      </c>
      <c r="M22" s="31" t="s">
        <v>238</v>
      </c>
    </row>
    <row r="23" spans="1:13" s="5" customFormat="1" ht="28.5" customHeight="1" x14ac:dyDescent="0.2">
      <c r="A23" s="61" t="s">
        <v>222</v>
      </c>
      <c r="B23" s="54" t="s">
        <v>42</v>
      </c>
      <c r="C23" s="54" t="s">
        <v>43</v>
      </c>
      <c r="D23" s="58">
        <v>1</v>
      </c>
      <c r="E23" s="58">
        <v>30</v>
      </c>
      <c r="F23" s="11">
        <v>45903</v>
      </c>
      <c r="G23" s="10">
        <v>0.375</v>
      </c>
      <c r="H23" s="54">
        <v>45900</v>
      </c>
      <c r="I23" s="57">
        <v>0.79166666666666663</v>
      </c>
      <c r="J23" s="55">
        <f t="shared" si="0"/>
        <v>5</v>
      </c>
      <c r="K23" s="58">
        <v>2</v>
      </c>
      <c r="L23" s="59">
        <v>25</v>
      </c>
      <c r="M23" s="31" t="s">
        <v>239</v>
      </c>
    </row>
    <row r="24" spans="1:13" s="5" customFormat="1" ht="24.95" customHeight="1" x14ac:dyDescent="0.2">
      <c r="A24" s="61" t="s">
        <v>228</v>
      </c>
      <c r="B24" s="13" t="s">
        <v>136</v>
      </c>
      <c r="C24" s="13" t="s">
        <v>34</v>
      </c>
      <c r="D24" s="58">
        <v>1</v>
      </c>
      <c r="E24" s="50">
        <v>30</v>
      </c>
      <c r="F24" s="11">
        <v>45903</v>
      </c>
      <c r="G24" s="10">
        <v>0.375</v>
      </c>
      <c r="H24" s="13">
        <v>45900</v>
      </c>
      <c r="I24" s="12">
        <v>0.79166666666666663</v>
      </c>
      <c r="J24" s="53">
        <f t="shared" si="0"/>
        <v>4</v>
      </c>
      <c r="K24" s="50">
        <v>1</v>
      </c>
      <c r="L24" s="51">
        <v>26</v>
      </c>
      <c r="M24" s="52" t="s">
        <v>240</v>
      </c>
    </row>
    <row r="25" spans="1:13" s="5" customFormat="1" ht="12.75" customHeight="1" x14ac:dyDescent="0.2">
      <c r="A25" s="13" t="s">
        <v>225</v>
      </c>
      <c r="B25" s="13" t="s">
        <v>36</v>
      </c>
      <c r="C25" s="13" t="s">
        <v>37</v>
      </c>
      <c r="D25" s="58">
        <v>1</v>
      </c>
      <c r="E25" s="50">
        <v>30</v>
      </c>
      <c r="F25" s="11">
        <v>45910</v>
      </c>
      <c r="G25" s="10">
        <v>0.375</v>
      </c>
      <c r="H25" s="13">
        <v>45899</v>
      </c>
      <c r="I25" s="12">
        <v>0.79166666666666663</v>
      </c>
      <c r="J25" s="53">
        <f t="shared" si="0"/>
        <v>0</v>
      </c>
      <c r="K25" s="50">
        <v>1</v>
      </c>
      <c r="L25" s="51">
        <v>30</v>
      </c>
      <c r="M25" s="52" t="s">
        <v>241</v>
      </c>
    </row>
    <row r="26" spans="1:13" s="5" customFormat="1" ht="12.75" customHeight="1" x14ac:dyDescent="0.2">
      <c r="A26" s="13" t="s">
        <v>226</v>
      </c>
      <c r="B26" s="13" t="s">
        <v>36</v>
      </c>
      <c r="C26" s="13" t="s">
        <v>37</v>
      </c>
      <c r="D26" s="58">
        <v>1</v>
      </c>
      <c r="E26" s="50">
        <v>30</v>
      </c>
      <c r="F26" s="11">
        <v>45911</v>
      </c>
      <c r="G26" s="10">
        <v>0.375</v>
      </c>
      <c r="H26" s="13">
        <v>45899</v>
      </c>
      <c r="I26" s="12">
        <v>0.8125</v>
      </c>
      <c r="J26" s="53">
        <f t="shared" si="0"/>
        <v>2</v>
      </c>
      <c r="K26" s="50">
        <v>1</v>
      </c>
      <c r="L26" s="51">
        <v>28</v>
      </c>
      <c r="M26" s="52" t="s">
        <v>242</v>
      </c>
    </row>
    <row r="27" spans="1:13" s="5" customFormat="1" ht="33.950000000000003" customHeight="1" x14ac:dyDescent="0.2">
      <c r="A27" s="13" t="s">
        <v>227</v>
      </c>
      <c r="B27" s="13" t="s">
        <v>36</v>
      </c>
      <c r="C27" s="13" t="s">
        <v>37</v>
      </c>
      <c r="D27" s="58">
        <v>1</v>
      </c>
      <c r="E27" s="50">
        <v>30</v>
      </c>
      <c r="F27" s="11">
        <v>45912</v>
      </c>
      <c r="G27" s="10">
        <v>0.375</v>
      </c>
      <c r="H27" s="13">
        <v>45899</v>
      </c>
      <c r="I27" s="12">
        <v>0.83333333333333337</v>
      </c>
      <c r="J27" s="53">
        <f t="shared" si="0"/>
        <v>6</v>
      </c>
      <c r="K27" s="50">
        <v>1</v>
      </c>
      <c r="L27" s="51">
        <v>24</v>
      </c>
      <c r="M27" s="52" t="s">
        <v>243</v>
      </c>
    </row>
    <row r="28" spans="1:13" s="5" customFormat="1" ht="32.450000000000003" customHeight="1" x14ac:dyDescent="0.2">
      <c r="A28" s="13" t="s">
        <v>233</v>
      </c>
      <c r="B28" s="13" t="s">
        <v>39</v>
      </c>
      <c r="C28" s="13" t="s">
        <v>40</v>
      </c>
      <c r="D28" s="58">
        <v>1</v>
      </c>
      <c r="E28" s="50">
        <v>30</v>
      </c>
      <c r="F28" s="11">
        <v>45913</v>
      </c>
      <c r="G28" s="10">
        <v>0.375</v>
      </c>
      <c r="H28" s="13">
        <v>45902</v>
      </c>
      <c r="I28" s="12">
        <v>0.83333333333333337</v>
      </c>
      <c r="J28" s="53">
        <f t="shared" si="0"/>
        <v>0</v>
      </c>
      <c r="K28" s="50">
        <v>1</v>
      </c>
      <c r="L28" s="51">
        <v>30</v>
      </c>
      <c r="M28" s="52" t="s">
        <v>244</v>
      </c>
    </row>
    <row r="29" spans="1:13" ht="35.25" customHeight="1" x14ac:dyDescent="0.2">
      <c r="A29" s="61" t="s">
        <v>234</v>
      </c>
      <c r="B29" s="13" t="s">
        <v>39</v>
      </c>
      <c r="C29" s="13" t="s">
        <v>40</v>
      </c>
      <c r="D29" s="58">
        <v>5</v>
      </c>
      <c r="E29" s="50">
        <v>50</v>
      </c>
      <c r="F29" s="11">
        <v>45914</v>
      </c>
      <c r="G29" s="10">
        <v>0.375</v>
      </c>
      <c r="H29" s="13">
        <v>45902</v>
      </c>
      <c r="I29" s="12">
        <v>0.86805555555555558</v>
      </c>
      <c r="J29" s="53">
        <f t="shared" si="0"/>
        <v>5</v>
      </c>
      <c r="K29" s="50">
        <v>5</v>
      </c>
      <c r="L29" s="51">
        <v>45</v>
      </c>
      <c r="M29" s="52" t="s">
        <v>245</v>
      </c>
    </row>
    <row r="30" spans="1:13" s="5" customFormat="1" ht="47.1" customHeight="1" x14ac:dyDescent="0.2">
      <c r="A30" s="13" t="s">
        <v>229</v>
      </c>
      <c r="B30" s="13" t="s">
        <v>136</v>
      </c>
      <c r="C30" s="13" t="s">
        <v>34</v>
      </c>
      <c r="D30" s="58">
        <v>1</v>
      </c>
      <c r="E30" s="50">
        <v>30</v>
      </c>
      <c r="F30" s="11">
        <v>45915</v>
      </c>
      <c r="G30" s="10">
        <v>0.375</v>
      </c>
      <c r="H30" s="13">
        <v>45900</v>
      </c>
      <c r="I30" s="12">
        <v>0.8125</v>
      </c>
      <c r="J30" s="53">
        <f t="shared" si="0"/>
        <v>8</v>
      </c>
      <c r="K30" s="50">
        <v>1</v>
      </c>
      <c r="L30" s="51">
        <v>22</v>
      </c>
      <c r="M30" s="52" t="s">
        <v>246</v>
      </c>
    </row>
    <row r="31" spans="1:13" s="5" customFormat="1" ht="33" customHeight="1" x14ac:dyDescent="0.2">
      <c r="A31" s="13" t="s">
        <v>231</v>
      </c>
      <c r="B31" s="13" t="s">
        <v>21</v>
      </c>
      <c r="C31" s="13" t="s">
        <v>22</v>
      </c>
      <c r="D31" s="58">
        <v>1</v>
      </c>
      <c r="E31" s="50">
        <v>30</v>
      </c>
      <c r="F31" s="11">
        <v>45916</v>
      </c>
      <c r="G31" s="10">
        <v>0.375</v>
      </c>
      <c r="H31" s="13">
        <v>45902</v>
      </c>
      <c r="I31" s="12">
        <v>0.83333333333333337</v>
      </c>
      <c r="J31" s="53">
        <f t="shared" si="0"/>
        <v>7</v>
      </c>
      <c r="K31" s="50">
        <v>1</v>
      </c>
      <c r="L31" s="51">
        <v>23</v>
      </c>
      <c r="M31" s="52" t="s">
        <v>247</v>
      </c>
    </row>
    <row r="32" spans="1:13" s="5" customFormat="1" ht="27" customHeight="1" x14ac:dyDescent="0.2">
      <c r="A32" s="61" t="s">
        <v>232</v>
      </c>
      <c r="B32" s="13" t="s">
        <v>21</v>
      </c>
      <c r="C32" s="13" t="s">
        <v>22</v>
      </c>
      <c r="D32" s="58">
        <v>1</v>
      </c>
      <c r="E32" s="50">
        <v>40</v>
      </c>
      <c r="F32" s="11">
        <v>45917</v>
      </c>
      <c r="G32" s="10">
        <v>0.375</v>
      </c>
      <c r="H32" s="13">
        <v>45902</v>
      </c>
      <c r="I32" s="12">
        <v>0.86111111111111116</v>
      </c>
      <c r="J32" s="53">
        <f t="shared" si="0"/>
        <v>9</v>
      </c>
      <c r="K32" s="50">
        <v>2</v>
      </c>
      <c r="L32" s="51">
        <v>31</v>
      </c>
      <c r="M32" s="52" t="s">
        <v>248</v>
      </c>
    </row>
    <row r="33" spans="1:13" s="5" customFormat="1" ht="33.6" customHeight="1" x14ac:dyDescent="0.2">
      <c r="A33" s="13" t="s">
        <v>230</v>
      </c>
      <c r="B33" s="13" t="s">
        <v>136</v>
      </c>
      <c r="C33" s="13" t="s">
        <v>34</v>
      </c>
      <c r="D33" s="58">
        <v>1</v>
      </c>
      <c r="E33" s="50">
        <v>25</v>
      </c>
      <c r="F33" s="11">
        <v>45918</v>
      </c>
      <c r="G33" s="10">
        <v>0.375</v>
      </c>
      <c r="H33" s="13">
        <v>45900</v>
      </c>
      <c r="I33" s="12">
        <v>0.82986111111111116</v>
      </c>
      <c r="J33" s="53">
        <f t="shared" si="0"/>
        <v>5</v>
      </c>
      <c r="K33" s="50">
        <v>2</v>
      </c>
      <c r="L33" s="51">
        <v>20</v>
      </c>
      <c r="M33" s="52" t="s">
        <v>249</v>
      </c>
    </row>
    <row r="34" spans="1:13" s="5" customFormat="1" ht="29.25" customHeight="1" x14ac:dyDescent="0.2">
      <c r="A34" s="61" t="s">
        <v>224</v>
      </c>
      <c r="B34" s="13" t="s">
        <v>42</v>
      </c>
      <c r="C34" s="13" t="s">
        <v>43</v>
      </c>
      <c r="D34" s="58">
        <v>1</v>
      </c>
      <c r="E34" s="50">
        <v>20</v>
      </c>
      <c r="F34" s="11">
        <v>45919</v>
      </c>
      <c r="G34" s="10">
        <v>0.375</v>
      </c>
      <c r="H34" s="13">
        <v>45900</v>
      </c>
      <c r="I34" s="12">
        <v>0.80555555555555558</v>
      </c>
      <c r="J34" s="53">
        <f t="shared" si="0"/>
        <v>0</v>
      </c>
      <c r="K34" s="50">
        <v>1</v>
      </c>
      <c r="L34" s="51">
        <v>20</v>
      </c>
      <c r="M34" s="52" t="s">
        <v>250</v>
      </c>
    </row>
    <row r="35" spans="1:13" s="5" customFormat="1" ht="31.5" customHeight="1" x14ac:dyDescent="0.2">
      <c r="A35" s="13" t="s">
        <v>223</v>
      </c>
      <c r="B35" s="13" t="s">
        <v>42</v>
      </c>
      <c r="C35" s="13" t="s">
        <v>43</v>
      </c>
      <c r="D35" s="58">
        <v>1</v>
      </c>
      <c r="E35" s="50">
        <v>20</v>
      </c>
      <c r="F35" s="11">
        <v>45920</v>
      </c>
      <c r="G35" s="10">
        <v>0.375</v>
      </c>
      <c r="H35" s="13">
        <v>45900</v>
      </c>
      <c r="I35" s="12">
        <v>0.81944444444444442</v>
      </c>
      <c r="J35" s="53">
        <f t="shared" si="0"/>
        <v>0</v>
      </c>
      <c r="K35" s="50">
        <v>1</v>
      </c>
      <c r="L35" s="51">
        <v>20</v>
      </c>
      <c r="M35" s="52" t="s">
        <v>251</v>
      </c>
    </row>
    <row r="36" spans="1:13" s="5" customFormat="1" ht="26.45" customHeight="1" x14ac:dyDescent="0.2">
      <c r="A36" s="13" t="s">
        <v>193</v>
      </c>
      <c r="B36" s="13" t="s">
        <v>30</v>
      </c>
      <c r="C36" s="13" t="s">
        <v>31</v>
      </c>
      <c r="D36" s="58">
        <v>1</v>
      </c>
      <c r="E36" s="50">
        <v>30</v>
      </c>
      <c r="F36" s="11">
        <v>45921</v>
      </c>
      <c r="G36" s="10">
        <v>0.375</v>
      </c>
      <c r="H36" s="13">
        <v>45902</v>
      </c>
      <c r="I36" s="12">
        <v>0.875</v>
      </c>
      <c r="J36" s="53">
        <f t="shared" si="0"/>
        <v>5</v>
      </c>
      <c r="K36" s="50">
        <v>1</v>
      </c>
      <c r="L36" s="68">
        <v>25</v>
      </c>
      <c r="M36" s="52" t="s">
        <v>192</v>
      </c>
    </row>
    <row r="37" spans="1:13" s="5" customFormat="1" ht="29.1" customHeight="1" x14ac:dyDescent="0.2">
      <c r="A37" s="13" t="s">
        <v>194</v>
      </c>
      <c r="B37" s="13" t="s">
        <v>42</v>
      </c>
      <c r="C37" s="13" t="s">
        <v>43</v>
      </c>
      <c r="D37" s="58">
        <v>1</v>
      </c>
      <c r="E37" s="50">
        <v>30</v>
      </c>
      <c r="F37" s="11">
        <v>45922</v>
      </c>
      <c r="G37" s="10">
        <v>0.375</v>
      </c>
      <c r="H37" s="13">
        <v>45900</v>
      </c>
      <c r="I37" s="12">
        <v>0.84027777777777779</v>
      </c>
      <c r="J37" s="53">
        <f t="shared" si="0"/>
        <v>0</v>
      </c>
      <c r="K37" s="50">
        <v>1</v>
      </c>
      <c r="L37" s="51">
        <v>30</v>
      </c>
      <c r="M37" s="52" t="s">
        <v>195</v>
      </c>
    </row>
    <row r="38" spans="1:13" s="5" customFormat="1" ht="31.5" customHeight="1" x14ac:dyDescent="0.2">
      <c r="A38" s="13" t="s">
        <v>198</v>
      </c>
      <c r="B38" s="13" t="s">
        <v>36</v>
      </c>
      <c r="C38" s="13" t="s">
        <v>37</v>
      </c>
      <c r="D38" s="58">
        <v>1</v>
      </c>
      <c r="E38" s="50">
        <v>30</v>
      </c>
      <c r="F38" s="11">
        <v>45923</v>
      </c>
      <c r="G38" s="10">
        <v>0.375</v>
      </c>
      <c r="H38" s="13">
        <v>45899</v>
      </c>
      <c r="I38" s="12">
        <v>0.85416666666666663</v>
      </c>
      <c r="J38" s="53">
        <f t="shared" si="0"/>
        <v>5</v>
      </c>
      <c r="K38" s="50">
        <v>1</v>
      </c>
      <c r="L38" s="51">
        <v>25</v>
      </c>
      <c r="M38" s="52" t="s">
        <v>196</v>
      </c>
    </row>
    <row r="39" spans="1:13" s="5" customFormat="1" ht="26.1" customHeight="1" x14ac:dyDescent="0.2">
      <c r="A39" s="13" t="s">
        <v>197</v>
      </c>
      <c r="B39" s="13" t="s">
        <v>21</v>
      </c>
      <c r="C39" s="13" t="s">
        <v>22</v>
      </c>
      <c r="D39" s="58">
        <v>1</v>
      </c>
      <c r="E39" s="50">
        <v>30</v>
      </c>
      <c r="F39" s="11">
        <v>45924</v>
      </c>
      <c r="G39" s="10">
        <v>0.375</v>
      </c>
      <c r="H39" s="13">
        <v>45902</v>
      </c>
      <c r="I39" s="12">
        <v>0.88194444444444442</v>
      </c>
      <c r="J39" s="53">
        <f t="shared" si="0"/>
        <v>6</v>
      </c>
      <c r="K39" s="50">
        <v>1</v>
      </c>
      <c r="L39" s="51">
        <v>24</v>
      </c>
      <c r="M39" s="52" t="s">
        <v>199</v>
      </c>
    </row>
    <row r="40" spans="1:13" s="5" customFormat="1" ht="27" customHeight="1" x14ac:dyDescent="0.2">
      <c r="A40" s="13" t="s">
        <v>200</v>
      </c>
      <c r="B40" s="13" t="s">
        <v>136</v>
      </c>
      <c r="C40" s="13" t="s">
        <v>34</v>
      </c>
      <c r="D40" s="58">
        <v>1</v>
      </c>
      <c r="E40" s="50">
        <v>30</v>
      </c>
      <c r="F40" s="11">
        <v>45925</v>
      </c>
      <c r="G40" s="10">
        <v>0.375</v>
      </c>
      <c r="H40" s="13">
        <v>45900</v>
      </c>
      <c r="I40" s="12">
        <v>0.85069444444444442</v>
      </c>
      <c r="J40" s="53">
        <f t="shared" ref="J40:J61" si="1">E40-L40</f>
        <v>7</v>
      </c>
      <c r="K40" s="50">
        <v>1</v>
      </c>
      <c r="L40" s="51">
        <v>23</v>
      </c>
      <c r="M40" s="52" t="s">
        <v>201</v>
      </c>
    </row>
    <row r="41" spans="1:13" s="5" customFormat="1" ht="27" customHeight="1" x14ac:dyDescent="0.2">
      <c r="A41" s="13" t="s">
        <v>202</v>
      </c>
      <c r="B41" s="13" t="s">
        <v>39</v>
      </c>
      <c r="C41" s="13" t="s">
        <v>40</v>
      </c>
      <c r="D41" s="58">
        <v>1</v>
      </c>
      <c r="E41" s="50">
        <v>30</v>
      </c>
      <c r="F41" s="11">
        <v>45926</v>
      </c>
      <c r="G41" s="10">
        <v>0.375</v>
      </c>
      <c r="H41" s="13">
        <v>45902</v>
      </c>
      <c r="I41" s="12">
        <v>0.88888888888888884</v>
      </c>
      <c r="J41" s="53">
        <f t="shared" si="1"/>
        <v>4</v>
      </c>
      <c r="K41" s="50">
        <v>1</v>
      </c>
      <c r="L41" s="51">
        <v>26</v>
      </c>
      <c r="M41" s="52" t="s">
        <v>203</v>
      </c>
    </row>
    <row r="42" spans="1:13" s="5" customFormat="1" ht="40.5" customHeight="1" x14ac:dyDescent="0.2">
      <c r="A42" s="107" t="s">
        <v>471</v>
      </c>
      <c r="B42" s="53" t="s">
        <v>36</v>
      </c>
      <c r="C42" s="53" t="s">
        <v>37</v>
      </c>
      <c r="D42" s="53">
        <v>1</v>
      </c>
      <c r="E42" s="53">
        <v>30</v>
      </c>
      <c r="F42" s="80">
        <v>45927</v>
      </c>
      <c r="G42" s="81">
        <v>0.375</v>
      </c>
      <c r="H42" s="80">
        <v>45902</v>
      </c>
      <c r="I42" s="81">
        <v>0.79166666666666663</v>
      </c>
      <c r="J42" s="87">
        <f t="shared" si="1"/>
        <v>0</v>
      </c>
      <c r="K42" s="53">
        <v>3</v>
      </c>
      <c r="L42" s="53">
        <v>30</v>
      </c>
      <c r="M42" s="79" t="s">
        <v>472</v>
      </c>
    </row>
    <row r="43" spans="1:13" s="5" customFormat="1" ht="38.25" customHeight="1" x14ac:dyDescent="0.2">
      <c r="A43" s="13" t="s">
        <v>204</v>
      </c>
      <c r="B43" s="13" t="s">
        <v>39</v>
      </c>
      <c r="C43" s="13" t="s">
        <v>40</v>
      </c>
      <c r="D43" s="58">
        <v>1</v>
      </c>
      <c r="E43" s="50">
        <v>60</v>
      </c>
      <c r="F43" s="11">
        <v>45927</v>
      </c>
      <c r="G43" s="10">
        <v>0.375</v>
      </c>
      <c r="H43" s="13">
        <v>45902</v>
      </c>
      <c r="I43" s="12">
        <v>0.93055555555555558</v>
      </c>
      <c r="J43" s="53">
        <f t="shared" si="1"/>
        <v>-2</v>
      </c>
      <c r="K43" s="50">
        <v>1</v>
      </c>
      <c r="L43" s="51">
        <v>62</v>
      </c>
      <c r="M43" s="52" t="s">
        <v>205</v>
      </c>
    </row>
    <row r="44" spans="1:13" s="5" customFormat="1" ht="38.25" customHeight="1" x14ac:dyDescent="0.2">
      <c r="A44" s="23" t="s">
        <v>146</v>
      </c>
      <c r="B44" s="11" t="s">
        <v>30</v>
      </c>
      <c r="C44" s="62" t="s">
        <v>207</v>
      </c>
      <c r="D44" s="66">
        <v>1</v>
      </c>
      <c r="E44" s="9">
        <v>60</v>
      </c>
      <c r="F44" s="11">
        <v>45903</v>
      </c>
      <c r="G44" s="10">
        <v>0.375</v>
      </c>
      <c r="H44" s="11">
        <v>45902</v>
      </c>
      <c r="I44" s="10">
        <v>0.91666666666666663</v>
      </c>
      <c r="J44" s="9">
        <f t="shared" si="1"/>
        <v>50</v>
      </c>
      <c r="K44" s="65">
        <v>1</v>
      </c>
      <c r="L44" s="69">
        <v>10</v>
      </c>
      <c r="M44" s="6" t="s">
        <v>149</v>
      </c>
    </row>
    <row r="45" spans="1:13" s="5" customFormat="1" ht="27" customHeight="1" x14ac:dyDescent="0.2">
      <c r="A45" s="23" t="s">
        <v>146</v>
      </c>
      <c r="B45" s="11" t="s">
        <v>42</v>
      </c>
      <c r="C45" s="11" t="s">
        <v>77</v>
      </c>
      <c r="D45" s="66">
        <v>1</v>
      </c>
      <c r="E45" s="9">
        <v>60</v>
      </c>
      <c r="F45" s="11">
        <v>45903</v>
      </c>
      <c r="G45" s="10">
        <v>0.375</v>
      </c>
      <c r="H45" s="11">
        <v>45902</v>
      </c>
      <c r="I45" s="10">
        <v>0.91666666666666663</v>
      </c>
      <c r="J45" s="9">
        <f t="shared" si="1"/>
        <v>50</v>
      </c>
      <c r="K45" s="65">
        <v>1</v>
      </c>
      <c r="L45" s="7">
        <v>10</v>
      </c>
      <c r="M45" s="6" t="s">
        <v>149</v>
      </c>
    </row>
    <row r="46" spans="1:13" s="5" customFormat="1" ht="33" customHeight="1" x14ac:dyDescent="0.2">
      <c r="A46" s="23" t="s">
        <v>146</v>
      </c>
      <c r="B46" s="11" t="s">
        <v>21</v>
      </c>
      <c r="C46" s="11" t="s">
        <v>22</v>
      </c>
      <c r="D46" s="66">
        <v>1</v>
      </c>
      <c r="E46" s="9">
        <v>60</v>
      </c>
      <c r="F46" s="11">
        <v>45903</v>
      </c>
      <c r="G46" s="10">
        <v>0.375</v>
      </c>
      <c r="H46" s="11">
        <v>45902</v>
      </c>
      <c r="I46" s="10">
        <v>0.91666666666666663</v>
      </c>
      <c r="J46" s="9">
        <f t="shared" si="1"/>
        <v>50</v>
      </c>
      <c r="K46" s="65">
        <v>1</v>
      </c>
      <c r="L46" s="7">
        <v>10</v>
      </c>
      <c r="M46" s="6" t="s">
        <v>149</v>
      </c>
    </row>
    <row r="47" spans="1:13" s="5" customFormat="1" ht="33.75" customHeight="1" x14ac:dyDescent="0.2">
      <c r="A47" s="23" t="s">
        <v>146</v>
      </c>
      <c r="B47" s="11" t="s">
        <v>136</v>
      </c>
      <c r="C47" s="11" t="s">
        <v>151</v>
      </c>
      <c r="D47" s="66">
        <v>1</v>
      </c>
      <c r="E47" s="9">
        <v>60</v>
      </c>
      <c r="F47" s="11">
        <v>45903</v>
      </c>
      <c r="G47" s="10">
        <v>0.375</v>
      </c>
      <c r="H47" s="11">
        <v>45902</v>
      </c>
      <c r="I47" s="10">
        <v>0.91666666666666663</v>
      </c>
      <c r="J47" s="9">
        <f t="shared" si="1"/>
        <v>50</v>
      </c>
      <c r="K47" s="65">
        <v>1</v>
      </c>
      <c r="L47" s="7">
        <v>10</v>
      </c>
      <c r="M47" s="6" t="s">
        <v>149</v>
      </c>
    </row>
    <row r="48" spans="1:13" s="5" customFormat="1" ht="27" customHeight="1" x14ac:dyDescent="0.2">
      <c r="A48" s="23" t="s">
        <v>146</v>
      </c>
      <c r="B48" s="11" t="s">
        <v>36</v>
      </c>
      <c r="C48" s="11" t="s">
        <v>80</v>
      </c>
      <c r="D48" s="66">
        <v>1</v>
      </c>
      <c r="E48" s="9">
        <v>60</v>
      </c>
      <c r="F48" s="11">
        <v>45903</v>
      </c>
      <c r="G48" s="10">
        <v>0.375</v>
      </c>
      <c r="H48" s="11">
        <v>45902</v>
      </c>
      <c r="I48" s="10">
        <v>0.91666666666666663</v>
      </c>
      <c r="J48" s="9">
        <f t="shared" si="1"/>
        <v>50</v>
      </c>
      <c r="K48" s="65">
        <v>1</v>
      </c>
      <c r="L48" s="7">
        <v>10</v>
      </c>
      <c r="M48" s="6" t="s">
        <v>149</v>
      </c>
    </row>
    <row r="49" spans="1:13" s="5" customFormat="1" ht="26.1" customHeight="1" x14ac:dyDescent="0.2">
      <c r="A49" s="23" t="s">
        <v>146</v>
      </c>
      <c r="B49" s="11" t="s">
        <v>39</v>
      </c>
      <c r="C49" s="11" t="s">
        <v>150</v>
      </c>
      <c r="D49" s="66">
        <v>1</v>
      </c>
      <c r="E49" s="9">
        <v>60</v>
      </c>
      <c r="F49" s="11">
        <v>45903</v>
      </c>
      <c r="G49" s="10">
        <v>0.375</v>
      </c>
      <c r="H49" s="11">
        <v>45902</v>
      </c>
      <c r="I49" s="10">
        <v>0.91666666666666663</v>
      </c>
      <c r="J49" s="9">
        <f t="shared" si="1"/>
        <v>50</v>
      </c>
      <c r="K49" s="65">
        <v>1</v>
      </c>
      <c r="L49" s="7">
        <v>10</v>
      </c>
      <c r="M49" s="6" t="s">
        <v>149</v>
      </c>
    </row>
    <row r="50" spans="1:13" s="5" customFormat="1" ht="24.95" customHeight="1" x14ac:dyDescent="0.2">
      <c r="A50" s="23" t="s">
        <v>52</v>
      </c>
      <c r="B50" s="21" t="s">
        <v>21</v>
      </c>
      <c r="C50" s="63" t="s">
        <v>22</v>
      </c>
      <c r="D50" s="66">
        <v>1</v>
      </c>
      <c r="E50" s="9">
        <v>30</v>
      </c>
      <c r="F50" s="11">
        <v>45903</v>
      </c>
      <c r="G50" s="10">
        <v>0.375</v>
      </c>
      <c r="H50" s="11">
        <v>45902</v>
      </c>
      <c r="I50" s="10">
        <v>0.91666666666666663</v>
      </c>
      <c r="J50" s="9">
        <f t="shared" si="1"/>
        <v>0</v>
      </c>
      <c r="K50" s="65">
        <v>1</v>
      </c>
      <c r="L50" s="7">
        <v>30</v>
      </c>
      <c r="M50" s="6" t="s">
        <v>53</v>
      </c>
    </row>
    <row r="51" spans="1:13" s="5" customFormat="1" ht="22.5" customHeight="1" x14ac:dyDescent="0.2">
      <c r="A51" s="23" t="s">
        <v>153</v>
      </c>
      <c r="B51" s="21" t="s">
        <v>36</v>
      </c>
      <c r="C51" s="63" t="s">
        <v>37</v>
      </c>
      <c r="D51" s="66">
        <v>1</v>
      </c>
      <c r="E51" s="64">
        <v>30</v>
      </c>
      <c r="F51" s="11">
        <v>45903</v>
      </c>
      <c r="G51" s="10">
        <v>0.375</v>
      </c>
      <c r="H51" s="11">
        <v>45902</v>
      </c>
      <c r="I51" s="10">
        <v>0.91666666666666663</v>
      </c>
      <c r="J51" s="9">
        <f t="shared" si="1"/>
        <v>0</v>
      </c>
      <c r="K51" s="65">
        <v>1</v>
      </c>
      <c r="L51" s="7">
        <v>30</v>
      </c>
      <c r="M51" s="6" t="s">
        <v>53</v>
      </c>
    </row>
    <row r="52" spans="1:13" s="5" customFormat="1" ht="35.450000000000003" customHeight="1" x14ac:dyDescent="0.2">
      <c r="A52" s="23" t="s">
        <v>79</v>
      </c>
      <c r="B52" s="11" t="s">
        <v>36</v>
      </c>
      <c r="C52" s="62" t="s">
        <v>37</v>
      </c>
      <c r="D52" s="66">
        <v>1</v>
      </c>
      <c r="E52" s="9">
        <v>45</v>
      </c>
      <c r="F52" s="11">
        <v>45903</v>
      </c>
      <c r="G52" s="10">
        <v>0.375</v>
      </c>
      <c r="H52" s="11">
        <v>45902</v>
      </c>
      <c r="I52" s="10">
        <v>0.9375</v>
      </c>
      <c r="J52" s="9">
        <f t="shared" si="1"/>
        <v>-35</v>
      </c>
      <c r="K52" s="65">
        <v>1</v>
      </c>
      <c r="L52" s="7">
        <v>80</v>
      </c>
      <c r="M52" s="6" t="s">
        <v>81</v>
      </c>
    </row>
    <row r="53" spans="1:13" s="5" customFormat="1" ht="36.6" customHeight="1" x14ac:dyDescent="0.2">
      <c r="A53" s="23" t="s">
        <v>85</v>
      </c>
      <c r="B53" s="11" t="s">
        <v>21</v>
      </c>
      <c r="C53" s="62" t="s">
        <v>22</v>
      </c>
      <c r="D53" s="66">
        <v>1</v>
      </c>
      <c r="E53" s="9">
        <v>60</v>
      </c>
      <c r="F53" s="11">
        <v>45903</v>
      </c>
      <c r="G53" s="10">
        <v>0.375</v>
      </c>
      <c r="H53" s="11">
        <v>45902</v>
      </c>
      <c r="I53" s="10">
        <v>0.9375</v>
      </c>
      <c r="J53" s="9">
        <f t="shared" si="1"/>
        <v>10</v>
      </c>
      <c r="K53" s="65">
        <v>1</v>
      </c>
      <c r="L53" s="7">
        <v>50</v>
      </c>
      <c r="M53" s="6" t="s">
        <v>87</v>
      </c>
    </row>
    <row r="54" spans="1:13" s="5" customFormat="1" ht="36.6" customHeight="1" x14ac:dyDescent="0.2">
      <c r="A54" s="23" t="s">
        <v>88</v>
      </c>
      <c r="B54" s="11" t="s">
        <v>21</v>
      </c>
      <c r="C54" s="11" t="s">
        <v>22</v>
      </c>
      <c r="D54" s="66">
        <v>1</v>
      </c>
      <c r="E54" s="9">
        <v>55</v>
      </c>
      <c r="F54" s="11">
        <v>45903</v>
      </c>
      <c r="G54" s="10">
        <v>0.375</v>
      </c>
      <c r="H54" s="11">
        <v>45902</v>
      </c>
      <c r="I54" s="10">
        <v>0.9375</v>
      </c>
      <c r="J54" s="9">
        <f t="shared" si="1"/>
        <v>0</v>
      </c>
      <c r="K54" s="65">
        <v>1</v>
      </c>
      <c r="L54" s="7">
        <v>55</v>
      </c>
      <c r="M54" s="6" t="s">
        <v>89</v>
      </c>
    </row>
    <row r="55" spans="1:13" s="5" customFormat="1" ht="35.450000000000003" customHeight="1" x14ac:dyDescent="0.2">
      <c r="A55" s="33" t="s">
        <v>131</v>
      </c>
      <c r="B55" s="11" t="s">
        <v>36</v>
      </c>
      <c r="C55" s="11" t="s">
        <v>37</v>
      </c>
      <c r="D55" s="9">
        <v>1</v>
      </c>
      <c r="E55" s="9">
        <v>30</v>
      </c>
      <c r="F55" s="11">
        <v>45903</v>
      </c>
      <c r="G55" s="10">
        <v>0.375</v>
      </c>
      <c r="H55" s="11">
        <v>45902</v>
      </c>
      <c r="I55" s="10">
        <v>0.9375</v>
      </c>
      <c r="J55" s="9">
        <f t="shared" si="1"/>
        <v>-2</v>
      </c>
      <c r="K55" s="65">
        <v>1</v>
      </c>
      <c r="L55" s="7">
        <v>32</v>
      </c>
      <c r="M55" s="6" t="s">
        <v>132</v>
      </c>
    </row>
    <row r="56" spans="1:13" s="5" customFormat="1" ht="35.450000000000003" customHeight="1" x14ac:dyDescent="0.2">
      <c r="A56" s="33" t="s">
        <v>131</v>
      </c>
      <c r="B56" s="11" t="s">
        <v>42</v>
      </c>
      <c r="C56" s="11" t="s">
        <v>43</v>
      </c>
      <c r="D56" s="9">
        <v>1</v>
      </c>
      <c r="E56" s="9">
        <v>30</v>
      </c>
      <c r="F56" s="11">
        <v>45903</v>
      </c>
      <c r="G56" s="10">
        <v>0.375</v>
      </c>
      <c r="H56" s="11">
        <v>45902</v>
      </c>
      <c r="I56" s="10">
        <v>0.9375</v>
      </c>
      <c r="J56" s="9">
        <f t="shared" si="1"/>
        <v>-2</v>
      </c>
      <c r="K56" s="65">
        <v>1</v>
      </c>
      <c r="L56" s="7">
        <v>32</v>
      </c>
      <c r="M56" s="6" t="s">
        <v>132</v>
      </c>
    </row>
    <row r="57" spans="1:13" s="5" customFormat="1" ht="35.450000000000003" customHeight="1" x14ac:dyDescent="0.2">
      <c r="A57" s="33" t="s">
        <v>131</v>
      </c>
      <c r="B57" s="11" t="s">
        <v>30</v>
      </c>
      <c r="C57" s="11" t="s">
        <v>31</v>
      </c>
      <c r="D57" s="9">
        <v>1</v>
      </c>
      <c r="E57" s="9">
        <v>30</v>
      </c>
      <c r="F57" s="11">
        <v>45903</v>
      </c>
      <c r="G57" s="10">
        <v>0.375</v>
      </c>
      <c r="H57" s="11">
        <v>45902</v>
      </c>
      <c r="I57" s="10">
        <v>0.9375</v>
      </c>
      <c r="J57" s="9">
        <f t="shared" si="1"/>
        <v>-2</v>
      </c>
      <c r="K57" s="65">
        <v>1</v>
      </c>
      <c r="L57" s="69">
        <v>32</v>
      </c>
      <c r="M57" s="6" t="s">
        <v>132</v>
      </c>
    </row>
    <row r="58" spans="1:13" s="5" customFormat="1" ht="35.450000000000003" customHeight="1" x14ac:dyDescent="0.2">
      <c r="A58" s="33" t="s">
        <v>131</v>
      </c>
      <c r="B58" s="11" t="s">
        <v>21</v>
      </c>
      <c r="C58" s="11" t="s">
        <v>22</v>
      </c>
      <c r="D58" s="9">
        <v>1</v>
      </c>
      <c r="E58" s="9">
        <v>30</v>
      </c>
      <c r="F58" s="11">
        <v>45903</v>
      </c>
      <c r="G58" s="10">
        <v>0.375</v>
      </c>
      <c r="H58" s="11">
        <v>45902</v>
      </c>
      <c r="I58" s="10">
        <v>0.9375</v>
      </c>
      <c r="J58" s="9">
        <f t="shared" si="1"/>
        <v>-2</v>
      </c>
      <c r="K58" s="65">
        <v>1</v>
      </c>
      <c r="L58" s="7">
        <v>32</v>
      </c>
      <c r="M58" s="6" t="s">
        <v>132</v>
      </c>
    </row>
    <row r="59" spans="1:13" s="5" customFormat="1" ht="35.450000000000003" customHeight="1" x14ac:dyDescent="0.2">
      <c r="A59" s="33" t="s">
        <v>131</v>
      </c>
      <c r="B59" s="11" t="s">
        <v>136</v>
      </c>
      <c r="C59" s="11" t="s">
        <v>34</v>
      </c>
      <c r="D59" s="9">
        <v>1</v>
      </c>
      <c r="E59" s="9">
        <v>30</v>
      </c>
      <c r="F59" s="11">
        <v>45903</v>
      </c>
      <c r="G59" s="10">
        <v>0.375</v>
      </c>
      <c r="H59" s="11">
        <v>45902</v>
      </c>
      <c r="I59" s="10">
        <v>0.9375</v>
      </c>
      <c r="J59" s="9">
        <f t="shared" si="1"/>
        <v>-2</v>
      </c>
      <c r="K59" s="65">
        <v>1</v>
      </c>
      <c r="L59" s="7">
        <v>32</v>
      </c>
      <c r="M59" s="6" t="s">
        <v>132</v>
      </c>
    </row>
    <row r="60" spans="1:13" s="5" customFormat="1" ht="35.450000000000003" customHeight="1" x14ac:dyDescent="0.2">
      <c r="A60" s="33" t="s">
        <v>131</v>
      </c>
      <c r="B60" s="11" t="s">
        <v>39</v>
      </c>
      <c r="C60" s="11" t="s">
        <v>40</v>
      </c>
      <c r="D60" s="9">
        <v>1</v>
      </c>
      <c r="E60" s="9">
        <v>30</v>
      </c>
      <c r="F60" s="11">
        <v>45903</v>
      </c>
      <c r="G60" s="10">
        <v>0.375</v>
      </c>
      <c r="H60" s="11">
        <v>45902</v>
      </c>
      <c r="I60" s="10">
        <v>0.9375</v>
      </c>
      <c r="J60" s="9">
        <f t="shared" si="1"/>
        <v>-2</v>
      </c>
      <c r="K60" s="65">
        <v>1</v>
      </c>
      <c r="L60" s="7">
        <v>32</v>
      </c>
      <c r="M60" s="6" t="s">
        <v>132</v>
      </c>
    </row>
    <row r="61" spans="1:13" s="5" customFormat="1" ht="35.450000000000003" customHeight="1" x14ac:dyDescent="0.2">
      <c r="A61" s="33" t="s">
        <v>133</v>
      </c>
      <c r="B61" s="11" t="s">
        <v>21</v>
      </c>
      <c r="C61" s="11" t="s">
        <v>22</v>
      </c>
      <c r="D61" s="9">
        <v>3</v>
      </c>
      <c r="E61" s="9">
        <v>20</v>
      </c>
      <c r="F61" s="11">
        <v>45903</v>
      </c>
      <c r="G61" s="10">
        <v>0.375</v>
      </c>
      <c r="H61" s="11">
        <v>45903</v>
      </c>
      <c r="I61" s="10">
        <v>0.375</v>
      </c>
      <c r="J61" s="9">
        <f t="shared" si="1"/>
        <v>5</v>
      </c>
      <c r="K61" s="65">
        <v>3</v>
      </c>
      <c r="L61" s="7">
        <v>15</v>
      </c>
      <c r="M61" s="6" t="s">
        <v>134</v>
      </c>
    </row>
    <row r="62" spans="1:13" s="5" customFormat="1" ht="35.450000000000003" customHeight="1" x14ac:dyDescent="0.2">
      <c r="A62"/>
      <c r="B62"/>
      <c r="C62"/>
      <c r="D62"/>
      <c r="E62"/>
      <c r="F62"/>
      <c r="G62"/>
      <c r="H62"/>
      <c r="I62"/>
      <c r="J62"/>
      <c r="K62"/>
      <c r="L62" s="2"/>
      <c r="M62"/>
    </row>
    <row r="63" spans="1:13" s="5" customFormat="1" ht="35.450000000000003" customHeight="1" x14ac:dyDescent="0.2">
      <c r="A63" s="72"/>
      <c r="B63" s="73"/>
      <c r="C63" s="73"/>
      <c r="D63" s="73"/>
      <c r="E63" s="74"/>
      <c r="F63" s="4"/>
      <c r="G63" s="4"/>
      <c r="H63" s="70" t="s">
        <v>210</v>
      </c>
      <c r="I63" t="s">
        <v>212</v>
      </c>
      <c r="J63" t="s">
        <v>213</v>
      </c>
      <c r="K63" t="s">
        <v>214</v>
      </c>
      <c r="L63" t="s">
        <v>215</v>
      </c>
      <c r="M63" s="1"/>
    </row>
    <row r="64" spans="1:13" s="5" customFormat="1" ht="35.450000000000003" customHeight="1" x14ac:dyDescent="0.2">
      <c r="A64" s="72"/>
      <c r="B64" s="75"/>
      <c r="C64" s="76"/>
      <c r="D64" s="75"/>
      <c r="E64" s="75"/>
      <c r="F64" s="4"/>
      <c r="G64" s="4"/>
      <c r="H64" s="71" t="s">
        <v>36</v>
      </c>
      <c r="I64" s="2">
        <v>329</v>
      </c>
      <c r="J64" s="2">
        <v>10</v>
      </c>
      <c r="K64" s="2">
        <v>355</v>
      </c>
      <c r="L64" s="2">
        <v>11</v>
      </c>
      <c r="M64" s="1"/>
    </row>
    <row r="65" spans="1:13" s="5" customFormat="1" ht="35.450000000000003" customHeight="1" x14ac:dyDescent="0.2">
      <c r="A65" s="4"/>
      <c r="B65" s="4"/>
      <c r="C65" s="4"/>
      <c r="D65" s="4"/>
      <c r="E65" s="4"/>
      <c r="F65" s="4"/>
      <c r="G65" s="4"/>
      <c r="H65" s="71" t="s">
        <v>39</v>
      </c>
      <c r="I65" s="2">
        <v>283</v>
      </c>
      <c r="J65" s="2">
        <v>13</v>
      </c>
      <c r="K65" s="2">
        <v>340</v>
      </c>
      <c r="L65" s="2">
        <v>13</v>
      </c>
      <c r="M65" s="1"/>
    </row>
    <row r="66" spans="1:13" s="5" customFormat="1" ht="35.450000000000003" customHeight="1" x14ac:dyDescent="0.2">
      <c r="A66" s="4"/>
      <c r="B66" s="4"/>
      <c r="C66" s="4"/>
      <c r="D66" s="4"/>
      <c r="E66" s="4"/>
      <c r="F66" s="4"/>
      <c r="G66" s="4"/>
      <c r="H66" s="71" t="s">
        <v>21</v>
      </c>
      <c r="I66" s="2">
        <v>350</v>
      </c>
      <c r="J66" s="2">
        <v>15</v>
      </c>
      <c r="K66" s="2">
        <v>435</v>
      </c>
      <c r="L66" s="2">
        <v>14</v>
      </c>
      <c r="M66" s="1"/>
    </row>
    <row r="67" spans="1:13" s="5" customFormat="1" ht="35.450000000000003" customHeight="1" x14ac:dyDescent="0.2">
      <c r="A67" s="4"/>
      <c r="B67" s="4"/>
      <c r="C67" s="4"/>
      <c r="D67" s="4"/>
      <c r="E67" s="4"/>
      <c r="F67" s="4"/>
      <c r="G67" s="4"/>
      <c r="H67" s="71" t="s">
        <v>136</v>
      </c>
      <c r="I67" s="2">
        <v>183</v>
      </c>
      <c r="J67" s="2">
        <v>8</v>
      </c>
      <c r="K67" s="2">
        <v>255</v>
      </c>
      <c r="L67" s="2">
        <v>8</v>
      </c>
      <c r="M67" s="1"/>
    </row>
    <row r="68" spans="1:13" s="5" customFormat="1" ht="37.5" customHeight="1" x14ac:dyDescent="0.2">
      <c r="A68" s="4"/>
      <c r="B68" s="4"/>
      <c r="C68" s="4"/>
      <c r="D68" s="4"/>
      <c r="E68" s="4"/>
      <c r="F68" s="4"/>
      <c r="G68" s="4"/>
      <c r="H68" s="71" t="s">
        <v>42</v>
      </c>
      <c r="I68" s="2">
        <v>187</v>
      </c>
      <c r="J68" s="2">
        <v>8</v>
      </c>
      <c r="K68" s="2">
        <v>240</v>
      </c>
      <c r="L68" s="2">
        <v>8</v>
      </c>
      <c r="M68" s="1"/>
    </row>
    <row r="69" spans="1:13" ht="28.5" customHeight="1" x14ac:dyDescent="0.2">
      <c r="H69" s="71" t="s">
        <v>30</v>
      </c>
      <c r="I69" s="2">
        <v>222</v>
      </c>
      <c r="J69" s="2">
        <v>9</v>
      </c>
      <c r="K69" s="2">
        <v>290</v>
      </c>
      <c r="L69" s="2">
        <v>9</v>
      </c>
    </row>
    <row r="70" spans="1:13" ht="30.75" customHeight="1" x14ac:dyDescent="0.2">
      <c r="H70" s="71" t="s">
        <v>211</v>
      </c>
      <c r="I70" s="2">
        <v>1554</v>
      </c>
      <c r="J70" s="2">
        <v>63</v>
      </c>
      <c r="K70" s="2">
        <v>1915</v>
      </c>
      <c r="L70" s="2">
        <v>63</v>
      </c>
    </row>
    <row r="71" spans="1:13" ht="26.25" customHeight="1" x14ac:dyDescent="0.2">
      <c r="H71"/>
      <c r="I71"/>
      <c r="J71"/>
      <c r="K71"/>
      <c r="L71"/>
    </row>
    <row r="72" spans="1:13" x14ac:dyDescent="0.2">
      <c r="H72"/>
      <c r="I72"/>
      <c r="J72"/>
      <c r="K72"/>
      <c r="L72"/>
    </row>
    <row r="73" spans="1:13" x14ac:dyDescent="0.2">
      <c r="H73"/>
      <c r="I73"/>
      <c r="J73"/>
    </row>
    <row r="74" spans="1:13" x14ac:dyDescent="0.2">
      <c r="H74"/>
      <c r="I74"/>
      <c r="J74"/>
    </row>
    <row r="75" spans="1:13" x14ac:dyDescent="0.2">
      <c r="H75"/>
      <c r="I75"/>
      <c r="J75"/>
    </row>
    <row r="76" spans="1:13" x14ac:dyDescent="0.2">
      <c r="H76"/>
      <c r="I76"/>
      <c r="J76"/>
    </row>
    <row r="77" spans="1:13" x14ac:dyDescent="0.2">
      <c r="H77"/>
      <c r="I77"/>
      <c r="J77"/>
    </row>
    <row r="78" spans="1:13" ht="21" customHeight="1" x14ac:dyDescent="0.2">
      <c r="H78"/>
      <c r="I78"/>
      <c r="J78"/>
    </row>
    <row r="82" ht="23.25" customHeight="1" x14ac:dyDescent="0.2"/>
    <row r="83" ht="19.5" customHeight="1" x14ac:dyDescent="0.2"/>
    <row r="84" ht="21" customHeight="1" x14ac:dyDescent="0.2"/>
    <row r="88" ht="18.75" customHeight="1" x14ac:dyDescent="0.2"/>
    <row r="93" ht="14.25" customHeight="1" x14ac:dyDescent="0.2"/>
    <row r="94" ht="18" customHeight="1" x14ac:dyDescent="0.2"/>
    <row r="97" spans="1:20" ht="18" customHeight="1" x14ac:dyDescent="0.2"/>
    <row r="100" spans="1:20" ht="19.5" customHeight="1" x14ac:dyDescent="0.2"/>
    <row r="101" spans="1:20" s="5" customFormat="1" ht="18.75" customHeight="1" x14ac:dyDescent="0.2">
      <c r="A101" s="4"/>
      <c r="B101" s="4"/>
      <c r="C101" s="4"/>
      <c r="D101" s="4"/>
      <c r="E101" s="4"/>
      <c r="F101" s="4"/>
      <c r="G101" s="4"/>
      <c r="H101" s="4"/>
      <c r="I101" s="3"/>
      <c r="J101" s="3"/>
      <c r="K101" s="2"/>
      <c r="L101" s="1"/>
      <c r="M101" s="1"/>
    </row>
    <row r="104" spans="1:20" ht="18" customHeight="1" x14ac:dyDescent="0.2"/>
    <row r="105" spans="1:20" x14ac:dyDescent="0.2">
      <c r="Q105" s="42" t="e">
        <f>SUM(#REF!)</f>
        <v>#REF!</v>
      </c>
      <c r="R105" s="42" t="e">
        <f>SUM(#REF!)</f>
        <v>#REF!</v>
      </c>
      <c r="S105" s="42" t="e">
        <f>SUM(#REF!)</f>
        <v>#REF!</v>
      </c>
      <c r="T105" s="42" t="e">
        <f>SUM(#REF!)</f>
        <v>#REF!</v>
      </c>
    </row>
    <row r="106" spans="1:20" ht="35.25" customHeight="1" x14ac:dyDescent="0.2"/>
    <row r="107" spans="1:20" ht="36.75" customHeight="1" x14ac:dyDescent="0.2"/>
    <row r="108" spans="1:20" ht="33.75" customHeight="1" x14ac:dyDescent="0.2"/>
    <row r="109" spans="1:20" s="4" customFormat="1" ht="26.25" customHeight="1" x14ac:dyDescent="0.2">
      <c r="I109" s="3"/>
      <c r="J109" s="3"/>
      <c r="K109" s="2"/>
      <c r="L109" s="1"/>
      <c r="M109" s="1"/>
      <c r="N109"/>
      <c r="O109"/>
      <c r="P109"/>
      <c r="Q109"/>
      <c r="R109"/>
      <c r="S109"/>
      <c r="T109"/>
    </row>
    <row r="110" spans="1:20" s="4" customFormat="1" ht="27.75" customHeight="1" x14ac:dyDescent="0.2">
      <c r="I110" s="3"/>
      <c r="J110" s="3"/>
      <c r="K110" s="2"/>
      <c r="L110" s="1"/>
      <c r="M110" s="1"/>
      <c r="N110"/>
      <c r="O110"/>
      <c r="P110"/>
      <c r="Q110"/>
      <c r="R110"/>
      <c r="S110"/>
      <c r="T110"/>
    </row>
    <row r="111" spans="1:20" s="4" customFormat="1" ht="40.5" customHeight="1" x14ac:dyDescent="0.2">
      <c r="I111" s="3"/>
      <c r="J111" s="3"/>
      <c r="K111" s="2"/>
      <c r="L111" s="1"/>
      <c r="M111" s="1"/>
      <c r="N111"/>
      <c r="O111"/>
      <c r="P111"/>
      <c r="Q111"/>
      <c r="R111"/>
      <c r="S111"/>
      <c r="T111"/>
    </row>
    <row r="129" ht="45" customHeight="1" x14ac:dyDescent="0.2"/>
  </sheetData>
  <autoFilter ref="A7:M61" xr:uid="{5B7D67D4-75FB-4C16-9305-1D644D75C1B8}"/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565EF-F1FF-41F8-AAD7-E089A582AB9E}">
  <dimension ref="A1:T146"/>
  <sheetViews>
    <sheetView topLeftCell="A68" zoomScale="84" zoomScaleNormal="76" workbookViewId="0">
      <selection activeCell="E74" sqref="E74"/>
    </sheetView>
  </sheetViews>
  <sheetFormatPr baseColWidth="10" defaultColWidth="11.42578125" defaultRowHeight="12.75" x14ac:dyDescent="0.2"/>
  <cols>
    <col min="1" max="1" width="18.7109375" style="4" bestFit="1" customWidth="1"/>
    <col min="2" max="2" width="21.5703125" style="4" bestFit="1" customWidth="1"/>
    <col min="3" max="3" width="45.42578125" style="4" bestFit="1" customWidth="1"/>
    <col min="4" max="4" width="21.28515625" style="4" bestFit="1" customWidth="1"/>
    <col min="5" max="5" width="21.570312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26"/>
      <c r="B1" s="128" t="s">
        <v>0</v>
      </c>
      <c r="C1" s="128"/>
      <c r="D1" s="128"/>
      <c r="E1" s="128"/>
      <c r="F1" s="128"/>
      <c r="G1" s="128"/>
      <c r="H1" s="128"/>
      <c r="I1" s="128"/>
      <c r="J1" s="128"/>
      <c r="K1" s="128"/>
      <c r="L1" s="130"/>
      <c r="M1" s="131"/>
    </row>
    <row r="2" spans="1:20" ht="20.25" customHeight="1" x14ac:dyDescent="0.2">
      <c r="A2" s="127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32"/>
      <c r="M2" s="133"/>
    </row>
    <row r="3" spans="1:20" ht="12.75" customHeight="1" x14ac:dyDescent="0.2">
      <c r="A3" s="134" t="s">
        <v>1</v>
      </c>
      <c r="B3" s="136" t="s">
        <v>2</v>
      </c>
      <c r="C3" s="136"/>
      <c r="D3" s="136"/>
      <c r="E3" s="136"/>
      <c r="F3" s="136"/>
      <c r="G3" s="136"/>
      <c r="H3" s="136"/>
      <c r="I3" s="136"/>
      <c r="J3" s="136"/>
      <c r="K3" s="136"/>
      <c r="L3" s="138" t="s">
        <v>3</v>
      </c>
      <c r="M3" s="139"/>
    </row>
    <row r="4" spans="1:20" ht="13.5" thickBot="1" x14ac:dyDescent="0.25">
      <c r="A4" s="135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22" t="s">
        <v>6</v>
      </c>
      <c r="C6" s="122"/>
      <c r="D6" s="122"/>
      <c r="E6" s="122"/>
      <c r="F6" s="122"/>
      <c r="G6" s="122"/>
      <c r="H6" s="123" t="s">
        <v>7</v>
      </c>
      <c r="I6" s="124"/>
      <c r="J6" s="124"/>
      <c r="K6" s="124"/>
      <c r="L6" s="125"/>
      <c r="M6" s="25"/>
    </row>
    <row r="7" spans="1:20" s="14" customFormat="1" ht="49.5" customHeight="1" x14ac:dyDescent="0.2">
      <c r="A7" s="18" cm="1">
        <f t="array" aca="1" ref="A7" ca="1">+A78+A1:L7+A7:L7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144</v>
      </c>
      <c r="B8" s="90" t="s">
        <v>30</v>
      </c>
      <c r="C8" s="90" t="s">
        <v>31</v>
      </c>
      <c r="D8" s="84">
        <v>1</v>
      </c>
      <c r="E8" s="8">
        <v>30</v>
      </c>
      <c r="F8" s="85">
        <v>45909</v>
      </c>
      <c r="G8" s="86">
        <v>0.375</v>
      </c>
      <c r="H8" s="85">
        <v>45905</v>
      </c>
      <c r="I8" s="86">
        <v>0.45833333333333331</v>
      </c>
      <c r="J8" s="87">
        <f>E8-L8</f>
        <v>0</v>
      </c>
      <c r="K8" s="8">
        <v>1</v>
      </c>
      <c r="L8" s="88">
        <v>30</v>
      </c>
      <c r="M8" s="91" t="s">
        <v>156</v>
      </c>
      <c r="Q8" s="83"/>
      <c r="R8" s="83"/>
      <c r="S8" s="83"/>
      <c r="T8" s="83"/>
    </row>
    <row r="9" spans="1:20" s="5" customFormat="1" ht="40.5" customHeight="1" x14ac:dyDescent="0.2">
      <c r="A9" s="23" t="s">
        <v>216</v>
      </c>
      <c r="B9" s="90" t="s">
        <v>36</v>
      </c>
      <c r="C9" s="85" t="s">
        <v>37</v>
      </c>
      <c r="D9" s="84">
        <v>1</v>
      </c>
      <c r="E9" s="49">
        <v>30</v>
      </c>
      <c r="F9" s="85">
        <v>45909</v>
      </c>
      <c r="G9" s="86">
        <v>0.375</v>
      </c>
      <c r="H9" s="85">
        <v>45905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75</v>
      </c>
      <c r="O9" s="5" t="s">
        <v>155</v>
      </c>
    </row>
    <row r="10" spans="1:20" s="5" customFormat="1" ht="39" customHeight="1" x14ac:dyDescent="0.2">
      <c r="A10" s="53" t="s">
        <v>252</v>
      </c>
      <c r="B10" s="95" t="s">
        <v>36</v>
      </c>
      <c r="C10" s="53" t="s">
        <v>37</v>
      </c>
      <c r="D10" s="53">
        <v>2</v>
      </c>
      <c r="E10" s="53">
        <v>30</v>
      </c>
      <c r="F10" s="80">
        <v>45909</v>
      </c>
      <c r="G10" s="81">
        <v>0.375</v>
      </c>
      <c r="H10" s="80">
        <v>45907</v>
      </c>
      <c r="I10" s="81">
        <v>0.52083333333333337</v>
      </c>
      <c r="J10" s="87">
        <f>E10-L10</f>
        <v>0</v>
      </c>
      <c r="K10" s="53">
        <v>2</v>
      </c>
      <c r="L10" s="53">
        <v>30</v>
      </c>
      <c r="M10" s="79" t="s">
        <v>253</v>
      </c>
    </row>
    <row r="11" spans="1:20" s="5" customFormat="1" ht="43.5" customHeight="1" x14ac:dyDescent="0.2">
      <c r="A11" s="53" t="s">
        <v>252</v>
      </c>
      <c r="B11" s="95" t="s">
        <v>42</v>
      </c>
      <c r="C11" s="53" t="s">
        <v>43</v>
      </c>
      <c r="D11" s="53">
        <v>2</v>
      </c>
      <c r="E11" s="53">
        <v>30</v>
      </c>
      <c r="F11" s="80">
        <v>45909</v>
      </c>
      <c r="G11" s="81">
        <v>0.375</v>
      </c>
      <c r="H11" s="80">
        <v>45907</v>
      </c>
      <c r="I11" s="81">
        <v>0.54166666666666663</v>
      </c>
      <c r="J11" s="87">
        <f t="shared" ref="J11:J74" si="0">E11-L11</f>
        <v>0</v>
      </c>
      <c r="K11" s="53">
        <v>2</v>
      </c>
      <c r="L11" s="53">
        <v>30</v>
      </c>
      <c r="M11" s="79" t="s">
        <v>253</v>
      </c>
    </row>
    <row r="12" spans="1:20" s="5" customFormat="1" ht="35.1" customHeight="1" x14ac:dyDescent="0.2">
      <c r="A12" s="53" t="s">
        <v>254</v>
      </c>
      <c r="B12" s="95" t="s">
        <v>36</v>
      </c>
      <c r="C12" s="53" t="s">
        <v>37</v>
      </c>
      <c r="D12" s="53">
        <v>1</v>
      </c>
      <c r="E12" s="53">
        <v>30</v>
      </c>
      <c r="F12" s="80">
        <v>45909</v>
      </c>
      <c r="G12" s="81">
        <v>0.375</v>
      </c>
      <c r="H12" s="80">
        <v>45907</v>
      </c>
      <c r="I12" s="81">
        <v>0.5625</v>
      </c>
      <c r="J12" s="87">
        <f t="shared" si="0"/>
        <v>0</v>
      </c>
      <c r="K12" s="53">
        <v>1</v>
      </c>
      <c r="L12" s="53">
        <v>30</v>
      </c>
      <c r="M12" s="79" t="s">
        <v>255</v>
      </c>
    </row>
    <row r="13" spans="1:20" s="5" customFormat="1" ht="35.1" customHeight="1" x14ac:dyDescent="0.2">
      <c r="A13" s="79" t="s">
        <v>254</v>
      </c>
      <c r="B13" s="95" t="s">
        <v>42</v>
      </c>
      <c r="C13" s="53" t="s">
        <v>43</v>
      </c>
      <c r="D13" s="53">
        <v>1</v>
      </c>
      <c r="E13" s="53">
        <v>30</v>
      </c>
      <c r="F13" s="80">
        <v>45909</v>
      </c>
      <c r="G13" s="81">
        <v>0.375</v>
      </c>
      <c r="H13" s="80">
        <v>45907</v>
      </c>
      <c r="I13" s="81">
        <v>0.58333333333333337</v>
      </c>
      <c r="J13" s="87">
        <f t="shared" si="0"/>
        <v>0</v>
      </c>
      <c r="K13" s="53">
        <v>2</v>
      </c>
      <c r="L13" s="53">
        <v>30</v>
      </c>
      <c r="M13" s="79" t="s">
        <v>255</v>
      </c>
    </row>
    <row r="14" spans="1:20" s="5" customFormat="1" ht="35.1" customHeight="1" x14ac:dyDescent="0.2">
      <c r="A14" s="53" t="s">
        <v>256</v>
      </c>
      <c r="B14" s="95" t="s">
        <v>36</v>
      </c>
      <c r="C14" s="53" t="s">
        <v>37</v>
      </c>
      <c r="D14" s="53">
        <v>2</v>
      </c>
      <c r="E14" s="53">
        <v>30</v>
      </c>
      <c r="F14" s="80">
        <v>45909</v>
      </c>
      <c r="G14" s="81">
        <v>0.375</v>
      </c>
      <c r="H14" s="80">
        <v>45907</v>
      </c>
      <c r="I14" s="81">
        <v>0.58333333333333337</v>
      </c>
      <c r="J14" s="53">
        <f t="shared" si="0"/>
        <v>0</v>
      </c>
      <c r="K14" s="53">
        <v>2</v>
      </c>
      <c r="L14" s="53">
        <v>30</v>
      </c>
      <c r="M14" s="79" t="s">
        <v>257</v>
      </c>
    </row>
    <row r="15" spans="1:20" s="5" customFormat="1" ht="35.1" customHeight="1" x14ac:dyDescent="0.2">
      <c r="A15" s="79" t="s">
        <v>256</v>
      </c>
      <c r="B15" s="95" t="s">
        <v>42</v>
      </c>
      <c r="C15" s="53" t="s">
        <v>43</v>
      </c>
      <c r="D15" s="53">
        <v>2</v>
      </c>
      <c r="E15" s="53">
        <v>30</v>
      </c>
      <c r="F15" s="80">
        <v>45909</v>
      </c>
      <c r="G15" s="81">
        <v>0.375</v>
      </c>
      <c r="H15" s="80">
        <v>45907</v>
      </c>
      <c r="I15" s="81">
        <v>0.58333333333333337</v>
      </c>
      <c r="J15" s="53">
        <f t="shared" si="0"/>
        <v>0</v>
      </c>
      <c r="K15" s="53">
        <v>2</v>
      </c>
      <c r="L15" s="53">
        <v>30</v>
      </c>
      <c r="M15" s="79" t="s">
        <v>257</v>
      </c>
    </row>
    <row r="16" spans="1:20" s="5" customFormat="1" ht="38.450000000000003" customHeight="1" x14ac:dyDescent="0.2">
      <c r="A16" s="79" t="s">
        <v>258</v>
      </c>
      <c r="B16" s="95" t="s">
        <v>36</v>
      </c>
      <c r="C16" s="53" t="s">
        <v>37</v>
      </c>
      <c r="D16" s="53">
        <v>2</v>
      </c>
      <c r="E16" s="53">
        <v>30</v>
      </c>
      <c r="F16" s="80">
        <v>45909</v>
      </c>
      <c r="G16" s="81">
        <v>0.375</v>
      </c>
      <c r="H16" s="80">
        <v>45907</v>
      </c>
      <c r="I16" s="81">
        <v>0.58333333333333337</v>
      </c>
      <c r="J16" s="53">
        <f t="shared" si="0"/>
        <v>0</v>
      </c>
      <c r="K16" s="53">
        <v>1</v>
      </c>
      <c r="L16" s="53">
        <v>30</v>
      </c>
      <c r="M16" s="79" t="s">
        <v>259</v>
      </c>
    </row>
    <row r="17" spans="1:13" s="5" customFormat="1" ht="30.75" customHeight="1" x14ac:dyDescent="0.2">
      <c r="A17" s="79" t="s">
        <v>258</v>
      </c>
      <c r="B17" s="95" t="s">
        <v>42</v>
      </c>
      <c r="C17" s="53" t="s">
        <v>43</v>
      </c>
      <c r="D17" s="53">
        <v>2</v>
      </c>
      <c r="E17" s="53">
        <v>30</v>
      </c>
      <c r="F17" s="80">
        <v>45909</v>
      </c>
      <c r="G17" s="81">
        <v>0.375</v>
      </c>
      <c r="H17" s="80">
        <v>45907</v>
      </c>
      <c r="I17" s="81">
        <v>0.58333333333333337</v>
      </c>
      <c r="J17" s="53">
        <f t="shared" si="0"/>
        <v>0</v>
      </c>
      <c r="K17" s="53">
        <v>1</v>
      </c>
      <c r="L17" s="53">
        <v>30</v>
      </c>
      <c r="M17" s="79" t="s">
        <v>259</v>
      </c>
    </row>
    <row r="18" spans="1:13" s="5" customFormat="1" ht="27" customHeight="1" x14ac:dyDescent="0.2">
      <c r="A18" s="53" t="s">
        <v>260</v>
      </c>
      <c r="B18" s="95" t="s">
        <v>36</v>
      </c>
      <c r="C18" s="53" t="s">
        <v>37</v>
      </c>
      <c r="D18" s="53">
        <v>1</v>
      </c>
      <c r="E18" s="53">
        <v>30</v>
      </c>
      <c r="F18" s="80">
        <v>45909</v>
      </c>
      <c r="G18" s="81">
        <v>0.375</v>
      </c>
      <c r="H18" s="80">
        <v>45907</v>
      </c>
      <c r="I18" s="81">
        <v>0.58333333333333337</v>
      </c>
      <c r="J18" s="53">
        <f t="shared" si="0"/>
        <v>0</v>
      </c>
      <c r="K18" s="53">
        <v>3</v>
      </c>
      <c r="L18" s="53">
        <v>30</v>
      </c>
      <c r="M18" s="79" t="s">
        <v>261</v>
      </c>
    </row>
    <row r="19" spans="1:13" s="5" customFormat="1" ht="38.25" customHeight="1" x14ac:dyDescent="0.2">
      <c r="A19" s="53" t="s">
        <v>260</v>
      </c>
      <c r="B19" s="95" t="s">
        <v>42</v>
      </c>
      <c r="C19" s="53" t="s">
        <v>43</v>
      </c>
      <c r="D19" s="53">
        <v>1</v>
      </c>
      <c r="E19" s="53">
        <v>30</v>
      </c>
      <c r="F19" s="80">
        <v>45909</v>
      </c>
      <c r="G19" s="81">
        <v>0.375</v>
      </c>
      <c r="H19" s="80">
        <v>45907</v>
      </c>
      <c r="I19" s="81">
        <v>0.58333333333333337</v>
      </c>
      <c r="J19" s="53">
        <f t="shared" si="0"/>
        <v>0</v>
      </c>
      <c r="K19" s="53">
        <v>2</v>
      </c>
      <c r="L19" s="53">
        <v>30</v>
      </c>
      <c r="M19" s="79" t="s">
        <v>261</v>
      </c>
    </row>
    <row r="20" spans="1:13" s="5" customFormat="1" ht="40.5" customHeight="1" x14ac:dyDescent="0.2">
      <c r="A20" s="53" t="s">
        <v>262</v>
      </c>
      <c r="B20" s="95" t="s">
        <v>36</v>
      </c>
      <c r="C20" s="53" t="s">
        <v>37</v>
      </c>
      <c r="D20" s="53">
        <v>1</v>
      </c>
      <c r="E20" s="53">
        <v>30</v>
      </c>
      <c r="F20" s="80">
        <v>45909</v>
      </c>
      <c r="G20" s="81">
        <v>0.375</v>
      </c>
      <c r="H20" s="80">
        <v>45907</v>
      </c>
      <c r="I20" s="81">
        <v>0.58333333333333337</v>
      </c>
      <c r="J20" s="53">
        <f t="shared" si="0"/>
        <v>0</v>
      </c>
      <c r="K20" s="53">
        <v>2</v>
      </c>
      <c r="L20" s="53">
        <v>30</v>
      </c>
      <c r="M20" s="79" t="s">
        <v>263</v>
      </c>
    </row>
    <row r="21" spans="1:13" s="5" customFormat="1" ht="27" customHeight="1" x14ac:dyDescent="0.2">
      <c r="A21" s="79" t="s">
        <v>262</v>
      </c>
      <c r="B21" s="95" t="s">
        <v>42</v>
      </c>
      <c r="C21" s="53" t="s">
        <v>43</v>
      </c>
      <c r="D21" s="53">
        <v>1</v>
      </c>
      <c r="E21" s="53">
        <v>30</v>
      </c>
      <c r="F21" s="80">
        <v>45909</v>
      </c>
      <c r="G21" s="81">
        <v>0.375</v>
      </c>
      <c r="H21" s="80">
        <v>45907</v>
      </c>
      <c r="I21" s="81">
        <v>0.58333333333333337</v>
      </c>
      <c r="J21" s="53">
        <f t="shared" si="0"/>
        <v>0</v>
      </c>
      <c r="K21" s="53">
        <v>1</v>
      </c>
      <c r="L21" s="53">
        <v>30</v>
      </c>
      <c r="M21" s="79" t="s">
        <v>263</v>
      </c>
    </row>
    <row r="22" spans="1:13" s="5" customFormat="1" ht="27" customHeight="1" x14ac:dyDescent="0.2">
      <c r="A22" s="79" t="s">
        <v>264</v>
      </c>
      <c r="B22" s="95" t="s">
        <v>36</v>
      </c>
      <c r="C22" s="53" t="s">
        <v>37</v>
      </c>
      <c r="D22" s="53">
        <v>1</v>
      </c>
      <c r="E22" s="53">
        <v>30</v>
      </c>
      <c r="F22" s="80">
        <v>45909</v>
      </c>
      <c r="G22" s="81">
        <v>0.375</v>
      </c>
      <c r="H22" s="80">
        <v>45907</v>
      </c>
      <c r="I22" s="81">
        <v>0.58333333333333337</v>
      </c>
      <c r="J22" s="53">
        <f t="shared" si="0"/>
        <v>0</v>
      </c>
      <c r="K22" s="53">
        <v>1</v>
      </c>
      <c r="L22" s="53">
        <v>30</v>
      </c>
      <c r="M22" s="79" t="s">
        <v>265</v>
      </c>
    </row>
    <row r="23" spans="1:13" s="5" customFormat="1" ht="27" customHeight="1" x14ac:dyDescent="0.2">
      <c r="A23" s="79" t="s">
        <v>264</v>
      </c>
      <c r="B23" s="95" t="s">
        <v>42</v>
      </c>
      <c r="C23" s="53" t="s">
        <v>43</v>
      </c>
      <c r="D23" s="53">
        <v>1</v>
      </c>
      <c r="E23" s="53">
        <v>30</v>
      </c>
      <c r="F23" s="80">
        <v>45909</v>
      </c>
      <c r="G23" s="81">
        <v>0.375</v>
      </c>
      <c r="H23" s="80">
        <v>45907</v>
      </c>
      <c r="I23" s="81">
        <v>0.58333333333333337</v>
      </c>
      <c r="J23" s="53">
        <f t="shared" si="0"/>
        <v>0</v>
      </c>
      <c r="K23" s="53">
        <v>1</v>
      </c>
      <c r="L23" s="53">
        <v>30</v>
      </c>
      <c r="M23" s="79" t="s">
        <v>265</v>
      </c>
    </row>
    <row r="24" spans="1:13" s="5" customFormat="1" ht="27" customHeight="1" x14ac:dyDescent="0.2">
      <c r="A24" s="79" t="s">
        <v>266</v>
      </c>
      <c r="B24" s="95" t="s">
        <v>36</v>
      </c>
      <c r="C24" s="53" t="s">
        <v>37</v>
      </c>
      <c r="D24" s="53">
        <v>1</v>
      </c>
      <c r="E24" s="53">
        <v>20</v>
      </c>
      <c r="F24" s="80">
        <v>45909</v>
      </c>
      <c r="G24" s="81">
        <v>0.375</v>
      </c>
      <c r="H24" s="80">
        <v>45907</v>
      </c>
      <c r="I24" s="81">
        <v>0.58333333333333337</v>
      </c>
      <c r="J24" s="53">
        <f t="shared" si="0"/>
        <v>-10</v>
      </c>
      <c r="K24" s="53">
        <v>1</v>
      </c>
      <c r="L24" s="53">
        <v>30</v>
      </c>
      <c r="M24" s="79" t="s">
        <v>267</v>
      </c>
    </row>
    <row r="25" spans="1:13" s="5" customFormat="1" ht="27" customHeight="1" x14ac:dyDescent="0.2">
      <c r="A25" s="79" t="s">
        <v>266</v>
      </c>
      <c r="B25" s="95" t="s">
        <v>42</v>
      </c>
      <c r="C25" s="53" t="s">
        <v>43</v>
      </c>
      <c r="D25" s="53">
        <v>1</v>
      </c>
      <c r="E25" s="53">
        <v>20</v>
      </c>
      <c r="F25" s="80">
        <v>45909</v>
      </c>
      <c r="G25" s="81">
        <v>0.375</v>
      </c>
      <c r="H25" s="80">
        <v>45907</v>
      </c>
      <c r="I25" s="81">
        <v>0.58333333333333337</v>
      </c>
      <c r="J25" s="53">
        <f t="shared" si="0"/>
        <v>-10</v>
      </c>
      <c r="K25" s="53">
        <v>1</v>
      </c>
      <c r="L25" s="53">
        <v>30</v>
      </c>
      <c r="M25" s="79" t="s">
        <v>267</v>
      </c>
    </row>
    <row r="26" spans="1:13" s="5" customFormat="1" ht="27" customHeight="1" x14ac:dyDescent="0.2">
      <c r="A26" s="79" t="s">
        <v>268</v>
      </c>
      <c r="B26" s="95" t="s">
        <v>36</v>
      </c>
      <c r="C26" s="53" t="s">
        <v>37</v>
      </c>
      <c r="D26" s="53">
        <v>1</v>
      </c>
      <c r="E26" s="53">
        <v>20</v>
      </c>
      <c r="F26" s="80">
        <v>45909</v>
      </c>
      <c r="G26" s="81">
        <v>0.375</v>
      </c>
      <c r="H26" s="80">
        <v>45907</v>
      </c>
      <c r="I26" s="81">
        <v>0.58333333333333337</v>
      </c>
      <c r="J26" s="53">
        <f t="shared" si="0"/>
        <v>-10</v>
      </c>
      <c r="K26" s="53">
        <v>1</v>
      </c>
      <c r="L26" s="53">
        <v>30</v>
      </c>
      <c r="M26" s="79" t="s">
        <v>269</v>
      </c>
    </row>
    <row r="27" spans="1:13" s="5" customFormat="1" ht="27" customHeight="1" x14ac:dyDescent="0.2">
      <c r="A27" s="79" t="s">
        <v>268</v>
      </c>
      <c r="B27" s="95" t="s">
        <v>42</v>
      </c>
      <c r="C27" s="53" t="s">
        <v>43</v>
      </c>
      <c r="D27" s="53">
        <v>1</v>
      </c>
      <c r="E27" s="53">
        <v>20</v>
      </c>
      <c r="F27" s="80">
        <v>45909</v>
      </c>
      <c r="G27" s="81">
        <v>0.375</v>
      </c>
      <c r="H27" s="80">
        <v>45907</v>
      </c>
      <c r="I27" s="81">
        <v>0.58333333333333337</v>
      </c>
      <c r="J27" s="53">
        <f t="shared" si="0"/>
        <v>0</v>
      </c>
      <c r="K27" s="53">
        <v>1</v>
      </c>
      <c r="L27" s="53">
        <v>20</v>
      </c>
      <c r="M27" s="79" t="s">
        <v>269</v>
      </c>
    </row>
    <row r="28" spans="1:13" s="5" customFormat="1" ht="27" customHeight="1" x14ac:dyDescent="0.2">
      <c r="A28" s="79" t="s">
        <v>270</v>
      </c>
      <c r="B28" s="95" t="s">
        <v>36</v>
      </c>
      <c r="C28" s="53" t="s">
        <v>37</v>
      </c>
      <c r="D28" s="53">
        <v>1</v>
      </c>
      <c r="E28" s="53">
        <v>20</v>
      </c>
      <c r="F28" s="80">
        <v>45909</v>
      </c>
      <c r="G28" s="81">
        <v>0.375</v>
      </c>
      <c r="H28" s="80">
        <v>45907</v>
      </c>
      <c r="I28" s="81">
        <v>0.58333333333333337</v>
      </c>
      <c r="J28" s="53">
        <f t="shared" si="0"/>
        <v>1</v>
      </c>
      <c r="K28" s="53">
        <v>2</v>
      </c>
      <c r="L28" s="53">
        <v>19</v>
      </c>
      <c r="M28" s="79" t="s">
        <v>273</v>
      </c>
    </row>
    <row r="29" spans="1:13" s="5" customFormat="1" ht="36.75" customHeight="1" x14ac:dyDescent="0.2">
      <c r="A29" s="79" t="s">
        <v>271</v>
      </c>
      <c r="B29" s="95" t="s">
        <v>42</v>
      </c>
      <c r="C29" s="53" t="s">
        <v>43</v>
      </c>
      <c r="D29" s="53">
        <v>1</v>
      </c>
      <c r="E29" s="53">
        <v>20</v>
      </c>
      <c r="F29" s="80">
        <v>45909</v>
      </c>
      <c r="G29" s="81">
        <v>0.375</v>
      </c>
      <c r="H29" s="80">
        <v>45907</v>
      </c>
      <c r="I29" s="81">
        <v>0.58333333333333337</v>
      </c>
      <c r="J29" s="53">
        <f t="shared" si="0"/>
        <v>0</v>
      </c>
      <c r="K29" s="53">
        <v>2</v>
      </c>
      <c r="L29" s="53">
        <v>20</v>
      </c>
      <c r="M29" s="79" t="s">
        <v>273</v>
      </c>
    </row>
    <row r="30" spans="1:13" s="5" customFormat="1" ht="37.5" customHeight="1" x14ac:dyDescent="0.2">
      <c r="A30" s="79" t="s">
        <v>272</v>
      </c>
      <c r="B30" s="95" t="s">
        <v>36</v>
      </c>
      <c r="C30" s="53" t="s">
        <v>37</v>
      </c>
      <c r="D30" s="53">
        <v>1</v>
      </c>
      <c r="E30" s="53">
        <v>15</v>
      </c>
      <c r="F30" s="80">
        <v>45909</v>
      </c>
      <c r="G30" s="81">
        <v>0.375</v>
      </c>
      <c r="H30" s="80">
        <v>45907</v>
      </c>
      <c r="I30" s="81">
        <v>0.58333333333333337</v>
      </c>
      <c r="J30" s="53">
        <f t="shared" si="0"/>
        <v>5</v>
      </c>
      <c r="K30" s="53">
        <v>1</v>
      </c>
      <c r="L30" s="53">
        <v>10</v>
      </c>
      <c r="M30" s="79" t="s">
        <v>274</v>
      </c>
    </row>
    <row r="31" spans="1:13" s="5" customFormat="1" ht="38.25" customHeight="1" x14ac:dyDescent="0.2">
      <c r="A31" s="79" t="s">
        <v>272</v>
      </c>
      <c r="B31" s="95" t="s">
        <v>42</v>
      </c>
      <c r="C31" s="53" t="s">
        <v>43</v>
      </c>
      <c r="D31" s="53">
        <v>1</v>
      </c>
      <c r="E31" s="53">
        <v>15</v>
      </c>
      <c r="F31" s="80">
        <v>45909</v>
      </c>
      <c r="G31" s="81">
        <v>0.375</v>
      </c>
      <c r="H31" s="80">
        <v>45907</v>
      </c>
      <c r="I31" s="81">
        <v>0.58333333333333337</v>
      </c>
      <c r="J31" s="53">
        <f t="shared" si="0"/>
        <v>5</v>
      </c>
      <c r="K31" s="53">
        <v>1</v>
      </c>
      <c r="L31" s="53">
        <v>10</v>
      </c>
      <c r="M31" s="79" t="s">
        <v>274</v>
      </c>
    </row>
    <row r="32" spans="1:13" s="5" customFormat="1" ht="36.75" customHeight="1" x14ac:dyDescent="0.2">
      <c r="A32" s="79" t="s">
        <v>275</v>
      </c>
      <c r="B32" s="95" t="s">
        <v>36</v>
      </c>
      <c r="C32" s="53" t="s">
        <v>37</v>
      </c>
      <c r="D32" s="53">
        <v>1</v>
      </c>
      <c r="E32" s="53">
        <v>20</v>
      </c>
      <c r="F32" s="80">
        <v>45909</v>
      </c>
      <c r="G32" s="81">
        <v>0.375</v>
      </c>
      <c r="H32" s="80">
        <v>45907</v>
      </c>
      <c r="I32" s="81">
        <v>0.58333333333333337</v>
      </c>
      <c r="J32" s="53">
        <f t="shared" si="0"/>
        <v>10</v>
      </c>
      <c r="K32" s="53">
        <v>1</v>
      </c>
      <c r="L32" s="53">
        <v>10</v>
      </c>
      <c r="M32" s="79" t="s">
        <v>276</v>
      </c>
    </row>
    <row r="33" spans="1:13" s="5" customFormat="1" ht="42" customHeight="1" x14ac:dyDescent="0.2">
      <c r="A33" s="79" t="s">
        <v>275</v>
      </c>
      <c r="B33" s="95" t="s">
        <v>42</v>
      </c>
      <c r="C33" s="53" t="s">
        <v>43</v>
      </c>
      <c r="D33" s="53">
        <v>1</v>
      </c>
      <c r="E33" s="53">
        <v>20</v>
      </c>
      <c r="F33" s="80">
        <v>45909</v>
      </c>
      <c r="G33" s="81">
        <v>0.375</v>
      </c>
      <c r="H33" s="80">
        <v>45907</v>
      </c>
      <c r="I33" s="81">
        <v>0.58333333333333337</v>
      </c>
      <c r="J33" s="53">
        <f t="shared" si="0"/>
        <v>10</v>
      </c>
      <c r="K33" s="53">
        <v>1</v>
      </c>
      <c r="L33" s="53">
        <v>10</v>
      </c>
      <c r="M33" s="79" t="s">
        <v>276</v>
      </c>
    </row>
    <row r="34" spans="1:13" s="5" customFormat="1" ht="39" customHeight="1" x14ac:dyDescent="0.2">
      <c r="A34" s="79" t="s">
        <v>277</v>
      </c>
      <c r="B34" s="95" t="s">
        <v>21</v>
      </c>
      <c r="C34" s="53" t="s">
        <v>22</v>
      </c>
      <c r="D34" s="53">
        <v>1</v>
      </c>
      <c r="E34" s="53">
        <v>55</v>
      </c>
      <c r="F34" s="80">
        <v>45909</v>
      </c>
      <c r="G34" s="81">
        <v>0.375</v>
      </c>
      <c r="H34" s="80">
        <v>45906</v>
      </c>
      <c r="I34" s="81">
        <v>0.35416666666666669</v>
      </c>
      <c r="J34" s="53">
        <f t="shared" si="0"/>
        <v>-5</v>
      </c>
      <c r="K34" s="53">
        <v>2</v>
      </c>
      <c r="L34" s="53">
        <v>60</v>
      </c>
      <c r="M34" s="79" t="s">
        <v>278</v>
      </c>
    </row>
    <row r="35" spans="1:13" s="5" customFormat="1" ht="42" customHeight="1" x14ac:dyDescent="0.2">
      <c r="A35" s="79" t="s">
        <v>277</v>
      </c>
      <c r="B35" s="95" t="s">
        <v>136</v>
      </c>
      <c r="C35" s="53" t="s">
        <v>34</v>
      </c>
      <c r="D35" s="53">
        <v>1</v>
      </c>
      <c r="E35" s="53">
        <v>55</v>
      </c>
      <c r="F35" s="80">
        <v>45909</v>
      </c>
      <c r="G35" s="81">
        <v>0.375</v>
      </c>
      <c r="H35" s="80">
        <v>45906</v>
      </c>
      <c r="I35" s="81">
        <v>0.39583333333333298</v>
      </c>
      <c r="J35" s="53">
        <f t="shared" si="0"/>
        <v>-5</v>
      </c>
      <c r="K35" s="53">
        <v>1</v>
      </c>
      <c r="L35" s="53">
        <v>60</v>
      </c>
      <c r="M35" s="79" t="s">
        <v>278</v>
      </c>
    </row>
    <row r="36" spans="1:13" s="5" customFormat="1" ht="47.25" customHeight="1" x14ac:dyDescent="0.2">
      <c r="A36" s="79" t="s">
        <v>279</v>
      </c>
      <c r="B36" s="95" t="s">
        <v>21</v>
      </c>
      <c r="C36" s="53" t="s">
        <v>22</v>
      </c>
      <c r="D36" s="53">
        <v>1</v>
      </c>
      <c r="E36" s="53">
        <v>60</v>
      </c>
      <c r="F36" s="80">
        <v>45909</v>
      </c>
      <c r="G36" s="81">
        <v>0.375</v>
      </c>
      <c r="H36" s="80">
        <v>45906</v>
      </c>
      <c r="I36" s="81">
        <v>0.4375</v>
      </c>
      <c r="J36" s="53">
        <f t="shared" si="0"/>
        <v>0</v>
      </c>
      <c r="K36" s="53">
        <v>3</v>
      </c>
      <c r="L36" s="53">
        <v>60</v>
      </c>
      <c r="M36" s="79" t="s">
        <v>280</v>
      </c>
    </row>
    <row r="37" spans="1:13" s="5" customFormat="1" ht="33.950000000000003" customHeight="1" x14ac:dyDescent="0.2">
      <c r="A37" s="79" t="s">
        <v>279</v>
      </c>
      <c r="B37" s="95" t="s">
        <v>136</v>
      </c>
      <c r="C37" s="53" t="s">
        <v>34</v>
      </c>
      <c r="D37" s="53">
        <v>1</v>
      </c>
      <c r="E37" s="53">
        <v>60</v>
      </c>
      <c r="F37" s="80">
        <v>45909</v>
      </c>
      <c r="G37" s="81">
        <v>0.375</v>
      </c>
      <c r="H37" s="80">
        <v>45906</v>
      </c>
      <c r="I37" s="81">
        <v>0.47916666666666702</v>
      </c>
      <c r="J37" s="53">
        <f t="shared" si="0"/>
        <v>0</v>
      </c>
      <c r="K37" s="53">
        <v>1</v>
      </c>
      <c r="L37" s="53">
        <v>60</v>
      </c>
      <c r="M37" s="79" t="s">
        <v>280</v>
      </c>
    </row>
    <row r="38" spans="1:13" s="5" customFormat="1" ht="28.5" customHeight="1" x14ac:dyDescent="0.2">
      <c r="A38" s="79" t="s">
        <v>281</v>
      </c>
      <c r="B38" s="95" t="s">
        <v>21</v>
      </c>
      <c r="C38" s="53" t="s">
        <v>22</v>
      </c>
      <c r="D38" s="53">
        <v>1</v>
      </c>
      <c r="E38" s="53">
        <v>30</v>
      </c>
      <c r="F38" s="80">
        <v>45909</v>
      </c>
      <c r="G38" s="81">
        <v>0.375</v>
      </c>
      <c r="H38" s="80">
        <v>45906</v>
      </c>
      <c r="I38" s="81">
        <v>0.5</v>
      </c>
      <c r="J38" s="53">
        <f t="shared" si="0"/>
        <v>0</v>
      </c>
      <c r="K38" s="53">
        <v>1</v>
      </c>
      <c r="L38" s="53">
        <v>30</v>
      </c>
      <c r="M38" s="79" t="s">
        <v>282</v>
      </c>
    </row>
    <row r="39" spans="1:13" s="5" customFormat="1" ht="39" customHeight="1" x14ac:dyDescent="0.2">
      <c r="A39" s="79" t="s">
        <v>281</v>
      </c>
      <c r="B39" s="95" t="s">
        <v>136</v>
      </c>
      <c r="C39" s="53" t="s">
        <v>34</v>
      </c>
      <c r="D39" s="53">
        <v>1</v>
      </c>
      <c r="E39" s="53">
        <v>30</v>
      </c>
      <c r="F39" s="80">
        <v>45909</v>
      </c>
      <c r="G39" s="81">
        <v>0.375</v>
      </c>
      <c r="H39" s="80">
        <v>45906</v>
      </c>
      <c r="I39" s="81">
        <v>0.52083333333333337</v>
      </c>
      <c r="J39" s="53">
        <f t="shared" si="0"/>
        <v>2</v>
      </c>
      <c r="K39" s="53">
        <v>1</v>
      </c>
      <c r="L39" s="53">
        <v>28</v>
      </c>
      <c r="M39" s="79" t="s">
        <v>282</v>
      </c>
    </row>
    <row r="40" spans="1:13" s="5" customFormat="1" ht="38.25" customHeight="1" x14ac:dyDescent="0.2">
      <c r="A40" s="79" t="s">
        <v>283</v>
      </c>
      <c r="B40" s="95" t="s">
        <v>21</v>
      </c>
      <c r="C40" s="53" t="s">
        <v>22</v>
      </c>
      <c r="D40" s="53">
        <v>1</v>
      </c>
      <c r="E40" s="53">
        <v>30</v>
      </c>
      <c r="F40" s="80">
        <v>45909</v>
      </c>
      <c r="G40" s="81">
        <v>0.375</v>
      </c>
      <c r="H40" s="80">
        <v>45906</v>
      </c>
      <c r="I40" s="81">
        <v>0.54166666666666663</v>
      </c>
      <c r="J40" s="53">
        <f t="shared" si="0"/>
        <v>0</v>
      </c>
      <c r="K40" s="53">
        <v>1</v>
      </c>
      <c r="L40" s="53">
        <v>30</v>
      </c>
      <c r="M40" s="79" t="s">
        <v>284</v>
      </c>
    </row>
    <row r="41" spans="1:13" s="5" customFormat="1" ht="38.25" customHeight="1" x14ac:dyDescent="0.2">
      <c r="A41" s="79" t="s">
        <v>283</v>
      </c>
      <c r="B41" s="95" t="s">
        <v>136</v>
      </c>
      <c r="C41" s="53" t="s">
        <v>34</v>
      </c>
      <c r="D41" s="53">
        <v>1</v>
      </c>
      <c r="E41" s="53">
        <v>30</v>
      </c>
      <c r="F41" s="80">
        <v>45909</v>
      </c>
      <c r="G41" s="81">
        <v>0.375</v>
      </c>
      <c r="H41" s="80">
        <v>45906</v>
      </c>
      <c r="I41" s="81">
        <v>0.5625</v>
      </c>
      <c r="J41" s="53">
        <f t="shared" si="0"/>
        <v>1</v>
      </c>
      <c r="K41" s="53">
        <v>1</v>
      </c>
      <c r="L41" s="53">
        <v>29</v>
      </c>
      <c r="M41" s="79" t="s">
        <v>284</v>
      </c>
    </row>
    <row r="42" spans="1:13" s="5" customFormat="1" ht="42" customHeight="1" x14ac:dyDescent="0.2">
      <c r="A42" s="79" t="s">
        <v>285</v>
      </c>
      <c r="B42" s="95" t="s">
        <v>21</v>
      </c>
      <c r="C42" s="53" t="s">
        <v>22</v>
      </c>
      <c r="D42" s="53">
        <v>1</v>
      </c>
      <c r="E42" s="53">
        <v>30</v>
      </c>
      <c r="F42" s="80">
        <v>45909</v>
      </c>
      <c r="G42" s="81">
        <v>0.375</v>
      </c>
      <c r="H42" s="80">
        <v>45906</v>
      </c>
      <c r="I42" s="81">
        <v>0.58333333333333337</v>
      </c>
      <c r="J42" s="53">
        <f t="shared" si="0"/>
        <v>0</v>
      </c>
      <c r="K42" s="53">
        <v>1</v>
      </c>
      <c r="L42" s="53">
        <v>30</v>
      </c>
      <c r="M42" s="79" t="s">
        <v>286</v>
      </c>
    </row>
    <row r="43" spans="1:13" s="5" customFormat="1" ht="32.450000000000003" customHeight="1" x14ac:dyDescent="0.2">
      <c r="A43" s="79" t="s">
        <v>285</v>
      </c>
      <c r="B43" s="95" t="s">
        <v>136</v>
      </c>
      <c r="C43" s="53" t="s">
        <v>34</v>
      </c>
      <c r="D43" s="53">
        <v>1</v>
      </c>
      <c r="E43" s="53">
        <v>30</v>
      </c>
      <c r="F43" s="80">
        <v>45909</v>
      </c>
      <c r="G43" s="81">
        <v>0.375</v>
      </c>
      <c r="H43" s="80">
        <v>45906</v>
      </c>
      <c r="I43" s="81">
        <v>0.58333333333333337</v>
      </c>
      <c r="J43" s="53">
        <f t="shared" si="0"/>
        <v>0</v>
      </c>
      <c r="K43" s="53">
        <v>1</v>
      </c>
      <c r="L43" s="53">
        <v>30</v>
      </c>
      <c r="M43" s="79" t="s">
        <v>286</v>
      </c>
    </row>
    <row r="44" spans="1:13" ht="35.25" customHeight="1" x14ac:dyDescent="0.2">
      <c r="A44" s="79" t="s">
        <v>287</v>
      </c>
      <c r="B44" s="95" t="s">
        <v>21</v>
      </c>
      <c r="C44" s="53" t="s">
        <v>22</v>
      </c>
      <c r="D44" s="53">
        <v>1</v>
      </c>
      <c r="E44" s="53">
        <v>30</v>
      </c>
      <c r="F44" s="80">
        <v>45909</v>
      </c>
      <c r="G44" s="81">
        <v>0.375</v>
      </c>
      <c r="H44" s="80">
        <v>45906</v>
      </c>
      <c r="I44" s="81">
        <v>0.60416666666666663</v>
      </c>
      <c r="J44" s="53">
        <f t="shared" si="0"/>
        <v>0</v>
      </c>
      <c r="K44" s="53">
        <v>1</v>
      </c>
      <c r="L44" s="53">
        <v>30</v>
      </c>
      <c r="M44" s="79" t="s">
        <v>288</v>
      </c>
    </row>
    <row r="45" spans="1:13" s="5" customFormat="1" ht="47.1" customHeight="1" x14ac:dyDescent="0.2">
      <c r="A45" s="79" t="s">
        <v>287</v>
      </c>
      <c r="B45" s="95" t="s">
        <v>136</v>
      </c>
      <c r="C45" s="53" t="s">
        <v>34</v>
      </c>
      <c r="D45" s="53">
        <v>1</v>
      </c>
      <c r="E45" s="53">
        <v>30</v>
      </c>
      <c r="F45" s="80">
        <v>45909</v>
      </c>
      <c r="G45" s="81">
        <v>0.375</v>
      </c>
      <c r="H45" s="80">
        <v>45906</v>
      </c>
      <c r="I45" s="81">
        <v>0.60416666666666663</v>
      </c>
      <c r="J45" s="53">
        <f t="shared" si="0"/>
        <v>5</v>
      </c>
      <c r="K45" s="53">
        <v>1</v>
      </c>
      <c r="L45" s="53">
        <v>25</v>
      </c>
      <c r="M45" s="79" t="s">
        <v>288</v>
      </c>
    </row>
    <row r="46" spans="1:13" s="5" customFormat="1" ht="43.5" customHeight="1" x14ac:dyDescent="0.2">
      <c r="A46" s="79" t="s">
        <v>289</v>
      </c>
      <c r="B46" s="95" t="s">
        <v>21</v>
      </c>
      <c r="C46" s="53" t="s">
        <v>22</v>
      </c>
      <c r="D46" s="53">
        <v>1</v>
      </c>
      <c r="E46" s="53">
        <v>30</v>
      </c>
      <c r="F46" s="80">
        <v>45909</v>
      </c>
      <c r="G46" s="81">
        <v>0.375</v>
      </c>
      <c r="H46" s="80">
        <v>45906</v>
      </c>
      <c r="I46" s="81">
        <v>0.625</v>
      </c>
      <c r="J46" s="53">
        <f t="shared" si="0"/>
        <v>5</v>
      </c>
      <c r="K46" s="53">
        <v>1</v>
      </c>
      <c r="L46" s="53">
        <v>25</v>
      </c>
      <c r="M46" s="79" t="s">
        <v>290</v>
      </c>
    </row>
    <row r="47" spans="1:13" s="5" customFormat="1" ht="42.75" customHeight="1" x14ac:dyDescent="0.2">
      <c r="A47" s="53" t="s">
        <v>289</v>
      </c>
      <c r="B47" s="95" t="s">
        <v>136</v>
      </c>
      <c r="C47" s="53" t="s">
        <v>34</v>
      </c>
      <c r="D47" s="53">
        <v>1</v>
      </c>
      <c r="E47" s="53">
        <v>30</v>
      </c>
      <c r="F47" s="80">
        <v>45909</v>
      </c>
      <c r="G47" s="81">
        <v>0.375</v>
      </c>
      <c r="H47" s="80">
        <v>45906</v>
      </c>
      <c r="I47" s="81">
        <v>0.625</v>
      </c>
      <c r="J47" s="53">
        <f t="shared" si="0"/>
        <v>0</v>
      </c>
      <c r="K47" s="53">
        <v>1</v>
      </c>
      <c r="L47" s="53">
        <v>30</v>
      </c>
      <c r="M47" s="79" t="s">
        <v>290</v>
      </c>
    </row>
    <row r="48" spans="1:13" s="5" customFormat="1" ht="39" customHeight="1" x14ac:dyDescent="0.2">
      <c r="A48" s="79" t="s">
        <v>291</v>
      </c>
      <c r="B48" s="95" t="s">
        <v>21</v>
      </c>
      <c r="C48" s="53" t="s">
        <v>22</v>
      </c>
      <c r="D48" s="53">
        <v>1</v>
      </c>
      <c r="E48" s="53">
        <v>30</v>
      </c>
      <c r="F48" s="80">
        <v>45909</v>
      </c>
      <c r="G48" s="81">
        <v>0.375</v>
      </c>
      <c r="H48" s="80">
        <v>45906</v>
      </c>
      <c r="I48" s="81">
        <v>0.64583333333333337</v>
      </c>
      <c r="J48" s="53">
        <f t="shared" si="0"/>
        <v>0</v>
      </c>
      <c r="K48" s="53">
        <v>1</v>
      </c>
      <c r="L48" s="53">
        <v>30</v>
      </c>
      <c r="M48" s="79" t="s">
        <v>292</v>
      </c>
    </row>
    <row r="49" spans="1:13" s="5" customFormat="1" ht="29.25" customHeight="1" x14ac:dyDescent="0.2">
      <c r="A49" s="79" t="s">
        <v>291</v>
      </c>
      <c r="B49" s="95" t="s">
        <v>136</v>
      </c>
      <c r="C49" s="53" t="s">
        <v>34</v>
      </c>
      <c r="D49" s="53">
        <v>1</v>
      </c>
      <c r="E49" s="53">
        <v>30</v>
      </c>
      <c r="F49" s="80">
        <v>45909</v>
      </c>
      <c r="G49" s="81">
        <v>0.375</v>
      </c>
      <c r="H49" s="80">
        <v>45906</v>
      </c>
      <c r="I49" s="81">
        <v>0.64583333333333337</v>
      </c>
      <c r="J49" s="53">
        <f t="shared" si="0"/>
        <v>0</v>
      </c>
      <c r="K49" s="53">
        <v>1</v>
      </c>
      <c r="L49" s="53">
        <v>30</v>
      </c>
      <c r="M49" s="79" t="s">
        <v>292</v>
      </c>
    </row>
    <row r="50" spans="1:13" s="5" customFormat="1" ht="31.5" customHeight="1" x14ac:dyDescent="0.2">
      <c r="A50" s="79" t="s">
        <v>293</v>
      </c>
      <c r="B50" s="95" t="s">
        <v>21</v>
      </c>
      <c r="C50" s="53" t="s">
        <v>22</v>
      </c>
      <c r="D50" s="53">
        <v>2</v>
      </c>
      <c r="E50" s="53">
        <v>60</v>
      </c>
      <c r="F50" s="80">
        <v>45909</v>
      </c>
      <c r="G50" s="81">
        <v>0.375</v>
      </c>
      <c r="H50" s="80">
        <v>45906</v>
      </c>
      <c r="I50" s="81">
        <v>0.66666666666666663</v>
      </c>
      <c r="J50" s="53">
        <f t="shared" si="0"/>
        <v>35</v>
      </c>
      <c r="K50" s="53">
        <v>1</v>
      </c>
      <c r="L50" s="53">
        <v>25</v>
      </c>
      <c r="M50" s="79" t="s">
        <v>294</v>
      </c>
    </row>
    <row r="51" spans="1:13" s="5" customFormat="1" ht="26.45" customHeight="1" x14ac:dyDescent="0.2">
      <c r="A51" s="79" t="s">
        <v>293</v>
      </c>
      <c r="B51" s="95" t="s">
        <v>136</v>
      </c>
      <c r="C51" s="53" t="s">
        <v>34</v>
      </c>
      <c r="D51" s="53">
        <v>2</v>
      </c>
      <c r="E51" s="53">
        <v>60</v>
      </c>
      <c r="F51" s="80">
        <v>45909</v>
      </c>
      <c r="G51" s="81">
        <v>0.375</v>
      </c>
      <c r="H51" s="80">
        <v>45906</v>
      </c>
      <c r="I51" s="81">
        <v>0.66666666666666663</v>
      </c>
      <c r="J51" s="53">
        <f t="shared" si="0"/>
        <v>35</v>
      </c>
      <c r="K51" s="53">
        <v>1</v>
      </c>
      <c r="L51" s="53">
        <v>25</v>
      </c>
      <c r="M51" s="79" t="s">
        <v>294</v>
      </c>
    </row>
    <row r="52" spans="1:13" s="5" customFormat="1" ht="29.1" customHeight="1" x14ac:dyDescent="0.2">
      <c r="A52" s="79" t="s">
        <v>295</v>
      </c>
      <c r="B52" s="95" t="s">
        <v>21</v>
      </c>
      <c r="C52" s="53" t="s">
        <v>22</v>
      </c>
      <c r="D52" s="53">
        <v>2</v>
      </c>
      <c r="E52" s="53">
        <v>60</v>
      </c>
      <c r="F52" s="80">
        <v>45909</v>
      </c>
      <c r="G52" s="81">
        <v>0.375</v>
      </c>
      <c r="H52" s="80">
        <v>45906</v>
      </c>
      <c r="I52" s="81">
        <v>0.70833333333333337</v>
      </c>
      <c r="J52" s="53">
        <f t="shared" si="0"/>
        <v>38</v>
      </c>
      <c r="K52" s="53">
        <v>1</v>
      </c>
      <c r="L52" s="53">
        <v>22</v>
      </c>
      <c r="M52" s="79" t="s">
        <v>296</v>
      </c>
    </row>
    <row r="53" spans="1:13" s="5" customFormat="1" ht="31.5" customHeight="1" x14ac:dyDescent="0.2">
      <c r="A53" s="79" t="s">
        <v>295</v>
      </c>
      <c r="B53" s="95" t="s">
        <v>136</v>
      </c>
      <c r="C53" s="53" t="s">
        <v>34</v>
      </c>
      <c r="D53" s="53">
        <v>2</v>
      </c>
      <c r="E53" s="53">
        <v>60</v>
      </c>
      <c r="F53" s="80">
        <v>45909</v>
      </c>
      <c r="G53" s="81">
        <v>0.375</v>
      </c>
      <c r="H53" s="80">
        <v>45906</v>
      </c>
      <c r="I53" s="81">
        <v>0.75</v>
      </c>
      <c r="J53" s="53">
        <f t="shared" si="0"/>
        <v>38</v>
      </c>
      <c r="K53" s="53">
        <v>2</v>
      </c>
      <c r="L53" s="53">
        <v>22</v>
      </c>
      <c r="M53" s="79" t="s">
        <v>296</v>
      </c>
    </row>
    <row r="54" spans="1:13" s="5" customFormat="1" ht="26.1" customHeight="1" x14ac:dyDescent="0.2">
      <c r="A54" s="79" t="s">
        <v>297</v>
      </c>
      <c r="B54" s="95" t="s">
        <v>21</v>
      </c>
      <c r="C54" s="53" t="s">
        <v>22</v>
      </c>
      <c r="D54" s="53">
        <v>2</v>
      </c>
      <c r="E54" s="53">
        <v>60</v>
      </c>
      <c r="F54" s="80">
        <v>45909</v>
      </c>
      <c r="G54" s="81">
        <v>0.375</v>
      </c>
      <c r="H54" s="80">
        <v>45906</v>
      </c>
      <c r="I54" s="81">
        <v>0.79166666666666696</v>
      </c>
      <c r="J54" s="53">
        <f t="shared" si="0"/>
        <v>39</v>
      </c>
      <c r="K54" s="53">
        <v>2</v>
      </c>
      <c r="L54" s="53">
        <v>21</v>
      </c>
      <c r="M54" s="79" t="s">
        <v>298</v>
      </c>
    </row>
    <row r="55" spans="1:13" s="5" customFormat="1" ht="39" customHeight="1" x14ac:dyDescent="0.2">
      <c r="A55" s="79" t="s">
        <v>297</v>
      </c>
      <c r="B55" s="95" t="s">
        <v>136</v>
      </c>
      <c r="C55" s="53" t="s">
        <v>34</v>
      </c>
      <c r="D55" s="53">
        <v>2</v>
      </c>
      <c r="E55" s="53">
        <v>60</v>
      </c>
      <c r="F55" s="80">
        <v>45909</v>
      </c>
      <c r="G55" s="81">
        <v>0.375</v>
      </c>
      <c r="H55" s="80">
        <v>45906</v>
      </c>
      <c r="I55" s="81">
        <v>0.83333333333333304</v>
      </c>
      <c r="J55" s="53">
        <f t="shared" si="0"/>
        <v>39</v>
      </c>
      <c r="K55" s="53">
        <v>2</v>
      </c>
      <c r="L55" s="53">
        <v>21</v>
      </c>
      <c r="M55" s="79" t="s">
        <v>298</v>
      </c>
    </row>
    <row r="56" spans="1:13" s="5" customFormat="1" ht="40.5" customHeight="1" x14ac:dyDescent="0.2">
      <c r="A56" s="79" t="s">
        <v>299</v>
      </c>
      <c r="B56" s="95" t="s">
        <v>30</v>
      </c>
      <c r="C56" s="53" t="s">
        <v>31</v>
      </c>
      <c r="D56" s="53">
        <v>1</v>
      </c>
      <c r="E56" s="53">
        <v>30</v>
      </c>
      <c r="F56" s="80">
        <v>45909</v>
      </c>
      <c r="G56" s="81">
        <v>0.375</v>
      </c>
      <c r="H56" s="80">
        <v>45907</v>
      </c>
      <c r="I56" s="81">
        <v>0.5</v>
      </c>
      <c r="J56" s="53">
        <f t="shared" si="0"/>
        <v>0</v>
      </c>
      <c r="K56" s="53">
        <v>2</v>
      </c>
      <c r="L56" s="53">
        <v>30</v>
      </c>
      <c r="M56" s="79" t="s">
        <v>300</v>
      </c>
    </row>
    <row r="57" spans="1:13" s="5" customFormat="1" ht="40.5" customHeight="1" x14ac:dyDescent="0.2">
      <c r="A57" s="53" t="s">
        <v>299</v>
      </c>
      <c r="B57" s="95" t="s">
        <v>39</v>
      </c>
      <c r="C57" s="53" t="s">
        <v>40</v>
      </c>
      <c r="D57" s="53">
        <v>1</v>
      </c>
      <c r="E57" s="53">
        <v>30</v>
      </c>
      <c r="F57" s="80">
        <v>45909</v>
      </c>
      <c r="G57" s="81">
        <v>0.375</v>
      </c>
      <c r="H57" s="80">
        <v>45907</v>
      </c>
      <c r="I57" s="81">
        <v>0.52083333333333337</v>
      </c>
      <c r="J57" s="53">
        <f t="shared" si="0"/>
        <v>0</v>
      </c>
      <c r="K57" s="53">
        <v>2</v>
      </c>
      <c r="L57" s="53">
        <v>30</v>
      </c>
      <c r="M57" s="79" t="s">
        <v>300</v>
      </c>
    </row>
    <row r="58" spans="1:13" s="5" customFormat="1" ht="38.25" customHeight="1" x14ac:dyDescent="0.2">
      <c r="A58" s="79" t="s">
        <v>301</v>
      </c>
      <c r="B58" s="95" t="s">
        <v>30</v>
      </c>
      <c r="C58" s="53" t="s">
        <v>31</v>
      </c>
      <c r="D58" s="53">
        <v>1</v>
      </c>
      <c r="E58" s="53">
        <v>30</v>
      </c>
      <c r="F58" s="80">
        <v>45909</v>
      </c>
      <c r="G58" s="81">
        <v>0.375</v>
      </c>
      <c r="H58" s="80">
        <v>45907</v>
      </c>
      <c r="I58" s="81">
        <v>0.54166666666666663</v>
      </c>
      <c r="J58" s="53">
        <f t="shared" si="0"/>
        <v>0</v>
      </c>
      <c r="K58" s="53">
        <v>2</v>
      </c>
      <c r="L58" s="53">
        <v>30</v>
      </c>
      <c r="M58" s="79" t="s">
        <v>302</v>
      </c>
    </row>
    <row r="59" spans="1:13" s="5" customFormat="1" ht="38.25" customHeight="1" x14ac:dyDescent="0.2">
      <c r="A59" s="79" t="s">
        <v>301</v>
      </c>
      <c r="B59" s="95" t="s">
        <v>39</v>
      </c>
      <c r="C59" s="53" t="s">
        <v>40</v>
      </c>
      <c r="D59" s="53">
        <v>1</v>
      </c>
      <c r="E59" s="53">
        <v>30</v>
      </c>
      <c r="F59" s="80">
        <v>45909</v>
      </c>
      <c r="G59" s="81">
        <v>0.375</v>
      </c>
      <c r="H59" s="80">
        <v>45907</v>
      </c>
      <c r="I59" s="81">
        <v>0.5625</v>
      </c>
      <c r="J59" s="53">
        <f t="shared" si="0"/>
        <v>0</v>
      </c>
      <c r="K59" s="53">
        <v>1</v>
      </c>
      <c r="L59" s="53">
        <v>30</v>
      </c>
      <c r="M59" s="79" t="s">
        <v>302</v>
      </c>
    </row>
    <row r="60" spans="1:13" s="5" customFormat="1" ht="27" customHeight="1" x14ac:dyDescent="0.2">
      <c r="A60" s="79" t="s">
        <v>303</v>
      </c>
      <c r="B60" s="95" t="s">
        <v>30</v>
      </c>
      <c r="C60" s="53" t="s">
        <v>31</v>
      </c>
      <c r="D60" s="53">
        <v>1</v>
      </c>
      <c r="E60" s="53">
        <v>30</v>
      </c>
      <c r="F60" s="80">
        <v>45909</v>
      </c>
      <c r="G60" s="81">
        <v>0.375</v>
      </c>
      <c r="H60" s="80">
        <v>45907</v>
      </c>
      <c r="I60" s="81">
        <v>0.58333333333333337</v>
      </c>
      <c r="J60" s="53">
        <f t="shared" si="0"/>
        <v>-5</v>
      </c>
      <c r="K60" s="53">
        <v>1</v>
      </c>
      <c r="L60" s="53">
        <v>35</v>
      </c>
      <c r="M60" s="79" t="s">
        <v>304</v>
      </c>
    </row>
    <row r="61" spans="1:13" s="5" customFormat="1" ht="33" customHeight="1" x14ac:dyDescent="0.2">
      <c r="A61" s="79" t="s">
        <v>303</v>
      </c>
      <c r="B61" s="95" t="s">
        <v>39</v>
      </c>
      <c r="C61" s="53" t="s">
        <v>40</v>
      </c>
      <c r="D61" s="53">
        <v>1</v>
      </c>
      <c r="E61" s="53">
        <v>30</v>
      </c>
      <c r="F61" s="80">
        <v>45909</v>
      </c>
      <c r="G61" s="81">
        <v>0.375</v>
      </c>
      <c r="H61" s="80">
        <v>45907</v>
      </c>
      <c r="I61" s="81">
        <v>0.60416666666666663</v>
      </c>
      <c r="J61" s="53">
        <f t="shared" si="0"/>
        <v>6</v>
      </c>
      <c r="K61" s="53">
        <v>1</v>
      </c>
      <c r="L61" s="53">
        <v>24</v>
      </c>
      <c r="M61" s="79" t="s">
        <v>304</v>
      </c>
    </row>
    <row r="62" spans="1:13" s="5" customFormat="1" ht="33.75" customHeight="1" x14ac:dyDescent="0.2">
      <c r="A62" s="79" t="s">
        <v>305</v>
      </c>
      <c r="B62" s="95" t="s">
        <v>30</v>
      </c>
      <c r="C62" s="53" t="s">
        <v>31</v>
      </c>
      <c r="D62" s="53">
        <v>2</v>
      </c>
      <c r="E62" s="53">
        <v>20</v>
      </c>
      <c r="F62" s="80">
        <v>45909</v>
      </c>
      <c r="G62" s="81">
        <v>0.375</v>
      </c>
      <c r="H62" s="80">
        <v>45907</v>
      </c>
      <c r="I62" s="81">
        <v>0.625</v>
      </c>
      <c r="J62" s="53">
        <f t="shared" si="0"/>
        <v>0</v>
      </c>
      <c r="K62" s="53">
        <v>1</v>
      </c>
      <c r="L62" s="53">
        <v>20</v>
      </c>
      <c r="M62" s="53" t="s">
        <v>306</v>
      </c>
    </row>
    <row r="63" spans="1:13" s="5" customFormat="1" ht="32.25" customHeight="1" x14ac:dyDescent="0.2">
      <c r="A63" s="79" t="s">
        <v>305</v>
      </c>
      <c r="B63" s="95" t="s">
        <v>39</v>
      </c>
      <c r="C63" s="53" t="s">
        <v>40</v>
      </c>
      <c r="D63" s="53">
        <v>2</v>
      </c>
      <c r="E63" s="53">
        <v>20</v>
      </c>
      <c r="F63" s="80">
        <v>45909</v>
      </c>
      <c r="G63" s="81">
        <v>0.375</v>
      </c>
      <c r="H63" s="80">
        <v>45907</v>
      </c>
      <c r="I63" s="81">
        <v>0.63888888888888884</v>
      </c>
      <c r="J63" s="53">
        <f t="shared" si="0"/>
        <v>0</v>
      </c>
      <c r="K63" s="53">
        <v>1</v>
      </c>
      <c r="L63" s="53">
        <v>20</v>
      </c>
      <c r="M63" t="s">
        <v>306</v>
      </c>
    </row>
    <row r="64" spans="1:13" s="5" customFormat="1" ht="27" customHeight="1" x14ac:dyDescent="0.2">
      <c r="A64" s="79" t="s">
        <v>308</v>
      </c>
      <c r="B64" s="95" t="s">
        <v>30</v>
      </c>
      <c r="C64" s="53" t="s">
        <v>31</v>
      </c>
      <c r="D64" s="53">
        <v>1</v>
      </c>
      <c r="E64" s="53">
        <v>20</v>
      </c>
      <c r="F64" s="80">
        <v>45909</v>
      </c>
      <c r="G64" s="81">
        <v>0.375</v>
      </c>
      <c r="H64" s="80">
        <v>45907</v>
      </c>
      <c r="I64" s="81">
        <v>0.65277777777777779</v>
      </c>
      <c r="J64" s="53">
        <f t="shared" si="0"/>
        <v>0</v>
      </c>
      <c r="K64" s="53">
        <v>1</v>
      </c>
      <c r="L64" s="53">
        <v>20</v>
      </c>
      <c r="M64" s="79" t="s">
        <v>307</v>
      </c>
    </row>
    <row r="65" spans="1:13" s="5" customFormat="1" ht="24.95" customHeight="1" x14ac:dyDescent="0.2">
      <c r="A65" s="79" t="s">
        <v>308</v>
      </c>
      <c r="B65" s="95" t="s">
        <v>39</v>
      </c>
      <c r="C65" s="53" t="s">
        <v>40</v>
      </c>
      <c r="D65" s="53">
        <v>1</v>
      </c>
      <c r="E65" s="53">
        <v>20</v>
      </c>
      <c r="F65" s="80">
        <v>45909</v>
      </c>
      <c r="G65" s="81">
        <v>0.375</v>
      </c>
      <c r="H65" s="80">
        <v>45907</v>
      </c>
      <c r="I65" s="81">
        <v>0.66666666666666663</v>
      </c>
      <c r="J65" s="53">
        <f t="shared" si="0"/>
        <v>-5</v>
      </c>
      <c r="K65" s="53">
        <v>1</v>
      </c>
      <c r="L65" s="53">
        <v>25</v>
      </c>
      <c r="M65" s="79" t="s">
        <v>307</v>
      </c>
    </row>
    <row r="66" spans="1:13" s="5" customFormat="1" ht="28.5" customHeight="1" x14ac:dyDescent="0.2">
      <c r="A66" s="79" t="s">
        <v>309</v>
      </c>
      <c r="B66" s="95" t="s">
        <v>30</v>
      </c>
      <c r="C66" s="53" t="s">
        <v>31</v>
      </c>
      <c r="D66" s="53">
        <v>1</v>
      </c>
      <c r="E66" s="53">
        <v>20</v>
      </c>
      <c r="F66" s="80">
        <v>45909</v>
      </c>
      <c r="G66" s="81">
        <v>0.375</v>
      </c>
      <c r="H66" s="80">
        <v>45907</v>
      </c>
      <c r="I66" s="81">
        <v>0.68055555555555558</v>
      </c>
      <c r="J66" s="53">
        <f t="shared" si="0"/>
        <v>-5</v>
      </c>
      <c r="K66" s="53">
        <v>1</v>
      </c>
      <c r="L66" s="53">
        <v>25</v>
      </c>
      <c r="M66" s="79" t="s">
        <v>310</v>
      </c>
    </row>
    <row r="67" spans="1:13" s="5" customFormat="1" ht="35.450000000000003" customHeight="1" x14ac:dyDescent="0.2">
      <c r="A67" s="79" t="s">
        <v>309</v>
      </c>
      <c r="B67" s="95" t="s">
        <v>39</v>
      </c>
      <c r="C67" s="53" t="s">
        <v>40</v>
      </c>
      <c r="D67" s="53">
        <v>1</v>
      </c>
      <c r="E67" s="53">
        <v>20</v>
      </c>
      <c r="F67" s="80">
        <v>45909</v>
      </c>
      <c r="G67" s="81">
        <v>0.375</v>
      </c>
      <c r="H67" s="80">
        <v>45907</v>
      </c>
      <c r="I67" s="81">
        <v>0.69444444444444442</v>
      </c>
      <c r="J67" s="53">
        <f t="shared" si="0"/>
        <v>5</v>
      </c>
      <c r="K67" s="53">
        <v>1</v>
      </c>
      <c r="L67" s="53">
        <v>15</v>
      </c>
      <c r="M67" s="79" t="s">
        <v>310</v>
      </c>
    </row>
    <row r="68" spans="1:13" s="5" customFormat="1" ht="36.6" customHeight="1" x14ac:dyDescent="0.2">
      <c r="A68" s="79" t="s">
        <v>311</v>
      </c>
      <c r="B68" s="95" t="s">
        <v>30</v>
      </c>
      <c r="C68" s="53" t="s">
        <v>31</v>
      </c>
      <c r="D68" s="53">
        <v>1</v>
      </c>
      <c r="E68" s="53">
        <v>20</v>
      </c>
      <c r="F68" s="80">
        <v>45909</v>
      </c>
      <c r="G68" s="81">
        <v>0.375</v>
      </c>
      <c r="H68" s="80">
        <v>45907</v>
      </c>
      <c r="I68" s="81">
        <v>0.70833333333333337</v>
      </c>
      <c r="J68" s="53">
        <f t="shared" si="0"/>
        <v>10</v>
      </c>
      <c r="K68" s="53">
        <v>1</v>
      </c>
      <c r="L68" s="53">
        <v>10</v>
      </c>
      <c r="M68" s="53" t="s">
        <v>312</v>
      </c>
    </row>
    <row r="69" spans="1:13" s="5" customFormat="1" ht="36.6" customHeight="1" x14ac:dyDescent="0.2">
      <c r="A69" s="79" t="s">
        <v>311</v>
      </c>
      <c r="B69" s="95" t="s">
        <v>39</v>
      </c>
      <c r="C69" s="53" t="s">
        <v>40</v>
      </c>
      <c r="D69" s="53">
        <v>1</v>
      </c>
      <c r="E69" s="53">
        <v>20</v>
      </c>
      <c r="F69" s="80">
        <v>45909</v>
      </c>
      <c r="G69" s="81" t="s">
        <v>306</v>
      </c>
      <c r="H69" s="80">
        <v>45907</v>
      </c>
      <c r="I69" s="81">
        <v>0.72222222222222221</v>
      </c>
      <c r="J69" s="53">
        <f t="shared" si="0"/>
        <v>10</v>
      </c>
      <c r="K69" s="53">
        <v>1</v>
      </c>
      <c r="L69" s="53">
        <v>10</v>
      </c>
      <c r="M69" s="53" t="s">
        <v>312</v>
      </c>
    </row>
    <row r="70" spans="1:13" s="5" customFormat="1" ht="35.450000000000003" customHeight="1" x14ac:dyDescent="0.2">
      <c r="A70" s="79" t="s">
        <v>313</v>
      </c>
      <c r="B70" s="95" t="s">
        <v>30</v>
      </c>
      <c r="C70" s="53" t="s">
        <v>31</v>
      </c>
      <c r="D70" s="53">
        <v>1</v>
      </c>
      <c r="E70" s="53">
        <v>20</v>
      </c>
      <c r="F70" s="80">
        <v>45909</v>
      </c>
      <c r="G70" s="81">
        <v>0.375</v>
      </c>
      <c r="H70" s="80">
        <v>45907</v>
      </c>
      <c r="I70" s="81">
        <v>0.73611111111111116</v>
      </c>
      <c r="J70" s="53">
        <f t="shared" si="0"/>
        <v>10</v>
      </c>
      <c r="K70" s="53">
        <v>1</v>
      </c>
      <c r="L70" s="53">
        <v>10</v>
      </c>
      <c r="M70" s="79" t="s">
        <v>314</v>
      </c>
    </row>
    <row r="71" spans="1:13" s="5" customFormat="1" ht="35.450000000000003" customHeight="1" x14ac:dyDescent="0.2">
      <c r="A71" s="79" t="s">
        <v>313</v>
      </c>
      <c r="B71" s="95" t="s">
        <v>39</v>
      </c>
      <c r="C71" s="53" t="s">
        <v>40</v>
      </c>
      <c r="D71" s="53">
        <v>1</v>
      </c>
      <c r="E71" s="53">
        <v>20</v>
      </c>
      <c r="F71" s="80">
        <v>45909</v>
      </c>
      <c r="G71" s="81">
        <v>0.375</v>
      </c>
      <c r="H71" s="80">
        <v>45907</v>
      </c>
      <c r="I71" s="81">
        <v>0.75</v>
      </c>
      <c r="J71" s="53">
        <f t="shared" si="0"/>
        <v>5</v>
      </c>
      <c r="K71" s="53">
        <v>1</v>
      </c>
      <c r="L71" s="53">
        <v>15</v>
      </c>
      <c r="M71" s="79" t="s">
        <v>314</v>
      </c>
    </row>
    <row r="72" spans="1:13" s="5" customFormat="1" ht="35.450000000000003" customHeight="1" x14ac:dyDescent="0.2">
      <c r="A72" s="79" t="s">
        <v>315</v>
      </c>
      <c r="B72" s="95" t="s">
        <v>30</v>
      </c>
      <c r="C72" s="53" t="s">
        <v>31</v>
      </c>
      <c r="D72" s="53">
        <v>1</v>
      </c>
      <c r="E72" s="53">
        <v>10</v>
      </c>
      <c r="F72" s="80">
        <v>45909</v>
      </c>
      <c r="G72" s="81">
        <v>0.375</v>
      </c>
      <c r="H72" s="80">
        <v>45907</v>
      </c>
      <c r="I72" s="81">
        <v>0.75694444444444442</v>
      </c>
      <c r="J72" s="53">
        <f t="shared" si="0"/>
        <v>0</v>
      </c>
      <c r="K72" s="53">
        <v>1</v>
      </c>
      <c r="L72" s="53">
        <v>10</v>
      </c>
      <c r="M72" s="79" t="s">
        <v>316</v>
      </c>
    </row>
    <row r="73" spans="1:13" s="5" customFormat="1" ht="35.450000000000003" customHeight="1" x14ac:dyDescent="0.2">
      <c r="A73" s="79" t="s">
        <v>315</v>
      </c>
      <c r="B73" s="95" t="s">
        <v>39</v>
      </c>
      <c r="C73" s="53" t="s">
        <v>40</v>
      </c>
      <c r="D73" s="53">
        <v>1</v>
      </c>
      <c r="E73" s="53">
        <v>10</v>
      </c>
      <c r="F73" s="80">
        <v>45909</v>
      </c>
      <c r="G73" s="81">
        <v>0.375</v>
      </c>
      <c r="H73" s="80">
        <v>45907</v>
      </c>
      <c r="I73" s="81">
        <v>0.76388888888888884</v>
      </c>
      <c r="J73" s="53">
        <f t="shared" si="0"/>
        <v>0</v>
      </c>
      <c r="K73" s="53">
        <v>1</v>
      </c>
      <c r="L73" s="53">
        <v>10</v>
      </c>
      <c r="M73" s="79" t="s">
        <v>316</v>
      </c>
    </row>
    <row r="74" spans="1:13" s="5" customFormat="1" ht="35.450000000000003" customHeight="1" x14ac:dyDescent="0.2">
      <c r="A74" s="107" t="s">
        <v>471</v>
      </c>
      <c r="B74" s="53" t="s">
        <v>36</v>
      </c>
      <c r="C74" s="53" t="s">
        <v>37</v>
      </c>
      <c r="D74" s="53">
        <v>1</v>
      </c>
      <c r="E74" s="53">
        <v>30</v>
      </c>
      <c r="F74" s="80">
        <v>45909</v>
      </c>
      <c r="G74" s="81">
        <v>0.375</v>
      </c>
      <c r="H74" s="80">
        <v>45930</v>
      </c>
      <c r="I74" s="81">
        <v>0.79166666666666663</v>
      </c>
      <c r="J74" s="87">
        <f t="shared" si="0"/>
        <v>0</v>
      </c>
      <c r="K74" s="53">
        <v>3</v>
      </c>
      <c r="L74" s="53">
        <v>30</v>
      </c>
      <c r="M74" s="79" t="s">
        <v>472</v>
      </c>
    </row>
    <row r="75" spans="1:13" s="5" customFormat="1" ht="35.450000000000003" customHeight="1" x14ac:dyDescent="0.2">
      <c r="A75" s="92" t="s">
        <v>123</v>
      </c>
      <c r="B75" s="90" t="s">
        <v>36</v>
      </c>
      <c r="C75" s="85" t="s">
        <v>37</v>
      </c>
      <c r="D75" s="49">
        <v>1</v>
      </c>
      <c r="E75" s="49">
        <v>20</v>
      </c>
      <c r="F75" s="85">
        <v>45909</v>
      </c>
      <c r="G75" s="86">
        <v>0.375</v>
      </c>
      <c r="H75" s="85">
        <v>45907</v>
      </c>
      <c r="I75" s="86">
        <v>0.80555555555555558</v>
      </c>
      <c r="J75" s="87">
        <f t="shared" ref="J75:J97" si="1">E75-L75</f>
        <v>0</v>
      </c>
      <c r="K75" s="8">
        <v>1</v>
      </c>
      <c r="L75" s="88">
        <v>20</v>
      </c>
      <c r="M75" s="93" t="s">
        <v>124</v>
      </c>
    </row>
    <row r="76" spans="1:13" s="5" customFormat="1" ht="35.450000000000003" customHeight="1" x14ac:dyDescent="0.2">
      <c r="A76" s="38" t="s">
        <v>123</v>
      </c>
      <c r="B76" s="90" t="s">
        <v>143</v>
      </c>
      <c r="C76" s="85" t="s">
        <v>43</v>
      </c>
      <c r="D76" s="49">
        <v>1</v>
      </c>
      <c r="E76" s="49">
        <v>20</v>
      </c>
      <c r="F76" s="85">
        <v>45909</v>
      </c>
      <c r="G76" s="86">
        <v>0.375</v>
      </c>
      <c r="H76" s="85">
        <v>45907</v>
      </c>
      <c r="I76" s="86">
        <v>0.80555555555555558</v>
      </c>
      <c r="J76" s="87">
        <f t="shared" si="1"/>
        <v>0</v>
      </c>
      <c r="K76" s="8">
        <v>1</v>
      </c>
      <c r="L76" s="88">
        <v>20</v>
      </c>
      <c r="M76" s="93" t="s">
        <v>124</v>
      </c>
    </row>
    <row r="77" spans="1:13" s="5" customFormat="1" ht="35.450000000000003" customHeight="1" x14ac:dyDescent="0.2">
      <c r="A77" s="13" t="s">
        <v>175</v>
      </c>
      <c r="B77" s="96" t="s">
        <v>36</v>
      </c>
      <c r="C77" s="13" t="s">
        <v>37</v>
      </c>
      <c r="D77" s="53">
        <v>1</v>
      </c>
      <c r="E77" s="53">
        <v>30</v>
      </c>
      <c r="F77" s="13">
        <v>45909</v>
      </c>
      <c r="G77" s="86">
        <v>0.375</v>
      </c>
      <c r="H77" s="13">
        <v>45907</v>
      </c>
      <c r="I77" s="12">
        <v>0.83333333333333337</v>
      </c>
      <c r="J77" s="53">
        <f t="shared" si="1"/>
        <v>6</v>
      </c>
      <c r="K77" s="50">
        <v>1</v>
      </c>
      <c r="L77" s="68">
        <v>24</v>
      </c>
      <c r="M77" s="52" t="s">
        <v>176</v>
      </c>
    </row>
    <row r="78" spans="1:13" s="5" customFormat="1" ht="35.450000000000003" customHeight="1" x14ac:dyDescent="0.2">
      <c r="A78" s="13" t="s">
        <v>177</v>
      </c>
      <c r="B78" s="96" t="s">
        <v>39</v>
      </c>
      <c r="C78" s="13" t="s">
        <v>40</v>
      </c>
      <c r="D78" s="53">
        <v>1</v>
      </c>
      <c r="E78" s="53">
        <v>30</v>
      </c>
      <c r="F78" s="13">
        <v>45909</v>
      </c>
      <c r="G78" s="86">
        <v>0.375</v>
      </c>
      <c r="H78" s="13">
        <v>45907</v>
      </c>
      <c r="I78" s="12">
        <v>0.83333333333333337</v>
      </c>
      <c r="J78" s="53">
        <f t="shared" si="1"/>
        <v>0</v>
      </c>
      <c r="K78" s="50">
        <v>1</v>
      </c>
      <c r="L78" s="68">
        <v>30</v>
      </c>
      <c r="M78" s="52" t="s">
        <v>178</v>
      </c>
    </row>
    <row r="79" spans="1:13" s="5" customFormat="1" ht="35.450000000000003" customHeight="1" x14ac:dyDescent="0.2">
      <c r="A79" s="61" t="s">
        <v>179</v>
      </c>
      <c r="B79" s="96" t="s">
        <v>39</v>
      </c>
      <c r="C79" s="13" t="s">
        <v>40</v>
      </c>
      <c r="D79" s="53">
        <v>5</v>
      </c>
      <c r="E79" s="53">
        <v>50</v>
      </c>
      <c r="F79" s="13">
        <v>45909</v>
      </c>
      <c r="G79" s="86">
        <v>0.375</v>
      </c>
      <c r="H79" s="13">
        <v>45907</v>
      </c>
      <c r="I79" s="12">
        <v>0.86805555555555558</v>
      </c>
      <c r="J79" s="53">
        <f t="shared" si="1"/>
        <v>5</v>
      </c>
      <c r="K79" s="50">
        <v>5</v>
      </c>
      <c r="L79" s="68">
        <v>45</v>
      </c>
      <c r="M79" s="52" t="s">
        <v>180</v>
      </c>
    </row>
    <row r="80" spans="1:13" s="5" customFormat="1" ht="35.450000000000003" customHeight="1" x14ac:dyDescent="0.2">
      <c r="A80" s="23" t="s">
        <v>146</v>
      </c>
      <c r="B80" s="90" t="s">
        <v>30</v>
      </c>
      <c r="C80" s="90" t="s">
        <v>207</v>
      </c>
      <c r="D80" s="84">
        <v>1</v>
      </c>
      <c r="E80" s="49">
        <v>60</v>
      </c>
      <c r="F80" s="85">
        <v>45909</v>
      </c>
      <c r="G80" s="86">
        <v>0.375</v>
      </c>
      <c r="H80" s="85">
        <v>45907</v>
      </c>
      <c r="I80" s="86">
        <v>0.91666666666666663</v>
      </c>
      <c r="J80" s="87">
        <f t="shared" si="1"/>
        <v>50</v>
      </c>
      <c r="K80" s="8">
        <v>1</v>
      </c>
      <c r="L80" s="88">
        <v>10</v>
      </c>
      <c r="M80" s="91" t="s">
        <v>149</v>
      </c>
    </row>
    <row r="81" spans="1:13" s="5" customFormat="1" ht="35.450000000000003" customHeight="1" x14ac:dyDescent="0.2">
      <c r="A81" s="23" t="s">
        <v>146</v>
      </c>
      <c r="B81" s="90" t="s">
        <v>42</v>
      </c>
      <c r="C81" s="85" t="s">
        <v>77</v>
      </c>
      <c r="D81" s="84">
        <v>1</v>
      </c>
      <c r="E81" s="49">
        <v>60</v>
      </c>
      <c r="F81" s="85">
        <v>45909</v>
      </c>
      <c r="G81" s="86">
        <v>0.375</v>
      </c>
      <c r="H81" s="85">
        <v>45907</v>
      </c>
      <c r="I81" s="86">
        <v>0.91666666666666663</v>
      </c>
      <c r="J81" s="87">
        <f t="shared" si="1"/>
        <v>50</v>
      </c>
      <c r="K81" s="8">
        <v>1</v>
      </c>
      <c r="L81" s="88">
        <v>10</v>
      </c>
      <c r="M81" s="91" t="s">
        <v>149</v>
      </c>
    </row>
    <row r="82" spans="1:13" s="5" customFormat="1" ht="37.5" customHeight="1" x14ac:dyDescent="0.2">
      <c r="A82" s="23" t="s">
        <v>146</v>
      </c>
      <c r="B82" s="90" t="s">
        <v>21</v>
      </c>
      <c r="C82" s="85" t="s">
        <v>86</v>
      </c>
      <c r="D82" s="84">
        <v>1</v>
      </c>
      <c r="E82" s="49">
        <v>60</v>
      </c>
      <c r="F82" s="85">
        <v>45909</v>
      </c>
      <c r="G82" s="86">
        <v>0.375</v>
      </c>
      <c r="H82" s="85">
        <v>45907</v>
      </c>
      <c r="I82" s="86">
        <v>0.91666666666666663</v>
      </c>
      <c r="J82" s="87">
        <f t="shared" si="1"/>
        <v>50</v>
      </c>
      <c r="K82" s="8">
        <v>1</v>
      </c>
      <c r="L82" s="88">
        <v>10</v>
      </c>
      <c r="M82" s="91" t="s">
        <v>149</v>
      </c>
    </row>
    <row r="83" spans="1:13" ht="36" x14ac:dyDescent="0.2">
      <c r="A83" s="23" t="s">
        <v>146</v>
      </c>
      <c r="B83" s="90" t="s">
        <v>136</v>
      </c>
      <c r="C83" s="85" t="s">
        <v>151</v>
      </c>
      <c r="D83" s="84">
        <v>1</v>
      </c>
      <c r="E83" s="49">
        <v>60</v>
      </c>
      <c r="F83" s="85">
        <v>45909</v>
      </c>
      <c r="G83" s="86">
        <v>0.375</v>
      </c>
      <c r="H83" s="85">
        <v>45907</v>
      </c>
      <c r="I83" s="86">
        <v>0.91666666666666663</v>
      </c>
      <c r="J83" s="87">
        <f t="shared" si="1"/>
        <v>50</v>
      </c>
      <c r="K83" s="8">
        <v>1</v>
      </c>
      <c r="L83" s="88">
        <v>10</v>
      </c>
      <c r="M83" s="91" t="s">
        <v>149</v>
      </c>
    </row>
    <row r="84" spans="1:13" ht="36" x14ac:dyDescent="0.2">
      <c r="A84" s="23" t="s">
        <v>146</v>
      </c>
      <c r="B84" s="90" t="s">
        <v>36</v>
      </c>
      <c r="C84" s="85" t="s">
        <v>80</v>
      </c>
      <c r="D84" s="84">
        <v>1</v>
      </c>
      <c r="E84" s="49">
        <v>60</v>
      </c>
      <c r="F84" s="85">
        <v>45909</v>
      </c>
      <c r="G84" s="86">
        <v>0.375</v>
      </c>
      <c r="H84" s="85">
        <v>45907</v>
      </c>
      <c r="I84" s="86">
        <v>0.91666666666666663</v>
      </c>
      <c r="J84" s="87">
        <f t="shared" si="1"/>
        <v>50</v>
      </c>
      <c r="K84" s="8">
        <v>1</v>
      </c>
      <c r="L84" s="88">
        <v>10</v>
      </c>
      <c r="M84" s="91" t="s">
        <v>149</v>
      </c>
    </row>
    <row r="85" spans="1:13" ht="36" x14ac:dyDescent="0.2">
      <c r="A85" s="23" t="s">
        <v>146</v>
      </c>
      <c r="B85" s="90" t="s">
        <v>39</v>
      </c>
      <c r="C85" s="85" t="s">
        <v>150</v>
      </c>
      <c r="D85" s="84">
        <v>1</v>
      </c>
      <c r="E85" s="49">
        <v>60</v>
      </c>
      <c r="F85" s="85">
        <v>45909</v>
      </c>
      <c r="G85" s="86">
        <v>0.375</v>
      </c>
      <c r="H85" s="85">
        <v>45907</v>
      </c>
      <c r="I85" s="86">
        <v>0.91666666666666663</v>
      </c>
      <c r="J85" s="87">
        <f t="shared" si="1"/>
        <v>50</v>
      </c>
      <c r="K85" s="8">
        <v>1</v>
      </c>
      <c r="L85" s="88">
        <v>10</v>
      </c>
      <c r="M85" s="91" t="s">
        <v>149</v>
      </c>
    </row>
    <row r="86" spans="1:13" ht="24" x14ac:dyDescent="0.2">
      <c r="A86" s="23" t="s">
        <v>52</v>
      </c>
      <c r="B86" s="90" t="s">
        <v>21</v>
      </c>
      <c r="C86" s="90" t="s">
        <v>22</v>
      </c>
      <c r="D86" s="84">
        <v>1</v>
      </c>
      <c r="E86" s="49">
        <v>30</v>
      </c>
      <c r="F86" s="85">
        <v>45909</v>
      </c>
      <c r="G86" s="86">
        <v>0.375</v>
      </c>
      <c r="H86" s="85">
        <v>45907</v>
      </c>
      <c r="I86" s="86">
        <v>0.91666666666666663</v>
      </c>
      <c r="J86" s="87">
        <f t="shared" si="1"/>
        <v>0</v>
      </c>
      <c r="K86" s="8">
        <v>1</v>
      </c>
      <c r="L86" s="88">
        <v>30</v>
      </c>
      <c r="M86" s="91" t="s">
        <v>53</v>
      </c>
    </row>
    <row r="87" spans="1:13" ht="24" x14ac:dyDescent="0.2">
      <c r="A87" s="23" t="s">
        <v>153</v>
      </c>
      <c r="B87" s="90" t="s">
        <v>36</v>
      </c>
      <c r="C87" s="90" t="s">
        <v>37</v>
      </c>
      <c r="D87" s="84">
        <v>1</v>
      </c>
      <c r="E87" s="5">
        <v>30</v>
      </c>
      <c r="F87" s="85">
        <v>45909</v>
      </c>
      <c r="G87" s="86">
        <v>0.375</v>
      </c>
      <c r="H87" s="85">
        <v>45907</v>
      </c>
      <c r="I87" s="86">
        <v>0.91666666666666663</v>
      </c>
      <c r="J87" s="87">
        <f t="shared" si="1"/>
        <v>0</v>
      </c>
      <c r="K87" s="8">
        <v>1</v>
      </c>
      <c r="L87" s="88">
        <v>30</v>
      </c>
      <c r="M87" s="91" t="s">
        <v>53</v>
      </c>
    </row>
    <row r="88" spans="1:13" ht="24" x14ac:dyDescent="0.2">
      <c r="A88" s="23" t="s">
        <v>79</v>
      </c>
      <c r="B88" s="90" t="s">
        <v>36</v>
      </c>
      <c r="C88" s="90" t="s">
        <v>37</v>
      </c>
      <c r="D88" s="84">
        <v>1</v>
      </c>
      <c r="E88" s="49">
        <v>45</v>
      </c>
      <c r="F88" s="85">
        <v>45909</v>
      </c>
      <c r="G88" s="86">
        <v>0.375</v>
      </c>
      <c r="H88" s="85">
        <v>45907</v>
      </c>
      <c r="I88" s="86">
        <v>0.9375</v>
      </c>
      <c r="J88" s="87">
        <f t="shared" si="1"/>
        <v>-35</v>
      </c>
      <c r="K88" s="8">
        <v>1</v>
      </c>
      <c r="L88" s="88">
        <v>80</v>
      </c>
      <c r="M88" s="91" t="s">
        <v>81</v>
      </c>
    </row>
    <row r="89" spans="1:13" ht="36" x14ac:dyDescent="0.2">
      <c r="A89" s="23" t="s">
        <v>85</v>
      </c>
      <c r="B89" s="90" t="s">
        <v>21</v>
      </c>
      <c r="C89" s="90" t="s">
        <v>22</v>
      </c>
      <c r="D89" s="84">
        <v>1</v>
      </c>
      <c r="E89" s="49">
        <v>60</v>
      </c>
      <c r="F89" s="85">
        <v>45909</v>
      </c>
      <c r="G89" s="86">
        <v>0.375</v>
      </c>
      <c r="H89" s="85">
        <v>45907</v>
      </c>
      <c r="I89" s="86">
        <v>0.9375</v>
      </c>
      <c r="J89" s="87">
        <f t="shared" si="1"/>
        <v>10</v>
      </c>
      <c r="K89" s="8">
        <v>1</v>
      </c>
      <c r="L89" s="88">
        <v>50</v>
      </c>
      <c r="M89" s="91" t="s">
        <v>87</v>
      </c>
    </row>
    <row r="90" spans="1:13" ht="24" x14ac:dyDescent="0.2">
      <c r="A90" s="23" t="s">
        <v>88</v>
      </c>
      <c r="B90" s="90" t="s">
        <v>21</v>
      </c>
      <c r="C90" s="85" t="s">
        <v>22</v>
      </c>
      <c r="D90" s="84">
        <v>1</v>
      </c>
      <c r="E90" s="49">
        <v>55</v>
      </c>
      <c r="F90" s="85">
        <v>45909</v>
      </c>
      <c r="G90" s="86">
        <v>0.375</v>
      </c>
      <c r="H90" s="85">
        <v>45907</v>
      </c>
      <c r="I90" s="86">
        <v>0.9375</v>
      </c>
      <c r="J90" s="87">
        <f t="shared" si="1"/>
        <v>0</v>
      </c>
      <c r="K90" s="8">
        <v>1</v>
      </c>
      <c r="L90" s="88">
        <v>55</v>
      </c>
      <c r="M90" s="91" t="s">
        <v>89</v>
      </c>
    </row>
    <row r="91" spans="1:13" ht="24" x14ac:dyDescent="0.2">
      <c r="A91" s="33" t="s">
        <v>131</v>
      </c>
      <c r="B91" s="90" t="s">
        <v>36</v>
      </c>
      <c r="C91" s="85" t="s">
        <v>37</v>
      </c>
      <c r="D91" s="49">
        <v>1</v>
      </c>
      <c r="E91" s="49">
        <v>30</v>
      </c>
      <c r="F91" s="85">
        <v>45909</v>
      </c>
      <c r="G91" s="86">
        <v>0.375</v>
      </c>
      <c r="H91" s="85">
        <v>45907</v>
      </c>
      <c r="I91" s="86">
        <v>0.9375</v>
      </c>
      <c r="J91" s="87">
        <f t="shared" si="1"/>
        <v>-2</v>
      </c>
      <c r="K91" s="8">
        <v>1</v>
      </c>
      <c r="L91" s="88">
        <v>32</v>
      </c>
      <c r="M91" s="91" t="s">
        <v>132</v>
      </c>
    </row>
    <row r="92" spans="1:13" ht="24" x14ac:dyDescent="0.2">
      <c r="A92" s="33" t="s">
        <v>131</v>
      </c>
      <c r="B92" s="90" t="s">
        <v>42</v>
      </c>
      <c r="C92" s="85" t="s">
        <v>43</v>
      </c>
      <c r="D92" s="49">
        <v>1</v>
      </c>
      <c r="E92" s="49">
        <v>30</v>
      </c>
      <c r="F92" s="85">
        <v>45909</v>
      </c>
      <c r="G92" s="86">
        <v>0.375</v>
      </c>
      <c r="H92" s="85">
        <v>45907</v>
      </c>
      <c r="I92" s="86">
        <v>0.9375</v>
      </c>
      <c r="J92" s="87">
        <f t="shared" si="1"/>
        <v>-2</v>
      </c>
      <c r="K92" s="8">
        <v>1</v>
      </c>
      <c r="L92" s="88">
        <v>32</v>
      </c>
      <c r="M92" s="91" t="s">
        <v>132</v>
      </c>
    </row>
    <row r="93" spans="1:13" ht="24" x14ac:dyDescent="0.2">
      <c r="A93" s="33" t="s">
        <v>131</v>
      </c>
      <c r="B93" s="90" t="s">
        <v>30</v>
      </c>
      <c r="C93" s="85" t="s">
        <v>31</v>
      </c>
      <c r="D93" s="49">
        <v>1</v>
      </c>
      <c r="E93" s="49">
        <v>30</v>
      </c>
      <c r="F93" s="85">
        <v>45909</v>
      </c>
      <c r="G93" s="86">
        <v>0.375</v>
      </c>
      <c r="H93" s="85">
        <v>45907</v>
      </c>
      <c r="I93" s="86">
        <v>0.9375</v>
      </c>
      <c r="J93" s="87">
        <f t="shared" si="1"/>
        <v>-2</v>
      </c>
      <c r="K93" s="8">
        <v>1</v>
      </c>
      <c r="L93" s="88">
        <v>32</v>
      </c>
      <c r="M93" s="91" t="s">
        <v>132</v>
      </c>
    </row>
    <row r="94" spans="1:13" ht="24" x14ac:dyDescent="0.2">
      <c r="A94" s="33" t="s">
        <v>131</v>
      </c>
      <c r="B94" s="90" t="s">
        <v>21</v>
      </c>
      <c r="C94" s="85" t="s">
        <v>22</v>
      </c>
      <c r="D94" s="49">
        <v>1</v>
      </c>
      <c r="E94" s="49">
        <v>30</v>
      </c>
      <c r="F94" s="85">
        <v>45909</v>
      </c>
      <c r="G94" s="86">
        <v>0.375</v>
      </c>
      <c r="H94" s="85">
        <v>45907</v>
      </c>
      <c r="I94" s="86">
        <v>0.9375</v>
      </c>
      <c r="J94" s="87">
        <f t="shared" si="1"/>
        <v>-2</v>
      </c>
      <c r="K94" s="8">
        <v>1</v>
      </c>
      <c r="L94" s="88">
        <v>32</v>
      </c>
      <c r="M94" s="91" t="s">
        <v>132</v>
      </c>
    </row>
    <row r="95" spans="1:13" ht="24" x14ac:dyDescent="0.2">
      <c r="A95" s="33" t="s">
        <v>131</v>
      </c>
      <c r="B95" s="90" t="s">
        <v>136</v>
      </c>
      <c r="C95" s="85" t="s">
        <v>34</v>
      </c>
      <c r="D95" s="49">
        <v>1</v>
      </c>
      <c r="E95" s="49">
        <v>30</v>
      </c>
      <c r="F95" s="85">
        <v>45909</v>
      </c>
      <c r="G95" s="86">
        <v>0.375</v>
      </c>
      <c r="H95" s="85">
        <v>45907</v>
      </c>
      <c r="I95" s="86">
        <v>0.9375</v>
      </c>
      <c r="J95" s="87">
        <f t="shared" si="1"/>
        <v>-2</v>
      </c>
      <c r="K95" s="8">
        <v>1</v>
      </c>
      <c r="L95" s="88">
        <v>32</v>
      </c>
      <c r="M95" s="91" t="s">
        <v>132</v>
      </c>
    </row>
    <row r="96" spans="1:13" ht="24" x14ac:dyDescent="0.2">
      <c r="A96" s="33" t="s">
        <v>131</v>
      </c>
      <c r="B96" s="90" t="s">
        <v>39</v>
      </c>
      <c r="C96" s="85" t="s">
        <v>40</v>
      </c>
      <c r="D96" s="49">
        <v>1</v>
      </c>
      <c r="E96" s="49">
        <v>30</v>
      </c>
      <c r="F96" s="85">
        <v>45909</v>
      </c>
      <c r="G96" s="86">
        <v>0.375</v>
      </c>
      <c r="H96" s="85">
        <v>45907</v>
      </c>
      <c r="I96" s="86">
        <v>0.9375</v>
      </c>
      <c r="J96" s="87">
        <f t="shared" si="1"/>
        <v>-2</v>
      </c>
      <c r="K96" s="8">
        <v>1</v>
      </c>
      <c r="L96" s="88">
        <v>32</v>
      </c>
      <c r="M96" s="91" t="s">
        <v>132</v>
      </c>
    </row>
    <row r="97" spans="1:13" ht="24" x14ac:dyDescent="0.2">
      <c r="A97" s="33" t="s">
        <v>133</v>
      </c>
      <c r="B97" s="90" t="s">
        <v>21</v>
      </c>
      <c r="C97" s="85" t="s">
        <v>22</v>
      </c>
      <c r="D97" s="49">
        <v>3</v>
      </c>
      <c r="E97" s="49">
        <v>20</v>
      </c>
      <c r="F97" s="85">
        <v>45909</v>
      </c>
      <c r="G97" s="86">
        <v>0.375</v>
      </c>
      <c r="H97" s="85">
        <v>45908</v>
      </c>
      <c r="I97" s="86">
        <v>0.375</v>
      </c>
      <c r="J97" s="87">
        <f t="shared" si="1"/>
        <v>5</v>
      </c>
      <c r="K97" s="8">
        <v>3</v>
      </c>
      <c r="L97" s="88">
        <v>15</v>
      </c>
      <c r="M97" s="91" t="s">
        <v>134</v>
      </c>
    </row>
    <row r="98" spans="1:13" x14ac:dyDescent="0.2">
      <c r="A98"/>
      <c r="B98"/>
      <c r="C98"/>
      <c r="D98"/>
      <c r="E98"/>
      <c r="F98"/>
      <c r="G98"/>
      <c r="H98"/>
      <c r="I98"/>
      <c r="J98"/>
      <c r="K98"/>
      <c r="L98"/>
      <c r="M98"/>
    </row>
    <row r="99" spans="1:13" x14ac:dyDescent="0.2">
      <c r="A99" s="70" t="s">
        <v>210</v>
      </c>
      <c r="B99" t="s">
        <v>215</v>
      </c>
      <c r="C99" t="s">
        <v>214</v>
      </c>
      <c r="D99" t="s">
        <v>212</v>
      </c>
      <c r="E99" t="s">
        <v>213</v>
      </c>
    </row>
    <row r="100" spans="1:13" x14ac:dyDescent="0.2">
      <c r="A100" s="71" t="s">
        <v>36</v>
      </c>
      <c r="B100">
        <v>22</v>
      </c>
      <c r="C100">
        <v>550</v>
      </c>
      <c r="D100">
        <v>535</v>
      </c>
      <c r="E100">
        <v>25</v>
      </c>
    </row>
    <row r="101" spans="1:13" x14ac:dyDescent="0.2">
      <c r="A101" s="71" t="s">
        <v>39</v>
      </c>
      <c r="B101">
        <v>18</v>
      </c>
      <c r="C101">
        <v>370</v>
      </c>
      <c r="D101">
        <v>296</v>
      </c>
      <c r="E101">
        <v>18</v>
      </c>
    </row>
    <row r="102" spans="1:13" x14ac:dyDescent="0.2">
      <c r="A102" s="71" t="s">
        <v>21</v>
      </c>
      <c r="B102">
        <v>22</v>
      </c>
      <c r="C102">
        <v>730</v>
      </c>
      <c r="D102">
        <v>555</v>
      </c>
      <c r="E102">
        <v>23</v>
      </c>
    </row>
    <row r="103" spans="1:13" x14ac:dyDescent="0.2">
      <c r="A103" s="71" t="s">
        <v>136</v>
      </c>
      <c r="B103">
        <v>16</v>
      </c>
      <c r="C103">
        <v>565</v>
      </c>
      <c r="D103">
        <v>402</v>
      </c>
      <c r="E103">
        <v>15</v>
      </c>
    </row>
    <row r="104" spans="1:13" x14ac:dyDescent="0.2">
      <c r="A104" s="71" t="s">
        <v>42</v>
      </c>
      <c r="B104">
        <v>17</v>
      </c>
      <c r="C104">
        <v>395</v>
      </c>
      <c r="D104">
        <v>342</v>
      </c>
      <c r="E104">
        <v>19</v>
      </c>
    </row>
    <row r="105" spans="1:13" x14ac:dyDescent="0.2">
      <c r="A105" s="71" t="s">
        <v>30</v>
      </c>
      <c r="B105">
        <v>13</v>
      </c>
      <c r="C105">
        <v>320</v>
      </c>
      <c r="D105">
        <v>262</v>
      </c>
      <c r="E105">
        <v>14</v>
      </c>
    </row>
    <row r="106" spans="1:13" x14ac:dyDescent="0.2">
      <c r="A106" s="71" t="s">
        <v>211</v>
      </c>
      <c r="B106">
        <v>108</v>
      </c>
      <c r="C106">
        <v>2930</v>
      </c>
      <c r="D106">
        <v>2392</v>
      </c>
      <c r="E106">
        <v>114</v>
      </c>
    </row>
    <row r="107" spans="1:13" x14ac:dyDescent="0.2">
      <c r="A107"/>
      <c r="B107"/>
      <c r="C107"/>
      <c r="D107"/>
      <c r="E107"/>
    </row>
    <row r="108" spans="1:13" x14ac:dyDescent="0.2">
      <c r="A108"/>
      <c r="B108"/>
      <c r="C108"/>
    </row>
    <row r="109" spans="1:13" x14ac:dyDescent="0.2">
      <c r="A109"/>
      <c r="B109"/>
      <c r="C109"/>
    </row>
    <row r="110" spans="1:13" x14ac:dyDescent="0.2">
      <c r="A110" s="95" t="s">
        <v>317</v>
      </c>
      <c r="B110" s="53">
        <v>33</v>
      </c>
      <c r="C110"/>
    </row>
    <row r="111" spans="1:13" ht="30" customHeight="1" x14ac:dyDescent="0.2">
      <c r="A111"/>
      <c r="B111"/>
      <c r="C111"/>
    </row>
    <row r="112" spans="1:13" ht="23.25" customHeight="1" x14ac:dyDescent="0.2">
      <c r="A112"/>
      <c r="B112"/>
      <c r="C112"/>
    </row>
    <row r="113" spans="1:20" x14ac:dyDescent="0.2">
      <c r="A113"/>
      <c r="B113"/>
      <c r="C113"/>
    </row>
    <row r="114" spans="1:20" x14ac:dyDescent="0.2">
      <c r="A114"/>
      <c r="B114"/>
      <c r="C114"/>
      <c r="D114"/>
      <c r="E114"/>
      <c r="F114"/>
      <c r="G114"/>
      <c r="H114"/>
      <c r="I114"/>
      <c r="J114"/>
      <c r="K114"/>
      <c r="L114"/>
      <c r="M114"/>
    </row>
    <row r="115" spans="1:20" x14ac:dyDescent="0.2">
      <c r="A115"/>
      <c r="B115"/>
      <c r="C115"/>
      <c r="D115"/>
      <c r="E115"/>
      <c r="F115"/>
      <c r="G115"/>
      <c r="H115"/>
      <c r="I115"/>
      <c r="J115"/>
      <c r="K115"/>
      <c r="L115"/>
      <c r="M115"/>
    </row>
    <row r="116" spans="1:20" x14ac:dyDescent="0.2">
      <c r="A116"/>
      <c r="B116"/>
      <c r="C116"/>
    </row>
    <row r="119" spans="1:20" s="5" customFormat="1" ht="12" customHeight="1" x14ac:dyDescent="0.2">
      <c r="A119" s="4"/>
      <c r="B119" s="4"/>
      <c r="C119" s="4"/>
      <c r="D119" s="4"/>
      <c r="E119" s="4"/>
      <c r="F119" s="4"/>
      <c r="G119" s="4"/>
      <c r="H119" s="4"/>
      <c r="I119" s="3"/>
      <c r="J119" s="3"/>
      <c r="K119" s="2"/>
      <c r="L119" s="1"/>
      <c r="M119" s="1"/>
    </row>
    <row r="123" spans="1:20" x14ac:dyDescent="0.2">
      <c r="Q123" s="42" t="e">
        <f>SUM(#REF!)</f>
        <v>#REF!</v>
      </c>
      <c r="R123" s="42" t="e">
        <f>SUM(#REF!)</f>
        <v>#REF!</v>
      </c>
      <c r="S123" s="42" t="e">
        <f>SUM(#REF!)</f>
        <v>#REF!</v>
      </c>
      <c r="T123" s="42" t="e">
        <f>SUM(#REF!)</f>
        <v>#REF!</v>
      </c>
    </row>
    <row r="124" spans="1:20" ht="35.25" customHeight="1" x14ac:dyDescent="0.2"/>
    <row r="125" spans="1:20" ht="36.75" customHeight="1" x14ac:dyDescent="0.2">
      <c r="A125" s="70" t="s">
        <v>210</v>
      </c>
      <c r="B125" t="s">
        <v>213</v>
      </c>
      <c r="C125" t="s">
        <v>215</v>
      </c>
    </row>
    <row r="126" spans="1:20" ht="33.75" customHeight="1" x14ac:dyDescent="0.2">
      <c r="A126" s="71" t="s">
        <v>36</v>
      </c>
      <c r="B126">
        <v>25</v>
      </c>
      <c r="C126">
        <v>22</v>
      </c>
    </row>
    <row r="127" spans="1:20" ht="26.25" customHeight="1" x14ac:dyDescent="0.2">
      <c r="A127" s="71" t="s">
        <v>39</v>
      </c>
      <c r="B127">
        <v>18</v>
      </c>
      <c r="C127">
        <v>18</v>
      </c>
    </row>
    <row r="128" spans="1:20" ht="27.75" customHeight="1" x14ac:dyDescent="0.2">
      <c r="A128" s="71" t="s">
        <v>21</v>
      </c>
      <c r="B128">
        <v>23</v>
      </c>
      <c r="C128">
        <v>22</v>
      </c>
    </row>
    <row r="129" spans="1:3" ht="40.5" customHeight="1" x14ac:dyDescent="0.2">
      <c r="A129" s="71" t="s">
        <v>136</v>
      </c>
      <c r="B129">
        <v>15</v>
      </c>
      <c r="C129">
        <v>16</v>
      </c>
    </row>
    <row r="130" spans="1:3" x14ac:dyDescent="0.2">
      <c r="A130" s="71" t="s">
        <v>42</v>
      </c>
      <c r="B130">
        <v>19</v>
      </c>
      <c r="C130">
        <v>17</v>
      </c>
    </row>
    <row r="131" spans="1:3" x14ac:dyDescent="0.2">
      <c r="A131" s="71" t="s">
        <v>30</v>
      </c>
      <c r="B131">
        <v>14</v>
      </c>
      <c r="C131">
        <v>13</v>
      </c>
    </row>
    <row r="132" spans="1:3" x14ac:dyDescent="0.2">
      <c r="A132" s="71" t="s">
        <v>211</v>
      </c>
      <c r="B132">
        <v>114</v>
      </c>
      <c r="C132">
        <v>108</v>
      </c>
    </row>
    <row r="133" spans="1:3" x14ac:dyDescent="0.2">
      <c r="A133"/>
      <c r="B133"/>
      <c r="C133"/>
    </row>
    <row r="134" spans="1:3" x14ac:dyDescent="0.2">
      <c r="A134"/>
      <c r="B134"/>
      <c r="C134"/>
    </row>
    <row r="135" spans="1:3" x14ac:dyDescent="0.2">
      <c r="A135"/>
      <c r="B135"/>
      <c r="C135"/>
    </row>
    <row r="136" spans="1:3" x14ac:dyDescent="0.2">
      <c r="A136"/>
      <c r="B136"/>
      <c r="C136"/>
    </row>
    <row r="137" spans="1:3" x14ac:dyDescent="0.2">
      <c r="A137"/>
      <c r="B137"/>
      <c r="C137"/>
    </row>
    <row r="138" spans="1:3" x14ac:dyDescent="0.2">
      <c r="A138"/>
      <c r="B138"/>
      <c r="C138"/>
    </row>
    <row r="139" spans="1:3" x14ac:dyDescent="0.2">
      <c r="A139"/>
      <c r="B139"/>
      <c r="C139"/>
    </row>
    <row r="140" spans="1:3" x14ac:dyDescent="0.2">
      <c r="A140"/>
      <c r="B140"/>
      <c r="C140"/>
    </row>
    <row r="141" spans="1:3" x14ac:dyDescent="0.2">
      <c r="A141"/>
      <c r="B141"/>
      <c r="C141"/>
    </row>
    <row r="142" spans="1:3" x14ac:dyDescent="0.2">
      <c r="A142"/>
      <c r="B142"/>
      <c r="C142"/>
    </row>
    <row r="143" spans="1:3" x14ac:dyDescent="0.2">
      <c r="A143"/>
    </row>
    <row r="144" spans="1:3" x14ac:dyDescent="0.2">
      <c r="A144"/>
    </row>
    <row r="145" spans="1:1" x14ac:dyDescent="0.2">
      <c r="A145"/>
    </row>
    <row r="146" spans="1:1" x14ac:dyDescent="0.2">
      <c r="A146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3"/>
  <headerFooter alignWithMargins="0"/>
  <drawing r:id="rId4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D27CC-0E68-4F58-93A4-AB54BAA33A91}">
  <dimension ref="A1:T129"/>
  <sheetViews>
    <sheetView topLeftCell="A26" zoomScale="84" zoomScaleNormal="76" workbookViewId="0">
      <selection activeCell="F33" sqref="F33"/>
    </sheetView>
  </sheetViews>
  <sheetFormatPr baseColWidth="10" defaultColWidth="11.42578125" defaultRowHeight="12.75" x14ac:dyDescent="0.2"/>
  <cols>
    <col min="1" max="1" width="18.7109375" style="4" bestFit="1" customWidth="1"/>
    <col min="2" max="2" width="45.42578125" style="4" bestFit="1" customWidth="1"/>
    <col min="3" max="3" width="21.5703125" style="4" bestFit="1" customWidth="1"/>
    <col min="4" max="4" width="21.28515625" style="4" bestFit="1" customWidth="1"/>
    <col min="5" max="5" width="21.570312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26"/>
      <c r="B1" s="128" t="s">
        <v>0</v>
      </c>
      <c r="C1" s="128"/>
      <c r="D1" s="128"/>
      <c r="E1" s="128"/>
      <c r="F1" s="128"/>
      <c r="G1" s="128"/>
      <c r="H1" s="128"/>
      <c r="I1" s="128"/>
      <c r="J1" s="128"/>
      <c r="K1" s="128"/>
      <c r="L1" s="130"/>
      <c r="M1" s="131"/>
    </row>
    <row r="2" spans="1:20" ht="20.25" customHeight="1" x14ac:dyDescent="0.2">
      <c r="A2" s="127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32"/>
      <c r="M2" s="133"/>
    </row>
    <row r="3" spans="1:20" ht="12.75" customHeight="1" x14ac:dyDescent="0.2">
      <c r="A3" s="134" t="s">
        <v>1</v>
      </c>
      <c r="B3" s="136" t="s">
        <v>2</v>
      </c>
      <c r="C3" s="136"/>
      <c r="D3" s="136"/>
      <c r="E3" s="136"/>
      <c r="F3" s="136"/>
      <c r="G3" s="136"/>
      <c r="H3" s="136"/>
      <c r="I3" s="136"/>
      <c r="J3" s="136"/>
      <c r="K3" s="136"/>
      <c r="L3" s="138" t="s">
        <v>3</v>
      </c>
      <c r="M3" s="139"/>
    </row>
    <row r="4" spans="1:20" ht="13.5" thickBot="1" x14ac:dyDescent="0.25">
      <c r="A4" s="135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22" t="s">
        <v>6</v>
      </c>
      <c r="C6" s="122"/>
      <c r="D6" s="122"/>
      <c r="E6" s="122"/>
      <c r="F6" s="122"/>
      <c r="G6" s="122"/>
      <c r="H6" s="123" t="s">
        <v>7</v>
      </c>
      <c r="I6" s="124"/>
      <c r="J6" s="124"/>
      <c r="K6" s="124"/>
      <c r="L6" s="125"/>
      <c r="M6" s="25"/>
    </row>
    <row r="7" spans="1:20" s="14" customFormat="1" ht="49.5" customHeight="1" x14ac:dyDescent="0.2">
      <c r="A7" s="18" cm="1">
        <f t="array" aca="1" ref="A7" ca="1">+A37+A1:L7+A7:L7</f>
        <v>0</v>
      </c>
      <c r="B7" s="19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318</v>
      </c>
      <c r="B8" s="90" t="s">
        <v>36</v>
      </c>
      <c r="C8" s="85" t="s">
        <v>37</v>
      </c>
      <c r="D8" s="84">
        <v>1</v>
      </c>
      <c r="E8" s="49">
        <v>30</v>
      </c>
      <c r="F8" s="85">
        <v>45917</v>
      </c>
      <c r="G8" s="86">
        <v>0.375</v>
      </c>
      <c r="H8" s="85">
        <v>45915</v>
      </c>
      <c r="I8" s="86">
        <v>0.79166666666666663</v>
      </c>
      <c r="J8" s="87">
        <f>E8-L8</f>
        <v>0</v>
      </c>
      <c r="K8" s="8">
        <v>1</v>
      </c>
      <c r="L8" s="88">
        <v>30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">
      <c r="A9" s="23" t="s">
        <v>216</v>
      </c>
      <c r="B9" s="90" t="s">
        <v>30</v>
      </c>
      <c r="C9" s="85" t="s">
        <v>37</v>
      </c>
      <c r="D9" s="84">
        <v>1</v>
      </c>
      <c r="E9" s="49">
        <v>30</v>
      </c>
      <c r="F9" s="85">
        <v>45917</v>
      </c>
      <c r="G9" s="86">
        <v>0.375</v>
      </c>
      <c r="H9" s="85">
        <v>45915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355</v>
      </c>
      <c r="O9" s="5" t="s">
        <v>155</v>
      </c>
    </row>
    <row r="10" spans="1:20" s="5" customFormat="1" ht="39" customHeight="1" x14ac:dyDescent="0.2">
      <c r="A10" s="79" t="s">
        <v>322</v>
      </c>
      <c r="B10" s="95" t="s">
        <v>21</v>
      </c>
      <c r="C10" s="53" t="s">
        <v>22</v>
      </c>
      <c r="D10" s="53">
        <v>1</v>
      </c>
      <c r="E10" s="53">
        <v>30</v>
      </c>
      <c r="F10" s="80">
        <v>45917</v>
      </c>
      <c r="G10" s="81">
        <v>0.375</v>
      </c>
      <c r="H10" s="80">
        <v>45916</v>
      </c>
      <c r="I10" s="81">
        <v>0.54166666666666663</v>
      </c>
      <c r="J10" s="87">
        <f>E10-L10</f>
        <v>0</v>
      </c>
      <c r="K10" s="53">
        <v>1</v>
      </c>
      <c r="L10" s="53">
        <v>30</v>
      </c>
      <c r="M10" s="79" t="s">
        <v>323</v>
      </c>
    </row>
    <row r="11" spans="1:20" s="5" customFormat="1" ht="43.5" customHeight="1" x14ac:dyDescent="0.2">
      <c r="A11" s="79" t="s">
        <v>324</v>
      </c>
      <c r="B11" s="95" t="s">
        <v>30</v>
      </c>
      <c r="C11" s="53" t="s">
        <v>31</v>
      </c>
      <c r="D11" s="53">
        <v>2</v>
      </c>
      <c r="E11" s="53">
        <v>30</v>
      </c>
      <c r="F11" s="80">
        <v>45917</v>
      </c>
      <c r="G11" s="81">
        <v>0.375</v>
      </c>
      <c r="H11" s="80">
        <v>45916</v>
      </c>
      <c r="I11" s="81">
        <v>0.54166666666666663</v>
      </c>
      <c r="J11" s="87">
        <f t="shared" ref="J11:J56" si="0">E11-L11</f>
        <v>2</v>
      </c>
      <c r="K11" s="53">
        <v>2</v>
      </c>
      <c r="L11" s="53">
        <v>28</v>
      </c>
      <c r="M11" s="79" t="s">
        <v>325</v>
      </c>
    </row>
    <row r="12" spans="1:20" s="5" customFormat="1" ht="35.1" customHeight="1" x14ac:dyDescent="0.2">
      <c r="A12" s="53" t="s">
        <v>326</v>
      </c>
      <c r="B12" s="95" t="s">
        <v>30</v>
      </c>
      <c r="C12" s="53" t="s">
        <v>31</v>
      </c>
      <c r="D12" s="53">
        <v>1</v>
      </c>
      <c r="E12" s="53">
        <v>30</v>
      </c>
      <c r="F12" s="80">
        <v>45917</v>
      </c>
      <c r="G12" s="81">
        <v>0.375</v>
      </c>
      <c r="H12" s="80">
        <v>45916</v>
      </c>
      <c r="I12" s="81">
        <v>0.5625</v>
      </c>
      <c r="J12" s="87">
        <f t="shared" si="0"/>
        <v>0</v>
      </c>
      <c r="K12" s="53">
        <v>2</v>
      </c>
      <c r="L12" s="53">
        <v>30</v>
      </c>
      <c r="M12" s="79" t="s">
        <v>331</v>
      </c>
    </row>
    <row r="13" spans="1:20" s="5" customFormat="1" ht="35.1" customHeight="1" x14ac:dyDescent="0.2">
      <c r="A13" s="79" t="s">
        <v>327</v>
      </c>
      <c r="B13" s="95" t="s">
        <v>136</v>
      </c>
      <c r="C13" s="53" t="s">
        <v>34</v>
      </c>
      <c r="D13" s="53">
        <v>2</v>
      </c>
      <c r="E13" s="53">
        <v>30</v>
      </c>
      <c r="F13" s="80">
        <v>45917</v>
      </c>
      <c r="G13" s="81">
        <v>0.375</v>
      </c>
      <c r="H13" s="80">
        <v>45916</v>
      </c>
      <c r="I13" s="81">
        <v>0.54166666666666663</v>
      </c>
      <c r="J13" s="87">
        <f t="shared" si="0"/>
        <v>0</v>
      </c>
      <c r="K13" s="53">
        <v>2</v>
      </c>
      <c r="L13" s="53">
        <v>30</v>
      </c>
      <c r="M13" s="79" t="s">
        <v>330</v>
      </c>
    </row>
    <row r="14" spans="1:20" s="5" customFormat="1" ht="35.1" customHeight="1" x14ac:dyDescent="0.2">
      <c r="A14" s="53" t="s">
        <v>328</v>
      </c>
      <c r="B14" s="95" t="s">
        <v>136</v>
      </c>
      <c r="C14" s="53" t="s">
        <v>34</v>
      </c>
      <c r="D14" s="53">
        <v>2</v>
      </c>
      <c r="E14" s="53">
        <v>30</v>
      </c>
      <c r="F14" s="80">
        <v>45917</v>
      </c>
      <c r="G14" s="81">
        <v>0.375</v>
      </c>
      <c r="H14" s="80">
        <v>45916</v>
      </c>
      <c r="I14" s="81">
        <v>0.5625</v>
      </c>
      <c r="J14" s="87">
        <f t="shared" si="0"/>
        <v>7</v>
      </c>
      <c r="K14" s="53">
        <v>1</v>
      </c>
      <c r="L14" s="53">
        <v>23</v>
      </c>
      <c r="M14" s="79" t="s">
        <v>329</v>
      </c>
    </row>
    <row r="15" spans="1:20" s="5" customFormat="1" ht="35.1" customHeight="1" x14ac:dyDescent="0.2">
      <c r="A15" s="79" t="s">
        <v>332</v>
      </c>
      <c r="B15" s="95" t="s">
        <v>136</v>
      </c>
      <c r="C15" s="53" t="s">
        <v>34</v>
      </c>
      <c r="D15" s="53">
        <v>1</v>
      </c>
      <c r="E15" s="53">
        <v>30</v>
      </c>
      <c r="F15" s="80">
        <v>45917</v>
      </c>
      <c r="G15" s="81">
        <v>0.375</v>
      </c>
      <c r="H15" s="80">
        <v>45916</v>
      </c>
      <c r="I15" s="81">
        <v>0.58333333333333337</v>
      </c>
      <c r="J15" s="87">
        <f t="shared" si="0"/>
        <v>0</v>
      </c>
      <c r="K15" s="53">
        <v>1</v>
      </c>
      <c r="L15" s="53">
        <v>30</v>
      </c>
      <c r="M15" s="79" t="s">
        <v>333</v>
      </c>
    </row>
    <row r="16" spans="1:20" s="5" customFormat="1" ht="38.450000000000003" customHeight="1" x14ac:dyDescent="0.2">
      <c r="A16" s="79" t="s">
        <v>334</v>
      </c>
      <c r="B16" s="95" t="s">
        <v>21</v>
      </c>
      <c r="C16" s="53" t="s">
        <v>22</v>
      </c>
      <c r="D16" s="53">
        <v>1</v>
      </c>
      <c r="E16" s="53">
        <v>30</v>
      </c>
      <c r="F16" s="80">
        <v>45917</v>
      </c>
      <c r="G16" s="81">
        <v>0.375</v>
      </c>
      <c r="H16" s="80">
        <v>45916</v>
      </c>
      <c r="I16" s="81">
        <v>0.5625</v>
      </c>
      <c r="J16" s="87">
        <f t="shared" si="0"/>
        <v>5</v>
      </c>
      <c r="K16" s="53">
        <v>2</v>
      </c>
      <c r="L16" s="53">
        <v>25</v>
      </c>
      <c r="M16" s="79" t="s">
        <v>335</v>
      </c>
    </row>
    <row r="17" spans="1:13" s="5" customFormat="1" ht="30.75" customHeight="1" x14ac:dyDescent="0.2">
      <c r="A17" s="79" t="s">
        <v>336</v>
      </c>
      <c r="B17" s="95" t="s">
        <v>30</v>
      </c>
      <c r="C17" s="53" t="s">
        <v>31</v>
      </c>
      <c r="D17" s="53">
        <v>1</v>
      </c>
      <c r="E17" s="53">
        <v>60</v>
      </c>
      <c r="F17" s="80">
        <v>45917</v>
      </c>
      <c r="G17" s="81">
        <v>0.375</v>
      </c>
      <c r="H17" s="80">
        <v>45916</v>
      </c>
      <c r="I17" s="81">
        <v>0.60416666666666663</v>
      </c>
      <c r="J17" s="87">
        <f t="shared" si="0"/>
        <v>-5</v>
      </c>
      <c r="K17" s="53">
        <v>1</v>
      </c>
      <c r="L17" s="53">
        <v>65</v>
      </c>
      <c r="M17" s="79" t="s">
        <v>337</v>
      </c>
    </row>
    <row r="18" spans="1:13" s="5" customFormat="1" ht="27" customHeight="1" x14ac:dyDescent="0.2">
      <c r="A18" s="53" t="s">
        <v>319</v>
      </c>
      <c r="B18" s="95" t="s">
        <v>136</v>
      </c>
      <c r="C18" s="53" t="s">
        <v>34</v>
      </c>
      <c r="D18" s="53">
        <v>1</v>
      </c>
      <c r="E18" s="53">
        <v>60</v>
      </c>
      <c r="F18" s="80">
        <v>45917</v>
      </c>
      <c r="G18" s="81">
        <v>0.375</v>
      </c>
      <c r="H18" s="80">
        <v>45916</v>
      </c>
      <c r="I18" s="81">
        <v>0.625</v>
      </c>
      <c r="J18" s="87">
        <f t="shared" si="0"/>
        <v>0</v>
      </c>
      <c r="K18" s="53">
        <v>1</v>
      </c>
      <c r="L18" s="53">
        <v>60</v>
      </c>
      <c r="M18" s="79" t="s">
        <v>320</v>
      </c>
    </row>
    <row r="19" spans="1:13" s="5" customFormat="1" ht="38.25" customHeight="1" x14ac:dyDescent="0.2">
      <c r="A19" s="53" t="s">
        <v>338</v>
      </c>
      <c r="B19" s="95" t="s">
        <v>21</v>
      </c>
      <c r="C19" s="53" t="s">
        <v>22</v>
      </c>
      <c r="D19" s="53">
        <v>1</v>
      </c>
      <c r="E19" s="53">
        <v>60</v>
      </c>
      <c r="F19" s="80">
        <v>45917</v>
      </c>
      <c r="G19" s="81">
        <v>0.375</v>
      </c>
      <c r="H19" s="80">
        <v>45916</v>
      </c>
      <c r="I19" s="81">
        <v>0.60416666666666663</v>
      </c>
      <c r="J19" s="87">
        <f t="shared" si="0"/>
        <v>5</v>
      </c>
      <c r="K19" s="53">
        <v>1</v>
      </c>
      <c r="L19" s="53">
        <v>55</v>
      </c>
      <c r="M19" s="79" t="s">
        <v>321</v>
      </c>
    </row>
    <row r="20" spans="1:13" s="5" customFormat="1" ht="40.5" customHeight="1" x14ac:dyDescent="0.2">
      <c r="A20" s="79" t="s">
        <v>339</v>
      </c>
      <c r="B20" s="95" t="s">
        <v>36</v>
      </c>
      <c r="C20" s="53" t="s">
        <v>37</v>
      </c>
      <c r="D20" s="53">
        <v>1</v>
      </c>
      <c r="E20" s="53">
        <v>60</v>
      </c>
      <c r="F20" s="80">
        <v>45917</v>
      </c>
      <c r="G20" s="81">
        <v>0.375</v>
      </c>
      <c r="H20" s="80">
        <v>45916</v>
      </c>
      <c r="I20" s="81">
        <v>0.58333333333333337</v>
      </c>
      <c r="J20" s="87">
        <f t="shared" si="0"/>
        <v>0</v>
      </c>
      <c r="K20" s="53">
        <v>1</v>
      </c>
      <c r="L20" s="53">
        <v>60</v>
      </c>
      <c r="M20" s="79" t="s">
        <v>340</v>
      </c>
    </row>
    <row r="21" spans="1:13" s="5" customFormat="1" ht="27" customHeight="1" x14ac:dyDescent="0.2">
      <c r="A21" s="79" t="s">
        <v>341</v>
      </c>
      <c r="B21" s="95" t="s">
        <v>42</v>
      </c>
      <c r="C21" s="53" t="s">
        <v>43</v>
      </c>
      <c r="D21" s="53">
        <v>1</v>
      </c>
      <c r="E21" s="53">
        <v>60</v>
      </c>
      <c r="F21" s="80">
        <v>45917</v>
      </c>
      <c r="G21" s="81">
        <v>0.375</v>
      </c>
      <c r="H21" s="80">
        <v>45916</v>
      </c>
      <c r="I21" s="81">
        <v>0.58333333333333337</v>
      </c>
      <c r="J21" s="87">
        <f t="shared" si="0"/>
        <v>6</v>
      </c>
      <c r="K21" s="53">
        <v>1</v>
      </c>
      <c r="L21" s="53">
        <v>54</v>
      </c>
      <c r="M21" s="79" t="s">
        <v>342</v>
      </c>
    </row>
    <row r="22" spans="1:13" s="5" customFormat="1" ht="27" customHeight="1" x14ac:dyDescent="0.2">
      <c r="A22" s="79" t="s">
        <v>343</v>
      </c>
      <c r="B22" s="95" t="s">
        <v>39</v>
      </c>
      <c r="C22" s="53" t="s">
        <v>40</v>
      </c>
      <c r="D22" s="53">
        <v>1</v>
      </c>
      <c r="E22" s="53">
        <v>60</v>
      </c>
      <c r="F22" s="80">
        <v>45917</v>
      </c>
      <c r="G22" s="81">
        <v>0.375</v>
      </c>
      <c r="H22" s="80">
        <v>45916</v>
      </c>
      <c r="I22" s="81">
        <v>0.58333333333333337</v>
      </c>
      <c r="J22" s="87">
        <f t="shared" si="0"/>
        <v>0</v>
      </c>
      <c r="K22" s="53">
        <v>1</v>
      </c>
      <c r="L22" s="53">
        <v>60</v>
      </c>
      <c r="M22" s="79" t="s">
        <v>344</v>
      </c>
    </row>
    <row r="23" spans="1:13" s="5" customFormat="1" ht="27" customHeight="1" x14ac:dyDescent="0.2">
      <c r="A23" s="79" t="s">
        <v>345</v>
      </c>
      <c r="B23" s="95" t="s">
        <v>21</v>
      </c>
      <c r="C23" s="53" t="s">
        <v>22</v>
      </c>
      <c r="D23" s="53">
        <v>1</v>
      </c>
      <c r="E23" s="53">
        <v>60</v>
      </c>
      <c r="F23" s="80">
        <v>45917</v>
      </c>
      <c r="G23" s="81">
        <v>0.375</v>
      </c>
      <c r="H23" s="80">
        <v>45916</v>
      </c>
      <c r="I23" s="81">
        <v>0.64583333333333337</v>
      </c>
      <c r="J23" s="87">
        <f t="shared" si="0"/>
        <v>0</v>
      </c>
      <c r="K23" s="53">
        <v>1</v>
      </c>
      <c r="L23" s="53">
        <v>60</v>
      </c>
      <c r="M23" s="79" t="s">
        <v>348</v>
      </c>
    </row>
    <row r="24" spans="1:13" s="5" customFormat="1" ht="27" customHeight="1" x14ac:dyDescent="0.2">
      <c r="A24" s="79" t="s">
        <v>346</v>
      </c>
      <c r="B24" s="95" t="s">
        <v>36</v>
      </c>
      <c r="C24" s="53" t="s">
        <v>37</v>
      </c>
      <c r="D24" s="53">
        <v>2</v>
      </c>
      <c r="E24" s="53">
        <v>60</v>
      </c>
      <c r="F24" s="80">
        <v>45917</v>
      </c>
      <c r="G24" s="81">
        <v>0.375</v>
      </c>
      <c r="H24" s="80">
        <v>45916</v>
      </c>
      <c r="I24" s="81">
        <v>0.625</v>
      </c>
      <c r="J24" s="87">
        <f t="shared" si="0"/>
        <v>-1</v>
      </c>
      <c r="K24" s="53">
        <v>1</v>
      </c>
      <c r="L24" s="53">
        <v>61</v>
      </c>
      <c r="M24" s="79" t="s">
        <v>347</v>
      </c>
    </row>
    <row r="25" spans="1:13" s="5" customFormat="1" ht="27" customHeight="1" x14ac:dyDescent="0.2">
      <c r="A25" s="79" t="s">
        <v>349</v>
      </c>
      <c r="B25" s="95" t="s">
        <v>42</v>
      </c>
      <c r="C25" s="53" t="s">
        <v>43</v>
      </c>
      <c r="D25" s="53">
        <v>2</v>
      </c>
      <c r="E25" s="53">
        <v>60</v>
      </c>
      <c r="F25" s="80">
        <v>45917</v>
      </c>
      <c r="G25" s="81">
        <v>0.375</v>
      </c>
      <c r="H25" s="80">
        <v>45916</v>
      </c>
      <c r="I25" s="81">
        <v>0.66666666666666696</v>
      </c>
      <c r="J25" s="87">
        <f t="shared" si="0"/>
        <v>0</v>
      </c>
      <c r="K25" s="53">
        <v>1</v>
      </c>
      <c r="L25" s="53">
        <v>60</v>
      </c>
      <c r="M25" s="79" t="s">
        <v>350</v>
      </c>
    </row>
    <row r="26" spans="1:13" s="5" customFormat="1" ht="27" customHeight="1" x14ac:dyDescent="0.2">
      <c r="A26" s="79" t="s">
        <v>352</v>
      </c>
      <c r="B26" s="95" t="s">
        <v>39</v>
      </c>
      <c r="C26" s="53" t="s">
        <v>40</v>
      </c>
      <c r="D26" s="53">
        <v>2</v>
      </c>
      <c r="E26" s="53">
        <v>60</v>
      </c>
      <c r="F26" s="80">
        <v>45917</v>
      </c>
      <c r="G26" s="81">
        <v>0.375</v>
      </c>
      <c r="H26" s="80">
        <v>45916</v>
      </c>
      <c r="I26" s="81">
        <v>0.70833333333333304</v>
      </c>
      <c r="J26" s="87">
        <f t="shared" si="0"/>
        <v>3</v>
      </c>
      <c r="K26" s="53">
        <v>1</v>
      </c>
      <c r="L26" s="53">
        <v>57</v>
      </c>
      <c r="M26" s="79" t="s">
        <v>351</v>
      </c>
    </row>
    <row r="27" spans="1:13" s="5" customFormat="1" ht="27" customHeight="1" x14ac:dyDescent="0.2">
      <c r="A27" s="79" t="s">
        <v>353</v>
      </c>
      <c r="B27" s="95" t="s">
        <v>30</v>
      </c>
      <c r="C27" s="53" t="s">
        <v>31</v>
      </c>
      <c r="D27" s="53">
        <v>1</v>
      </c>
      <c r="E27" s="53">
        <v>30</v>
      </c>
      <c r="F27" s="80">
        <v>45917</v>
      </c>
      <c r="G27" s="81">
        <v>0.375</v>
      </c>
      <c r="H27" s="80">
        <v>45916</v>
      </c>
      <c r="I27" s="81">
        <v>0.79166666666666663</v>
      </c>
      <c r="J27" s="87">
        <f t="shared" si="0"/>
        <v>5</v>
      </c>
      <c r="K27" s="53">
        <v>1</v>
      </c>
      <c r="L27" s="53">
        <v>25</v>
      </c>
      <c r="M27" s="79" t="s">
        <v>354</v>
      </c>
    </row>
    <row r="28" spans="1:13" s="5" customFormat="1" ht="27" customHeight="1" x14ac:dyDescent="0.2">
      <c r="A28" s="79" t="s">
        <v>353</v>
      </c>
      <c r="B28" s="95" t="s">
        <v>21</v>
      </c>
      <c r="C28" s="53" t="s">
        <v>22</v>
      </c>
      <c r="D28" s="53">
        <v>1</v>
      </c>
      <c r="E28" s="53">
        <v>30</v>
      </c>
      <c r="F28" s="80">
        <v>45917</v>
      </c>
      <c r="G28" s="81">
        <v>0.375</v>
      </c>
      <c r="H28" s="80">
        <v>45916</v>
      </c>
      <c r="I28" s="81">
        <v>0.79166666666666663</v>
      </c>
      <c r="J28" s="87">
        <f t="shared" si="0"/>
        <v>5</v>
      </c>
      <c r="K28" s="53">
        <v>1</v>
      </c>
      <c r="L28" s="53">
        <v>25</v>
      </c>
      <c r="M28" s="79" t="s">
        <v>354</v>
      </c>
    </row>
    <row r="29" spans="1:13" s="5" customFormat="1" ht="36.75" customHeight="1" x14ac:dyDescent="0.2">
      <c r="A29" s="79" t="s">
        <v>353</v>
      </c>
      <c r="B29" s="95" t="s">
        <v>36</v>
      </c>
      <c r="C29" s="53" t="s">
        <v>37</v>
      </c>
      <c r="D29" s="53">
        <v>1</v>
      </c>
      <c r="E29" s="53">
        <v>30</v>
      </c>
      <c r="F29" s="80">
        <v>45917</v>
      </c>
      <c r="G29" s="81">
        <v>0.375</v>
      </c>
      <c r="H29" s="80">
        <v>45916</v>
      </c>
      <c r="I29" s="81">
        <v>0.79166666666666663</v>
      </c>
      <c r="J29" s="87">
        <f t="shared" si="0"/>
        <v>5</v>
      </c>
      <c r="K29" s="53">
        <v>1</v>
      </c>
      <c r="L29" s="53">
        <v>25</v>
      </c>
      <c r="M29" s="79" t="s">
        <v>354</v>
      </c>
    </row>
    <row r="30" spans="1:13" s="5" customFormat="1" ht="37.5" customHeight="1" x14ac:dyDescent="0.2">
      <c r="A30" s="79" t="s">
        <v>353</v>
      </c>
      <c r="B30" s="95" t="s">
        <v>136</v>
      </c>
      <c r="C30" s="53" t="s">
        <v>34</v>
      </c>
      <c r="D30" s="53">
        <v>1</v>
      </c>
      <c r="E30" s="53">
        <v>30</v>
      </c>
      <c r="F30" s="80">
        <v>45917</v>
      </c>
      <c r="G30" s="81">
        <v>0.375</v>
      </c>
      <c r="H30" s="80">
        <v>45916</v>
      </c>
      <c r="I30" s="81">
        <v>0.79166666666666663</v>
      </c>
      <c r="J30" s="87">
        <f t="shared" si="0"/>
        <v>5</v>
      </c>
      <c r="K30" s="53">
        <v>1</v>
      </c>
      <c r="L30" s="53">
        <v>25</v>
      </c>
      <c r="M30" s="79" t="s">
        <v>354</v>
      </c>
    </row>
    <row r="31" spans="1:13" s="5" customFormat="1" ht="38.25" customHeight="1" x14ac:dyDescent="0.2">
      <c r="A31" s="79" t="s">
        <v>353</v>
      </c>
      <c r="B31" s="95" t="s">
        <v>39</v>
      </c>
      <c r="C31" s="53" t="s">
        <v>40</v>
      </c>
      <c r="D31" s="53">
        <v>1</v>
      </c>
      <c r="E31" s="53">
        <v>30</v>
      </c>
      <c r="F31" s="80">
        <v>45917</v>
      </c>
      <c r="G31" s="81">
        <v>0.375</v>
      </c>
      <c r="H31" s="80">
        <v>45916</v>
      </c>
      <c r="I31" s="81">
        <v>0.79166666666666663</v>
      </c>
      <c r="J31" s="87">
        <f t="shared" si="0"/>
        <v>5</v>
      </c>
      <c r="K31" s="53">
        <v>1</v>
      </c>
      <c r="L31" s="53">
        <v>25</v>
      </c>
      <c r="M31" s="79" t="s">
        <v>354</v>
      </c>
    </row>
    <row r="32" spans="1:13" s="5" customFormat="1" ht="36.75" customHeight="1" x14ac:dyDescent="0.2">
      <c r="A32" s="107" t="s">
        <v>471</v>
      </c>
      <c r="B32" s="53" t="s">
        <v>36</v>
      </c>
      <c r="C32" s="53" t="s">
        <v>37</v>
      </c>
      <c r="D32" s="53">
        <v>1</v>
      </c>
      <c r="E32" s="53">
        <v>30</v>
      </c>
      <c r="F32" s="80">
        <v>45917</v>
      </c>
      <c r="G32" s="81">
        <v>0.375</v>
      </c>
      <c r="H32" s="80">
        <v>45930</v>
      </c>
      <c r="I32" s="81">
        <v>0.79166666666666663</v>
      </c>
      <c r="J32" s="87">
        <f t="shared" si="0"/>
        <v>0</v>
      </c>
      <c r="K32" s="53">
        <v>3</v>
      </c>
      <c r="L32" s="53">
        <v>30</v>
      </c>
      <c r="M32" s="79" t="s">
        <v>472</v>
      </c>
    </row>
    <row r="33" spans="1:13" s="5" customFormat="1" ht="42" customHeight="1" x14ac:dyDescent="0.2">
      <c r="A33" s="79" t="s">
        <v>353</v>
      </c>
      <c r="B33" s="95" t="s">
        <v>42</v>
      </c>
      <c r="C33" s="53" t="s">
        <v>43</v>
      </c>
      <c r="D33" s="53">
        <v>1</v>
      </c>
      <c r="E33" s="53">
        <v>30</v>
      </c>
      <c r="F33" s="80">
        <v>45917</v>
      </c>
      <c r="G33" s="81">
        <v>0.375</v>
      </c>
      <c r="H33" s="80">
        <v>45916</v>
      </c>
      <c r="I33" s="81">
        <v>0.79166666666666663</v>
      </c>
      <c r="J33" s="87">
        <f t="shared" si="0"/>
        <v>5</v>
      </c>
      <c r="K33" s="53">
        <v>1</v>
      </c>
      <c r="L33" s="53">
        <v>25</v>
      </c>
      <c r="M33" s="79" t="s">
        <v>354</v>
      </c>
    </row>
    <row r="34" spans="1:13" s="5" customFormat="1" ht="39" customHeight="1" x14ac:dyDescent="0.2">
      <c r="A34" s="106" t="s">
        <v>123</v>
      </c>
      <c r="B34" s="90" t="s">
        <v>36</v>
      </c>
      <c r="C34" s="85" t="s">
        <v>37</v>
      </c>
      <c r="D34" s="49">
        <v>1</v>
      </c>
      <c r="E34" s="49">
        <v>20</v>
      </c>
      <c r="F34" s="85">
        <v>45917</v>
      </c>
      <c r="G34" s="86">
        <v>0.375</v>
      </c>
      <c r="H34" s="85">
        <v>45916</v>
      </c>
      <c r="I34" s="86">
        <v>0.80555555555555558</v>
      </c>
      <c r="J34" s="87">
        <f t="shared" si="0"/>
        <v>0</v>
      </c>
      <c r="K34" s="8">
        <v>1</v>
      </c>
      <c r="L34" s="88">
        <v>20</v>
      </c>
      <c r="M34" s="93" t="s">
        <v>124</v>
      </c>
    </row>
    <row r="35" spans="1:13" s="5" customFormat="1" ht="42" customHeight="1" x14ac:dyDescent="0.2">
      <c r="A35" s="38" t="s">
        <v>123</v>
      </c>
      <c r="B35" s="90" t="s">
        <v>143</v>
      </c>
      <c r="C35" s="85" t="s">
        <v>43</v>
      </c>
      <c r="D35" s="49">
        <v>1</v>
      </c>
      <c r="E35" s="49">
        <v>20</v>
      </c>
      <c r="F35" s="85">
        <v>45917</v>
      </c>
      <c r="G35" s="86">
        <v>0.375</v>
      </c>
      <c r="H35" s="85">
        <v>45916</v>
      </c>
      <c r="I35" s="86">
        <v>0.80555555555555558</v>
      </c>
      <c r="J35" s="87">
        <f t="shared" si="0"/>
        <v>0</v>
      </c>
      <c r="K35" s="8">
        <v>1</v>
      </c>
      <c r="L35" s="88">
        <v>20</v>
      </c>
      <c r="M35" s="93" t="s">
        <v>124</v>
      </c>
    </row>
    <row r="36" spans="1:13" s="5" customFormat="1" ht="47.25" customHeight="1" x14ac:dyDescent="0.2">
      <c r="A36" s="13" t="s">
        <v>175</v>
      </c>
      <c r="B36" s="96" t="s">
        <v>36</v>
      </c>
      <c r="C36" s="13" t="s">
        <v>37</v>
      </c>
      <c r="D36" s="53">
        <v>1</v>
      </c>
      <c r="E36" s="53">
        <v>30</v>
      </c>
      <c r="F36" s="13">
        <v>45917</v>
      </c>
      <c r="G36" s="86">
        <v>0.375</v>
      </c>
      <c r="H36" s="13">
        <v>45916</v>
      </c>
      <c r="I36" s="12">
        <v>0.83333333333333337</v>
      </c>
      <c r="J36" s="53">
        <f t="shared" si="0"/>
        <v>6</v>
      </c>
      <c r="K36" s="50">
        <v>1</v>
      </c>
      <c r="L36" s="68">
        <v>24</v>
      </c>
      <c r="M36" s="52" t="s">
        <v>176</v>
      </c>
    </row>
    <row r="37" spans="1:13" s="5" customFormat="1" ht="33.950000000000003" customHeight="1" x14ac:dyDescent="0.2">
      <c r="A37" s="13" t="s">
        <v>177</v>
      </c>
      <c r="B37" s="96" t="s">
        <v>39</v>
      </c>
      <c r="C37" s="13" t="s">
        <v>40</v>
      </c>
      <c r="D37" s="53">
        <v>1</v>
      </c>
      <c r="E37" s="53">
        <v>30</v>
      </c>
      <c r="F37" s="13">
        <v>45917</v>
      </c>
      <c r="G37" s="86">
        <v>0.375</v>
      </c>
      <c r="H37" s="13">
        <v>45916</v>
      </c>
      <c r="I37" s="12">
        <v>0.83333333333333337</v>
      </c>
      <c r="J37" s="53">
        <f t="shared" si="0"/>
        <v>0</v>
      </c>
      <c r="K37" s="50">
        <v>1</v>
      </c>
      <c r="L37" s="68">
        <v>30</v>
      </c>
      <c r="M37" s="52" t="s">
        <v>178</v>
      </c>
    </row>
    <row r="38" spans="1:13" s="5" customFormat="1" ht="28.5" customHeight="1" x14ac:dyDescent="0.2">
      <c r="A38" s="61" t="s">
        <v>179</v>
      </c>
      <c r="B38" s="96" t="s">
        <v>39</v>
      </c>
      <c r="C38" s="13" t="s">
        <v>40</v>
      </c>
      <c r="D38" s="53">
        <v>5</v>
      </c>
      <c r="E38" s="53">
        <v>50</v>
      </c>
      <c r="F38" s="13">
        <v>45917</v>
      </c>
      <c r="G38" s="86">
        <v>0.375</v>
      </c>
      <c r="H38" s="13">
        <v>45916</v>
      </c>
      <c r="I38" s="12">
        <v>0.86805555555555558</v>
      </c>
      <c r="J38" s="53">
        <f t="shared" si="0"/>
        <v>5</v>
      </c>
      <c r="K38" s="50">
        <v>5</v>
      </c>
      <c r="L38" s="68">
        <v>45</v>
      </c>
      <c r="M38" s="52" t="s">
        <v>180</v>
      </c>
    </row>
    <row r="39" spans="1:13" s="5" customFormat="1" ht="39" customHeight="1" x14ac:dyDescent="0.2">
      <c r="A39" s="23" t="s">
        <v>146</v>
      </c>
      <c r="B39" s="90" t="s">
        <v>30</v>
      </c>
      <c r="C39" s="90" t="s">
        <v>207</v>
      </c>
      <c r="D39" s="84">
        <v>1</v>
      </c>
      <c r="E39" s="49">
        <v>60</v>
      </c>
      <c r="F39" s="85">
        <v>45917</v>
      </c>
      <c r="G39" s="86">
        <v>0.375</v>
      </c>
      <c r="H39" s="85">
        <v>45916</v>
      </c>
      <c r="I39" s="86">
        <v>0.91666666666666663</v>
      </c>
      <c r="J39" s="87">
        <f t="shared" si="0"/>
        <v>50</v>
      </c>
      <c r="K39" s="8">
        <v>1</v>
      </c>
      <c r="L39" s="88">
        <v>10</v>
      </c>
      <c r="M39" s="91" t="s">
        <v>149</v>
      </c>
    </row>
    <row r="40" spans="1:13" s="5" customFormat="1" ht="38.25" customHeight="1" x14ac:dyDescent="0.2">
      <c r="A40" s="23" t="s">
        <v>146</v>
      </c>
      <c r="B40" s="90" t="s">
        <v>42</v>
      </c>
      <c r="C40" s="85" t="s">
        <v>77</v>
      </c>
      <c r="D40" s="84">
        <v>1</v>
      </c>
      <c r="E40" s="49">
        <v>60</v>
      </c>
      <c r="F40" s="85">
        <v>45917</v>
      </c>
      <c r="G40" s="86">
        <v>0.375</v>
      </c>
      <c r="H40" s="85">
        <v>45916</v>
      </c>
      <c r="I40" s="86">
        <v>0.91666666666666663</v>
      </c>
      <c r="J40" s="87">
        <f t="shared" si="0"/>
        <v>50</v>
      </c>
      <c r="K40" s="8">
        <v>1</v>
      </c>
      <c r="L40" s="88">
        <v>10</v>
      </c>
      <c r="M40" s="91" t="s">
        <v>149</v>
      </c>
    </row>
    <row r="41" spans="1:13" s="5" customFormat="1" ht="38.25" customHeight="1" x14ac:dyDescent="0.2">
      <c r="A41" s="23" t="s">
        <v>146</v>
      </c>
      <c r="B41" s="90" t="s">
        <v>21</v>
      </c>
      <c r="C41" s="85" t="s">
        <v>86</v>
      </c>
      <c r="D41" s="84">
        <v>1</v>
      </c>
      <c r="E41" s="49">
        <v>60</v>
      </c>
      <c r="F41" s="85">
        <v>45917</v>
      </c>
      <c r="G41" s="86">
        <v>0.375</v>
      </c>
      <c r="H41" s="85">
        <v>45916</v>
      </c>
      <c r="I41" s="86">
        <v>0.91666666666666663</v>
      </c>
      <c r="J41" s="87">
        <f t="shared" si="0"/>
        <v>50</v>
      </c>
      <c r="K41" s="8">
        <v>1</v>
      </c>
      <c r="L41" s="88">
        <v>10</v>
      </c>
      <c r="M41" s="91" t="s">
        <v>149</v>
      </c>
    </row>
    <row r="42" spans="1:13" s="5" customFormat="1" ht="42" customHeight="1" x14ac:dyDescent="0.2">
      <c r="A42" s="23" t="s">
        <v>146</v>
      </c>
      <c r="B42" s="90" t="s">
        <v>136</v>
      </c>
      <c r="C42" s="85" t="s">
        <v>151</v>
      </c>
      <c r="D42" s="84">
        <v>1</v>
      </c>
      <c r="E42" s="49">
        <v>60</v>
      </c>
      <c r="F42" s="85">
        <v>45917</v>
      </c>
      <c r="G42" s="86">
        <v>0.375</v>
      </c>
      <c r="H42" s="85">
        <v>45916</v>
      </c>
      <c r="I42" s="86">
        <v>0.91666666666666663</v>
      </c>
      <c r="J42" s="87">
        <f t="shared" si="0"/>
        <v>50</v>
      </c>
      <c r="K42" s="8">
        <v>1</v>
      </c>
      <c r="L42" s="88">
        <v>10</v>
      </c>
      <c r="M42" s="91" t="s">
        <v>149</v>
      </c>
    </row>
    <row r="43" spans="1:13" s="5" customFormat="1" ht="32.450000000000003" customHeight="1" x14ac:dyDescent="0.2">
      <c r="A43" s="23" t="s">
        <v>146</v>
      </c>
      <c r="B43" s="90" t="s">
        <v>36</v>
      </c>
      <c r="C43" s="85" t="s">
        <v>80</v>
      </c>
      <c r="D43" s="84">
        <v>1</v>
      </c>
      <c r="E43" s="49">
        <v>60</v>
      </c>
      <c r="F43" s="85">
        <v>45917</v>
      </c>
      <c r="G43" s="86">
        <v>0.375</v>
      </c>
      <c r="H43" s="85">
        <v>45916</v>
      </c>
      <c r="I43" s="86">
        <v>0.91666666666666663</v>
      </c>
      <c r="J43" s="87">
        <f t="shared" si="0"/>
        <v>50</v>
      </c>
      <c r="K43" s="8">
        <v>1</v>
      </c>
      <c r="L43" s="88">
        <v>10</v>
      </c>
      <c r="M43" s="91" t="s">
        <v>149</v>
      </c>
    </row>
    <row r="44" spans="1:13" ht="35.25" customHeight="1" x14ac:dyDescent="0.2">
      <c r="A44" s="23" t="s">
        <v>146</v>
      </c>
      <c r="B44" s="90" t="s">
        <v>39</v>
      </c>
      <c r="C44" s="85" t="s">
        <v>150</v>
      </c>
      <c r="D44" s="84">
        <v>1</v>
      </c>
      <c r="E44" s="49">
        <v>60</v>
      </c>
      <c r="F44" s="85">
        <v>45917</v>
      </c>
      <c r="G44" s="86">
        <v>0.375</v>
      </c>
      <c r="H44" s="85">
        <v>45916</v>
      </c>
      <c r="I44" s="86">
        <v>0.91666666666666663</v>
      </c>
      <c r="J44" s="87">
        <f t="shared" si="0"/>
        <v>50</v>
      </c>
      <c r="K44" s="8">
        <v>1</v>
      </c>
      <c r="L44" s="88">
        <v>10</v>
      </c>
      <c r="M44" s="91" t="s">
        <v>149</v>
      </c>
    </row>
    <row r="45" spans="1:13" s="5" customFormat="1" ht="47.1" customHeight="1" x14ac:dyDescent="0.2">
      <c r="A45" s="23" t="s">
        <v>52</v>
      </c>
      <c r="B45" s="90" t="s">
        <v>21</v>
      </c>
      <c r="C45" s="90" t="s">
        <v>22</v>
      </c>
      <c r="D45" s="84">
        <v>1</v>
      </c>
      <c r="E45" s="49">
        <v>30</v>
      </c>
      <c r="F45" s="85">
        <v>45917</v>
      </c>
      <c r="G45" s="86">
        <v>0.375</v>
      </c>
      <c r="H45" s="85">
        <v>45916</v>
      </c>
      <c r="I45" s="86">
        <v>0.91666666666666663</v>
      </c>
      <c r="J45" s="87">
        <f t="shared" si="0"/>
        <v>0</v>
      </c>
      <c r="K45" s="8">
        <v>1</v>
      </c>
      <c r="L45" s="88">
        <v>30</v>
      </c>
      <c r="M45" s="91" t="s">
        <v>53</v>
      </c>
    </row>
    <row r="46" spans="1:13" s="5" customFormat="1" ht="43.5" customHeight="1" x14ac:dyDescent="0.2">
      <c r="A46" s="23" t="s">
        <v>153</v>
      </c>
      <c r="B46" s="90" t="s">
        <v>36</v>
      </c>
      <c r="C46" s="90" t="s">
        <v>37</v>
      </c>
      <c r="D46" s="84">
        <v>1</v>
      </c>
      <c r="E46" s="5">
        <v>30</v>
      </c>
      <c r="F46" s="85">
        <v>45917</v>
      </c>
      <c r="G46" s="86">
        <v>0.375</v>
      </c>
      <c r="H46" s="85">
        <v>45916</v>
      </c>
      <c r="I46" s="86">
        <v>0.91666666666666663</v>
      </c>
      <c r="J46" s="87">
        <f t="shared" si="0"/>
        <v>0</v>
      </c>
      <c r="K46" s="8">
        <v>1</v>
      </c>
      <c r="L46" s="88">
        <v>30</v>
      </c>
      <c r="M46" s="91" t="s">
        <v>53</v>
      </c>
    </row>
    <row r="47" spans="1:13" s="5" customFormat="1" ht="42.75" customHeight="1" x14ac:dyDescent="0.2">
      <c r="A47" s="23" t="s">
        <v>79</v>
      </c>
      <c r="B47" s="90" t="s">
        <v>36</v>
      </c>
      <c r="C47" s="90" t="s">
        <v>37</v>
      </c>
      <c r="D47" s="84">
        <v>1</v>
      </c>
      <c r="E47" s="49">
        <v>45</v>
      </c>
      <c r="F47" s="85">
        <v>45917</v>
      </c>
      <c r="G47" s="86">
        <v>0.375</v>
      </c>
      <c r="H47" s="85">
        <v>45916</v>
      </c>
      <c r="I47" s="86">
        <v>0.9375</v>
      </c>
      <c r="J47" s="87">
        <f t="shared" si="0"/>
        <v>-35</v>
      </c>
      <c r="K47" s="8">
        <v>1</v>
      </c>
      <c r="L47" s="88">
        <v>80</v>
      </c>
      <c r="M47" s="91" t="s">
        <v>81</v>
      </c>
    </row>
    <row r="48" spans="1:13" s="5" customFormat="1" ht="39" customHeight="1" x14ac:dyDescent="0.2">
      <c r="A48" s="23" t="s">
        <v>85</v>
      </c>
      <c r="B48" s="90" t="s">
        <v>21</v>
      </c>
      <c r="C48" s="90" t="s">
        <v>22</v>
      </c>
      <c r="D48" s="84">
        <v>1</v>
      </c>
      <c r="E48" s="49">
        <v>60</v>
      </c>
      <c r="F48" s="85">
        <v>45917</v>
      </c>
      <c r="G48" s="86">
        <v>0.375</v>
      </c>
      <c r="H48" s="85">
        <v>45916</v>
      </c>
      <c r="I48" s="86">
        <v>0.9375</v>
      </c>
      <c r="J48" s="87">
        <f t="shared" si="0"/>
        <v>10</v>
      </c>
      <c r="K48" s="8">
        <v>1</v>
      </c>
      <c r="L48" s="88">
        <v>50</v>
      </c>
      <c r="M48" s="91" t="s">
        <v>87</v>
      </c>
    </row>
    <row r="49" spans="1:13" s="5" customFormat="1" ht="29.25" customHeight="1" x14ac:dyDescent="0.2">
      <c r="A49" s="23" t="s">
        <v>88</v>
      </c>
      <c r="B49" s="90" t="s">
        <v>21</v>
      </c>
      <c r="C49" s="85" t="s">
        <v>22</v>
      </c>
      <c r="D49" s="84">
        <v>1</v>
      </c>
      <c r="E49" s="49">
        <v>55</v>
      </c>
      <c r="F49" s="85">
        <v>45917</v>
      </c>
      <c r="G49" s="86">
        <v>0.375</v>
      </c>
      <c r="H49" s="85">
        <v>45916</v>
      </c>
      <c r="I49" s="86">
        <v>0.9375</v>
      </c>
      <c r="J49" s="87">
        <f t="shared" si="0"/>
        <v>0</v>
      </c>
      <c r="K49" s="8">
        <v>1</v>
      </c>
      <c r="L49" s="88">
        <v>55</v>
      </c>
      <c r="M49" s="91" t="s">
        <v>89</v>
      </c>
    </row>
    <row r="50" spans="1:13" s="5" customFormat="1" ht="31.5" customHeight="1" x14ac:dyDescent="0.2">
      <c r="A50" s="33" t="s">
        <v>131</v>
      </c>
      <c r="B50" s="90" t="s">
        <v>36</v>
      </c>
      <c r="C50" s="85" t="s">
        <v>37</v>
      </c>
      <c r="D50" s="49">
        <v>1</v>
      </c>
      <c r="E50" s="49">
        <v>30</v>
      </c>
      <c r="F50" s="85">
        <v>45917</v>
      </c>
      <c r="G50" s="86">
        <v>0.375</v>
      </c>
      <c r="H50" s="85">
        <v>45916</v>
      </c>
      <c r="I50" s="86">
        <v>0.9375</v>
      </c>
      <c r="J50" s="87">
        <f t="shared" si="0"/>
        <v>-2</v>
      </c>
      <c r="K50" s="8">
        <v>1</v>
      </c>
      <c r="L50" s="88">
        <v>32</v>
      </c>
      <c r="M50" s="91" t="s">
        <v>132</v>
      </c>
    </row>
    <row r="51" spans="1:13" s="5" customFormat="1" ht="26.45" customHeight="1" x14ac:dyDescent="0.2">
      <c r="A51" s="33" t="s">
        <v>131</v>
      </c>
      <c r="B51" s="90" t="s">
        <v>42</v>
      </c>
      <c r="C51" s="85" t="s">
        <v>43</v>
      </c>
      <c r="D51" s="49">
        <v>1</v>
      </c>
      <c r="E51" s="49">
        <v>30</v>
      </c>
      <c r="F51" s="85">
        <v>45917</v>
      </c>
      <c r="G51" s="86">
        <v>0.375</v>
      </c>
      <c r="H51" s="85">
        <v>45916</v>
      </c>
      <c r="I51" s="86">
        <v>0.9375</v>
      </c>
      <c r="J51" s="87">
        <f t="shared" si="0"/>
        <v>-2</v>
      </c>
      <c r="K51" s="8">
        <v>1</v>
      </c>
      <c r="L51" s="88">
        <v>32</v>
      </c>
      <c r="M51" s="91" t="s">
        <v>132</v>
      </c>
    </row>
    <row r="52" spans="1:13" s="5" customFormat="1" ht="29.1" customHeight="1" x14ac:dyDescent="0.2">
      <c r="A52" s="33" t="s">
        <v>131</v>
      </c>
      <c r="B52" s="90" t="s">
        <v>30</v>
      </c>
      <c r="C52" s="85" t="s">
        <v>31</v>
      </c>
      <c r="D52" s="49">
        <v>1</v>
      </c>
      <c r="E52" s="49">
        <v>30</v>
      </c>
      <c r="F52" s="85">
        <v>45917</v>
      </c>
      <c r="G52" s="86">
        <v>0.375</v>
      </c>
      <c r="H52" s="85">
        <v>45916</v>
      </c>
      <c r="I52" s="86">
        <v>0.9375</v>
      </c>
      <c r="J52" s="87">
        <f t="shared" si="0"/>
        <v>-2</v>
      </c>
      <c r="K52" s="8">
        <v>1</v>
      </c>
      <c r="L52" s="88">
        <v>32</v>
      </c>
      <c r="M52" s="91" t="s">
        <v>132</v>
      </c>
    </row>
    <row r="53" spans="1:13" s="5" customFormat="1" ht="31.5" customHeight="1" x14ac:dyDescent="0.2">
      <c r="A53" s="33" t="s">
        <v>131</v>
      </c>
      <c r="B53" s="90" t="s">
        <v>21</v>
      </c>
      <c r="C53" s="85" t="s">
        <v>22</v>
      </c>
      <c r="D53" s="49">
        <v>1</v>
      </c>
      <c r="E53" s="49">
        <v>30</v>
      </c>
      <c r="F53" s="85">
        <v>45917</v>
      </c>
      <c r="G53" s="86">
        <v>0.375</v>
      </c>
      <c r="H53" s="85">
        <v>45916</v>
      </c>
      <c r="I53" s="86">
        <v>0.9375</v>
      </c>
      <c r="J53" s="87">
        <f t="shared" si="0"/>
        <v>-2</v>
      </c>
      <c r="K53" s="8">
        <v>1</v>
      </c>
      <c r="L53" s="88">
        <v>32</v>
      </c>
      <c r="M53" s="91" t="s">
        <v>132</v>
      </c>
    </row>
    <row r="54" spans="1:13" s="5" customFormat="1" ht="26.1" customHeight="1" x14ac:dyDescent="0.2">
      <c r="A54" s="33" t="s">
        <v>131</v>
      </c>
      <c r="B54" s="90" t="s">
        <v>136</v>
      </c>
      <c r="C54" s="85" t="s">
        <v>34</v>
      </c>
      <c r="D54" s="49">
        <v>1</v>
      </c>
      <c r="E54" s="49">
        <v>30</v>
      </c>
      <c r="F54" s="85">
        <v>45917</v>
      </c>
      <c r="G54" s="86">
        <v>0.375</v>
      </c>
      <c r="H54" s="85">
        <v>45916</v>
      </c>
      <c r="I54" s="86">
        <v>0.9375</v>
      </c>
      <c r="J54" s="87">
        <f t="shared" si="0"/>
        <v>-2</v>
      </c>
      <c r="K54" s="8">
        <v>1</v>
      </c>
      <c r="L54" s="88">
        <v>32</v>
      </c>
      <c r="M54" s="91" t="s">
        <v>132</v>
      </c>
    </row>
    <row r="55" spans="1:13" s="5" customFormat="1" ht="39" customHeight="1" x14ac:dyDescent="0.2">
      <c r="A55" s="33" t="s">
        <v>131</v>
      </c>
      <c r="B55" s="90" t="s">
        <v>39</v>
      </c>
      <c r="C55" s="85" t="s">
        <v>40</v>
      </c>
      <c r="D55" s="49">
        <v>1</v>
      </c>
      <c r="E55" s="49">
        <v>30</v>
      </c>
      <c r="F55" s="85">
        <v>45917</v>
      </c>
      <c r="G55" s="86">
        <v>0.375</v>
      </c>
      <c r="H55" s="85">
        <v>45916</v>
      </c>
      <c r="I55" s="86">
        <v>0.9375</v>
      </c>
      <c r="J55" s="87">
        <f t="shared" si="0"/>
        <v>-2</v>
      </c>
      <c r="K55" s="8">
        <v>1</v>
      </c>
      <c r="L55" s="88">
        <v>32</v>
      </c>
      <c r="M55" s="91" t="s">
        <v>132</v>
      </c>
    </row>
    <row r="56" spans="1:13" s="5" customFormat="1" ht="40.5" customHeight="1" x14ac:dyDescent="0.2">
      <c r="A56" s="33" t="s">
        <v>133</v>
      </c>
      <c r="B56" s="90" t="s">
        <v>21</v>
      </c>
      <c r="C56" s="85" t="s">
        <v>22</v>
      </c>
      <c r="D56" s="49">
        <v>3</v>
      </c>
      <c r="E56" s="49">
        <v>20</v>
      </c>
      <c r="F56" s="85">
        <v>45917</v>
      </c>
      <c r="G56" s="86">
        <v>0.375</v>
      </c>
      <c r="H56" s="85">
        <v>45917</v>
      </c>
      <c r="I56" s="86">
        <v>0.375</v>
      </c>
      <c r="J56" s="87">
        <f t="shared" si="0"/>
        <v>5</v>
      </c>
      <c r="K56" s="8">
        <v>3</v>
      </c>
      <c r="L56" s="88">
        <v>15</v>
      </c>
      <c r="M56" s="91" t="s">
        <v>134</v>
      </c>
    </row>
    <row r="57" spans="1:13" s="5" customFormat="1" ht="40.5" customHeight="1" x14ac:dyDescent="0.2">
      <c r="A57"/>
      <c r="B57"/>
      <c r="C57"/>
      <c r="D57"/>
      <c r="E57"/>
      <c r="F57"/>
      <c r="G57"/>
      <c r="H57"/>
      <c r="I57"/>
      <c r="J57"/>
      <c r="K57"/>
      <c r="L57"/>
      <c r="M57"/>
    </row>
    <row r="58" spans="1:13" s="5" customFormat="1" ht="38.25" customHeight="1" x14ac:dyDescent="0.2">
      <c r="A58" s="70" t="s">
        <v>210</v>
      </c>
      <c r="B58" t="s">
        <v>215</v>
      </c>
      <c r="C58" t="s">
        <v>214</v>
      </c>
      <c r="D58" t="s">
        <v>212</v>
      </c>
      <c r="E58" t="s">
        <v>213</v>
      </c>
      <c r="F58" s="4"/>
      <c r="G58" s="4"/>
      <c r="H58" s="4"/>
      <c r="I58" s="3"/>
      <c r="J58" s="3"/>
      <c r="K58" s="2"/>
      <c r="L58" s="1"/>
      <c r="M58" s="1"/>
    </row>
    <row r="59" spans="1:13" s="5" customFormat="1" ht="38.25" customHeight="1" x14ac:dyDescent="0.2">
      <c r="A59" s="71" t="s">
        <v>36</v>
      </c>
      <c r="B59">
        <v>11</v>
      </c>
      <c r="C59">
        <v>395</v>
      </c>
      <c r="D59">
        <v>372</v>
      </c>
      <c r="E59">
        <v>10</v>
      </c>
      <c r="F59" s="4"/>
      <c r="G59" s="4"/>
      <c r="H59" s="4"/>
      <c r="I59" s="3"/>
      <c r="J59" s="3"/>
      <c r="K59" s="2"/>
      <c r="L59" s="1"/>
      <c r="M59" s="1"/>
    </row>
    <row r="60" spans="1:13" s="5" customFormat="1" ht="27" customHeight="1" x14ac:dyDescent="0.2">
      <c r="A60" s="71" t="s">
        <v>39</v>
      </c>
      <c r="B60">
        <v>12</v>
      </c>
      <c r="C60">
        <v>320</v>
      </c>
      <c r="D60">
        <v>259</v>
      </c>
      <c r="E60">
        <v>11</v>
      </c>
      <c r="F60" s="4"/>
      <c r="G60" s="4"/>
      <c r="H60" s="4"/>
      <c r="I60" s="3"/>
      <c r="J60" s="3"/>
      <c r="K60" s="2"/>
      <c r="L60" s="1"/>
      <c r="M60" s="1"/>
    </row>
    <row r="61" spans="1:13" s="5" customFormat="1" ht="33" customHeight="1" x14ac:dyDescent="0.2">
      <c r="A61" s="71" t="s">
        <v>21</v>
      </c>
      <c r="B61">
        <v>13</v>
      </c>
      <c r="C61">
        <v>465</v>
      </c>
      <c r="D61">
        <v>387</v>
      </c>
      <c r="E61">
        <v>14</v>
      </c>
      <c r="F61" s="4"/>
      <c r="G61" s="4"/>
      <c r="H61" s="4"/>
      <c r="I61" s="3"/>
      <c r="J61" s="3"/>
      <c r="K61" s="2"/>
      <c r="L61" s="1"/>
      <c r="M61" s="1"/>
    </row>
    <row r="62" spans="1:13" s="5" customFormat="1" ht="33.75" customHeight="1" x14ac:dyDescent="0.2">
      <c r="A62" s="71" t="s">
        <v>136</v>
      </c>
      <c r="B62">
        <v>9</v>
      </c>
      <c r="C62">
        <v>270</v>
      </c>
      <c r="D62">
        <v>210</v>
      </c>
      <c r="E62">
        <v>8</v>
      </c>
      <c r="F62" s="4"/>
      <c r="G62" s="4"/>
      <c r="H62" s="4"/>
      <c r="I62" s="3"/>
      <c r="J62" s="3"/>
      <c r="K62" s="2"/>
      <c r="L62" s="1"/>
      <c r="M62" s="1"/>
    </row>
    <row r="63" spans="1:13" s="5" customFormat="1" ht="32.25" customHeight="1" x14ac:dyDescent="0.2">
      <c r="A63" s="71" t="s">
        <v>42</v>
      </c>
      <c r="B63">
        <v>6</v>
      </c>
      <c r="C63">
        <v>240</v>
      </c>
      <c r="D63">
        <v>181</v>
      </c>
      <c r="E63">
        <v>5</v>
      </c>
      <c r="F63" s="4"/>
      <c r="G63" s="4"/>
      <c r="H63" s="4"/>
      <c r="I63" s="3"/>
      <c r="J63" s="3"/>
      <c r="K63" s="2"/>
      <c r="L63" s="1"/>
      <c r="M63" s="1"/>
    </row>
    <row r="64" spans="1:13" s="5" customFormat="1" ht="27" customHeight="1" x14ac:dyDescent="0.2">
      <c r="A64" s="71" t="s">
        <v>30</v>
      </c>
      <c r="B64">
        <v>8</v>
      </c>
      <c r="C64">
        <v>270</v>
      </c>
      <c r="D64">
        <v>220</v>
      </c>
      <c r="E64">
        <v>9</v>
      </c>
      <c r="F64" s="4"/>
      <c r="G64" s="4"/>
      <c r="H64" s="4"/>
      <c r="I64" s="3"/>
      <c r="J64" s="3"/>
      <c r="K64" s="2"/>
      <c r="L64" s="1"/>
      <c r="M64" s="1"/>
    </row>
    <row r="65" spans="1:13" s="5" customFormat="1" ht="24.95" customHeight="1" x14ac:dyDescent="0.2">
      <c r="A65" s="71" t="s">
        <v>211</v>
      </c>
      <c r="B65">
        <v>59</v>
      </c>
      <c r="C65">
        <v>1960</v>
      </c>
      <c r="D65">
        <v>1629</v>
      </c>
      <c r="E65">
        <v>57</v>
      </c>
      <c r="F65" s="4"/>
      <c r="G65" s="4"/>
      <c r="H65" s="4"/>
      <c r="I65" s="3"/>
      <c r="J65" s="3"/>
      <c r="K65" s="2"/>
      <c r="L65" s="1"/>
      <c r="M65" s="1"/>
    </row>
    <row r="66" spans="1:13" s="5" customFormat="1" ht="28.5" customHeight="1" x14ac:dyDescent="0.2">
      <c r="A66"/>
      <c r="B66"/>
      <c r="C66"/>
      <c r="D66"/>
      <c r="E66"/>
      <c r="F66" s="4"/>
      <c r="G66" s="4"/>
      <c r="H66" s="4"/>
      <c r="I66" s="3"/>
      <c r="J66" s="3"/>
      <c r="K66" s="2"/>
      <c r="L66" s="1"/>
      <c r="M66" s="1"/>
    </row>
    <row r="67" spans="1:13" s="5" customFormat="1" ht="35.450000000000003" customHeight="1" x14ac:dyDescent="0.2">
      <c r="A67"/>
      <c r="B67"/>
      <c r="C67"/>
      <c r="D67" s="4"/>
      <c r="E67" s="4"/>
      <c r="F67" s="4"/>
      <c r="G67" s="4"/>
      <c r="H67" s="4"/>
      <c r="I67" s="3"/>
      <c r="J67" s="3"/>
      <c r="K67" s="2"/>
      <c r="L67" s="1"/>
      <c r="M67" s="1"/>
    </row>
    <row r="68" spans="1:13" s="5" customFormat="1" ht="36.6" customHeight="1" x14ac:dyDescent="0.2">
      <c r="A68"/>
      <c r="B68"/>
      <c r="C68"/>
      <c r="D68" s="4"/>
      <c r="E68" s="4"/>
      <c r="F68" s="4"/>
      <c r="G68" s="4"/>
      <c r="H68" s="4"/>
      <c r="I68" s="3"/>
      <c r="J68" s="3"/>
      <c r="K68" s="2"/>
      <c r="L68" s="1"/>
      <c r="M68" s="1"/>
    </row>
    <row r="69" spans="1:13" s="5" customFormat="1" ht="36.6" customHeight="1" x14ac:dyDescent="0.2">
      <c r="A69"/>
      <c r="B69"/>
      <c r="C69"/>
      <c r="D69" s="4"/>
      <c r="E69" s="4"/>
      <c r="F69" s="4"/>
      <c r="G69" s="4"/>
      <c r="H69" s="4"/>
      <c r="I69" s="3"/>
      <c r="J69" s="3"/>
      <c r="K69" s="2"/>
      <c r="L69" s="1"/>
      <c r="M69" s="1"/>
    </row>
    <row r="70" spans="1:13" s="5" customFormat="1" ht="35.450000000000003" customHeight="1" x14ac:dyDescent="0.2">
      <c r="A70"/>
      <c r="B70"/>
      <c r="C70"/>
      <c r="D70" s="4"/>
      <c r="E70" s="4"/>
      <c r="F70" s="4"/>
      <c r="G70" s="4"/>
      <c r="H70" s="4"/>
      <c r="I70" s="3"/>
      <c r="J70" s="3"/>
      <c r="K70" s="2"/>
      <c r="L70" s="1"/>
      <c r="M70" s="1"/>
    </row>
    <row r="71" spans="1:13" s="5" customFormat="1" ht="35.450000000000003" customHeight="1" x14ac:dyDescent="0.2">
      <c r="A71"/>
      <c r="B71"/>
      <c r="C71"/>
      <c r="D71" s="4"/>
      <c r="E71" s="4"/>
      <c r="F71" s="4"/>
      <c r="G71" s="4"/>
      <c r="H71" s="4"/>
      <c r="I71" s="3"/>
      <c r="J71" s="3"/>
      <c r="K71" s="2"/>
      <c r="L71" s="1"/>
      <c r="M71" s="1"/>
    </row>
    <row r="72" spans="1:13" s="5" customFormat="1" x14ac:dyDescent="0.2">
      <c r="A72"/>
      <c r="B72"/>
      <c r="C72"/>
      <c r="D72" s="4"/>
      <c r="E72" s="4"/>
      <c r="F72" s="4"/>
      <c r="G72" s="4"/>
      <c r="H72" s="4"/>
      <c r="I72" s="3"/>
      <c r="J72" s="3"/>
      <c r="K72" s="2"/>
      <c r="L72" s="1"/>
      <c r="M72" s="1"/>
    </row>
    <row r="73" spans="1:13" s="5" customFormat="1" x14ac:dyDescent="0.2">
      <c r="A73"/>
      <c r="B73"/>
      <c r="C73"/>
      <c r="D73"/>
      <c r="E73"/>
      <c r="F73"/>
      <c r="G73"/>
      <c r="H73"/>
      <c r="I73"/>
      <c r="J73"/>
      <c r="K73"/>
      <c r="L73"/>
      <c r="M73"/>
    </row>
    <row r="74" spans="1:13" s="5" customFormat="1" ht="35.450000000000003" customHeight="1" x14ac:dyDescent="0.2">
      <c r="A74"/>
      <c r="B74"/>
      <c r="C74"/>
      <c r="D74"/>
      <c r="E74"/>
      <c r="F74"/>
      <c r="G74"/>
      <c r="H74"/>
      <c r="I74"/>
      <c r="J74"/>
      <c r="K74"/>
      <c r="L74"/>
      <c r="M74"/>
    </row>
    <row r="75" spans="1:13" s="5" customFormat="1" ht="35.450000000000003" customHeight="1" x14ac:dyDescent="0.2">
      <c r="A75"/>
      <c r="B75"/>
      <c r="C75"/>
      <c r="D75" s="4"/>
      <c r="E75" s="4"/>
      <c r="F75" s="4"/>
      <c r="G75" s="4"/>
      <c r="H75" s="4"/>
      <c r="I75" s="3"/>
      <c r="J75" s="3"/>
      <c r="K75" s="2"/>
      <c r="L75" s="1"/>
      <c r="M75" s="1"/>
    </row>
    <row r="76" spans="1:13" s="5" customFormat="1" ht="35.450000000000003" customHeight="1" x14ac:dyDescent="0.2">
      <c r="A76" s="4"/>
      <c r="B76" s="4"/>
      <c r="C76" s="4"/>
      <c r="D76" s="4"/>
      <c r="E76" s="4"/>
      <c r="F76" s="4"/>
      <c r="G76" s="4"/>
      <c r="H76" s="4"/>
      <c r="I76" s="3"/>
      <c r="J76" s="3"/>
      <c r="K76" s="2"/>
      <c r="L76" s="1"/>
      <c r="M76" s="1"/>
    </row>
    <row r="77" spans="1:13" s="5" customFormat="1" ht="35.450000000000003" customHeight="1" x14ac:dyDescent="0.2">
      <c r="A77" s="4"/>
      <c r="B77" s="4"/>
      <c r="C77" s="4"/>
      <c r="D77" s="4"/>
      <c r="E77" s="4"/>
      <c r="F77" s="4"/>
      <c r="G77" s="4"/>
      <c r="H77" s="4"/>
      <c r="I77" s="3"/>
      <c r="J77" s="3"/>
      <c r="K77" s="2"/>
      <c r="L77" s="1"/>
      <c r="M77" s="1"/>
    </row>
    <row r="78" spans="1:13" s="5" customFormat="1" ht="35.450000000000003" customHeight="1" x14ac:dyDescent="0.2">
      <c r="A78" s="4"/>
      <c r="B78" s="4"/>
      <c r="C78" s="4"/>
      <c r="D78" s="4"/>
      <c r="E78" s="4"/>
      <c r="F78" s="4"/>
      <c r="G78" s="4"/>
      <c r="H78" s="4"/>
      <c r="I78" s="3"/>
      <c r="J78" s="3"/>
      <c r="K78" s="2"/>
      <c r="L78" s="1"/>
      <c r="M78" s="1"/>
    </row>
    <row r="79" spans="1:13" s="5" customFormat="1" ht="35.450000000000003" customHeight="1" x14ac:dyDescent="0.2">
      <c r="A79" s="70" t="s">
        <v>210</v>
      </c>
      <c r="B79" t="s">
        <v>215</v>
      </c>
      <c r="C79" t="s">
        <v>213</v>
      </c>
      <c r="D79" s="4"/>
      <c r="E79" s="4"/>
      <c r="F79" s="4"/>
      <c r="G79" s="4"/>
      <c r="H79" s="4"/>
      <c r="I79" s="3"/>
      <c r="J79" s="3"/>
      <c r="K79" s="2"/>
      <c r="L79" s="1"/>
      <c r="M79" s="1"/>
    </row>
    <row r="80" spans="1:13" s="5" customFormat="1" ht="35.450000000000003" customHeight="1" x14ac:dyDescent="0.2">
      <c r="A80" s="71" t="s">
        <v>36</v>
      </c>
      <c r="B80">
        <v>11</v>
      </c>
      <c r="C80">
        <v>10</v>
      </c>
      <c r="D80" s="4"/>
      <c r="E80" s="4"/>
      <c r="F80" s="4"/>
      <c r="G80" s="4"/>
      <c r="H80" s="4"/>
      <c r="I80" s="3"/>
      <c r="J80" s="3"/>
      <c r="K80" s="2"/>
      <c r="L80" s="1"/>
      <c r="M80" s="1"/>
    </row>
    <row r="81" spans="1:13" s="5" customFormat="1" ht="35.450000000000003" customHeight="1" x14ac:dyDescent="0.2">
      <c r="A81" s="71" t="s">
        <v>39</v>
      </c>
      <c r="B81">
        <v>12</v>
      </c>
      <c r="C81">
        <v>11</v>
      </c>
      <c r="D81" s="4"/>
      <c r="E81" s="4"/>
      <c r="F81" s="4"/>
      <c r="G81" s="4"/>
      <c r="H81" s="4"/>
      <c r="I81" s="3"/>
      <c r="J81" s="3"/>
      <c r="K81" s="2"/>
      <c r="L81" s="1"/>
      <c r="M81" s="1"/>
    </row>
    <row r="82" spans="1:13" s="5" customFormat="1" ht="37.5" customHeight="1" x14ac:dyDescent="0.2">
      <c r="A82" s="71" t="s">
        <v>21</v>
      </c>
      <c r="B82">
        <v>13</v>
      </c>
      <c r="C82">
        <v>14</v>
      </c>
      <c r="D82" s="4"/>
      <c r="E82" s="4"/>
      <c r="F82" s="4"/>
      <c r="G82" s="4"/>
      <c r="H82" s="4"/>
      <c r="I82" s="3"/>
      <c r="J82" s="3"/>
      <c r="K82" s="2"/>
      <c r="L82" s="1"/>
      <c r="M82" s="1"/>
    </row>
    <row r="83" spans="1:13" x14ac:dyDescent="0.2">
      <c r="A83" s="71" t="s">
        <v>136</v>
      </c>
      <c r="B83">
        <v>9</v>
      </c>
      <c r="C83">
        <v>8</v>
      </c>
    </row>
    <row r="84" spans="1:13" x14ac:dyDescent="0.2">
      <c r="A84" s="71" t="s">
        <v>42</v>
      </c>
      <c r="B84">
        <v>6</v>
      </c>
      <c r="C84">
        <v>5</v>
      </c>
    </row>
    <row r="85" spans="1:13" x14ac:dyDescent="0.2">
      <c r="A85" s="71" t="s">
        <v>30</v>
      </c>
      <c r="B85">
        <v>8</v>
      </c>
      <c r="C85">
        <v>9</v>
      </c>
    </row>
    <row r="86" spans="1:13" x14ac:dyDescent="0.2">
      <c r="A86" s="71" t="s">
        <v>211</v>
      </c>
      <c r="B86">
        <v>59</v>
      </c>
      <c r="C86">
        <v>57</v>
      </c>
    </row>
    <row r="87" spans="1:13" x14ac:dyDescent="0.2">
      <c r="A87"/>
      <c r="B87"/>
      <c r="C87"/>
    </row>
    <row r="88" spans="1:13" x14ac:dyDescent="0.2">
      <c r="A88"/>
      <c r="B88"/>
      <c r="C88"/>
    </row>
    <row r="89" spans="1:13" x14ac:dyDescent="0.2">
      <c r="A89"/>
      <c r="B89"/>
      <c r="C89"/>
    </row>
    <row r="90" spans="1:13" x14ac:dyDescent="0.2">
      <c r="A90"/>
      <c r="B90"/>
      <c r="C90"/>
    </row>
    <row r="91" spans="1:13" x14ac:dyDescent="0.2">
      <c r="A91"/>
      <c r="B91"/>
      <c r="C91"/>
    </row>
    <row r="92" spans="1:13" x14ac:dyDescent="0.2">
      <c r="A92"/>
      <c r="B92"/>
      <c r="C92"/>
    </row>
    <row r="93" spans="1:13" x14ac:dyDescent="0.2">
      <c r="A93"/>
      <c r="B93"/>
      <c r="C93"/>
    </row>
    <row r="94" spans="1:13" x14ac:dyDescent="0.2">
      <c r="A94"/>
      <c r="B94"/>
      <c r="C94"/>
    </row>
    <row r="95" spans="1:13" x14ac:dyDescent="0.2">
      <c r="A95"/>
      <c r="B95"/>
      <c r="C95"/>
    </row>
    <row r="96" spans="1:13" x14ac:dyDescent="0.2">
      <c r="A96"/>
      <c r="B96"/>
      <c r="C96"/>
    </row>
    <row r="111" ht="30" customHeight="1" x14ac:dyDescent="0.2"/>
    <row r="112" ht="23.25" customHeight="1" x14ac:dyDescent="0.2"/>
    <row r="119" spans="1:20" s="5" customFormat="1" ht="12" customHeight="1" x14ac:dyDescent="0.2">
      <c r="A119" s="4"/>
      <c r="B119" s="4"/>
      <c r="C119" s="4"/>
      <c r="D119" s="4"/>
      <c r="E119" s="4"/>
      <c r="F119" s="4"/>
      <c r="G119" s="4"/>
      <c r="H119" s="4"/>
      <c r="I119" s="3"/>
      <c r="J119" s="3"/>
      <c r="K119" s="2"/>
      <c r="L119" s="1"/>
      <c r="M119" s="1"/>
    </row>
    <row r="123" spans="1:20" x14ac:dyDescent="0.2">
      <c r="Q123" s="42" t="e">
        <f>SUM(#REF!)</f>
        <v>#REF!</v>
      </c>
      <c r="R123" s="42" t="e">
        <f>SUM(#REF!)</f>
        <v>#REF!</v>
      </c>
      <c r="S123" s="42" t="e">
        <f>SUM(#REF!)</f>
        <v>#REF!</v>
      </c>
      <c r="T123" s="42" t="e">
        <f>SUM(#REF!)</f>
        <v>#REF!</v>
      </c>
    </row>
    <row r="124" spans="1:20" ht="35.25" customHeight="1" x14ac:dyDescent="0.2"/>
    <row r="125" spans="1:20" ht="36.75" customHeight="1" x14ac:dyDescent="0.2"/>
    <row r="126" spans="1:20" ht="33.75" customHeight="1" x14ac:dyDescent="0.2"/>
    <row r="127" spans="1:20" ht="26.25" customHeight="1" x14ac:dyDescent="0.2"/>
    <row r="128" spans="1:20" ht="27.75" customHeight="1" x14ac:dyDescent="0.2"/>
    <row r="129" ht="40.5" customHeight="1" x14ac:dyDescent="0.2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3"/>
  <headerFooter alignWithMargins="0"/>
  <drawing r:id="rId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4F09D-5975-4EC2-906A-F1516E297C96}">
  <dimension ref="A1:Z132"/>
  <sheetViews>
    <sheetView topLeftCell="A39" zoomScale="84" zoomScaleNormal="76" workbookViewId="0">
      <selection activeCell="A42" sqref="A42:M42"/>
    </sheetView>
  </sheetViews>
  <sheetFormatPr baseColWidth="10" defaultColWidth="11.42578125" defaultRowHeight="12.75" x14ac:dyDescent="0.2"/>
  <cols>
    <col min="1" max="1" width="18.7109375" style="4" bestFit="1" customWidth="1"/>
    <col min="2" max="2" width="45.42578125" style="4" bestFit="1" customWidth="1"/>
    <col min="3" max="3" width="36.7109375" style="4" bestFit="1" customWidth="1"/>
    <col min="4" max="4" width="21.5703125" style="4" bestFit="1" customWidth="1"/>
    <col min="5" max="5" width="21.2851562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26"/>
      <c r="B1" s="128" t="s">
        <v>0</v>
      </c>
      <c r="C1" s="128"/>
      <c r="D1" s="128"/>
      <c r="E1" s="128"/>
      <c r="F1" s="128"/>
      <c r="G1" s="128"/>
      <c r="H1" s="128"/>
      <c r="I1" s="128"/>
      <c r="J1" s="128"/>
      <c r="K1" s="128"/>
      <c r="L1" s="130"/>
      <c r="M1" s="131"/>
    </row>
    <row r="2" spans="1:20" ht="20.25" customHeight="1" x14ac:dyDescent="0.2">
      <c r="A2" s="127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32"/>
      <c r="M2" s="133"/>
    </row>
    <row r="3" spans="1:20" ht="12.75" customHeight="1" x14ac:dyDescent="0.2">
      <c r="A3" s="134" t="s">
        <v>1</v>
      </c>
      <c r="B3" s="136" t="s">
        <v>2</v>
      </c>
      <c r="C3" s="136"/>
      <c r="D3" s="136"/>
      <c r="E3" s="136"/>
      <c r="F3" s="136"/>
      <c r="G3" s="136"/>
      <c r="H3" s="136"/>
      <c r="I3" s="136"/>
      <c r="J3" s="136"/>
      <c r="K3" s="136"/>
      <c r="L3" s="138" t="s">
        <v>3</v>
      </c>
      <c r="M3" s="139"/>
    </row>
    <row r="4" spans="1:20" ht="13.5" thickBot="1" x14ac:dyDescent="0.25">
      <c r="A4" s="135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22" t="s">
        <v>6</v>
      </c>
      <c r="C6" s="122"/>
      <c r="D6" s="122"/>
      <c r="E6" s="122"/>
      <c r="F6" s="122"/>
      <c r="G6" s="122"/>
      <c r="H6" s="123" t="s">
        <v>7</v>
      </c>
      <c r="I6" s="124"/>
      <c r="J6" s="124"/>
      <c r="K6" s="124"/>
      <c r="L6" s="125"/>
      <c r="M6" s="25"/>
    </row>
    <row r="7" spans="1:20" s="14" customFormat="1" ht="49.5" customHeight="1" x14ac:dyDescent="0.2">
      <c r="A7" s="18" cm="1">
        <f t="array" aca="1" ref="A7" ca="1">+A46+A1:L7+A7:L7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318</v>
      </c>
      <c r="B8" s="85" t="s">
        <v>36</v>
      </c>
      <c r="C8" s="85" t="s">
        <v>37</v>
      </c>
      <c r="D8" s="84">
        <v>1</v>
      </c>
      <c r="E8" s="49">
        <v>30</v>
      </c>
      <c r="F8" s="85">
        <v>45931</v>
      </c>
      <c r="G8" s="86">
        <v>0.375</v>
      </c>
      <c r="H8" s="85">
        <v>45922</v>
      </c>
      <c r="I8" s="86">
        <v>0.79166666666666663</v>
      </c>
      <c r="J8" s="87">
        <f>E8-L8</f>
        <v>0</v>
      </c>
      <c r="K8" s="8">
        <v>1</v>
      </c>
      <c r="L8" s="88">
        <v>30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">
      <c r="A9" s="23" t="s">
        <v>356</v>
      </c>
      <c r="B9" s="85" t="s">
        <v>30</v>
      </c>
      <c r="C9" s="85" t="s">
        <v>31</v>
      </c>
      <c r="D9" s="84">
        <v>1</v>
      </c>
      <c r="E9" s="49">
        <v>30</v>
      </c>
      <c r="F9" s="85">
        <v>45931</v>
      </c>
      <c r="G9" s="86">
        <v>0.375</v>
      </c>
      <c r="H9" s="85">
        <v>45922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156</v>
      </c>
      <c r="O9" s="5" t="s">
        <v>155</v>
      </c>
    </row>
    <row r="10" spans="1:20" s="5" customFormat="1" ht="39" customHeight="1" x14ac:dyDescent="0.2">
      <c r="A10" s="79" t="s">
        <v>357</v>
      </c>
      <c r="B10" s="53" t="s">
        <v>21</v>
      </c>
      <c r="C10" s="53" t="s">
        <v>22</v>
      </c>
      <c r="D10" s="53">
        <v>1</v>
      </c>
      <c r="E10" s="53">
        <v>30</v>
      </c>
      <c r="F10" s="80">
        <v>45931</v>
      </c>
      <c r="G10" s="81">
        <v>0.375</v>
      </c>
      <c r="H10" s="80">
        <v>45923</v>
      </c>
      <c r="I10" s="81">
        <v>0.33333333333333331</v>
      </c>
      <c r="J10" s="87">
        <f t="shared" ref="J10:J42" si="0">E10-L10</f>
        <v>0</v>
      </c>
      <c r="K10" s="53">
        <v>1</v>
      </c>
      <c r="L10" s="53">
        <v>30</v>
      </c>
      <c r="M10" s="79" t="s">
        <v>358</v>
      </c>
    </row>
    <row r="11" spans="1:20" s="5" customFormat="1" ht="43.5" customHeight="1" x14ac:dyDescent="0.2">
      <c r="A11" s="79" t="s">
        <v>359</v>
      </c>
      <c r="B11" s="53" t="s">
        <v>42</v>
      </c>
      <c r="C11" s="53" t="s">
        <v>43</v>
      </c>
      <c r="D11" s="53">
        <v>2</v>
      </c>
      <c r="E11" s="53">
        <v>60</v>
      </c>
      <c r="F11" s="80">
        <v>45931</v>
      </c>
      <c r="G11" s="81">
        <v>0.375</v>
      </c>
      <c r="H11" s="80">
        <v>45923</v>
      </c>
      <c r="I11" s="81">
        <v>0.67013888888888884</v>
      </c>
      <c r="J11" s="87">
        <f t="shared" si="0"/>
        <v>-5</v>
      </c>
      <c r="K11" s="53">
        <v>2</v>
      </c>
      <c r="L11" s="53">
        <v>65</v>
      </c>
      <c r="M11" s="79" t="s">
        <v>360</v>
      </c>
    </row>
    <row r="12" spans="1:20" s="5" customFormat="1" ht="43.5" customHeight="1" x14ac:dyDescent="0.2">
      <c r="A12" s="53" t="s">
        <v>361</v>
      </c>
      <c r="B12" s="53" t="s">
        <v>42</v>
      </c>
      <c r="C12" s="53" t="s">
        <v>43</v>
      </c>
      <c r="D12" s="53">
        <v>2</v>
      </c>
      <c r="E12" s="53">
        <v>60</v>
      </c>
      <c r="F12" s="80">
        <v>45931</v>
      </c>
      <c r="G12" s="81">
        <v>0.375</v>
      </c>
      <c r="H12" s="80">
        <v>45923</v>
      </c>
      <c r="I12" s="81">
        <v>0.70833333333333337</v>
      </c>
      <c r="J12" s="87">
        <f t="shared" si="0"/>
        <v>5</v>
      </c>
      <c r="K12" s="53">
        <v>2</v>
      </c>
      <c r="L12" s="53">
        <v>55</v>
      </c>
      <c r="M12" s="79" t="s">
        <v>362</v>
      </c>
    </row>
    <row r="13" spans="1:20" s="5" customFormat="1" ht="47.25" customHeight="1" x14ac:dyDescent="0.2">
      <c r="A13" s="79" t="s">
        <v>363</v>
      </c>
      <c r="B13" s="53" t="s">
        <v>42</v>
      </c>
      <c r="C13" s="53" t="s">
        <v>43</v>
      </c>
      <c r="D13" s="53">
        <v>2</v>
      </c>
      <c r="E13" s="53">
        <v>60</v>
      </c>
      <c r="F13" s="80">
        <v>45931</v>
      </c>
      <c r="G13" s="81">
        <v>0.375</v>
      </c>
      <c r="H13" s="80">
        <v>45923</v>
      </c>
      <c r="I13" s="81">
        <v>0.75</v>
      </c>
      <c r="J13" s="87">
        <f t="shared" si="0"/>
        <v>10</v>
      </c>
      <c r="K13" s="53">
        <v>2</v>
      </c>
      <c r="L13" s="53">
        <v>50</v>
      </c>
      <c r="M13" s="79" t="s">
        <v>364</v>
      </c>
    </row>
    <row r="14" spans="1:20" s="5" customFormat="1" ht="43.5" customHeight="1" x14ac:dyDescent="0.2">
      <c r="A14" s="79" t="s">
        <v>365</v>
      </c>
      <c r="B14" s="53" t="s">
        <v>136</v>
      </c>
      <c r="C14" s="53" t="s">
        <v>34</v>
      </c>
      <c r="D14" s="53">
        <v>2</v>
      </c>
      <c r="E14" s="53">
        <v>60</v>
      </c>
      <c r="F14" s="80">
        <v>45931</v>
      </c>
      <c r="G14" s="81">
        <v>0.375</v>
      </c>
      <c r="H14" s="80">
        <v>45924</v>
      </c>
      <c r="I14" s="81">
        <v>0.75</v>
      </c>
      <c r="J14" s="87">
        <f t="shared" si="0"/>
        <v>0</v>
      </c>
      <c r="K14" s="53">
        <v>1</v>
      </c>
      <c r="L14" s="53">
        <v>60</v>
      </c>
      <c r="M14" s="79" t="s">
        <v>366</v>
      </c>
    </row>
    <row r="15" spans="1:20" s="5" customFormat="1" ht="39.75" customHeight="1" x14ac:dyDescent="0.2">
      <c r="A15" s="79" t="s">
        <v>367</v>
      </c>
      <c r="B15" s="53" t="s">
        <v>21</v>
      </c>
      <c r="C15" s="53" t="s">
        <v>22</v>
      </c>
      <c r="D15" s="53">
        <v>2</v>
      </c>
      <c r="E15" s="53">
        <v>60</v>
      </c>
      <c r="F15" s="80">
        <v>45931</v>
      </c>
      <c r="G15" s="81">
        <v>0.375</v>
      </c>
      <c r="H15" s="80">
        <v>45923</v>
      </c>
      <c r="I15" s="81">
        <v>0.375</v>
      </c>
      <c r="J15" s="87">
        <f t="shared" si="0"/>
        <v>0</v>
      </c>
      <c r="K15" s="53">
        <v>2</v>
      </c>
      <c r="L15" s="53">
        <v>60</v>
      </c>
      <c r="M15" s="79" t="s">
        <v>368</v>
      </c>
    </row>
    <row r="16" spans="1:20" s="5" customFormat="1" ht="38.450000000000003" customHeight="1" x14ac:dyDescent="0.2">
      <c r="A16" s="79" t="s">
        <v>369</v>
      </c>
      <c r="B16" s="53" t="s">
        <v>21</v>
      </c>
      <c r="C16" s="53" t="s">
        <v>22</v>
      </c>
      <c r="D16" s="53">
        <v>1</v>
      </c>
      <c r="E16" s="53">
        <v>60</v>
      </c>
      <c r="F16" s="80">
        <v>45931</v>
      </c>
      <c r="G16" s="81">
        <v>0.375</v>
      </c>
      <c r="H16" s="80">
        <v>45923</v>
      </c>
      <c r="I16" s="81">
        <v>0.41666666666666669</v>
      </c>
      <c r="J16" s="87">
        <f t="shared" si="0"/>
        <v>5</v>
      </c>
      <c r="K16" s="53">
        <v>2</v>
      </c>
      <c r="L16" s="53">
        <v>55</v>
      </c>
      <c r="M16" s="79" t="s">
        <v>370</v>
      </c>
    </row>
    <row r="17" spans="1:13" s="5" customFormat="1" ht="30.75" customHeight="1" x14ac:dyDescent="0.2">
      <c r="A17" s="79" t="s">
        <v>371</v>
      </c>
      <c r="B17" s="53" t="s">
        <v>30</v>
      </c>
      <c r="C17" s="53" t="s">
        <v>31</v>
      </c>
      <c r="D17" s="53">
        <v>1</v>
      </c>
      <c r="E17" s="53">
        <v>60</v>
      </c>
      <c r="F17" s="80">
        <v>45931</v>
      </c>
      <c r="G17" s="81">
        <v>0.375</v>
      </c>
      <c r="H17" s="80">
        <v>45925</v>
      </c>
      <c r="I17" s="81">
        <v>0.5</v>
      </c>
      <c r="J17" s="87">
        <f>E17-L17</f>
        <v>0</v>
      </c>
      <c r="K17" s="53">
        <v>2</v>
      </c>
      <c r="L17" s="53">
        <v>60</v>
      </c>
      <c r="M17" s="79" t="s">
        <v>372</v>
      </c>
    </row>
    <row r="18" spans="1:13" s="5" customFormat="1" ht="41.25" customHeight="1" x14ac:dyDescent="0.2">
      <c r="A18" s="79" t="s">
        <v>373</v>
      </c>
      <c r="B18" s="53" t="s">
        <v>36</v>
      </c>
      <c r="C18" s="53" t="s">
        <v>37</v>
      </c>
      <c r="D18" s="53">
        <v>1</v>
      </c>
      <c r="E18" s="53">
        <v>60</v>
      </c>
      <c r="F18" s="80">
        <v>45931</v>
      </c>
      <c r="G18" s="81">
        <v>0.375</v>
      </c>
      <c r="H18" s="80">
        <v>45923</v>
      </c>
      <c r="I18" s="81">
        <v>0.875</v>
      </c>
      <c r="J18" s="87">
        <f t="shared" si="0"/>
        <v>0</v>
      </c>
      <c r="K18" s="53">
        <v>1</v>
      </c>
      <c r="L18" s="53">
        <v>60</v>
      </c>
      <c r="M18" s="79" t="s">
        <v>374</v>
      </c>
    </row>
    <row r="19" spans="1:13" s="5" customFormat="1" ht="38.25" customHeight="1" x14ac:dyDescent="0.2">
      <c r="A19" s="53" t="s">
        <v>375</v>
      </c>
      <c r="B19" s="53" t="s">
        <v>39</v>
      </c>
      <c r="C19" s="53" t="s">
        <v>40</v>
      </c>
      <c r="D19" s="53">
        <v>2</v>
      </c>
      <c r="E19" s="53">
        <v>60</v>
      </c>
      <c r="F19" s="80">
        <v>45931</v>
      </c>
      <c r="G19" s="81">
        <v>0.375</v>
      </c>
      <c r="H19" s="80">
        <v>45924</v>
      </c>
      <c r="I19" s="81">
        <v>0.5</v>
      </c>
      <c r="J19" s="87">
        <f t="shared" si="0"/>
        <v>0</v>
      </c>
      <c r="K19" s="53">
        <v>2</v>
      </c>
      <c r="L19" s="53">
        <v>60</v>
      </c>
      <c r="M19" s="79" t="s">
        <v>376</v>
      </c>
    </row>
    <row r="20" spans="1:13" s="5" customFormat="1" ht="40.5" customHeight="1" x14ac:dyDescent="0.2">
      <c r="A20" s="79" t="s">
        <v>377</v>
      </c>
      <c r="B20" s="53" t="s">
        <v>21</v>
      </c>
      <c r="C20" s="53" t="s">
        <v>22</v>
      </c>
      <c r="D20" s="53">
        <v>2</v>
      </c>
      <c r="E20" s="53">
        <v>60</v>
      </c>
      <c r="F20" s="80">
        <v>45931</v>
      </c>
      <c r="G20" s="81">
        <v>0.375</v>
      </c>
      <c r="H20" s="80">
        <v>45923</v>
      </c>
      <c r="I20" s="81">
        <v>0.45833333333333331</v>
      </c>
      <c r="J20" s="87">
        <f t="shared" si="0"/>
        <v>0</v>
      </c>
      <c r="K20" s="53">
        <v>2</v>
      </c>
      <c r="L20" s="53">
        <v>60</v>
      </c>
      <c r="M20" s="79" t="s">
        <v>378</v>
      </c>
    </row>
    <row r="21" spans="1:13" s="5" customFormat="1" ht="41.25" customHeight="1" x14ac:dyDescent="0.2">
      <c r="A21" s="79" t="s">
        <v>377</v>
      </c>
      <c r="B21" s="53" t="s">
        <v>39</v>
      </c>
      <c r="C21" s="53" t="s">
        <v>40</v>
      </c>
      <c r="D21" s="53">
        <v>2</v>
      </c>
      <c r="E21" s="53">
        <v>60</v>
      </c>
      <c r="F21" s="80">
        <v>45931</v>
      </c>
      <c r="G21" s="81">
        <v>0.375</v>
      </c>
      <c r="H21" s="80">
        <v>45924</v>
      </c>
      <c r="I21" s="81">
        <v>0.54166666666666663</v>
      </c>
      <c r="J21" s="87">
        <f>E21-L21</f>
        <v>0</v>
      </c>
      <c r="K21" s="53">
        <v>2</v>
      </c>
      <c r="L21" s="53">
        <v>60</v>
      </c>
      <c r="M21" s="79" t="s">
        <v>378</v>
      </c>
    </row>
    <row r="22" spans="1:13" s="5" customFormat="1" ht="42.75" customHeight="1" x14ac:dyDescent="0.2">
      <c r="A22" s="79" t="s">
        <v>379</v>
      </c>
      <c r="B22" s="53" t="s">
        <v>21</v>
      </c>
      <c r="C22" s="53" t="s">
        <v>22</v>
      </c>
      <c r="D22" s="53">
        <v>2</v>
      </c>
      <c r="E22" s="53">
        <v>60</v>
      </c>
      <c r="F22" s="80">
        <v>45931</v>
      </c>
      <c r="G22" s="81">
        <v>0.375</v>
      </c>
      <c r="H22" s="80">
        <v>45923</v>
      </c>
      <c r="I22" s="81">
        <v>0.5</v>
      </c>
      <c r="J22" s="87">
        <f>E22-L22</f>
        <v>0</v>
      </c>
      <c r="K22" s="53">
        <v>2</v>
      </c>
      <c r="L22" s="53">
        <v>60</v>
      </c>
      <c r="M22" s="79" t="s">
        <v>380</v>
      </c>
    </row>
    <row r="23" spans="1:13" s="5" customFormat="1" ht="40.5" customHeight="1" x14ac:dyDescent="0.2">
      <c r="A23" s="79" t="s">
        <v>379</v>
      </c>
      <c r="B23" s="53" t="s">
        <v>39</v>
      </c>
      <c r="C23" s="53" t="s">
        <v>40</v>
      </c>
      <c r="D23" s="53">
        <v>2</v>
      </c>
      <c r="E23" s="53">
        <v>60</v>
      </c>
      <c r="F23" s="80">
        <v>45931</v>
      </c>
      <c r="G23" s="81">
        <v>0.375</v>
      </c>
      <c r="H23" s="80">
        <v>45924</v>
      </c>
      <c r="I23" s="81">
        <v>0.58333333333333337</v>
      </c>
      <c r="J23" s="87">
        <f t="shared" si="0"/>
        <v>0</v>
      </c>
      <c r="K23" s="53">
        <v>2</v>
      </c>
      <c r="L23" s="53">
        <v>60</v>
      </c>
      <c r="M23" s="79" t="s">
        <v>380</v>
      </c>
    </row>
    <row r="24" spans="1:13" s="5" customFormat="1" ht="41.25" customHeight="1" x14ac:dyDescent="0.2">
      <c r="A24" s="79" t="s">
        <v>381</v>
      </c>
      <c r="B24" s="53" t="s">
        <v>21</v>
      </c>
      <c r="C24" s="53" t="s">
        <v>22</v>
      </c>
      <c r="D24" s="53">
        <v>2</v>
      </c>
      <c r="E24" s="53">
        <v>60</v>
      </c>
      <c r="F24" s="80">
        <v>45931</v>
      </c>
      <c r="G24" s="81">
        <v>0.375</v>
      </c>
      <c r="H24" s="80">
        <v>45929</v>
      </c>
      <c r="I24" s="81">
        <v>0.54166666666666663</v>
      </c>
      <c r="J24" s="87">
        <f t="shared" si="0"/>
        <v>0</v>
      </c>
      <c r="K24" s="53">
        <v>2</v>
      </c>
      <c r="L24" s="53">
        <v>60</v>
      </c>
      <c r="M24" s="79" t="s">
        <v>382</v>
      </c>
    </row>
    <row r="25" spans="1:13" s="5" customFormat="1" ht="41.25" customHeight="1" x14ac:dyDescent="0.2">
      <c r="A25" s="79" t="s">
        <v>381</v>
      </c>
      <c r="B25" s="53" t="s">
        <v>39</v>
      </c>
      <c r="C25" s="53" t="s">
        <v>40</v>
      </c>
      <c r="D25" s="53">
        <v>2</v>
      </c>
      <c r="E25" s="53">
        <v>60</v>
      </c>
      <c r="F25" s="80">
        <v>45931</v>
      </c>
      <c r="G25" s="81">
        <v>0.375</v>
      </c>
      <c r="H25" s="80">
        <v>45929</v>
      </c>
      <c r="I25" s="81">
        <v>0.625</v>
      </c>
      <c r="J25" s="87">
        <f t="shared" si="0"/>
        <v>0</v>
      </c>
      <c r="K25" s="53">
        <v>2</v>
      </c>
      <c r="L25" s="53">
        <v>60</v>
      </c>
      <c r="M25" s="79" t="s">
        <v>382</v>
      </c>
    </row>
    <row r="26" spans="1:13" s="5" customFormat="1" ht="41.25" customHeight="1" x14ac:dyDescent="0.2">
      <c r="A26" s="79" t="s">
        <v>383</v>
      </c>
      <c r="B26" s="53" t="s">
        <v>21</v>
      </c>
      <c r="C26" s="53" t="s">
        <v>22</v>
      </c>
      <c r="D26" s="53">
        <v>2</v>
      </c>
      <c r="E26" s="53">
        <v>60</v>
      </c>
      <c r="F26" s="80">
        <v>45931</v>
      </c>
      <c r="G26" s="81">
        <v>0.375</v>
      </c>
      <c r="H26" s="80">
        <v>45929</v>
      </c>
      <c r="I26" s="81">
        <v>0.58333333333333337</v>
      </c>
      <c r="J26" s="87">
        <f t="shared" si="0"/>
        <v>0</v>
      </c>
      <c r="K26" s="53">
        <v>2</v>
      </c>
      <c r="L26" s="53">
        <v>60</v>
      </c>
      <c r="M26" s="79" t="s">
        <v>384</v>
      </c>
    </row>
    <row r="27" spans="1:13" s="5" customFormat="1" ht="42.75" customHeight="1" x14ac:dyDescent="0.2">
      <c r="A27" s="79" t="s">
        <v>383</v>
      </c>
      <c r="B27" s="53" t="s">
        <v>39</v>
      </c>
      <c r="C27" s="53" t="s">
        <v>40</v>
      </c>
      <c r="D27" s="53">
        <v>2</v>
      </c>
      <c r="E27" s="53">
        <v>60</v>
      </c>
      <c r="F27" s="80">
        <v>45931</v>
      </c>
      <c r="G27" s="81">
        <v>0.375</v>
      </c>
      <c r="H27" s="80">
        <v>45929</v>
      </c>
      <c r="I27" s="81">
        <v>0.66666666666666663</v>
      </c>
      <c r="J27" s="87">
        <f t="shared" si="0"/>
        <v>0</v>
      </c>
      <c r="K27" s="53">
        <v>2</v>
      </c>
      <c r="L27" s="53">
        <v>60</v>
      </c>
      <c r="M27" s="79" t="s">
        <v>384</v>
      </c>
    </row>
    <row r="28" spans="1:13" s="5" customFormat="1" ht="27" customHeight="1" x14ac:dyDescent="0.2">
      <c r="A28" s="79" t="s">
        <v>385</v>
      </c>
      <c r="B28" s="53" t="s">
        <v>21</v>
      </c>
      <c r="C28" s="53" t="s">
        <v>22</v>
      </c>
      <c r="D28" s="53">
        <v>1</v>
      </c>
      <c r="E28" s="53">
        <v>30</v>
      </c>
      <c r="F28" s="80">
        <v>45931</v>
      </c>
      <c r="G28" s="81">
        <v>0.375</v>
      </c>
      <c r="H28" s="80">
        <v>45929</v>
      </c>
      <c r="I28" s="81">
        <v>0.60416666666666663</v>
      </c>
      <c r="J28" s="87">
        <f t="shared" si="0"/>
        <v>-4</v>
      </c>
      <c r="K28" s="53">
        <v>1</v>
      </c>
      <c r="L28" s="53">
        <v>34</v>
      </c>
      <c r="M28" s="79" t="s">
        <v>386</v>
      </c>
    </row>
    <row r="29" spans="1:13" s="5" customFormat="1" ht="36.75" customHeight="1" x14ac:dyDescent="0.2">
      <c r="A29" s="79" t="s">
        <v>385</v>
      </c>
      <c r="B29" s="53" t="s">
        <v>39</v>
      </c>
      <c r="C29" s="53" t="s">
        <v>40</v>
      </c>
      <c r="D29" s="53">
        <v>1</v>
      </c>
      <c r="E29" s="53">
        <v>30</v>
      </c>
      <c r="F29" s="80">
        <v>45931</v>
      </c>
      <c r="G29" s="81">
        <v>0.375</v>
      </c>
      <c r="H29" s="80">
        <v>45929</v>
      </c>
      <c r="I29" s="81">
        <v>0.6875</v>
      </c>
      <c r="J29" s="87">
        <f t="shared" si="0"/>
        <v>-4</v>
      </c>
      <c r="K29" s="53">
        <v>1</v>
      </c>
      <c r="L29" s="53">
        <v>34</v>
      </c>
      <c r="M29" s="79" t="s">
        <v>386</v>
      </c>
    </row>
    <row r="30" spans="1:13" s="5" customFormat="1" ht="37.5" customHeight="1" x14ac:dyDescent="0.2">
      <c r="A30" s="79" t="s">
        <v>387</v>
      </c>
      <c r="B30" s="53" t="s">
        <v>36</v>
      </c>
      <c r="C30" s="53" t="s">
        <v>37</v>
      </c>
      <c r="D30" s="53">
        <v>1</v>
      </c>
      <c r="E30" s="53">
        <v>60</v>
      </c>
      <c r="F30" s="80">
        <v>45931</v>
      </c>
      <c r="G30" s="81">
        <v>0.375</v>
      </c>
      <c r="H30" s="80">
        <v>45929</v>
      </c>
      <c r="I30" s="81">
        <v>0.79166666666666663</v>
      </c>
      <c r="J30" s="87">
        <f t="shared" si="0"/>
        <v>5</v>
      </c>
      <c r="K30" s="53">
        <v>1</v>
      </c>
      <c r="L30" s="53">
        <v>55</v>
      </c>
      <c r="M30" s="79" t="s">
        <v>388</v>
      </c>
    </row>
    <row r="31" spans="1:13" s="5" customFormat="1" ht="38.25" customHeight="1" x14ac:dyDescent="0.2">
      <c r="A31" s="79" t="s">
        <v>387</v>
      </c>
      <c r="B31" s="53" t="s">
        <v>42</v>
      </c>
      <c r="C31" s="53" t="s">
        <v>43</v>
      </c>
      <c r="D31" s="53">
        <v>1</v>
      </c>
      <c r="E31" s="53">
        <v>60</v>
      </c>
      <c r="F31" s="80">
        <v>45931</v>
      </c>
      <c r="G31" s="81">
        <v>0.375</v>
      </c>
      <c r="H31" s="80">
        <v>45929</v>
      </c>
      <c r="I31" s="81">
        <v>0.79166666666666663</v>
      </c>
      <c r="J31" s="87">
        <f t="shared" si="0"/>
        <v>5</v>
      </c>
      <c r="K31" s="53">
        <v>1</v>
      </c>
      <c r="L31" s="53">
        <v>55</v>
      </c>
      <c r="M31" s="79" t="s">
        <v>388</v>
      </c>
    </row>
    <row r="32" spans="1:13" s="5" customFormat="1" ht="38.25" customHeight="1" x14ac:dyDescent="0.2">
      <c r="A32" s="79" t="s">
        <v>387</v>
      </c>
      <c r="B32" s="53" t="s">
        <v>136</v>
      </c>
      <c r="C32" s="53" t="s">
        <v>34</v>
      </c>
      <c r="D32" s="53">
        <v>1</v>
      </c>
      <c r="E32" s="53">
        <v>60</v>
      </c>
      <c r="F32" s="80">
        <v>45931</v>
      </c>
      <c r="G32" s="81">
        <v>0.375</v>
      </c>
      <c r="H32" s="80">
        <v>45929</v>
      </c>
      <c r="I32" s="81">
        <v>0.79166666666666663</v>
      </c>
      <c r="J32" s="87">
        <f t="shared" si="0"/>
        <v>5</v>
      </c>
      <c r="K32" s="53">
        <v>1</v>
      </c>
      <c r="L32" s="53">
        <v>55</v>
      </c>
      <c r="M32" s="79" t="s">
        <v>388</v>
      </c>
    </row>
    <row r="33" spans="1:26" s="5" customFormat="1" ht="38.25" customHeight="1" x14ac:dyDescent="0.2">
      <c r="A33" s="79" t="s">
        <v>389</v>
      </c>
      <c r="B33" s="53" t="s">
        <v>21</v>
      </c>
      <c r="C33" s="53" t="s">
        <v>22</v>
      </c>
      <c r="D33" s="53">
        <v>1</v>
      </c>
      <c r="E33" s="53">
        <v>30</v>
      </c>
      <c r="F33" s="80">
        <v>45931</v>
      </c>
      <c r="G33" s="81">
        <v>0.375</v>
      </c>
      <c r="H33" s="80">
        <v>45930</v>
      </c>
      <c r="I33" s="81">
        <v>0.58333333333333337</v>
      </c>
      <c r="J33" s="87">
        <f t="shared" si="0"/>
        <v>5</v>
      </c>
      <c r="K33" s="53">
        <v>2</v>
      </c>
      <c r="L33" s="53">
        <v>25</v>
      </c>
      <c r="M33" s="79" t="s">
        <v>390</v>
      </c>
    </row>
    <row r="34" spans="1:26" s="5" customFormat="1" ht="36.75" customHeight="1" x14ac:dyDescent="0.2">
      <c r="A34" s="79" t="s">
        <v>389</v>
      </c>
      <c r="B34" s="53" t="s">
        <v>39</v>
      </c>
      <c r="C34" s="53" t="s">
        <v>40</v>
      </c>
      <c r="D34" s="53">
        <v>1</v>
      </c>
      <c r="E34" s="53">
        <v>30</v>
      </c>
      <c r="F34" s="80">
        <v>45931</v>
      </c>
      <c r="G34" s="81">
        <v>0.375</v>
      </c>
      <c r="H34" s="80">
        <v>45930</v>
      </c>
      <c r="I34" s="81">
        <v>0.58333333333333337</v>
      </c>
      <c r="J34" s="87">
        <f t="shared" si="0"/>
        <v>5</v>
      </c>
      <c r="K34" s="53">
        <v>2</v>
      </c>
      <c r="L34" s="53">
        <v>25</v>
      </c>
      <c r="M34" s="79" t="s">
        <v>390</v>
      </c>
    </row>
    <row r="35" spans="1:26" s="5" customFormat="1" ht="42" customHeight="1" x14ac:dyDescent="0.2">
      <c r="A35" s="79" t="s">
        <v>391</v>
      </c>
      <c r="B35" s="53" t="s">
        <v>21</v>
      </c>
      <c r="C35" s="53" t="s">
        <v>22</v>
      </c>
      <c r="D35" s="53">
        <v>1</v>
      </c>
      <c r="E35" s="53">
        <v>30</v>
      </c>
      <c r="F35" s="80">
        <v>45931</v>
      </c>
      <c r="G35" s="81">
        <v>0.375</v>
      </c>
      <c r="H35" s="80">
        <v>45930</v>
      </c>
      <c r="I35" s="81">
        <v>0.60416666666666663</v>
      </c>
      <c r="J35" s="87">
        <f t="shared" si="0"/>
        <v>0</v>
      </c>
      <c r="K35" s="53">
        <v>2</v>
      </c>
      <c r="L35" s="53">
        <v>30</v>
      </c>
      <c r="M35" s="79" t="s">
        <v>392</v>
      </c>
    </row>
    <row r="36" spans="1:26" s="5" customFormat="1" ht="39" customHeight="1" x14ac:dyDescent="0.2">
      <c r="A36" s="79" t="s">
        <v>391</v>
      </c>
      <c r="B36" s="53" t="s">
        <v>39</v>
      </c>
      <c r="C36" s="53" t="s">
        <v>40</v>
      </c>
      <c r="D36" s="53">
        <v>1</v>
      </c>
      <c r="E36" s="53">
        <v>30</v>
      </c>
      <c r="F36" s="80">
        <v>45931</v>
      </c>
      <c r="G36" s="81">
        <v>0.375</v>
      </c>
      <c r="H36" s="80">
        <v>45930</v>
      </c>
      <c r="I36" s="81">
        <v>0.60416666666666663</v>
      </c>
      <c r="J36" s="87">
        <f t="shared" si="0"/>
        <v>0</v>
      </c>
      <c r="K36" s="53">
        <v>2</v>
      </c>
      <c r="L36" s="53">
        <v>30</v>
      </c>
      <c r="M36" s="79" t="s">
        <v>392</v>
      </c>
    </row>
    <row r="37" spans="1:26" s="5" customFormat="1" ht="42" customHeight="1" x14ac:dyDescent="0.2">
      <c r="A37" s="79" t="s">
        <v>393</v>
      </c>
      <c r="B37" s="53" t="s">
        <v>21</v>
      </c>
      <c r="C37" s="53" t="s">
        <v>22</v>
      </c>
      <c r="D37" s="53">
        <v>1</v>
      </c>
      <c r="E37" s="53">
        <v>30</v>
      </c>
      <c r="F37" s="80">
        <v>45931</v>
      </c>
      <c r="G37" s="81">
        <v>0.375</v>
      </c>
      <c r="H37" s="80">
        <v>45930</v>
      </c>
      <c r="I37" s="81">
        <v>0.625</v>
      </c>
      <c r="J37" s="87">
        <f t="shared" si="0"/>
        <v>0</v>
      </c>
      <c r="K37" s="53">
        <v>2</v>
      </c>
      <c r="L37" s="53">
        <v>30</v>
      </c>
      <c r="M37" s="79" t="s">
        <v>394</v>
      </c>
    </row>
    <row r="38" spans="1:26" s="5" customFormat="1" ht="47.25" customHeight="1" x14ac:dyDescent="0.2">
      <c r="A38" s="79" t="s">
        <v>393</v>
      </c>
      <c r="B38" s="53" t="s">
        <v>39</v>
      </c>
      <c r="C38" s="53" t="s">
        <v>40</v>
      </c>
      <c r="D38" s="53">
        <v>1</v>
      </c>
      <c r="E38" s="53">
        <v>30</v>
      </c>
      <c r="F38" s="80">
        <v>45931</v>
      </c>
      <c r="G38" s="81">
        <v>0.375</v>
      </c>
      <c r="H38" s="80">
        <v>45930</v>
      </c>
      <c r="I38" s="81">
        <v>0.625</v>
      </c>
      <c r="J38" s="87">
        <f t="shared" si="0"/>
        <v>0</v>
      </c>
      <c r="K38" s="53">
        <v>2</v>
      </c>
      <c r="L38" s="53">
        <v>30</v>
      </c>
      <c r="M38" s="79" t="s">
        <v>394</v>
      </c>
    </row>
    <row r="39" spans="1:26" s="5" customFormat="1" ht="39.75" customHeight="1" x14ac:dyDescent="0.2">
      <c r="A39" s="79" t="s">
        <v>395</v>
      </c>
      <c r="B39" s="53" t="s">
        <v>21</v>
      </c>
      <c r="C39" s="53" t="s">
        <v>22</v>
      </c>
      <c r="D39" s="53">
        <v>1</v>
      </c>
      <c r="E39" s="53">
        <v>30</v>
      </c>
      <c r="F39" s="80">
        <v>45931</v>
      </c>
      <c r="G39" s="81">
        <v>0.375</v>
      </c>
      <c r="H39" s="80">
        <v>45930</v>
      </c>
      <c r="I39" s="81">
        <v>0.64583333333333337</v>
      </c>
      <c r="J39" s="87">
        <f>E39-L39</f>
        <v>5</v>
      </c>
      <c r="K39" s="53">
        <v>2</v>
      </c>
      <c r="L39" s="53">
        <v>25</v>
      </c>
      <c r="M39" s="79" t="s">
        <v>396</v>
      </c>
    </row>
    <row r="40" spans="1:26" s="5" customFormat="1" ht="47.25" customHeight="1" x14ac:dyDescent="0.2">
      <c r="A40" s="79" t="s">
        <v>395</v>
      </c>
      <c r="B40" s="53" t="s">
        <v>39</v>
      </c>
      <c r="C40" s="53" t="s">
        <v>40</v>
      </c>
      <c r="D40" s="53">
        <v>1</v>
      </c>
      <c r="E40" s="53">
        <v>30</v>
      </c>
      <c r="F40" s="80">
        <v>45931</v>
      </c>
      <c r="G40" s="81">
        <v>0.375</v>
      </c>
      <c r="H40" s="80">
        <v>45930</v>
      </c>
      <c r="I40" s="81">
        <v>0.64583333333333337</v>
      </c>
      <c r="J40" s="87">
        <f t="shared" ref="J40" si="1">E40-L40</f>
        <v>5</v>
      </c>
      <c r="K40" s="53">
        <v>2</v>
      </c>
      <c r="L40" s="53">
        <v>25</v>
      </c>
      <c r="M40" s="79" t="s">
        <v>396</v>
      </c>
    </row>
    <row r="41" spans="1:26" s="5" customFormat="1" ht="39" customHeight="1" x14ac:dyDescent="0.2">
      <c r="A41" s="79" t="s">
        <v>468</v>
      </c>
      <c r="B41" s="53" t="s">
        <v>39</v>
      </c>
      <c r="C41" s="53" t="s">
        <v>40</v>
      </c>
      <c r="D41" s="53">
        <v>1</v>
      </c>
      <c r="E41" s="53">
        <v>30</v>
      </c>
      <c r="F41" s="80">
        <v>45931</v>
      </c>
      <c r="G41" s="81">
        <v>0.375</v>
      </c>
      <c r="H41" s="80">
        <v>45930</v>
      </c>
      <c r="I41" s="81">
        <v>0.6875</v>
      </c>
      <c r="J41" s="87">
        <f t="shared" si="0"/>
        <v>5</v>
      </c>
      <c r="K41" s="53">
        <v>2</v>
      </c>
      <c r="L41" s="53">
        <v>25</v>
      </c>
      <c r="M41" s="79" t="s">
        <v>470</v>
      </c>
    </row>
    <row r="42" spans="1:26" s="5" customFormat="1" ht="39" customHeight="1" x14ac:dyDescent="0.2">
      <c r="A42" s="107" t="s">
        <v>471</v>
      </c>
      <c r="B42" s="53" t="s">
        <v>36</v>
      </c>
      <c r="C42" s="53" t="s">
        <v>37</v>
      </c>
      <c r="D42" s="53">
        <v>1</v>
      </c>
      <c r="E42" s="53">
        <v>30</v>
      </c>
      <c r="F42" s="80">
        <v>45931</v>
      </c>
      <c r="G42" s="81">
        <v>0.375</v>
      </c>
      <c r="H42" s="80">
        <v>45930</v>
      </c>
      <c r="I42" s="81">
        <v>0.79166666666666663</v>
      </c>
      <c r="J42" s="87">
        <f t="shared" si="0"/>
        <v>0</v>
      </c>
      <c r="K42" s="53">
        <v>3</v>
      </c>
      <c r="L42" s="53">
        <v>30</v>
      </c>
      <c r="M42" s="79" t="s">
        <v>472</v>
      </c>
    </row>
    <row r="43" spans="1:26" s="5" customFormat="1" ht="38.25" customHeight="1" x14ac:dyDescent="0.2">
      <c r="A43" s="106" t="s">
        <v>123</v>
      </c>
      <c r="B43" s="85" t="s">
        <v>36</v>
      </c>
      <c r="C43" s="85" t="s">
        <v>37</v>
      </c>
      <c r="D43" s="49">
        <v>1</v>
      </c>
      <c r="E43" s="49">
        <v>20</v>
      </c>
      <c r="F43" s="85">
        <v>45931</v>
      </c>
      <c r="G43" s="86">
        <v>0.375</v>
      </c>
      <c r="H43" s="85">
        <v>45930</v>
      </c>
      <c r="I43" s="86">
        <v>0.80555555555555558</v>
      </c>
      <c r="J43" s="87">
        <f>E43-L43</f>
        <v>0</v>
      </c>
      <c r="K43" s="8">
        <v>1</v>
      </c>
      <c r="L43" s="88">
        <v>20</v>
      </c>
      <c r="M43" s="93" t="s">
        <v>124</v>
      </c>
      <c r="N43"/>
      <c r="O43"/>
      <c r="P43"/>
      <c r="Q43"/>
      <c r="R43"/>
      <c r="S43"/>
      <c r="T43"/>
      <c r="U43"/>
      <c r="V43"/>
      <c r="W43"/>
      <c r="X43"/>
      <c r="Y43"/>
      <c r="Z43"/>
    </row>
    <row r="44" spans="1:26" s="5" customFormat="1" ht="38.25" customHeight="1" x14ac:dyDescent="0.2">
      <c r="A44" s="38" t="s">
        <v>123</v>
      </c>
      <c r="B44" s="85" t="s">
        <v>143</v>
      </c>
      <c r="C44" s="85" t="s">
        <v>43</v>
      </c>
      <c r="D44" s="49">
        <v>1</v>
      </c>
      <c r="E44" s="49">
        <v>20</v>
      </c>
      <c r="F44" s="85">
        <v>45931</v>
      </c>
      <c r="G44" s="86">
        <v>0.375</v>
      </c>
      <c r="H44" s="85">
        <v>45930</v>
      </c>
      <c r="I44" s="86">
        <v>0.80555555555555558</v>
      </c>
      <c r="J44" s="87">
        <f t="shared" ref="J44:J65" si="2">E44-L44</f>
        <v>0</v>
      </c>
      <c r="K44" s="8">
        <v>1</v>
      </c>
      <c r="L44" s="88">
        <v>20</v>
      </c>
      <c r="M44" s="93" t="s">
        <v>124</v>
      </c>
    </row>
    <row r="45" spans="1:26" s="5" customFormat="1" ht="42" customHeight="1" x14ac:dyDescent="0.2">
      <c r="A45" s="13" t="s">
        <v>175</v>
      </c>
      <c r="B45" s="13" t="s">
        <v>36</v>
      </c>
      <c r="C45" s="13" t="s">
        <v>37</v>
      </c>
      <c r="D45" s="53">
        <v>1</v>
      </c>
      <c r="E45" s="53">
        <v>30</v>
      </c>
      <c r="F45" s="13">
        <v>45931</v>
      </c>
      <c r="G45" s="86">
        <v>0.375</v>
      </c>
      <c r="H45" s="13">
        <v>45930</v>
      </c>
      <c r="I45" s="12">
        <v>0.83333333333333337</v>
      </c>
      <c r="J45" s="53">
        <f t="shared" si="2"/>
        <v>6</v>
      </c>
      <c r="K45" s="50">
        <v>1</v>
      </c>
      <c r="L45" s="68">
        <v>24</v>
      </c>
      <c r="M45" s="52" t="s">
        <v>176</v>
      </c>
    </row>
    <row r="46" spans="1:26" s="5" customFormat="1" ht="32.450000000000003" customHeight="1" x14ac:dyDescent="0.2">
      <c r="A46" s="13" t="s">
        <v>177</v>
      </c>
      <c r="B46" s="13" t="s">
        <v>39</v>
      </c>
      <c r="C46" s="13" t="s">
        <v>40</v>
      </c>
      <c r="D46" s="53">
        <v>1</v>
      </c>
      <c r="E46" s="53">
        <v>30</v>
      </c>
      <c r="F46" s="13">
        <v>45931</v>
      </c>
      <c r="G46" s="86">
        <v>0.375</v>
      </c>
      <c r="H46" s="13">
        <v>45930</v>
      </c>
      <c r="I46" s="12">
        <v>0.83333333333333337</v>
      </c>
      <c r="J46" s="53">
        <f t="shared" si="2"/>
        <v>0</v>
      </c>
      <c r="K46" s="50">
        <v>1</v>
      </c>
      <c r="L46" s="68">
        <v>30</v>
      </c>
      <c r="M46" s="52" t="s">
        <v>178</v>
      </c>
    </row>
    <row r="47" spans="1:26" ht="35.25" customHeight="1" x14ac:dyDescent="0.2">
      <c r="A47" s="61" t="s">
        <v>179</v>
      </c>
      <c r="B47" s="13" t="s">
        <v>39</v>
      </c>
      <c r="C47" s="13" t="s">
        <v>40</v>
      </c>
      <c r="D47" s="53">
        <v>5</v>
      </c>
      <c r="E47" s="53">
        <v>50</v>
      </c>
      <c r="F47" s="13">
        <v>45931</v>
      </c>
      <c r="G47" s="86">
        <v>0.375</v>
      </c>
      <c r="H47" s="13">
        <v>45930</v>
      </c>
      <c r="I47" s="12">
        <v>0.86805555555555558</v>
      </c>
      <c r="J47" s="53">
        <f t="shared" si="2"/>
        <v>5</v>
      </c>
      <c r="K47" s="50">
        <v>5</v>
      </c>
      <c r="L47" s="68">
        <v>45</v>
      </c>
      <c r="M47" s="52" t="s">
        <v>180</v>
      </c>
    </row>
    <row r="48" spans="1:26" s="5" customFormat="1" ht="47.1" customHeight="1" x14ac:dyDescent="0.2">
      <c r="A48" s="23" t="s">
        <v>146</v>
      </c>
      <c r="B48" s="85" t="s">
        <v>30</v>
      </c>
      <c r="C48" s="90" t="s">
        <v>207</v>
      </c>
      <c r="D48" s="84">
        <v>1</v>
      </c>
      <c r="E48" s="49">
        <v>60</v>
      </c>
      <c r="F48" s="85">
        <v>45931</v>
      </c>
      <c r="G48" s="86">
        <v>0.375</v>
      </c>
      <c r="H48" s="85">
        <v>45930</v>
      </c>
      <c r="I48" s="86">
        <v>0.91666666666666663</v>
      </c>
      <c r="J48" s="87">
        <f t="shared" si="2"/>
        <v>50</v>
      </c>
      <c r="K48" s="8">
        <v>1</v>
      </c>
      <c r="L48" s="88">
        <v>10</v>
      </c>
      <c r="M48" s="91" t="s">
        <v>149</v>
      </c>
    </row>
    <row r="49" spans="1:13" s="5" customFormat="1" ht="43.5" customHeight="1" x14ac:dyDescent="0.2">
      <c r="A49" s="23" t="s">
        <v>146</v>
      </c>
      <c r="B49" s="85" t="s">
        <v>42</v>
      </c>
      <c r="C49" s="85" t="s">
        <v>77</v>
      </c>
      <c r="D49" s="84">
        <v>1</v>
      </c>
      <c r="E49" s="49">
        <v>60</v>
      </c>
      <c r="F49" s="85">
        <v>45931</v>
      </c>
      <c r="G49" s="86">
        <v>0.375</v>
      </c>
      <c r="H49" s="85">
        <v>45930</v>
      </c>
      <c r="I49" s="86">
        <v>0.91666666666666663</v>
      </c>
      <c r="J49" s="87">
        <f t="shared" si="2"/>
        <v>50</v>
      </c>
      <c r="K49" s="8">
        <v>1</v>
      </c>
      <c r="L49" s="88">
        <v>10</v>
      </c>
      <c r="M49" s="91" t="s">
        <v>149</v>
      </c>
    </row>
    <row r="50" spans="1:13" s="5" customFormat="1" ht="42.75" customHeight="1" x14ac:dyDescent="0.2">
      <c r="A50" s="23" t="s">
        <v>146</v>
      </c>
      <c r="B50" s="85" t="s">
        <v>21</v>
      </c>
      <c r="C50" s="85" t="s">
        <v>86</v>
      </c>
      <c r="D50" s="84">
        <v>1</v>
      </c>
      <c r="E50" s="49">
        <v>60</v>
      </c>
      <c r="F50" s="85">
        <v>45931</v>
      </c>
      <c r="G50" s="86">
        <v>0.375</v>
      </c>
      <c r="H50" s="85">
        <v>45930</v>
      </c>
      <c r="I50" s="86">
        <v>0.91666666666666663</v>
      </c>
      <c r="J50" s="87">
        <f t="shared" si="2"/>
        <v>50</v>
      </c>
      <c r="K50" s="8">
        <v>1</v>
      </c>
      <c r="L50" s="88">
        <v>10</v>
      </c>
      <c r="M50" s="91" t="s">
        <v>149</v>
      </c>
    </row>
    <row r="51" spans="1:13" s="5" customFormat="1" ht="39" customHeight="1" x14ac:dyDescent="0.2">
      <c r="A51" s="23" t="s">
        <v>146</v>
      </c>
      <c r="B51" s="85" t="s">
        <v>136</v>
      </c>
      <c r="C51" s="85" t="s">
        <v>151</v>
      </c>
      <c r="D51" s="84">
        <v>1</v>
      </c>
      <c r="E51" s="49">
        <v>60</v>
      </c>
      <c r="F51" s="85">
        <v>45931</v>
      </c>
      <c r="G51" s="86">
        <v>0.375</v>
      </c>
      <c r="H51" s="85">
        <v>45930</v>
      </c>
      <c r="I51" s="86">
        <v>0.91666666666666663</v>
      </c>
      <c r="J51" s="87">
        <f t="shared" si="2"/>
        <v>50</v>
      </c>
      <c r="K51" s="8">
        <v>1</v>
      </c>
      <c r="L51" s="88">
        <v>10</v>
      </c>
      <c r="M51" s="91" t="s">
        <v>149</v>
      </c>
    </row>
    <row r="52" spans="1:13" s="5" customFormat="1" ht="29.25" customHeight="1" x14ac:dyDescent="0.2">
      <c r="A52" s="23" t="s">
        <v>146</v>
      </c>
      <c r="B52" s="85" t="s">
        <v>36</v>
      </c>
      <c r="C52" s="85" t="s">
        <v>80</v>
      </c>
      <c r="D52" s="84">
        <v>1</v>
      </c>
      <c r="E52" s="49">
        <v>60</v>
      </c>
      <c r="F52" s="85">
        <v>45931</v>
      </c>
      <c r="G52" s="86">
        <v>0.375</v>
      </c>
      <c r="H52" s="85">
        <v>45930</v>
      </c>
      <c r="I52" s="86">
        <v>0.91666666666666663</v>
      </c>
      <c r="J52" s="87">
        <f t="shared" si="2"/>
        <v>50</v>
      </c>
      <c r="K52" s="8">
        <v>1</v>
      </c>
      <c r="L52" s="88">
        <v>10</v>
      </c>
      <c r="M52" s="91" t="s">
        <v>149</v>
      </c>
    </row>
    <row r="53" spans="1:13" s="5" customFormat="1" ht="31.5" customHeight="1" x14ac:dyDescent="0.2">
      <c r="A53" s="23" t="s">
        <v>146</v>
      </c>
      <c r="B53" s="85" t="s">
        <v>39</v>
      </c>
      <c r="C53" s="85" t="s">
        <v>150</v>
      </c>
      <c r="D53" s="84">
        <v>1</v>
      </c>
      <c r="E53" s="49">
        <v>60</v>
      </c>
      <c r="F53" s="85">
        <v>45931</v>
      </c>
      <c r="G53" s="86">
        <v>0.375</v>
      </c>
      <c r="H53" s="85">
        <v>45930</v>
      </c>
      <c r="I53" s="86">
        <v>0.91666666666666663</v>
      </c>
      <c r="J53" s="87">
        <f t="shared" si="2"/>
        <v>50</v>
      </c>
      <c r="K53" s="8">
        <v>1</v>
      </c>
      <c r="L53" s="88">
        <v>10</v>
      </c>
      <c r="M53" s="91" t="s">
        <v>149</v>
      </c>
    </row>
    <row r="54" spans="1:13" s="5" customFormat="1" ht="26.45" customHeight="1" x14ac:dyDescent="0.2">
      <c r="A54" s="23" t="s">
        <v>52</v>
      </c>
      <c r="B54" s="90" t="s">
        <v>21</v>
      </c>
      <c r="C54" s="90" t="s">
        <v>22</v>
      </c>
      <c r="D54" s="84">
        <v>1</v>
      </c>
      <c r="E54" s="49">
        <v>30</v>
      </c>
      <c r="F54" s="85">
        <v>45931</v>
      </c>
      <c r="G54" s="86">
        <v>0.375</v>
      </c>
      <c r="H54" s="85">
        <v>45930</v>
      </c>
      <c r="I54" s="86">
        <v>0.91666666666666663</v>
      </c>
      <c r="J54" s="87">
        <f t="shared" si="2"/>
        <v>0</v>
      </c>
      <c r="K54" s="8">
        <v>1</v>
      </c>
      <c r="L54" s="88">
        <v>30</v>
      </c>
      <c r="M54" s="91" t="s">
        <v>53</v>
      </c>
    </row>
    <row r="55" spans="1:13" s="5" customFormat="1" ht="29.1" customHeight="1" x14ac:dyDescent="0.2">
      <c r="A55" s="23" t="s">
        <v>153</v>
      </c>
      <c r="B55" s="90" t="s">
        <v>36</v>
      </c>
      <c r="C55" s="90" t="s">
        <v>37</v>
      </c>
      <c r="D55" s="84">
        <v>1</v>
      </c>
      <c r="E55" s="5">
        <v>30</v>
      </c>
      <c r="F55" s="85">
        <v>45931</v>
      </c>
      <c r="G55" s="86">
        <v>0.375</v>
      </c>
      <c r="H55" s="85">
        <v>45930</v>
      </c>
      <c r="I55" s="86">
        <v>0.91666666666666663</v>
      </c>
      <c r="J55" s="87">
        <f t="shared" si="2"/>
        <v>0</v>
      </c>
      <c r="K55" s="8">
        <v>1</v>
      </c>
      <c r="L55" s="88">
        <v>30</v>
      </c>
      <c r="M55" s="91" t="s">
        <v>53</v>
      </c>
    </row>
    <row r="56" spans="1:13" s="5" customFormat="1" ht="31.5" customHeight="1" x14ac:dyDescent="0.2">
      <c r="A56" s="23" t="s">
        <v>79</v>
      </c>
      <c r="B56" s="85" t="s">
        <v>36</v>
      </c>
      <c r="C56" s="90" t="s">
        <v>37</v>
      </c>
      <c r="D56" s="84">
        <v>1</v>
      </c>
      <c r="E56" s="49">
        <v>45</v>
      </c>
      <c r="F56" s="85">
        <v>45931</v>
      </c>
      <c r="G56" s="86">
        <v>0.375</v>
      </c>
      <c r="H56" s="85">
        <v>45930</v>
      </c>
      <c r="I56" s="86">
        <v>0.9375</v>
      </c>
      <c r="J56" s="87">
        <f t="shared" si="2"/>
        <v>-35</v>
      </c>
      <c r="K56" s="8">
        <v>1</v>
      </c>
      <c r="L56" s="88">
        <v>80</v>
      </c>
      <c r="M56" s="91" t="s">
        <v>81</v>
      </c>
    </row>
    <row r="57" spans="1:13" s="5" customFormat="1" ht="26.1" customHeight="1" x14ac:dyDescent="0.2">
      <c r="A57" s="23" t="s">
        <v>85</v>
      </c>
      <c r="B57" s="85" t="s">
        <v>21</v>
      </c>
      <c r="C57" s="90" t="s">
        <v>22</v>
      </c>
      <c r="D57" s="84">
        <v>1</v>
      </c>
      <c r="E57" s="49">
        <v>60</v>
      </c>
      <c r="F57" s="85">
        <v>45931</v>
      </c>
      <c r="G57" s="86">
        <v>0.375</v>
      </c>
      <c r="H57" s="85">
        <v>45930</v>
      </c>
      <c r="I57" s="86">
        <v>0.9375</v>
      </c>
      <c r="J57" s="87">
        <f t="shared" si="2"/>
        <v>10</v>
      </c>
      <c r="K57" s="8">
        <v>1</v>
      </c>
      <c r="L57" s="88">
        <v>50</v>
      </c>
      <c r="M57" s="91" t="s">
        <v>87</v>
      </c>
    </row>
    <row r="58" spans="1:13" s="5" customFormat="1" ht="39" customHeight="1" x14ac:dyDescent="0.2">
      <c r="A58" s="23" t="s">
        <v>88</v>
      </c>
      <c r="B58" s="85" t="s">
        <v>21</v>
      </c>
      <c r="C58" s="85" t="s">
        <v>22</v>
      </c>
      <c r="D58" s="84">
        <v>1</v>
      </c>
      <c r="E58" s="49">
        <v>55</v>
      </c>
      <c r="F58" s="85">
        <v>45931</v>
      </c>
      <c r="G58" s="86">
        <v>0.375</v>
      </c>
      <c r="H58" s="85">
        <v>45930</v>
      </c>
      <c r="I58" s="86">
        <v>0.9375</v>
      </c>
      <c r="J58" s="87">
        <f t="shared" si="2"/>
        <v>0</v>
      </c>
      <c r="K58" s="8">
        <v>1</v>
      </c>
      <c r="L58" s="88">
        <v>55</v>
      </c>
      <c r="M58" s="91" t="s">
        <v>89</v>
      </c>
    </row>
    <row r="59" spans="1:13" s="5" customFormat="1" ht="40.5" customHeight="1" x14ac:dyDescent="0.2">
      <c r="A59" s="33" t="s">
        <v>131</v>
      </c>
      <c r="B59" s="85" t="s">
        <v>36</v>
      </c>
      <c r="C59" s="85" t="s">
        <v>37</v>
      </c>
      <c r="D59" s="49">
        <v>1</v>
      </c>
      <c r="E59" s="49">
        <v>30</v>
      </c>
      <c r="F59" s="85">
        <v>45931</v>
      </c>
      <c r="G59" s="86">
        <v>0.375</v>
      </c>
      <c r="H59" s="85">
        <v>45930</v>
      </c>
      <c r="I59" s="86">
        <v>0.9375</v>
      </c>
      <c r="J59" s="87">
        <f t="shared" si="2"/>
        <v>-2</v>
      </c>
      <c r="K59" s="8">
        <v>1</v>
      </c>
      <c r="L59" s="88">
        <v>32</v>
      </c>
      <c r="M59" s="91" t="s">
        <v>132</v>
      </c>
    </row>
    <row r="60" spans="1:13" s="5" customFormat="1" ht="40.5" customHeight="1" x14ac:dyDescent="0.2">
      <c r="A60" s="33" t="s">
        <v>131</v>
      </c>
      <c r="B60" s="85" t="s">
        <v>42</v>
      </c>
      <c r="C60" s="85" t="s">
        <v>43</v>
      </c>
      <c r="D60" s="49">
        <v>1</v>
      </c>
      <c r="E60" s="49">
        <v>30</v>
      </c>
      <c r="F60" s="85">
        <v>45931</v>
      </c>
      <c r="G60" s="86">
        <v>0.375</v>
      </c>
      <c r="H60" s="85">
        <v>45930</v>
      </c>
      <c r="I60" s="86">
        <v>0.9375</v>
      </c>
      <c r="J60" s="87">
        <f t="shared" si="2"/>
        <v>-2</v>
      </c>
      <c r="K60" s="8">
        <v>1</v>
      </c>
      <c r="L60" s="88">
        <v>32</v>
      </c>
      <c r="M60" s="91" t="s">
        <v>132</v>
      </c>
    </row>
    <row r="61" spans="1:13" s="5" customFormat="1" ht="38.25" customHeight="1" x14ac:dyDescent="0.2">
      <c r="A61" s="33" t="s">
        <v>131</v>
      </c>
      <c r="B61" s="85" t="s">
        <v>30</v>
      </c>
      <c r="C61" s="85" t="s">
        <v>31</v>
      </c>
      <c r="D61" s="49">
        <v>1</v>
      </c>
      <c r="E61" s="49">
        <v>30</v>
      </c>
      <c r="F61" s="85">
        <v>45931</v>
      </c>
      <c r="G61" s="86">
        <v>0.375</v>
      </c>
      <c r="H61" s="85">
        <v>45930</v>
      </c>
      <c r="I61" s="86">
        <v>0.9375</v>
      </c>
      <c r="J61" s="87">
        <f t="shared" si="2"/>
        <v>-2</v>
      </c>
      <c r="K61" s="8">
        <v>1</v>
      </c>
      <c r="L61" s="88">
        <v>32</v>
      </c>
      <c r="M61" s="91" t="s">
        <v>132</v>
      </c>
    </row>
    <row r="62" spans="1:13" s="5" customFormat="1" ht="38.25" customHeight="1" x14ac:dyDescent="0.2">
      <c r="A62" s="33" t="s">
        <v>131</v>
      </c>
      <c r="B62" s="85" t="s">
        <v>21</v>
      </c>
      <c r="C62" s="85" t="s">
        <v>22</v>
      </c>
      <c r="D62" s="49">
        <v>1</v>
      </c>
      <c r="E62" s="49">
        <v>30</v>
      </c>
      <c r="F62" s="85">
        <v>45931</v>
      </c>
      <c r="G62" s="86">
        <v>0.375</v>
      </c>
      <c r="H62" s="85">
        <v>45930</v>
      </c>
      <c r="I62" s="86">
        <v>0.9375</v>
      </c>
      <c r="J62" s="87">
        <f t="shared" si="2"/>
        <v>-2</v>
      </c>
      <c r="K62" s="8">
        <v>1</v>
      </c>
      <c r="L62" s="88">
        <v>32</v>
      </c>
      <c r="M62" s="91" t="s">
        <v>132</v>
      </c>
    </row>
    <row r="63" spans="1:13" s="5" customFormat="1" ht="27" customHeight="1" x14ac:dyDescent="0.2">
      <c r="A63" s="33" t="s">
        <v>131</v>
      </c>
      <c r="B63" s="85" t="s">
        <v>136</v>
      </c>
      <c r="C63" s="85" t="s">
        <v>34</v>
      </c>
      <c r="D63" s="49">
        <v>1</v>
      </c>
      <c r="E63" s="49">
        <v>30</v>
      </c>
      <c r="F63" s="85">
        <v>45931</v>
      </c>
      <c r="G63" s="86">
        <v>0.375</v>
      </c>
      <c r="H63" s="85">
        <v>45930</v>
      </c>
      <c r="I63" s="86">
        <v>0.9375</v>
      </c>
      <c r="J63" s="87">
        <f t="shared" si="2"/>
        <v>-2</v>
      </c>
      <c r="K63" s="8">
        <v>1</v>
      </c>
      <c r="L63" s="88">
        <v>32</v>
      </c>
      <c r="M63" s="91" t="s">
        <v>132</v>
      </c>
    </row>
    <row r="64" spans="1:13" s="5" customFormat="1" ht="33" customHeight="1" x14ac:dyDescent="0.2">
      <c r="A64" s="33" t="s">
        <v>131</v>
      </c>
      <c r="B64" s="85" t="s">
        <v>39</v>
      </c>
      <c r="C64" s="85" t="s">
        <v>40</v>
      </c>
      <c r="D64" s="49">
        <v>1</v>
      </c>
      <c r="E64" s="49">
        <v>30</v>
      </c>
      <c r="F64" s="85">
        <v>45931</v>
      </c>
      <c r="G64" s="86">
        <v>0.375</v>
      </c>
      <c r="H64" s="85">
        <v>45930</v>
      </c>
      <c r="I64" s="86">
        <v>0.9375</v>
      </c>
      <c r="J64" s="87">
        <f t="shared" si="2"/>
        <v>-2</v>
      </c>
      <c r="K64" s="8">
        <v>1</v>
      </c>
      <c r="L64" s="88">
        <v>32</v>
      </c>
      <c r="M64" s="91" t="s">
        <v>132</v>
      </c>
    </row>
    <row r="65" spans="1:13" s="5" customFormat="1" ht="33.75" customHeight="1" x14ac:dyDescent="0.2">
      <c r="A65" s="33" t="s">
        <v>133</v>
      </c>
      <c r="B65" s="85" t="s">
        <v>21</v>
      </c>
      <c r="C65" s="85" t="s">
        <v>22</v>
      </c>
      <c r="D65" s="49">
        <v>3</v>
      </c>
      <c r="E65" s="49">
        <v>20</v>
      </c>
      <c r="F65" s="85">
        <v>45931</v>
      </c>
      <c r="G65" s="86">
        <v>0.375</v>
      </c>
      <c r="H65" s="85">
        <v>45931</v>
      </c>
      <c r="I65" s="86">
        <v>0.375</v>
      </c>
      <c r="J65" s="87">
        <f t="shared" si="2"/>
        <v>5</v>
      </c>
      <c r="K65" s="8">
        <v>3</v>
      </c>
      <c r="L65" s="88">
        <v>15</v>
      </c>
      <c r="M65" s="91" t="s">
        <v>134</v>
      </c>
    </row>
    <row r="66" spans="1:13" s="5" customFormat="1" ht="32.25" customHeight="1" x14ac:dyDescent="0.2">
      <c r="A66"/>
      <c r="B66"/>
      <c r="C66"/>
      <c r="D66"/>
      <c r="E66"/>
      <c r="F66"/>
      <c r="G66"/>
      <c r="H66"/>
      <c r="I66"/>
      <c r="J66"/>
      <c r="K66"/>
      <c r="L66"/>
      <c r="M66"/>
    </row>
    <row r="67" spans="1:13" s="5" customFormat="1" ht="27" customHeight="1" x14ac:dyDescent="0.2">
      <c r="A67" s="70" t="s">
        <v>210</v>
      </c>
      <c r="B67" t="s">
        <v>215</v>
      </c>
      <c r="C67" t="s">
        <v>214</v>
      </c>
      <c r="D67" t="s">
        <v>213</v>
      </c>
      <c r="E67" t="s">
        <v>212</v>
      </c>
      <c r="F67" s="4"/>
      <c r="G67" s="4"/>
      <c r="H67" s="4"/>
      <c r="I67" s="3"/>
      <c r="J67" s="3"/>
      <c r="K67" s="2"/>
      <c r="L67" s="1"/>
      <c r="M67" s="1"/>
    </row>
    <row r="68" spans="1:13" s="5" customFormat="1" ht="24.95" customHeight="1" x14ac:dyDescent="0.2">
      <c r="A68" s="71" t="s">
        <v>36</v>
      </c>
      <c r="B68">
        <v>9</v>
      </c>
      <c r="C68">
        <v>365</v>
      </c>
      <c r="D68">
        <v>9</v>
      </c>
      <c r="E68">
        <v>341</v>
      </c>
      <c r="F68" s="4"/>
      <c r="G68" s="4"/>
      <c r="H68" s="4"/>
      <c r="I68" s="3"/>
      <c r="J68" s="3"/>
      <c r="K68" s="2"/>
      <c r="L68" s="1"/>
      <c r="M68" s="1"/>
    </row>
    <row r="69" spans="1:13" s="5" customFormat="1" ht="28.5" customHeight="1" x14ac:dyDescent="0.2">
      <c r="A69" s="71" t="s">
        <v>39</v>
      </c>
      <c r="B69">
        <v>23</v>
      </c>
      <c r="C69">
        <v>620</v>
      </c>
      <c r="D69">
        <v>27</v>
      </c>
      <c r="E69">
        <v>561</v>
      </c>
      <c r="F69" s="4"/>
      <c r="G69" s="4"/>
      <c r="H69" s="4"/>
      <c r="I69" s="3"/>
      <c r="J69" s="3"/>
      <c r="K69" s="2"/>
      <c r="L69" s="1"/>
      <c r="M69" s="1"/>
    </row>
    <row r="70" spans="1:13" s="5" customFormat="1" ht="35.450000000000003" customHeight="1" x14ac:dyDescent="0.2">
      <c r="A70" s="71" t="s">
        <v>21</v>
      </c>
      <c r="B70">
        <v>25</v>
      </c>
      <c r="C70">
        <v>795</v>
      </c>
      <c r="D70">
        <v>30</v>
      </c>
      <c r="E70">
        <v>721</v>
      </c>
      <c r="F70" s="4"/>
      <c r="G70" s="4"/>
      <c r="H70" s="4"/>
      <c r="I70" s="3"/>
      <c r="J70" s="3"/>
      <c r="K70" s="2"/>
      <c r="L70" s="1"/>
      <c r="M70" s="1"/>
    </row>
    <row r="71" spans="1:13" s="5" customFormat="1" ht="36.6" customHeight="1" x14ac:dyDescent="0.2">
      <c r="A71" s="71" t="s">
        <v>136</v>
      </c>
      <c r="B71">
        <v>5</v>
      </c>
      <c r="C71">
        <v>210</v>
      </c>
      <c r="D71">
        <v>4</v>
      </c>
      <c r="E71">
        <v>157</v>
      </c>
      <c r="F71" s="4"/>
      <c r="G71" s="4"/>
      <c r="H71" s="4"/>
      <c r="I71" s="3"/>
      <c r="J71" s="3"/>
      <c r="K71" s="2"/>
      <c r="L71" s="1"/>
      <c r="M71" s="1"/>
    </row>
    <row r="72" spans="1:13" s="5" customFormat="1" ht="36.6" customHeight="1" x14ac:dyDescent="0.2">
      <c r="A72" s="71" t="s">
        <v>42</v>
      </c>
      <c r="B72">
        <v>9</v>
      </c>
      <c r="C72">
        <v>330</v>
      </c>
      <c r="D72">
        <v>9</v>
      </c>
      <c r="E72">
        <v>267</v>
      </c>
      <c r="F72" s="4"/>
      <c r="G72" s="4"/>
      <c r="H72" s="4"/>
      <c r="I72" s="3"/>
      <c r="J72" s="3"/>
      <c r="K72" s="2"/>
      <c r="L72" s="1"/>
      <c r="M72" s="1"/>
    </row>
    <row r="73" spans="1:13" s="5" customFormat="1" ht="35.450000000000003" customHeight="1" x14ac:dyDescent="0.2">
      <c r="A73" s="71" t="s">
        <v>30</v>
      </c>
      <c r="B73">
        <v>4</v>
      </c>
      <c r="C73">
        <v>180</v>
      </c>
      <c r="D73">
        <v>5</v>
      </c>
      <c r="E73">
        <v>132</v>
      </c>
      <c r="F73" s="4"/>
      <c r="G73" s="4"/>
      <c r="H73" s="4"/>
      <c r="I73" s="3"/>
      <c r="J73" s="3"/>
      <c r="K73" s="2"/>
      <c r="L73" s="1"/>
      <c r="M73" s="1"/>
    </row>
    <row r="74" spans="1:13" s="5" customFormat="1" ht="35.450000000000003" customHeight="1" x14ac:dyDescent="0.2">
      <c r="A74" s="71" t="s">
        <v>211</v>
      </c>
      <c r="B74">
        <v>75</v>
      </c>
      <c r="C74">
        <v>2500</v>
      </c>
      <c r="D74">
        <v>84</v>
      </c>
      <c r="E74">
        <v>2179</v>
      </c>
      <c r="F74" s="4"/>
      <c r="G74" s="4"/>
      <c r="H74" s="4"/>
      <c r="I74" s="3"/>
      <c r="J74" s="3"/>
      <c r="K74" s="2"/>
      <c r="L74" s="1"/>
      <c r="M74" s="1"/>
    </row>
    <row r="75" spans="1:13" s="5" customFormat="1" ht="35.450000000000003" customHeight="1" x14ac:dyDescent="0.2">
      <c r="A75"/>
      <c r="B75"/>
      <c r="C75"/>
      <c r="D75"/>
      <c r="E75"/>
      <c r="F75" s="4"/>
      <c r="G75" s="4"/>
      <c r="H75" s="4"/>
      <c r="I75" s="3"/>
      <c r="J75" s="3"/>
      <c r="K75" s="2"/>
      <c r="L75" s="1"/>
      <c r="M75" s="1"/>
    </row>
    <row r="76" spans="1:13" s="5" customFormat="1" ht="35.450000000000003" customHeight="1" x14ac:dyDescent="0.2">
      <c r="A76"/>
      <c r="B76"/>
      <c r="C76"/>
      <c r="D76" s="4"/>
      <c r="E76" s="4"/>
      <c r="F76" s="4"/>
      <c r="G76" s="4"/>
      <c r="H76" s="4"/>
      <c r="I76" s="3"/>
      <c r="J76" s="3"/>
      <c r="K76" s="2"/>
      <c r="L76" s="1"/>
      <c r="M76" s="1"/>
    </row>
    <row r="77" spans="1:13" s="5" customFormat="1" ht="35.450000000000003" customHeight="1" x14ac:dyDescent="0.2">
      <c r="A77"/>
      <c r="B77"/>
      <c r="C77"/>
      <c r="D77" s="4"/>
      <c r="E77" s="4"/>
      <c r="F77" s="4"/>
      <c r="G77" s="4"/>
      <c r="H77" s="4"/>
      <c r="I77" s="3"/>
      <c r="J77" s="3"/>
      <c r="K77" s="2"/>
      <c r="L77" s="1"/>
      <c r="M77" s="1"/>
    </row>
    <row r="78" spans="1:13" s="5" customFormat="1" ht="35.450000000000003" customHeight="1" x14ac:dyDescent="0.2">
      <c r="A78"/>
      <c r="B78"/>
      <c r="C78"/>
      <c r="D78" s="4"/>
      <c r="E78" s="4"/>
      <c r="F78" s="4"/>
      <c r="G78" s="4"/>
      <c r="H78" s="4"/>
      <c r="I78" s="3"/>
      <c r="J78" s="3"/>
      <c r="K78" s="2"/>
      <c r="L78" s="1"/>
      <c r="M78" s="1"/>
    </row>
    <row r="79" spans="1:13" s="5" customFormat="1" ht="35.450000000000003" customHeight="1" x14ac:dyDescent="0.2">
      <c r="A79"/>
      <c r="B79"/>
      <c r="C79"/>
      <c r="D79" s="4"/>
      <c r="E79" s="4"/>
      <c r="F79" s="4"/>
      <c r="G79" s="4"/>
      <c r="H79" s="4"/>
      <c r="I79" s="3"/>
      <c r="J79" s="3"/>
      <c r="K79" s="2"/>
      <c r="L79" s="1"/>
      <c r="M79" s="1"/>
    </row>
    <row r="80" spans="1:13" s="5" customFormat="1" ht="35.450000000000003" customHeight="1" x14ac:dyDescent="0.2">
      <c r="A80"/>
      <c r="B80"/>
      <c r="C80"/>
      <c r="D80" s="4"/>
      <c r="E80" s="4"/>
      <c r="F80" s="4"/>
      <c r="G80" s="4"/>
      <c r="H80" s="4"/>
      <c r="I80" s="3"/>
      <c r="J80" s="3"/>
      <c r="K80" s="2"/>
      <c r="L80" s="1"/>
      <c r="M80" s="1"/>
    </row>
    <row r="81" spans="1:13" s="5" customFormat="1" x14ac:dyDescent="0.2">
      <c r="A81"/>
      <c r="B81"/>
      <c r="C81"/>
      <c r="D81" s="4"/>
      <c r="E81" s="4"/>
      <c r="F81" s="4"/>
      <c r="G81" s="4"/>
      <c r="H81" s="4"/>
      <c r="I81" s="3"/>
      <c r="J81" s="3"/>
      <c r="K81" s="2"/>
      <c r="L81" s="1"/>
      <c r="M81" s="1"/>
    </row>
    <row r="82" spans="1:13" s="5" customFormat="1" x14ac:dyDescent="0.2">
      <c r="A82"/>
      <c r="B82"/>
      <c r="C82"/>
      <c r="D82"/>
      <c r="E82"/>
      <c r="F82"/>
      <c r="G82"/>
      <c r="H82"/>
      <c r="I82"/>
      <c r="J82"/>
      <c r="K82"/>
      <c r="L82"/>
      <c r="M82"/>
    </row>
    <row r="83" spans="1:13" s="5" customFormat="1" ht="35.450000000000003" customHeight="1" x14ac:dyDescent="0.2">
      <c r="A83"/>
      <c r="B83"/>
      <c r="C83"/>
      <c r="D83" s="4"/>
      <c r="E83" s="4"/>
      <c r="F83" s="4"/>
      <c r="G83" s="4"/>
      <c r="H83" s="4"/>
      <c r="I83" s="3"/>
      <c r="J83" s="3"/>
      <c r="K83" s="2"/>
      <c r="L83" s="1"/>
      <c r="M83" s="1"/>
    </row>
    <row r="84" spans="1:13" s="5" customFormat="1" ht="35.450000000000003" customHeight="1" x14ac:dyDescent="0.2">
      <c r="A84"/>
      <c r="B84"/>
      <c r="C84"/>
      <c r="D84" s="4"/>
      <c r="E84" s="4"/>
      <c r="F84" s="4"/>
      <c r="G84" s="4"/>
      <c r="H84" s="4"/>
      <c r="I84" s="3"/>
      <c r="J84" s="3"/>
      <c r="K84" s="2"/>
      <c r="L84" s="1"/>
      <c r="M84" s="1"/>
    </row>
    <row r="85" spans="1:13" s="5" customFormat="1" ht="37.5" customHeight="1" x14ac:dyDescent="0.2">
      <c r="A85" s="4"/>
      <c r="B85" s="4"/>
      <c r="C85" s="4"/>
      <c r="D85" s="4"/>
      <c r="E85" s="4"/>
      <c r="F85" s="4"/>
      <c r="G85" s="4"/>
      <c r="H85" s="4"/>
      <c r="I85" s="3"/>
      <c r="J85" s="3"/>
      <c r="K85" s="2"/>
      <c r="L85" s="1"/>
      <c r="M85" s="1"/>
    </row>
    <row r="114" spans="1:20" s="4" customFormat="1" ht="30" customHeight="1" x14ac:dyDescent="0.2">
      <c r="I114" s="3"/>
      <c r="J114" s="3"/>
      <c r="K114" s="2"/>
      <c r="L114" s="1"/>
      <c r="M114" s="1"/>
      <c r="N114"/>
      <c r="O114"/>
      <c r="P114"/>
      <c r="Q114"/>
      <c r="R114"/>
      <c r="S114"/>
      <c r="T114"/>
    </row>
    <row r="115" spans="1:20" s="4" customFormat="1" ht="23.25" customHeight="1" x14ac:dyDescent="0.2">
      <c r="I115" s="3"/>
      <c r="J115" s="3"/>
      <c r="K115" s="2"/>
      <c r="L115" s="1"/>
      <c r="M115" s="1"/>
      <c r="N115"/>
      <c r="O115"/>
      <c r="P115"/>
      <c r="Q115"/>
      <c r="R115"/>
      <c r="S115"/>
      <c r="T115"/>
    </row>
    <row r="122" spans="1:20" s="5" customFormat="1" ht="12" customHeight="1" x14ac:dyDescent="0.2">
      <c r="A122" s="4"/>
      <c r="B122" s="4"/>
      <c r="C122" s="4"/>
      <c r="D122" s="4"/>
      <c r="E122" s="4"/>
      <c r="F122" s="4"/>
      <c r="G122" s="4"/>
      <c r="H122" s="4"/>
      <c r="I122" s="3"/>
      <c r="J122" s="3"/>
      <c r="K122" s="2"/>
      <c r="L122" s="1"/>
      <c r="M122" s="1"/>
    </row>
    <row r="126" spans="1:20" x14ac:dyDescent="0.2">
      <c r="Q126" s="42" t="e">
        <f>SUM(#REF!)</f>
        <v>#REF!</v>
      </c>
      <c r="R126" s="42" t="e">
        <f>SUM(#REF!)</f>
        <v>#REF!</v>
      </c>
      <c r="S126" s="42" t="e">
        <f>SUM(#REF!)</f>
        <v>#REF!</v>
      </c>
      <c r="T126" s="42" t="e">
        <f>SUM(#REF!)</f>
        <v>#REF!</v>
      </c>
    </row>
    <row r="127" spans="1:20" ht="35.25" customHeight="1" x14ac:dyDescent="0.2"/>
    <row r="128" spans="1:20" ht="36.75" customHeight="1" x14ac:dyDescent="0.2"/>
    <row r="129" spans="9:20" ht="33.75" customHeight="1" x14ac:dyDescent="0.2"/>
    <row r="130" spans="9:20" ht="26.25" customHeight="1" x14ac:dyDescent="0.2"/>
    <row r="131" spans="9:20" ht="27.75" customHeight="1" x14ac:dyDescent="0.2"/>
    <row r="132" spans="9:20" s="4" customFormat="1" ht="40.5" customHeight="1" x14ac:dyDescent="0.2">
      <c r="I132" s="3"/>
      <c r="J132" s="3"/>
      <c r="K132" s="2"/>
      <c r="L132" s="1"/>
      <c r="M132" s="1"/>
      <c r="N132"/>
      <c r="O132"/>
      <c r="P132"/>
      <c r="Q132"/>
      <c r="R132"/>
      <c r="S132"/>
      <c r="T132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87ADA-0A6A-4EC4-BAA2-A1E5FA829188}">
  <dimension ref="A1:T136"/>
  <sheetViews>
    <sheetView zoomScale="84" zoomScaleNormal="76" workbookViewId="0">
      <selection activeCell="G9" sqref="G9"/>
    </sheetView>
  </sheetViews>
  <sheetFormatPr baseColWidth="10" defaultColWidth="11.42578125" defaultRowHeight="12.75" x14ac:dyDescent="0.2"/>
  <cols>
    <col min="1" max="1" width="18.7109375" style="4" bestFit="1" customWidth="1"/>
    <col min="2" max="2" width="45.42578125" style="4" bestFit="1" customWidth="1"/>
    <col min="3" max="3" width="36.7109375" style="4" bestFit="1" customWidth="1"/>
    <col min="4" max="4" width="21.5703125" style="4" bestFit="1" customWidth="1"/>
    <col min="5" max="5" width="21.2851562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26"/>
      <c r="B1" s="128" t="s">
        <v>0</v>
      </c>
      <c r="C1" s="128"/>
      <c r="D1" s="128"/>
      <c r="E1" s="128"/>
      <c r="F1" s="128"/>
      <c r="G1" s="128"/>
      <c r="H1" s="128"/>
      <c r="I1" s="128"/>
      <c r="J1" s="128"/>
      <c r="K1" s="128"/>
      <c r="L1" s="130"/>
      <c r="M1" s="131"/>
    </row>
    <row r="2" spans="1:20" ht="20.25" customHeight="1" x14ac:dyDescent="0.2">
      <c r="A2" s="127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32"/>
      <c r="M2" s="133"/>
    </row>
    <row r="3" spans="1:20" ht="12.75" customHeight="1" x14ac:dyDescent="0.2">
      <c r="A3" s="134" t="s">
        <v>1</v>
      </c>
      <c r="B3" s="136" t="s">
        <v>2</v>
      </c>
      <c r="C3" s="136"/>
      <c r="D3" s="136"/>
      <c r="E3" s="136"/>
      <c r="F3" s="136"/>
      <c r="G3" s="136"/>
      <c r="H3" s="136"/>
      <c r="I3" s="136"/>
      <c r="J3" s="136"/>
      <c r="K3" s="136"/>
      <c r="L3" s="138" t="s">
        <v>3</v>
      </c>
      <c r="M3" s="139"/>
    </row>
    <row r="4" spans="1:20" ht="13.5" thickBot="1" x14ac:dyDescent="0.25">
      <c r="A4" s="135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22" t="s">
        <v>6</v>
      </c>
      <c r="C6" s="122"/>
      <c r="D6" s="122"/>
      <c r="E6" s="122"/>
      <c r="F6" s="122"/>
      <c r="G6" s="122"/>
      <c r="H6" s="123" t="s">
        <v>7</v>
      </c>
      <c r="I6" s="124"/>
      <c r="J6" s="124"/>
      <c r="K6" s="124"/>
      <c r="L6" s="125"/>
      <c r="M6" s="25"/>
    </row>
    <row r="7" spans="1:20" s="14" customFormat="1" ht="49.5" customHeight="1" x14ac:dyDescent="0.2">
      <c r="A7" s="18" cm="1">
        <f t="array" aca="1" ref="A7" ca="1">+A68+A1:L7+A7:L7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466</v>
      </c>
      <c r="B8" s="85" t="s">
        <v>36</v>
      </c>
      <c r="C8" s="85" t="s">
        <v>37</v>
      </c>
      <c r="D8" s="84">
        <v>1</v>
      </c>
      <c r="E8" s="49">
        <v>30</v>
      </c>
      <c r="F8" s="85">
        <v>45938</v>
      </c>
      <c r="G8" s="86">
        <v>0.375</v>
      </c>
      <c r="H8" s="85">
        <v>45936</v>
      </c>
      <c r="I8" s="86">
        <v>0.79166666666666663</v>
      </c>
      <c r="J8" s="87">
        <f>E8-L8</f>
        <v>0</v>
      </c>
      <c r="K8" s="8">
        <v>1</v>
      </c>
      <c r="L8" s="88">
        <v>30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">
      <c r="A9" s="23" t="s">
        <v>466</v>
      </c>
      <c r="B9" s="85" t="s">
        <v>30</v>
      </c>
      <c r="C9" s="85" t="s">
        <v>31</v>
      </c>
      <c r="D9" s="84">
        <v>1</v>
      </c>
      <c r="E9" s="49">
        <v>30</v>
      </c>
      <c r="F9" s="85">
        <v>45938</v>
      </c>
      <c r="G9" s="86">
        <v>0.375</v>
      </c>
      <c r="H9" s="85">
        <v>45936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467</v>
      </c>
      <c r="O9" s="5" t="s">
        <v>155</v>
      </c>
    </row>
    <row r="10" spans="1:20" s="5" customFormat="1" ht="39" customHeight="1" x14ac:dyDescent="0.2">
      <c r="A10" s="79" t="s">
        <v>397</v>
      </c>
      <c r="B10" s="53" t="s">
        <v>42</v>
      </c>
      <c r="C10" s="53" t="s">
        <v>43</v>
      </c>
      <c r="D10" s="84">
        <v>1</v>
      </c>
      <c r="E10" s="49">
        <v>30</v>
      </c>
      <c r="F10" s="80">
        <v>45938</v>
      </c>
      <c r="G10" s="81">
        <v>0.375</v>
      </c>
      <c r="H10" s="80">
        <v>45936</v>
      </c>
      <c r="I10" s="81">
        <v>0.54166666666666663</v>
      </c>
      <c r="J10" s="87">
        <f t="shared" ref="J10:J64" si="0">E10-L10</f>
        <v>0</v>
      </c>
      <c r="K10" s="53">
        <v>1</v>
      </c>
      <c r="L10" s="53">
        <v>30</v>
      </c>
      <c r="M10" s="79" t="s">
        <v>398</v>
      </c>
    </row>
    <row r="11" spans="1:20" s="5" customFormat="1" ht="43.5" customHeight="1" x14ac:dyDescent="0.2">
      <c r="A11" s="79" t="s">
        <v>399</v>
      </c>
      <c r="B11" s="53" t="s">
        <v>42</v>
      </c>
      <c r="C11" s="53" t="s">
        <v>43</v>
      </c>
      <c r="D11" s="84">
        <v>1</v>
      </c>
      <c r="E11" s="49">
        <v>30</v>
      </c>
      <c r="F11" s="80">
        <v>45938</v>
      </c>
      <c r="G11" s="81">
        <v>0.375</v>
      </c>
      <c r="H11" s="80">
        <v>45936</v>
      </c>
      <c r="I11" s="81">
        <v>0.5625</v>
      </c>
      <c r="J11" s="87">
        <f t="shared" si="0"/>
        <v>2</v>
      </c>
      <c r="K11" s="53">
        <v>1</v>
      </c>
      <c r="L11" s="53">
        <v>28</v>
      </c>
      <c r="M11" s="79" t="s">
        <v>400</v>
      </c>
    </row>
    <row r="12" spans="1:20" s="5" customFormat="1" ht="43.5" customHeight="1" x14ac:dyDescent="0.2">
      <c r="A12" s="80" t="s">
        <v>401</v>
      </c>
      <c r="B12" s="53" t="s">
        <v>42</v>
      </c>
      <c r="C12" s="53" t="s">
        <v>43</v>
      </c>
      <c r="D12" s="84">
        <v>1</v>
      </c>
      <c r="E12" s="49">
        <v>30</v>
      </c>
      <c r="F12" s="80">
        <v>45938</v>
      </c>
      <c r="G12" s="81">
        <v>0.375</v>
      </c>
      <c r="H12" s="80">
        <v>45936</v>
      </c>
      <c r="I12" s="81">
        <v>0.58333333333333337</v>
      </c>
      <c r="J12" s="87">
        <f t="shared" si="0"/>
        <v>0</v>
      </c>
      <c r="K12" s="53">
        <v>1</v>
      </c>
      <c r="L12" s="53">
        <v>30</v>
      </c>
      <c r="M12" s="79" t="s">
        <v>403</v>
      </c>
    </row>
    <row r="13" spans="1:20" s="5" customFormat="1" ht="47.25" customHeight="1" x14ac:dyDescent="0.2">
      <c r="A13" s="79" t="s">
        <v>402</v>
      </c>
      <c r="B13" s="53" t="s">
        <v>42</v>
      </c>
      <c r="C13" s="53" t="s">
        <v>43</v>
      </c>
      <c r="D13" s="84">
        <v>1</v>
      </c>
      <c r="E13" s="49">
        <v>30</v>
      </c>
      <c r="F13" s="80">
        <v>45938</v>
      </c>
      <c r="G13" s="81">
        <v>0.375</v>
      </c>
      <c r="H13" s="80">
        <v>45936</v>
      </c>
      <c r="I13" s="81">
        <v>0.60416666666666663</v>
      </c>
      <c r="J13" s="87">
        <f t="shared" si="0"/>
        <v>7</v>
      </c>
      <c r="K13" s="53">
        <v>2</v>
      </c>
      <c r="L13" s="53">
        <v>23</v>
      </c>
      <c r="M13" s="79" t="s">
        <v>404</v>
      </c>
    </row>
    <row r="14" spans="1:20" s="5" customFormat="1" ht="43.5" customHeight="1" x14ac:dyDescent="0.2">
      <c r="A14" s="79" t="s">
        <v>405</v>
      </c>
      <c r="B14" s="53" t="s">
        <v>42</v>
      </c>
      <c r="C14" s="53" t="s">
        <v>43</v>
      </c>
      <c r="D14" s="84">
        <v>1</v>
      </c>
      <c r="E14" s="49">
        <v>30</v>
      </c>
      <c r="F14" s="80">
        <v>45938</v>
      </c>
      <c r="G14" s="81">
        <v>0.375</v>
      </c>
      <c r="H14" s="80">
        <v>45937</v>
      </c>
      <c r="I14" s="81">
        <v>0.41666666666666669</v>
      </c>
      <c r="J14" s="87">
        <f t="shared" si="0"/>
        <v>-2</v>
      </c>
      <c r="K14" s="53">
        <v>2</v>
      </c>
      <c r="L14" s="53">
        <v>32</v>
      </c>
      <c r="M14" s="79" t="s">
        <v>407</v>
      </c>
    </row>
    <row r="15" spans="1:20" s="5" customFormat="1" ht="39.75" customHeight="1" x14ac:dyDescent="0.2">
      <c r="A15" s="79" t="s">
        <v>405</v>
      </c>
      <c r="B15" s="53" t="s">
        <v>30</v>
      </c>
      <c r="C15" s="53" t="s">
        <v>31</v>
      </c>
      <c r="D15" s="84">
        <v>1</v>
      </c>
      <c r="E15" s="49">
        <v>30</v>
      </c>
      <c r="F15" s="80">
        <v>45938</v>
      </c>
      <c r="G15" s="81">
        <v>0.375</v>
      </c>
      <c r="H15" s="80">
        <v>45937</v>
      </c>
      <c r="I15" s="81">
        <v>0.41666666666666669</v>
      </c>
      <c r="J15" s="87">
        <f t="shared" si="0"/>
        <v>0</v>
      </c>
      <c r="K15" s="53">
        <v>2</v>
      </c>
      <c r="L15" s="53">
        <v>30</v>
      </c>
      <c r="M15" s="53" t="s">
        <v>408</v>
      </c>
    </row>
    <row r="16" spans="1:20" s="5" customFormat="1" ht="38.450000000000003" customHeight="1" x14ac:dyDescent="0.2">
      <c r="A16" s="39" t="s">
        <v>406</v>
      </c>
      <c r="B16" s="53" t="s">
        <v>21</v>
      </c>
      <c r="C16" s="53" t="s">
        <v>22</v>
      </c>
      <c r="D16" s="84">
        <v>1</v>
      </c>
      <c r="E16" s="49">
        <v>30</v>
      </c>
      <c r="F16" s="80">
        <v>45938</v>
      </c>
      <c r="G16" s="81">
        <v>0.375</v>
      </c>
      <c r="H16" s="80">
        <v>45936</v>
      </c>
      <c r="I16" s="81">
        <v>0.5</v>
      </c>
      <c r="J16" s="87">
        <f t="shared" si="0"/>
        <v>6</v>
      </c>
      <c r="K16" s="53">
        <v>2</v>
      </c>
      <c r="L16" s="53">
        <v>24</v>
      </c>
      <c r="M16" s="53" t="s">
        <v>408</v>
      </c>
    </row>
    <row r="17" spans="1:13" s="5" customFormat="1" ht="30.75" customHeight="1" x14ac:dyDescent="0.2">
      <c r="A17" s="39" t="s">
        <v>406</v>
      </c>
      <c r="B17" s="53" t="s">
        <v>39</v>
      </c>
      <c r="C17" s="53" t="s">
        <v>40</v>
      </c>
      <c r="D17" s="84">
        <v>1</v>
      </c>
      <c r="E17" s="49">
        <v>30</v>
      </c>
      <c r="F17" s="80">
        <v>45938</v>
      </c>
      <c r="G17" s="81">
        <v>0.375</v>
      </c>
      <c r="H17" s="80">
        <v>45937</v>
      </c>
      <c r="I17" s="81">
        <v>0.41666666666666669</v>
      </c>
      <c r="J17" s="87">
        <f t="shared" si="0"/>
        <v>5</v>
      </c>
      <c r="K17" s="53">
        <v>2</v>
      </c>
      <c r="L17" s="53">
        <v>25</v>
      </c>
      <c r="M17" s="53" t="s">
        <v>408</v>
      </c>
    </row>
    <row r="18" spans="1:13" s="5" customFormat="1" ht="41.25" customHeight="1" x14ac:dyDescent="0.2">
      <c r="A18" s="39" t="s">
        <v>406</v>
      </c>
      <c r="B18" s="53" t="s">
        <v>36</v>
      </c>
      <c r="C18" s="53" t="s">
        <v>37</v>
      </c>
      <c r="D18" s="84">
        <v>2</v>
      </c>
      <c r="E18" s="49">
        <v>30</v>
      </c>
      <c r="F18" s="80">
        <v>45938</v>
      </c>
      <c r="G18" s="81">
        <v>0.375</v>
      </c>
      <c r="H18" s="80">
        <v>45937</v>
      </c>
      <c r="I18" s="81">
        <v>0.41666666666666669</v>
      </c>
      <c r="J18" s="87">
        <f t="shared" si="0"/>
        <v>5</v>
      </c>
      <c r="K18" s="53">
        <v>2</v>
      </c>
      <c r="L18" s="53">
        <v>25</v>
      </c>
      <c r="M18" s="53" t="s">
        <v>408</v>
      </c>
    </row>
    <row r="19" spans="1:13" s="5" customFormat="1" ht="38.25" customHeight="1" x14ac:dyDescent="0.2">
      <c r="A19" t="s">
        <v>406</v>
      </c>
      <c r="B19" s="53" t="s">
        <v>136</v>
      </c>
      <c r="C19" s="53" t="s">
        <v>34</v>
      </c>
      <c r="D19" s="84">
        <v>1</v>
      </c>
      <c r="E19" s="49">
        <v>30</v>
      </c>
      <c r="F19" s="80">
        <v>45938</v>
      </c>
      <c r="G19" s="81">
        <v>0.375</v>
      </c>
      <c r="H19" s="80">
        <v>45937</v>
      </c>
      <c r="I19" s="81">
        <v>0.41666666666666669</v>
      </c>
      <c r="J19" s="87">
        <f t="shared" si="0"/>
        <v>4</v>
      </c>
      <c r="K19" s="53">
        <v>2</v>
      </c>
      <c r="L19" s="53">
        <v>26</v>
      </c>
      <c r="M19" s="53" t="s">
        <v>408</v>
      </c>
    </row>
    <row r="20" spans="1:13" s="5" customFormat="1" ht="40.5" customHeight="1" x14ac:dyDescent="0.2">
      <c r="A20" s="79" t="s">
        <v>409</v>
      </c>
      <c r="B20" s="53" t="s">
        <v>30</v>
      </c>
      <c r="C20" s="53" t="s">
        <v>31</v>
      </c>
      <c r="D20" s="84">
        <v>2</v>
      </c>
      <c r="E20" s="49">
        <v>30</v>
      </c>
      <c r="F20" s="80">
        <v>45938</v>
      </c>
      <c r="G20" s="81">
        <v>0.375</v>
      </c>
      <c r="H20" s="80">
        <v>45937</v>
      </c>
      <c r="I20" s="81">
        <v>0.4375</v>
      </c>
      <c r="J20" s="87">
        <f t="shared" si="0"/>
        <v>4</v>
      </c>
      <c r="K20" s="53">
        <v>1</v>
      </c>
      <c r="L20" s="53">
        <v>26</v>
      </c>
      <c r="M20" s="79" t="s">
        <v>439</v>
      </c>
    </row>
    <row r="21" spans="1:13" s="5" customFormat="1" ht="41.25" customHeight="1" x14ac:dyDescent="0.2">
      <c r="A21" s="79" t="s">
        <v>410</v>
      </c>
      <c r="B21" s="53" t="s">
        <v>30</v>
      </c>
      <c r="C21" s="53" t="s">
        <v>31</v>
      </c>
      <c r="D21" s="84">
        <v>1</v>
      </c>
      <c r="E21" s="49">
        <v>30</v>
      </c>
      <c r="F21" s="80">
        <v>45938</v>
      </c>
      <c r="G21" s="81">
        <v>0.375</v>
      </c>
      <c r="H21" s="80">
        <v>45937</v>
      </c>
      <c r="I21" s="81">
        <v>0.45833333333333331</v>
      </c>
      <c r="J21" s="87">
        <f t="shared" si="0"/>
        <v>4</v>
      </c>
      <c r="K21" s="53">
        <v>2</v>
      </c>
      <c r="L21" s="53">
        <v>26</v>
      </c>
      <c r="M21" s="79" t="s">
        <v>440</v>
      </c>
    </row>
    <row r="22" spans="1:13" s="5" customFormat="1" ht="42.75" customHeight="1" x14ac:dyDescent="0.2">
      <c r="A22" s="79" t="s">
        <v>411</v>
      </c>
      <c r="B22" s="53" t="s">
        <v>30</v>
      </c>
      <c r="C22" s="53" t="s">
        <v>31</v>
      </c>
      <c r="D22" s="84">
        <v>1</v>
      </c>
      <c r="E22" s="49">
        <v>30</v>
      </c>
      <c r="F22" s="80">
        <v>45938</v>
      </c>
      <c r="G22" s="81">
        <v>0.375</v>
      </c>
      <c r="H22" s="80">
        <v>45937</v>
      </c>
      <c r="I22" s="81">
        <v>0.47916666666666669</v>
      </c>
      <c r="J22" s="87">
        <f t="shared" si="0"/>
        <v>0</v>
      </c>
      <c r="K22" s="53">
        <v>2</v>
      </c>
      <c r="L22" s="53">
        <v>30</v>
      </c>
      <c r="M22" s="79" t="s">
        <v>441</v>
      </c>
    </row>
    <row r="23" spans="1:13" s="5" customFormat="1" ht="40.5" customHeight="1" x14ac:dyDescent="0.2">
      <c r="A23" s="79" t="s">
        <v>412</v>
      </c>
      <c r="B23" s="53" t="s">
        <v>36</v>
      </c>
      <c r="C23" s="53" t="s">
        <v>37</v>
      </c>
      <c r="D23" s="84">
        <v>2</v>
      </c>
      <c r="E23" s="49">
        <v>30</v>
      </c>
      <c r="F23" s="80">
        <v>45938</v>
      </c>
      <c r="G23" s="81">
        <v>0.375</v>
      </c>
      <c r="H23" s="80">
        <v>45937</v>
      </c>
      <c r="I23" s="81">
        <v>0.45833333333333331</v>
      </c>
      <c r="J23" s="87">
        <f t="shared" si="0"/>
        <v>4</v>
      </c>
      <c r="K23" s="53">
        <v>1</v>
      </c>
      <c r="L23" s="53">
        <v>26</v>
      </c>
      <c r="M23" s="79" t="s">
        <v>442</v>
      </c>
    </row>
    <row r="24" spans="1:13" s="5" customFormat="1" ht="41.25" customHeight="1" x14ac:dyDescent="0.2">
      <c r="A24" s="79" t="s">
        <v>413</v>
      </c>
      <c r="B24" s="53" t="s">
        <v>36</v>
      </c>
      <c r="C24" s="53" t="s">
        <v>37</v>
      </c>
      <c r="D24" s="84">
        <v>1</v>
      </c>
      <c r="E24" s="49">
        <v>30</v>
      </c>
      <c r="F24" s="80">
        <v>45938</v>
      </c>
      <c r="G24" s="81">
        <v>0.375</v>
      </c>
      <c r="H24" s="80">
        <v>45937</v>
      </c>
      <c r="I24" s="81">
        <v>0.47916666666666669</v>
      </c>
      <c r="J24" s="87">
        <f t="shared" si="0"/>
        <v>4</v>
      </c>
      <c r="K24" s="53">
        <v>1</v>
      </c>
      <c r="L24" s="53">
        <v>26</v>
      </c>
      <c r="M24" s="79" t="s">
        <v>443</v>
      </c>
    </row>
    <row r="25" spans="1:13" s="5" customFormat="1" ht="41.25" customHeight="1" x14ac:dyDescent="0.2">
      <c r="A25" s="79" t="s">
        <v>414</v>
      </c>
      <c r="B25" s="53" t="s">
        <v>36</v>
      </c>
      <c r="C25" s="53" t="s">
        <v>37</v>
      </c>
      <c r="D25" s="84">
        <v>1</v>
      </c>
      <c r="E25" s="49">
        <v>30</v>
      </c>
      <c r="F25" s="80">
        <v>45938</v>
      </c>
      <c r="G25" s="81">
        <v>0.375</v>
      </c>
      <c r="H25" s="80">
        <v>45937</v>
      </c>
      <c r="I25" s="81">
        <v>0.5</v>
      </c>
      <c r="J25" s="87">
        <f t="shared" si="0"/>
        <v>4</v>
      </c>
      <c r="K25" s="53">
        <v>1</v>
      </c>
      <c r="L25" s="53">
        <v>26</v>
      </c>
      <c r="M25" s="79" t="s">
        <v>444</v>
      </c>
    </row>
    <row r="26" spans="1:13" s="5" customFormat="1" ht="41.25" customHeight="1" x14ac:dyDescent="0.2">
      <c r="A26" s="79" t="s">
        <v>415</v>
      </c>
      <c r="B26" s="53" t="s">
        <v>136</v>
      </c>
      <c r="C26" s="53" t="s">
        <v>34</v>
      </c>
      <c r="D26" s="84">
        <v>1</v>
      </c>
      <c r="E26" s="49">
        <v>30</v>
      </c>
      <c r="F26" s="80">
        <v>45938</v>
      </c>
      <c r="G26" s="81">
        <v>0.375</v>
      </c>
      <c r="H26" s="80">
        <v>45937</v>
      </c>
      <c r="I26" s="81">
        <v>0.33333333333333331</v>
      </c>
      <c r="J26" s="87">
        <f t="shared" si="0"/>
        <v>4</v>
      </c>
      <c r="K26" s="53">
        <v>1</v>
      </c>
      <c r="L26" s="53">
        <v>26</v>
      </c>
      <c r="M26" s="79" t="s">
        <v>445</v>
      </c>
    </row>
    <row r="27" spans="1:13" s="5" customFormat="1" ht="42.75" customHeight="1" x14ac:dyDescent="0.2">
      <c r="A27" s="79" t="s">
        <v>416</v>
      </c>
      <c r="B27" s="53" t="s">
        <v>136</v>
      </c>
      <c r="C27" s="53" t="s">
        <v>34</v>
      </c>
      <c r="D27" s="84">
        <v>1</v>
      </c>
      <c r="E27" s="49">
        <v>30</v>
      </c>
      <c r="F27" s="80">
        <v>45938</v>
      </c>
      <c r="G27" s="81">
        <v>0.375</v>
      </c>
      <c r="H27" s="80">
        <v>45937</v>
      </c>
      <c r="I27" s="81">
        <v>0.35416666666666669</v>
      </c>
      <c r="J27" s="87">
        <f t="shared" si="0"/>
        <v>4</v>
      </c>
      <c r="K27" s="53">
        <v>1</v>
      </c>
      <c r="L27" s="53">
        <v>26</v>
      </c>
      <c r="M27" s="79" t="s">
        <v>446</v>
      </c>
    </row>
    <row r="28" spans="1:13" s="5" customFormat="1" ht="48.75" customHeight="1" x14ac:dyDescent="0.2">
      <c r="A28" s="79" t="s">
        <v>417</v>
      </c>
      <c r="B28" s="53" t="s">
        <v>21</v>
      </c>
      <c r="C28" s="53" t="s">
        <v>22</v>
      </c>
      <c r="D28" s="84">
        <v>1</v>
      </c>
      <c r="E28" s="49">
        <v>30</v>
      </c>
      <c r="F28" s="80">
        <v>45938</v>
      </c>
      <c r="G28" s="81">
        <v>0.375</v>
      </c>
      <c r="H28" s="80">
        <v>45936</v>
      </c>
      <c r="I28" s="81">
        <v>0.52083333333333337</v>
      </c>
      <c r="J28" s="87">
        <f t="shared" si="0"/>
        <v>0</v>
      </c>
      <c r="K28" s="53">
        <v>1</v>
      </c>
      <c r="L28" s="53">
        <v>30</v>
      </c>
      <c r="M28" s="79" t="s">
        <v>447</v>
      </c>
    </row>
    <row r="29" spans="1:13" s="5" customFormat="1" ht="36.75" customHeight="1" x14ac:dyDescent="0.2">
      <c r="A29" s="79" t="s">
        <v>418</v>
      </c>
      <c r="B29" s="53" t="s">
        <v>39</v>
      </c>
      <c r="C29" s="53" t="s">
        <v>40</v>
      </c>
      <c r="D29" s="84">
        <v>1</v>
      </c>
      <c r="E29" s="49">
        <v>30</v>
      </c>
      <c r="F29" s="80">
        <v>45938</v>
      </c>
      <c r="G29" s="81">
        <v>0.375</v>
      </c>
      <c r="H29" s="80">
        <v>45937</v>
      </c>
      <c r="I29" s="81">
        <v>0.45833333333333331</v>
      </c>
      <c r="J29" s="87">
        <f t="shared" si="0"/>
        <v>0</v>
      </c>
      <c r="K29" s="53">
        <v>1</v>
      </c>
      <c r="L29" s="53">
        <v>30</v>
      </c>
      <c r="M29" s="79" t="s">
        <v>448</v>
      </c>
    </row>
    <row r="30" spans="1:13" s="5" customFormat="1" ht="37.5" customHeight="1" x14ac:dyDescent="0.2">
      <c r="A30" s="79" t="s">
        <v>419</v>
      </c>
      <c r="B30" s="53" t="s">
        <v>39</v>
      </c>
      <c r="C30" s="53" t="s">
        <v>40</v>
      </c>
      <c r="D30" s="84">
        <v>1</v>
      </c>
      <c r="E30" s="49">
        <v>30</v>
      </c>
      <c r="F30" s="80">
        <v>45938</v>
      </c>
      <c r="G30" s="81">
        <v>0.375</v>
      </c>
      <c r="H30" s="80">
        <v>45937</v>
      </c>
      <c r="I30" s="81">
        <v>0.47916666666666669</v>
      </c>
      <c r="J30" s="87">
        <f t="shared" si="0"/>
        <v>0</v>
      </c>
      <c r="K30" s="53">
        <v>1</v>
      </c>
      <c r="L30" s="53">
        <v>30</v>
      </c>
      <c r="M30" s="79" t="s">
        <v>449</v>
      </c>
    </row>
    <row r="31" spans="1:13" s="5" customFormat="1" ht="38.25" customHeight="1" x14ac:dyDescent="0.2">
      <c r="A31" s="79" t="s">
        <v>420</v>
      </c>
      <c r="B31" s="53" t="s">
        <v>136</v>
      </c>
      <c r="C31" s="53" t="s">
        <v>34</v>
      </c>
      <c r="D31" s="84">
        <v>1</v>
      </c>
      <c r="E31" s="49">
        <v>30</v>
      </c>
      <c r="F31" s="80">
        <v>45938</v>
      </c>
      <c r="G31" s="81">
        <v>0.375</v>
      </c>
      <c r="H31" s="80">
        <v>45937</v>
      </c>
      <c r="I31" s="81">
        <v>0.375</v>
      </c>
      <c r="J31" s="87">
        <f t="shared" si="0"/>
        <v>0</v>
      </c>
      <c r="K31" s="53">
        <v>1</v>
      </c>
      <c r="L31" s="53">
        <v>30</v>
      </c>
      <c r="M31" s="79" t="s">
        <v>450</v>
      </c>
    </row>
    <row r="32" spans="1:13" s="5" customFormat="1" ht="38.25" customHeight="1" x14ac:dyDescent="0.2">
      <c r="A32" s="79" t="s">
        <v>421</v>
      </c>
      <c r="B32" s="53" t="s">
        <v>21</v>
      </c>
      <c r="C32" s="53" t="s">
        <v>22</v>
      </c>
      <c r="D32" s="84">
        <v>1</v>
      </c>
      <c r="E32" s="49">
        <v>30</v>
      </c>
      <c r="F32" s="80">
        <v>45938</v>
      </c>
      <c r="G32" s="81">
        <v>0.375</v>
      </c>
      <c r="H32" s="80">
        <v>45936</v>
      </c>
      <c r="I32" s="81">
        <v>0.54166666666666663</v>
      </c>
      <c r="J32" s="87">
        <f t="shared" si="0"/>
        <v>0</v>
      </c>
      <c r="K32" s="53">
        <v>1</v>
      </c>
      <c r="L32" s="53">
        <v>30</v>
      </c>
      <c r="M32" s="79" t="s">
        <v>451</v>
      </c>
    </row>
    <row r="33" spans="1:13" s="5" customFormat="1" ht="38.25" customHeight="1" x14ac:dyDescent="0.2">
      <c r="A33" s="79" t="s">
        <v>422</v>
      </c>
      <c r="B33" s="53" t="s">
        <v>42</v>
      </c>
      <c r="C33" s="53" t="s">
        <v>43</v>
      </c>
      <c r="D33" s="84">
        <v>1</v>
      </c>
      <c r="E33" s="49">
        <v>30</v>
      </c>
      <c r="F33" s="80">
        <v>45938</v>
      </c>
      <c r="G33" s="81">
        <v>0.375</v>
      </c>
      <c r="H33" s="80">
        <v>45937</v>
      </c>
      <c r="I33" s="81">
        <v>0.45833333333333331</v>
      </c>
      <c r="J33" s="87">
        <f t="shared" si="0"/>
        <v>0</v>
      </c>
      <c r="K33" s="53">
        <v>1</v>
      </c>
      <c r="L33" s="53">
        <v>30</v>
      </c>
      <c r="M33" s="79" t="s">
        <v>452</v>
      </c>
    </row>
    <row r="34" spans="1:13" s="5" customFormat="1" ht="44.25" customHeight="1" x14ac:dyDescent="0.2">
      <c r="A34" s="79" t="s">
        <v>423</v>
      </c>
      <c r="B34" s="53" t="s">
        <v>465</v>
      </c>
      <c r="C34" s="53" t="s">
        <v>43</v>
      </c>
      <c r="D34" s="84">
        <v>1</v>
      </c>
      <c r="E34" s="49">
        <v>30</v>
      </c>
      <c r="F34" s="80">
        <v>45938</v>
      </c>
      <c r="G34" s="81">
        <v>0.375</v>
      </c>
      <c r="H34" s="80">
        <v>45937</v>
      </c>
      <c r="I34" s="81">
        <v>0.47916666666666669</v>
      </c>
      <c r="J34" s="87">
        <f t="shared" si="0"/>
        <v>0</v>
      </c>
      <c r="K34" s="53">
        <v>1</v>
      </c>
      <c r="L34" s="53">
        <v>30</v>
      </c>
      <c r="M34" s="79" t="s">
        <v>453</v>
      </c>
    </row>
    <row r="35" spans="1:13" s="5" customFormat="1" ht="55.5" customHeight="1" x14ac:dyDescent="0.2">
      <c r="A35" s="79" t="s">
        <v>424</v>
      </c>
      <c r="B35" s="53" t="s">
        <v>42</v>
      </c>
      <c r="C35" s="53" t="s">
        <v>43</v>
      </c>
      <c r="D35" s="84">
        <v>1</v>
      </c>
      <c r="E35" s="49">
        <v>30</v>
      </c>
      <c r="F35" s="80">
        <v>45938</v>
      </c>
      <c r="G35" s="81">
        <v>0.375</v>
      </c>
      <c r="H35" s="80">
        <v>45937</v>
      </c>
      <c r="I35" s="81">
        <v>0.5</v>
      </c>
      <c r="J35" s="87">
        <f t="shared" si="0"/>
        <v>0</v>
      </c>
      <c r="K35" s="53">
        <v>1</v>
      </c>
      <c r="L35" s="53">
        <v>30</v>
      </c>
      <c r="M35" s="79" t="s">
        <v>454</v>
      </c>
    </row>
    <row r="36" spans="1:13" s="5" customFormat="1" ht="39" customHeight="1" x14ac:dyDescent="0.2">
      <c r="A36" s="79" t="s">
        <v>425</v>
      </c>
      <c r="B36" s="53" t="s">
        <v>21</v>
      </c>
      <c r="C36" s="53" t="s">
        <v>22</v>
      </c>
      <c r="D36" s="84">
        <v>1</v>
      </c>
      <c r="E36" s="49">
        <v>30</v>
      </c>
      <c r="F36" s="80">
        <v>45938</v>
      </c>
      <c r="G36" s="81">
        <v>0.375</v>
      </c>
      <c r="H36" s="80">
        <v>45936</v>
      </c>
      <c r="I36" s="81">
        <v>0.5625</v>
      </c>
      <c r="J36" s="87">
        <f t="shared" si="0"/>
        <v>0</v>
      </c>
      <c r="K36" s="53">
        <v>1</v>
      </c>
      <c r="L36" s="53">
        <v>30</v>
      </c>
      <c r="M36" s="79" t="s">
        <v>455</v>
      </c>
    </row>
    <row r="37" spans="1:13" s="5" customFormat="1" ht="42" customHeight="1" x14ac:dyDescent="0.2">
      <c r="A37" s="79" t="s">
        <v>426</v>
      </c>
      <c r="B37" s="53" t="s">
        <v>39</v>
      </c>
      <c r="C37" s="53" t="s">
        <v>40</v>
      </c>
      <c r="D37" s="84">
        <v>1</v>
      </c>
      <c r="E37" s="49">
        <v>30</v>
      </c>
      <c r="F37" s="80">
        <v>45938</v>
      </c>
      <c r="G37" s="81">
        <v>0.375</v>
      </c>
      <c r="H37" s="80">
        <v>45937</v>
      </c>
      <c r="I37" s="81">
        <v>0.5</v>
      </c>
      <c r="J37" s="87">
        <f t="shared" si="0"/>
        <v>0</v>
      </c>
      <c r="K37" s="53">
        <v>1</v>
      </c>
      <c r="L37" s="53">
        <v>30</v>
      </c>
      <c r="M37" s="79" t="s">
        <v>456</v>
      </c>
    </row>
    <row r="38" spans="1:13" s="5" customFormat="1" ht="47.25" customHeight="1" x14ac:dyDescent="0.2">
      <c r="A38" s="79" t="s">
        <v>427</v>
      </c>
      <c r="B38" s="53" t="s">
        <v>21</v>
      </c>
      <c r="C38" s="53" t="s">
        <v>22</v>
      </c>
      <c r="D38" s="84">
        <v>1</v>
      </c>
      <c r="E38" s="49">
        <v>30</v>
      </c>
      <c r="F38" s="80">
        <v>45938</v>
      </c>
      <c r="G38" s="81">
        <v>0.375</v>
      </c>
      <c r="H38" s="80">
        <v>45936</v>
      </c>
      <c r="I38" s="81">
        <v>0.58333333333333337</v>
      </c>
      <c r="J38" s="87">
        <f t="shared" si="0"/>
        <v>0</v>
      </c>
      <c r="K38" s="53">
        <v>1</v>
      </c>
      <c r="L38" s="53">
        <v>30</v>
      </c>
      <c r="M38" s="79" t="s">
        <v>457</v>
      </c>
    </row>
    <row r="39" spans="1:13" s="5" customFormat="1" ht="39.75" customHeight="1" x14ac:dyDescent="0.2">
      <c r="A39" s="79" t="s">
        <v>428</v>
      </c>
      <c r="B39" s="53" t="s">
        <v>36</v>
      </c>
      <c r="C39" s="53" t="s">
        <v>37</v>
      </c>
      <c r="D39" s="84">
        <v>1</v>
      </c>
      <c r="E39" s="49">
        <v>30</v>
      </c>
      <c r="F39" s="80">
        <v>45938</v>
      </c>
      <c r="G39" s="81">
        <v>0.375</v>
      </c>
      <c r="H39" s="80">
        <v>45937</v>
      </c>
      <c r="I39" s="81">
        <v>0.5</v>
      </c>
      <c r="J39" s="87">
        <f t="shared" si="0"/>
        <v>0</v>
      </c>
      <c r="K39" s="53">
        <v>1</v>
      </c>
      <c r="L39" s="53">
        <v>30</v>
      </c>
      <c r="M39" s="79" t="s">
        <v>53</v>
      </c>
    </row>
    <row r="40" spans="1:13" s="5" customFormat="1" ht="47.25" customHeight="1" x14ac:dyDescent="0.2">
      <c r="A40" s="79" t="s">
        <v>429</v>
      </c>
      <c r="B40" s="53" t="s">
        <v>39</v>
      </c>
      <c r="C40" s="53" t="s">
        <v>40</v>
      </c>
      <c r="D40" s="84">
        <v>1</v>
      </c>
      <c r="E40" s="49">
        <v>30</v>
      </c>
      <c r="F40" s="80">
        <v>45938</v>
      </c>
      <c r="G40" s="81">
        <v>0.375</v>
      </c>
      <c r="H40" s="80">
        <v>45937</v>
      </c>
      <c r="I40" s="81">
        <v>0.52083333333333337</v>
      </c>
      <c r="J40" s="87">
        <f t="shared" si="0"/>
        <v>0</v>
      </c>
      <c r="K40" s="53">
        <v>1</v>
      </c>
      <c r="L40" s="53">
        <v>30</v>
      </c>
      <c r="M40" s="79" t="s">
        <v>53</v>
      </c>
    </row>
    <row r="41" spans="1:13" s="5" customFormat="1" ht="39" customHeight="1" x14ac:dyDescent="0.2">
      <c r="A41" s="79" t="s">
        <v>430</v>
      </c>
      <c r="B41" s="53" t="s">
        <v>42</v>
      </c>
      <c r="C41" s="53" t="s">
        <v>43</v>
      </c>
      <c r="D41" s="84">
        <v>1</v>
      </c>
      <c r="E41" s="49">
        <v>30</v>
      </c>
      <c r="F41" s="80">
        <v>45938</v>
      </c>
      <c r="G41" s="81">
        <v>0.375</v>
      </c>
      <c r="H41" s="80">
        <v>45937</v>
      </c>
      <c r="I41" s="81">
        <v>0.52083333333333337</v>
      </c>
      <c r="J41" s="87">
        <f t="shared" si="0"/>
        <v>0</v>
      </c>
      <c r="K41" s="53">
        <v>1</v>
      </c>
      <c r="L41" s="53">
        <v>30</v>
      </c>
      <c r="M41" s="79" t="s">
        <v>460</v>
      </c>
    </row>
    <row r="42" spans="1:13" s="5" customFormat="1" ht="38.25" customHeight="1" x14ac:dyDescent="0.2">
      <c r="A42" s="79" t="s">
        <v>431</v>
      </c>
      <c r="B42" s="53" t="s">
        <v>30</v>
      </c>
      <c r="C42" s="53" t="s">
        <v>31</v>
      </c>
      <c r="D42" s="84">
        <v>1</v>
      </c>
      <c r="E42" s="49">
        <v>30</v>
      </c>
      <c r="F42" s="80">
        <v>45938</v>
      </c>
      <c r="G42" s="81">
        <v>0.375</v>
      </c>
      <c r="H42" s="80">
        <v>45937</v>
      </c>
      <c r="I42" s="81">
        <v>0.5</v>
      </c>
      <c r="J42" s="87">
        <f t="shared" si="0"/>
        <v>0</v>
      </c>
      <c r="K42" s="53">
        <v>1</v>
      </c>
      <c r="L42" s="53">
        <v>30</v>
      </c>
      <c r="M42" s="79" t="s">
        <v>458</v>
      </c>
    </row>
    <row r="43" spans="1:13" s="5" customFormat="1" ht="38.25" customHeight="1" x14ac:dyDescent="0.2">
      <c r="A43" s="79" t="s">
        <v>432</v>
      </c>
      <c r="B43" s="53" t="s">
        <v>136</v>
      </c>
      <c r="C43" s="53" t="s">
        <v>34</v>
      </c>
      <c r="D43" s="84">
        <v>1</v>
      </c>
      <c r="E43" s="49">
        <v>30</v>
      </c>
      <c r="F43" s="80">
        <v>45938</v>
      </c>
      <c r="G43" s="81">
        <v>0.375</v>
      </c>
      <c r="H43" s="80">
        <v>45937</v>
      </c>
      <c r="I43" s="81">
        <v>0.39583333333333331</v>
      </c>
      <c r="J43" s="87">
        <f t="shared" si="0"/>
        <v>0</v>
      </c>
      <c r="K43" s="53">
        <v>1</v>
      </c>
      <c r="L43" s="53">
        <v>30</v>
      </c>
      <c r="M43" s="79" t="s">
        <v>459</v>
      </c>
    </row>
    <row r="44" spans="1:13" s="5" customFormat="1" ht="42" customHeight="1" x14ac:dyDescent="0.2">
      <c r="A44" s="79" t="s">
        <v>433</v>
      </c>
      <c r="B44" s="53" t="s">
        <v>21</v>
      </c>
      <c r="C44" s="53" t="s">
        <v>22</v>
      </c>
      <c r="D44" s="84">
        <v>1</v>
      </c>
      <c r="E44" s="49">
        <v>30</v>
      </c>
      <c r="F44" s="80">
        <v>45938</v>
      </c>
      <c r="G44" s="81">
        <v>0.375</v>
      </c>
      <c r="H44" s="80">
        <v>45936</v>
      </c>
      <c r="I44" s="81">
        <v>0.60416666666666663</v>
      </c>
      <c r="J44" s="87">
        <f t="shared" si="0"/>
        <v>0</v>
      </c>
      <c r="K44" s="53">
        <v>1</v>
      </c>
      <c r="L44" s="53">
        <v>30</v>
      </c>
      <c r="M44" s="79" t="s">
        <v>464</v>
      </c>
    </row>
    <row r="45" spans="1:13" s="5" customFormat="1" ht="32.450000000000003" customHeight="1" x14ac:dyDescent="0.2">
      <c r="A45" s="79" t="s">
        <v>433</v>
      </c>
      <c r="B45" s="53" t="s">
        <v>30</v>
      </c>
      <c r="C45" s="53" t="s">
        <v>31</v>
      </c>
      <c r="D45" s="84">
        <v>1</v>
      </c>
      <c r="E45" s="49">
        <v>30</v>
      </c>
      <c r="F45" s="80">
        <v>45938</v>
      </c>
      <c r="G45" s="81">
        <v>0.375</v>
      </c>
      <c r="H45" s="80">
        <v>45937</v>
      </c>
      <c r="I45" s="81">
        <v>0.52083333333333337</v>
      </c>
      <c r="J45" s="87">
        <f t="shared" si="0"/>
        <v>0</v>
      </c>
      <c r="K45" s="53">
        <v>1</v>
      </c>
      <c r="L45" s="53">
        <v>30</v>
      </c>
      <c r="M45" s="79" t="s">
        <v>464</v>
      </c>
    </row>
    <row r="46" spans="1:13" ht="35.25" customHeight="1" x14ac:dyDescent="0.2">
      <c r="A46" s="79" t="s">
        <v>433</v>
      </c>
      <c r="B46" s="53" t="s">
        <v>136</v>
      </c>
      <c r="C46" s="53" t="s">
        <v>34</v>
      </c>
      <c r="D46" s="84">
        <v>1</v>
      </c>
      <c r="E46" s="49">
        <v>30</v>
      </c>
      <c r="F46" s="80">
        <v>45938</v>
      </c>
      <c r="G46" s="81">
        <v>0.375</v>
      </c>
      <c r="H46" s="80">
        <v>45937</v>
      </c>
      <c r="I46" s="81">
        <v>0.41666666666666669</v>
      </c>
      <c r="J46" s="87">
        <f t="shared" si="0"/>
        <v>0</v>
      </c>
      <c r="K46" s="53">
        <v>1</v>
      </c>
      <c r="L46" s="53">
        <v>30</v>
      </c>
      <c r="M46" s="79" t="s">
        <v>464</v>
      </c>
    </row>
    <row r="47" spans="1:13" s="5" customFormat="1" ht="47.1" customHeight="1" x14ac:dyDescent="0.2">
      <c r="A47" s="79" t="s">
        <v>433</v>
      </c>
      <c r="B47" s="53" t="s">
        <v>42</v>
      </c>
      <c r="C47" s="53" t="s">
        <v>43</v>
      </c>
      <c r="D47" s="84">
        <v>1</v>
      </c>
      <c r="E47" s="49">
        <v>30</v>
      </c>
      <c r="F47" s="80">
        <v>45938</v>
      </c>
      <c r="G47" s="81">
        <v>0.375</v>
      </c>
      <c r="H47" s="80">
        <v>45937</v>
      </c>
      <c r="I47" s="81">
        <v>0.54166666666666663</v>
      </c>
      <c r="J47" s="87">
        <f t="shared" si="0"/>
        <v>0</v>
      </c>
      <c r="K47" s="53">
        <v>1</v>
      </c>
      <c r="L47" s="53">
        <v>30</v>
      </c>
      <c r="M47" s="79" t="s">
        <v>464</v>
      </c>
    </row>
    <row r="48" spans="1:13" s="5" customFormat="1" ht="43.5" customHeight="1" x14ac:dyDescent="0.2">
      <c r="A48" s="79" t="s">
        <v>433</v>
      </c>
      <c r="B48" s="53" t="s">
        <v>39</v>
      </c>
      <c r="C48" s="53" t="s">
        <v>40</v>
      </c>
      <c r="D48" s="84">
        <v>1</v>
      </c>
      <c r="E48" s="49">
        <v>30</v>
      </c>
      <c r="F48" s="80">
        <v>45938</v>
      </c>
      <c r="G48" s="81">
        <v>0.375</v>
      </c>
      <c r="H48" s="80">
        <v>45937</v>
      </c>
      <c r="I48" s="81">
        <v>0.54166666666666663</v>
      </c>
      <c r="J48" s="87">
        <f t="shared" si="0"/>
        <v>0</v>
      </c>
      <c r="K48" s="53">
        <v>1</v>
      </c>
      <c r="L48" s="53">
        <v>30</v>
      </c>
      <c r="M48" s="79" t="s">
        <v>464</v>
      </c>
    </row>
    <row r="49" spans="1:13" s="5" customFormat="1" ht="43.5" customHeight="1" x14ac:dyDescent="0.2">
      <c r="A49" s="79" t="s">
        <v>433</v>
      </c>
      <c r="B49" s="53" t="s">
        <v>36</v>
      </c>
      <c r="C49" s="53" t="s">
        <v>37</v>
      </c>
      <c r="D49" s="84">
        <v>1</v>
      </c>
      <c r="E49" s="49">
        <v>30</v>
      </c>
      <c r="F49" s="80">
        <v>45938</v>
      </c>
      <c r="G49" s="81">
        <v>0.375</v>
      </c>
      <c r="H49" s="80">
        <v>45937</v>
      </c>
      <c r="I49" s="81">
        <v>0.52083333333333337</v>
      </c>
      <c r="J49" s="87">
        <f t="shared" si="0"/>
        <v>0</v>
      </c>
      <c r="K49" s="53">
        <v>1</v>
      </c>
      <c r="L49" s="53">
        <v>30</v>
      </c>
      <c r="M49" s="79" t="s">
        <v>464</v>
      </c>
    </row>
    <row r="50" spans="1:13" s="5" customFormat="1" ht="61.5" customHeight="1" x14ac:dyDescent="0.2">
      <c r="A50" s="79" t="s">
        <v>434</v>
      </c>
      <c r="B50" s="53" t="s">
        <v>21</v>
      </c>
      <c r="C50" s="53" t="s">
        <v>22</v>
      </c>
      <c r="D50" s="84">
        <v>1</v>
      </c>
      <c r="E50" s="49">
        <v>30</v>
      </c>
      <c r="F50" s="80">
        <v>45938</v>
      </c>
      <c r="G50" s="81">
        <v>0.375</v>
      </c>
      <c r="H50" s="80">
        <v>45937</v>
      </c>
      <c r="I50" s="81">
        <v>0.625</v>
      </c>
      <c r="J50" s="87">
        <f t="shared" si="0"/>
        <v>0</v>
      </c>
      <c r="K50" s="53">
        <v>1</v>
      </c>
      <c r="L50" s="53">
        <v>30</v>
      </c>
      <c r="M50" s="79" t="s">
        <v>461</v>
      </c>
    </row>
    <row r="51" spans="1:13" s="5" customFormat="1" ht="56.25" customHeight="1" x14ac:dyDescent="0.2">
      <c r="A51" s="79" t="s">
        <v>434</v>
      </c>
      <c r="B51" s="53" t="s">
        <v>30</v>
      </c>
      <c r="C51" s="53" t="s">
        <v>31</v>
      </c>
      <c r="D51" s="84">
        <v>1</v>
      </c>
      <c r="E51" s="49">
        <v>30</v>
      </c>
      <c r="F51" s="80">
        <v>45938</v>
      </c>
      <c r="G51" s="81">
        <v>0.375</v>
      </c>
      <c r="H51" s="80">
        <v>45937</v>
      </c>
      <c r="I51" s="81">
        <v>0.54166666666666663</v>
      </c>
      <c r="J51" s="87">
        <f t="shared" si="0"/>
        <v>0</v>
      </c>
      <c r="K51" s="53">
        <v>1</v>
      </c>
      <c r="L51" s="53">
        <v>30</v>
      </c>
      <c r="M51" s="79" t="s">
        <v>461</v>
      </c>
    </row>
    <row r="52" spans="1:13" s="5" customFormat="1" ht="43.5" customHeight="1" x14ac:dyDescent="0.2">
      <c r="A52" s="79" t="s">
        <v>434</v>
      </c>
      <c r="B52" s="53" t="s">
        <v>42</v>
      </c>
      <c r="C52" s="53" t="s">
        <v>43</v>
      </c>
      <c r="D52" s="84">
        <v>1</v>
      </c>
      <c r="E52" s="49">
        <v>30</v>
      </c>
      <c r="F52" s="80">
        <v>45938</v>
      </c>
      <c r="G52" s="81">
        <v>0.375</v>
      </c>
      <c r="H52" s="80">
        <v>45937</v>
      </c>
      <c r="I52" s="81">
        <v>0.5625</v>
      </c>
      <c r="J52" s="87">
        <f t="shared" si="0"/>
        <v>0</v>
      </c>
      <c r="K52" s="53">
        <v>1</v>
      </c>
      <c r="L52" s="53">
        <v>30</v>
      </c>
      <c r="M52" s="79" t="s">
        <v>461</v>
      </c>
    </row>
    <row r="53" spans="1:13" s="5" customFormat="1" ht="42.75" customHeight="1" x14ac:dyDescent="0.2">
      <c r="A53" s="79" t="s">
        <v>434</v>
      </c>
      <c r="B53" s="53" t="s">
        <v>136</v>
      </c>
      <c r="C53" s="53" t="s">
        <v>34</v>
      </c>
      <c r="D53" s="84">
        <v>1</v>
      </c>
      <c r="E53" s="49">
        <v>30</v>
      </c>
      <c r="F53" s="80">
        <v>45938</v>
      </c>
      <c r="G53" s="81">
        <v>0.375</v>
      </c>
      <c r="H53" s="80">
        <v>45937</v>
      </c>
      <c r="I53" s="81">
        <v>0.4375</v>
      </c>
      <c r="J53" s="87">
        <f t="shared" si="0"/>
        <v>0</v>
      </c>
      <c r="K53" s="53">
        <v>1</v>
      </c>
      <c r="L53" s="53">
        <v>30</v>
      </c>
      <c r="M53" s="79" t="s">
        <v>461</v>
      </c>
    </row>
    <row r="54" spans="1:13" s="5" customFormat="1" ht="52.5" customHeight="1" x14ac:dyDescent="0.2">
      <c r="A54" s="79" t="s">
        <v>434</v>
      </c>
      <c r="B54" s="53" t="s">
        <v>36</v>
      </c>
      <c r="C54" s="53" t="s">
        <v>37</v>
      </c>
      <c r="D54" s="84">
        <v>1</v>
      </c>
      <c r="E54" s="49">
        <v>30</v>
      </c>
      <c r="F54" s="80">
        <v>45938</v>
      </c>
      <c r="G54" s="81">
        <v>0.375</v>
      </c>
      <c r="H54" s="80">
        <v>45937</v>
      </c>
      <c r="I54" s="81">
        <v>0.54166666666666663</v>
      </c>
      <c r="J54" s="87">
        <f t="shared" si="0"/>
        <v>0</v>
      </c>
      <c r="K54" s="53">
        <v>1</v>
      </c>
      <c r="L54" s="53">
        <v>30</v>
      </c>
      <c r="M54" s="79" t="s">
        <v>461</v>
      </c>
    </row>
    <row r="55" spans="1:13" s="5" customFormat="1" ht="60" customHeight="1" x14ac:dyDescent="0.2">
      <c r="A55" s="79" t="s">
        <v>434</v>
      </c>
      <c r="B55" s="53" t="s">
        <v>39</v>
      </c>
      <c r="C55" s="53" t="s">
        <v>40</v>
      </c>
      <c r="D55" s="84">
        <v>1</v>
      </c>
      <c r="E55" s="49">
        <v>30</v>
      </c>
      <c r="F55" s="80">
        <v>45938</v>
      </c>
      <c r="G55" s="81">
        <v>0.375</v>
      </c>
      <c r="H55" s="80">
        <v>45937</v>
      </c>
      <c r="I55" s="81">
        <v>0.5625</v>
      </c>
      <c r="J55" s="87">
        <f t="shared" si="0"/>
        <v>0</v>
      </c>
      <c r="K55" s="53">
        <v>1</v>
      </c>
      <c r="L55" s="53">
        <v>30</v>
      </c>
      <c r="M55" s="79" t="s">
        <v>461</v>
      </c>
    </row>
    <row r="56" spans="1:13" s="5" customFormat="1" ht="56.25" customHeight="1" x14ac:dyDescent="0.2">
      <c r="A56" s="79" t="s">
        <v>435</v>
      </c>
      <c r="B56" s="53" t="s">
        <v>21</v>
      </c>
      <c r="C56" s="53" t="s">
        <v>22</v>
      </c>
      <c r="D56" s="84">
        <v>1</v>
      </c>
      <c r="E56" s="49">
        <v>30</v>
      </c>
      <c r="F56" s="80">
        <v>45938</v>
      </c>
      <c r="G56" s="81">
        <v>0.375</v>
      </c>
      <c r="H56" s="80">
        <v>45937</v>
      </c>
      <c r="I56" s="81">
        <v>0.64583333333333337</v>
      </c>
      <c r="J56" s="87">
        <f t="shared" si="0"/>
        <v>0</v>
      </c>
      <c r="K56" s="53">
        <v>1</v>
      </c>
      <c r="L56" s="53">
        <v>30</v>
      </c>
      <c r="M56" s="79" t="s">
        <v>462</v>
      </c>
    </row>
    <row r="57" spans="1:13" s="5" customFormat="1" ht="55.5" customHeight="1" x14ac:dyDescent="0.2">
      <c r="A57" s="79" t="s">
        <v>435</v>
      </c>
      <c r="B57" s="53" t="s">
        <v>30</v>
      </c>
      <c r="C57" s="53" t="s">
        <v>31</v>
      </c>
      <c r="D57" s="84">
        <v>1</v>
      </c>
      <c r="E57" s="49">
        <v>30</v>
      </c>
      <c r="F57" s="80">
        <v>45938</v>
      </c>
      <c r="G57" s="81">
        <v>0.375</v>
      </c>
      <c r="H57" s="80">
        <v>45937</v>
      </c>
      <c r="I57" s="81">
        <v>0.5625</v>
      </c>
      <c r="J57" s="87">
        <f t="shared" si="0"/>
        <v>0</v>
      </c>
      <c r="K57" s="53">
        <v>1</v>
      </c>
      <c r="L57" s="53">
        <v>30</v>
      </c>
      <c r="M57" s="79" t="s">
        <v>462</v>
      </c>
    </row>
    <row r="58" spans="1:13" s="5" customFormat="1" ht="59.25" customHeight="1" x14ac:dyDescent="0.2">
      <c r="A58" s="79" t="s">
        <v>435</v>
      </c>
      <c r="B58" s="53" t="s">
        <v>39</v>
      </c>
      <c r="C58" s="53" t="s">
        <v>40</v>
      </c>
      <c r="D58" s="84">
        <v>1</v>
      </c>
      <c r="E58" s="49">
        <v>30</v>
      </c>
      <c r="F58" s="80">
        <v>45938</v>
      </c>
      <c r="G58" s="81">
        <v>0.375</v>
      </c>
      <c r="H58" s="80">
        <v>45937</v>
      </c>
      <c r="I58" s="81">
        <v>0.58333333333333337</v>
      </c>
      <c r="J58" s="87">
        <f t="shared" si="0"/>
        <v>0</v>
      </c>
      <c r="K58" s="53">
        <v>1</v>
      </c>
      <c r="L58" s="53">
        <v>30</v>
      </c>
      <c r="M58" s="79" t="s">
        <v>462</v>
      </c>
    </row>
    <row r="59" spans="1:13" s="5" customFormat="1" ht="53.25" customHeight="1" x14ac:dyDescent="0.2">
      <c r="A59" s="79" t="s">
        <v>435</v>
      </c>
      <c r="B59" s="53" t="s">
        <v>42</v>
      </c>
      <c r="C59" s="53" t="s">
        <v>43</v>
      </c>
      <c r="D59" s="84">
        <v>1</v>
      </c>
      <c r="E59" s="49">
        <v>30</v>
      </c>
      <c r="F59" s="80">
        <v>45938</v>
      </c>
      <c r="G59" s="81">
        <v>0.375</v>
      </c>
      <c r="H59" s="80">
        <v>45937</v>
      </c>
      <c r="I59" s="81">
        <v>0.58333333333333337</v>
      </c>
      <c r="J59" s="87">
        <f t="shared" si="0"/>
        <v>0</v>
      </c>
      <c r="K59" s="53">
        <v>1</v>
      </c>
      <c r="L59" s="53">
        <v>30</v>
      </c>
      <c r="M59" s="79" t="s">
        <v>462</v>
      </c>
    </row>
    <row r="60" spans="1:13" s="5" customFormat="1" ht="58.5" customHeight="1" x14ac:dyDescent="0.2">
      <c r="A60" s="79" t="s">
        <v>435</v>
      </c>
      <c r="B60" s="53" t="s">
        <v>36</v>
      </c>
      <c r="C60" s="53" t="s">
        <v>37</v>
      </c>
      <c r="D60" s="84">
        <v>1</v>
      </c>
      <c r="E60" s="49">
        <v>30</v>
      </c>
      <c r="F60" s="80">
        <v>45938</v>
      </c>
      <c r="G60" s="81">
        <v>0.375</v>
      </c>
      <c r="H60" s="80">
        <v>45937</v>
      </c>
      <c r="I60" s="81">
        <v>0.5625</v>
      </c>
      <c r="J60" s="87">
        <f t="shared" si="0"/>
        <v>2</v>
      </c>
      <c r="K60" s="53">
        <v>1</v>
      </c>
      <c r="L60" s="53">
        <v>28</v>
      </c>
      <c r="M60" s="79" t="s">
        <v>462</v>
      </c>
    </row>
    <row r="61" spans="1:13" s="5" customFormat="1" ht="57.75" customHeight="1" x14ac:dyDescent="0.2">
      <c r="A61" s="79" t="s">
        <v>435</v>
      </c>
      <c r="B61" s="53" t="s">
        <v>136</v>
      </c>
      <c r="C61" s="53" t="s">
        <v>34</v>
      </c>
      <c r="D61" s="84">
        <v>1</v>
      </c>
      <c r="E61" s="49">
        <v>30</v>
      </c>
      <c r="F61" s="80">
        <v>45938</v>
      </c>
      <c r="G61" s="81">
        <v>0.375</v>
      </c>
      <c r="H61" s="80">
        <v>45937</v>
      </c>
      <c r="I61" s="81">
        <v>0.45833333333333331</v>
      </c>
      <c r="J61" s="87">
        <f t="shared" si="0"/>
        <v>10</v>
      </c>
      <c r="K61" s="53">
        <v>1</v>
      </c>
      <c r="L61" s="53">
        <v>20</v>
      </c>
      <c r="M61" s="79" t="s">
        <v>462</v>
      </c>
    </row>
    <row r="62" spans="1:13" s="5" customFormat="1" ht="40.5" customHeight="1" x14ac:dyDescent="0.2">
      <c r="A62" s="79" t="s">
        <v>436</v>
      </c>
      <c r="B62" s="53" t="s">
        <v>21</v>
      </c>
      <c r="C62" s="53" t="s">
        <v>22</v>
      </c>
      <c r="D62" s="84">
        <v>1</v>
      </c>
      <c r="E62" s="49">
        <v>30</v>
      </c>
      <c r="F62" s="80">
        <v>45938</v>
      </c>
      <c r="G62" s="81">
        <v>0.375</v>
      </c>
      <c r="H62" s="80">
        <v>45937</v>
      </c>
      <c r="I62" s="81">
        <v>0.6875</v>
      </c>
      <c r="J62" s="87">
        <f t="shared" si="0"/>
        <v>0</v>
      </c>
      <c r="K62" s="53">
        <v>1</v>
      </c>
      <c r="L62" s="53">
        <v>30</v>
      </c>
      <c r="M62" s="79" t="s">
        <v>463</v>
      </c>
    </row>
    <row r="63" spans="1:13" s="5" customFormat="1" ht="40.5" customHeight="1" x14ac:dyDescent="0.2">
      <c r="A63" s="79" t="s">
        <v>468</v>
      </c>
      <c r="B63" s="53" t="s">
        <v>39</v>
      </c>
      <c r="C63" s="53" t="s">
        <v>40</v>
      </c>
      <c r="D63" s="84">
        <v>1</v>
      </c>
      <c r="E63" s="49">
        <v>30</v>
      </c>
      <c r="F63" s="80">
        <v>45938</v>
      </c>
      <c r="G63" s="81">
        <v>0.375</v>
      </c>
      <c r="H63" s="80">
        <v>45937</v>
      </c>
      <c r="I63" s="81">
        <v>0.60416666666666663</v>
      </c>
      <c r="J63" s="87">
        <f t="shared" si="0"/>
        <v>0</v>
      </c>
      <c r="K63" s="53">
        <v>3</v>
      </c>
      <c r="L63" s="53">
        <v>30</v>
      </c>
      <c r="M63" s="79" t="s">
        <v>469</v>
      </c>
    </row>
    <row r="64" spans="1:13" s="5" customFormat="1" ht="40.5" customHeight="1" x14ac:dyDescent="0.2">
      <c r="A64" s="79" t="s">
        <v>437</v>
      </c>
      <c r="B64" s="53" t="s">
        <v>36</v>
      </c>
      <c r="C64" s="53" t="s">
        <v>37</v>
      </c>
      <c r="D64" s="84">
        <v>1</v>
      </c>
      <c r="E64" s="49">
        <v>30</v>
      </c>
      <c r="F64" s="80">
        <v>45938</v>
      </c>
      <c r="G64" s="81">
        <v>0.375</v>
      </c>
      <c r="H64" s="80">
        <v>45937</v>
      </c>
      <c r="I64" s="81">
        <v>0.6875</v>
      </c>
      <c r="J64" s="87">
        <f t="shared" si="0"/>
        <v>0</v>
      </c>
      <c r="K64" s="53">
        <v>1</v>
      </c>
      <c r="L64" s="53">
        <v>30</v>
      </c>
      <c r="M64" s="79" t="s">
        <v>438</v>
      </c>
    </row>
    <row r="65" spans="1:13" s="5" customFormat="1" ht="38.25" customHeight="1" x14ac:dyDescent="0.2">
      <c r="A65" s="106" t="s">
        <v>123</v>
      </c>
      <c r="B65" s="85" t="s">
        <v>36</v>
      </c>
      <c r="C65" s="85" t="s">
        <v>37</v>
      </c>
      <c r="D65" s="49">
        <v>1</v>
      </c>
      <c r="E65" s="49">
        <v>20</v>
      </c>
      <c r="F65" s="85">
        <v>45938</v>
      </c>
      <c r="G65" s="86">
        <v>0.375</v>
      </c>
      <c r="H65" s="85">
        <v>45937</v>
      </c>
      <c r="I65" s="86">
        <v>0.80555555555555558</v>
      </c>
      <c r="J65" s="87">
        <f>E65-L65</f>
        <v>0</v>
      </c>
      <c r="K65" s="53">
        <v>1</v>
      </c>
      <c r="L65" s="88">
        <v>20</v>
      </c>
      <c r="M65" s="93" t="s">
        <v>124</v>
      </c>
    </row>
    <row r="66" spans="1:13" s="5" customFormat="1" ht="38.25" customHeight="1" x14ac:dyDescent="0.2">
      <c r="A66" s="38" t="s">
        <v>123</v>
      </c>
      <c r="B66" s="85" t="s">
        <v>143</v>
      </c>
      <c r="C66" s="85" t="s">
        <v>43</v>
      </c>
      <c r="D66" s="49">
        <v>1</v>
      </c>
      <c r="E66" s="49">
        <v>20</v>
      </c>
      <c r="F66" s="85">
        <v>45938</v>
      </c>
      <c r="G66" s="86">
        <v>0.375</v>
      </c>
      <c r="H66" s="85">
        <v>45937</v>
      </c>
      <c r="I66" s="86">
        <v>0.80555555555555558</v>
      </c>
      <c r="J66" s="87">
        <f t="shared" ref="J66:J87" si="1">E66-L66</f>
        <v>0</v>
      </c>
      <c r="K66" s="8">
        <v>1</v>
      </c>
      <c r="L66" s="88">
        <v>20</v>
      </c>
      <c r="M66" s="93" t="s">
        <v>124</v>
      </c>
    </row>
    <row r="67" spans="1:13" s="5" customFormat="1" ht="27" customHeight="1" x14ac:dyDescent="0.2">
      <c r="A67" s="13" t="s">
        <v>175</v>
      </c>
      <c r="B67" s="13" t="s">
        <v>36</v>
      </c>
      <c r="C67" s="13" t="s">
        <v>37</v>
      </c>
      <c r="D67" s="53">
        <v>1</v>
      </c>
      <c r="E67" s="53">
        <v>30</v>
      </c>
      <c r="F67" s="13">
        <v>45938</v>
      </c>
      <c r="G67" s="86">
        <v>0.375</v>
      </c>
      <c r="H67" s="13">
        <v>45937</v>
      </c>
      <c r="I67" s="12">
        <v>0.83333333333333337</v>
      </c>
      <c r="J67" s="53">
        <f t="shared" si="1"/>
        <v>6</v>
      </c>
      <c r="K67" s="50">
        <v>1</v>
      </c>
      <c r="L67" s="68">
        <v>24</v>
      </c>
      <c r="M67" s="52" t="s">
        <v>176</v>
      </c>
    </row>
    <row r="68" spans="1:13" s="5" customFormat="1" ht="33" customHeight="1" x14ac:dyDescent="0.2">
      <c r="A68" s="13" t="s">
        <v>177</v>
      </c>
      <c r="B68" s="13" t="s">
        <v>39</v>
      </c>
      <c r="C68" s="13" t="s">
        <v>40</v>
      </c>
      <c r="D68" s="53">
        <v>1</v>
      </c>
      <c r="E68" s="53">
        <v>30</v>
      </c>
      <c r="F68" s="13">
        <v>45938</v>
      </c>
      <c r="G68" s="86">
        <v>0.375</v>
      </c>
      <c r="H68" s="13">
        <v>45937</v>
      </c>
      <c r="I68" s="12">
        <v>0.83333333333333337</v>
      </c>
      <c r="J68" s="53">
        <f t="shared" si="1"/>
        <v>0</v>
      </c>
      <c r="K68" s="50">
        <v>1</v>
      </c>
      <c r="L68" s="68">
        <v>30</v>
      </c>
      <c r="M68" s="52" t="s">
        <v>178</v>
      </c>
    </row>
    <row r="69" spans="1:13" s="5" customFormat="1" ht="33.75" customHeight="1" x14ac:dyDescent="0.2">
      <c r="A69" s="61" t="s">
        <v>179</v>
      </c>
      <c r="B69" s="13" t="s">
        <v>39</v>
      </c>
      <c r="C69" s="13" t="s">
        <v>40</v>
      </c>
      <c r="D69" s="53">
        <v>5</v>
      </c>
      <c r="E69" s="53">
        <v>50</v>
      </c>
      <c r="F69" s="13">
        <v>45938</v>
      </c>
      <c r="G69" s="86">
        <v>0.375</v>
      </c>
      <c r="H69" s="13">
        <v>45937</v>
      </c>
      <c r="I69" s="12">
        <v>0.86805555555555558</v>
      </c>
      <c r="J69" s="53">
        <f t="shared" si="1"/>
        <v>5</v>
      </c>
      <c r="K69" s="50">
        <v>5</v>
      </c>
      <c r="L69" s="68">
        <v>45</v>
      </c>
      <c r="M69" s="52" t="s">
        <v>180</v>
      </c>
    </row>
    <row r="70" spans="1:13" s="5" customFormat="1" ht="32.25" customHeight="1" x14ac:dyDescent="0.2">
      <c r="A70" s="23" t="s">
        <v>146</v>
      </c>
      <c r="B70" s="85" t="s">
        <v>30</v>
      </c>
      <c r="C70" s="90" t="s">
        <v>207</v>
      </c>
      <c r="D70" s="84">
        <v>1</v>
      </c>
      <c r="E70" s="49">
        <v>60</v>
      </c>
      <c r="F70" s="85">
        <v>45938</v>
      </c>
      <c r="G70" s="86">
        <v>0.375</v>
      </c>
      <c r="H70" s="85">
        <v>45937</v>
      </c>
      <c r="I70" s="86">
        <v>0.91666666666666663</v>
      </c>
      <c r="J70" s="87">
        <f t="shared" si="1"/>
        <v>50</v>
      </c>
      <c r="K70" s="8">
        <v>1</v>
      </c>
      <c r="L70" s="88">
        <v>10</v>
      </c>
      <c r="M70" s="91" t="s">
        <v>149</v>
      </c>
    </row>
    <row r="71" spans="1:13" s="5" customFormat="1" ht="27" customHeight="1" x14ac:dyDescent="0.2">
      <c r="A71" s="23" t="s">
        <v>146</v>
      </c>
      <c r="B71" s="85" t="s">
        <v>42</v>
      </c>
      <c r="C71" s="85" t="s">
        <v>77</v>
      </c>
      <c r="D71" s="84">
        <v>1</v>
      </c>
      <c r="E71" s="49">
        <v>60</v>
      </c>
      <c r="F71" s="85">
        <v>45938</v>
      </c>
      <c r="G71" s="86">
        <v>0.375</v>
      </c>
      <c r="H71" s="85">
        <v>45937</v>
      </c>
      <c r="I71" s="86">
        <v>0.91666666666666663</v>
      </c>
      <c r="J71" s="87">
        <f t="shared" si="1"/>
        <v>50</v>
      </c>
      <c r="K71" s="8">
        <v>1</v>
      </c>
      <c r="L71" s="88">
        <v>10</v>
      </c>
      <c r="M71" s="91" t="s">
        <v>149</v>
      </c>
    </row>
    <row r="72" spans="1:13" s="5" customFormat="1" ht="24.95" customHeight="1" x14ac:dyDescent="0.2">
      <c r="A72" s="23" t="s">
        <v>146</v>
      </c>
      <c r="B72" s="85" t="s">
        <v>21</v>
      </c>
      <c r="C72" s="85" t="s">
        <v>86</v>
      </c>
      <c r="D72" s="84">
        <v>1</v>
      </c>
      <c r="E72" s="49">
        <v>60</v>
      </c>
      <c r="F72" s="85">
        <v>45938</v>
      </c>
      <c r="G72" s="86">
        <v>0.375</v>
      </c>
      <c r="H72" s="85">
        <v>45937</v>
      </c>
      <c r="I72" s="86">
        <v>0.91666666666666663</v>
      </c>
      <c r="J72" s="87">
        <f t="shared" si="1"/>
        <v>50</v>
      </c>
      <c r="K72" s="8">
        <v>1</v>
      </c>
      <c r="L72" s="88">
        <v>10</v>
      </c>
      <c r="M72" s="91" t="s">
        <v>149</v>
      </c>
    </row>
    <row r="73" spans="1:13" s="5" customFormat="1" ht="28.5" customHeight="1" x14ac:dyDescent="0.2">
      <c r="A73" s="23" t="s">
        <v>146</v>
      </c>
      <c r="B73" s="85" t="s">
        <v>136</v>
      </c>
      <c r="C73" s="85" t="s">
        <v>151</v>
      </c>
      <c r="D73" s="84">
        <v>1</v>
      </c>
      <c r="E73" s="49">
        <v>60</v>
      </c>
      <c r="F73" s="85">
        <v>45938</v>
      </c>
      <c r="G73" s="86">
        <v>0.375</v>
      </c>
      <c r="H73" s="85">
        <v>45937</v>
      </c>
      <c r="I73" s="86">
        <v>0.91666666666666663</v>
      </c>
      <c r="J73" s="87">
        <f t="shared" si="1"/>
        <v>50</v>
      </c>
      <c r="K73" s="8">
        <v>1</v>
      </c>
      <c r="L73" s="88">
        <v>10</v>
      </c>
      <c r="M73" s="91" t="s">
        <v>149</v>
      </c>
    </row>
    <row r="74" spans="1:13" s="5" customFormat="1" ht="35.450000000000003" customHeight="1" x14ac:dyDescent="0.2">
      <c r="A74" s="23" t="s">
        <v>146</v>
      </c>
      <c r="B74" s="85" t="s">
        <v>36</v>
      </c>
      <c r="C74" s="85" t="s">
        <v>80</v>
      </c>
      <c r="D74" s="84">
        <v>1</v>
      </c>
      <c r="E74" s="49">
        <v>60</v>
      </c>
      <c r="F74" s="85">
        <v>45938</v>
      </c>
      <c r="G74" s="86">
        <v>0.375</v>
      </c>
      <c r="H74" s="85">
        <v>45937</v>
      </c>
      <c r="I74" s="86">
        <v>0.91666666666666663</v>
      </c>
      <c r="J74" s="87">
        <f t="shared" si="1"/>
        <v>50</v>
      </c>
      <c r="K74" s="8">
        <v>1</v>
      </c>
      <c r="L74" s="88">
        <v>10</v>
      </c>
      <c r="M74" s="91" t="s">
        <v>149</v>
      </c>
    </row>
    <row r="75" spans="1:13" s="5" customFormat="1" ht="36.6" customHeight="1" x14ac:dyDescent="0.2">
      <c r="A75" s="23" t="s">
        <v>146</v>
      </c>
      <c r="B75" s="85" t="s">
        <v>39</v>
      </c>
      <c r="C75" s="85" t="s">
        <v>150</v>
      </c>
      <c r="D75" s="84">
        <v>1</v>
      </c>
      <c r="E75" s="49">
        <v>60</v>
      </c>
      <c r="F75" s="85">
        <v>45938</v>
      </c>
      <c r="G75" s="86">
        <v>0.375</v>
      </c>
      <c r="H75" s="85">
        <v>45937</v>
      </c>
      <c r="I75" s="86">
        <v>0.91666666666666663</v>
      </c>
      <c r="J75" s="87">
        <f t="shared" si="1"/>
        <v>50</v>
      </c>
      <c r="K75" s="8">
        <v>1</v>
      </c>
      <c r="L75" s="88">
        <v>10</v>
      </c>
      <c r="M75" s="91" t="s">
        <v>149</v>
      </c>
    </row>
    <row r="76" spans="1:13" s="5" customFormat="1" ht="36.6" customHeight="1" x14ac:dyDescent="0.2">
      <c r="A76" s="23" t="s">
        <v>52</v>
      </c>
      <c r="B76" s="89" t="s">
        <v>21</v>
      </c>
      <c r="C76" s="90" t="s">
        <v>22</v>
      </c>
      <c r="D76" s="84">
        <v>1</v>
      </c>
      <c r="E76" s="49">
        <v>30</v>
      </c>
      <c r="F76" s="85">
        <v>45938</v>
      </c>
      <c r="G76" s="86">
        <v>0.375</v>
      </c>
      <c r="H76" s="85">
        <v>45937</v>
      </c>
      <c r="I76" s="86">
        <v>0.91666666666666663</v>
      </c>
      <c r="J76" s="87">
        <f t="shared" si="1"/>
        <v>0</v>
      </c>
      <c r="K76" s="8">
        <v>1</v>
      </c>
      <c r="L76" s="88">
        <v>30</v>
      </c>
      <c r="M76" s="91" t="s">
        <v>53</v>
      </c>
    </row>
    <row r="77" spans="1:13" s="5" customFormat="1" ht="35.450000000000003" customHeight="1" x14ac:dyDescent="0.2">
      <c r="A77" s="23" t="s">
        <v>153</v>
      </c>
      <c r="B77" s="89" t="s">
        <v>36</v>
      </c>
      <c r="C77" s="90" t="s">
        <v>37</v>
      </c>
      <c r="D77" s="84">
        <v>1</v>
      </c>
      <c r="E77" s="5">
        <v>30</v>
      </c>
      <c r="F77" s="85">
        <v>45938</v>
      </c>
      <c r="G77" s="86">
        <v>0.375</v>
      </c>
      <c r="H77" s="85">
        <v>45937</v>
      </c>
      <c r="I77" s="86">
        <v>0.91666666666666663</v>
      </c>
      <c r="J77" s="87">
        <f t="shared" si="1"/>
        <v>0</v>
      </c>
      <c r="K77" s="8">
        <v>1</v>
      </c>
      <c r="L77" s="88">
        <v>30</v>
      </c>
      <c r="M77" s="91" t="s">
        <v>53</v>
      </c>
    </row>
    <row r="78" spans="1:13" s="5" customFormat="1" ht="35.450000000000003" customHeight="1" x14ac:dyDescent="0.2">
      <c r="A78" s="23" t="s">
        <v>79</v>
      </c>
      <c r="B78" s="85" t="s">
        <v>36</v>
      </c>
      <c r="C78" s="90" t="s">
        <v>37</v>
      </c>
      <c r="D78" s="84">
        <v>1</v>
      </c>
      <c r="E78" s="49">
        <v>45</v>
      </c>
      <c r="F78" s="85">
        <v>45938</v>
      </c>
      <c r="G78" s="86">
        <v>0.375</v>
      </c>
      <c r="H78" s="85">
        <v>45937</v>
      </c>
      <c r="I78" s="86">
        <v>0.9375</v>
      </c>
      <c r="J78" s="87">
        <f t="shared" si="1"/>
        <v>-35</v>
      </c>
      <c r="K78" s="8">
        <v>1</v>
      </c>
      <c r="L78" s="88">
        <v>80</v>
      </c>
      <c r="M78" s="91" t="s">
        <v>81</v>
      </c>
    </row>
    <row r="79" spans="1:13" s="5" customFormat="1" ht="35.450000000000003" customHeight="1" x14ac:dyDescent="0.2">
      <c r="A79" s="23" t="s">
        <v>85</v>
      </c>
      <c r="B79" s="85" t="s">
        <v>21</v>
      </c>
      <c r="C79" s="90" t="s">
        <v>22</v>
      </c>
      <c r="D79" s="84">
        <v>1</v>
      </c>
      <c r="E79" s="49">
        <v>60</v>
      </c>
      <c r="F79" s="85">
        <v>45938</v>
      </c>
      <c r="G79" s="86">
        <v>0.375</v>
      </c>
      <c r="H79" s="85">
        <v>45937</v>
      </c>
      <c r="I79" s="86">
        <v>0.9375</v>
      </c>
      <c r="J79" s="87">
        <f t="shared" si="1"/>
        <v>10</v>
      </c>
      <c r="K79" s="8">
        <v>1</v>
      </c>
      <c r="L79" s="88">
        <v>50</v>
      </c>
      <c r="M79" s="91" t="s">
        <v>87</v>
      </c>
    </row>
    <row r="80" spans="1:13" s="5" customFormat="1" ht="35.450000000000003" customHeight="1" x14ac:dyDescent="0.2">
      <c r="A80" s="23" t="s">
        <v>88</v>
      </c>
      <c r="B80" s="85" t="s">
        <v>21</v>
      </c>
      <c r="C80" s="85" t="s">
        <v>22</v>
      </c>
      <c r="D80" s="84">
        <v>1</v>
      </c>
      <c r="E80" s="49">
        <v>55</v>
      </c>
      <c r="F80" s="85">
        <v>45938</v>
      </c>
      <c r="G80" s="86">
        <v>0.375</v>
      </c>
      <c r="H80" s="85">
        <v>45937</v>
      </c>
      <c r="I80" s="86">
        <v>0.9375</v>
      </c>
      <c r="J80" s="87">
        <f t="shared" si="1"/>
        <v>0</v>
      </c>
      <c r="K80" s="8">
        <v>1</v>
      </c>
      <c r="L80" s="88">
        <v>55</v>
      </c>
      <c r="M80" s="91" t="s">
        <v>89</v>
      </c>
    </row>
    <row r="81" spans="1:13" s="5" customFormat="1" ht="35.450000000000003" customHeight="1" x14ac:dyDescent="0.2">
      <c r="A81" s="33" t="s">
        <v>131</v>
      </c>
      <c r="B81" s="85" t="s">
        <v>36</v>
      </c>
      <c r="C81" s="85" t="s">
        <v>37</v>
      </c>
      <c r="D81" s="49">
        <v>1</v>
      </c>
      <c r="E81" s="49">
        <v>30</v>
      </c>
      <c r="F81" s="85">
        <v>45938</v>
      </c>
      <c r="G81" s="86">
        <v>0.375</v>
      </c>
      <c r="H81" s="85">
        <v>45937</v>
      </c>
      <c r="I81" s="86">
        <v>0.9375</v>
      </c>
      <c r="J81" s="87">
        <f t="shared" si="1"/>
        <v>-2</v>
      </c>
      <c r="K81" s="8">
        <v>1</v>
      </c>
      <c r="L81" s="88">
        <v>32</v>
      </c>
      <c r="M81" s="91" t="s">
        <v>132</v>
      </c>
    </row>
    <row r="82" spans="1:13" s="5" customFormat="1" ht="35.450000000000003" customHeight="1" x14ac:dyDescent="0.2">
      <c r="A82" s="33" t="s">
        <v>131</v>
      </c>
      <c r="B82" s="85" t="s">
        <v>42</v>
      </c>
      <c r="C82" s="85" t="s">
        <v>43</v>
      </c>
      <c r="D82" s="49">
        <v>1</v>
      </c>
      <c r="E82" s="49">
        <v>30</v>
      </c>
      <c r="F82" s="85">
        <v>45938</v>
      </c>
      <c r="G82" s="86">
        <v>0.375</v>
      </c>
      <c r="H82" s="85">
        <v>45937</v>
      </c>
      <c r="I82" s="86">
        <v>0.9375</v>
      </c>
      <c r="J82" s="87">
        <f t="shared" si="1"/>
        <v>-2</v>
      </c>
      <c r="K82" s="8">
        <v>1</v>
      </c>
      <c r="L82" s="88">
        <v>32</v>
      </c>
      <c r="M82" s="91" t="s">
        <v>132</v>
      </c>
    </row>
    <row r="83" spans="1:13" s="5" customFormat="1" ht="35.450000000000003" customHeight="1" x14ac:dyDescent="0.2">
      <c r="A83" s="33" t="s">
        <v>131</v>
      </c>
      <c r="B83" s="85" t="s">
        <v>30</v>
      </c>
      <c r="C83" s="85" t="s">
        <v>31</v>
      </c>
      <c r="D83" s="49">
        <v>1</v>
      </c>
      <c r="E83" s="49">
        <v>30</v>
      </c>
      <c r="F83" s="85">
        <v>45938</v>
      </c>
      <c r="G83" s="86">
        <v>0.375</v>
      </c>
      <c r="H83" s="85">
        <v>45937</v>
      </c>
      <c r="I83" s="86">
        <v>0.9375</v>
      </c>
      <c r="J83" s="87">
        <f t="shared" si="1"/>
        <v>-2</v>
      </c>
      <c r="K83" s="8">
        <v>1</v>
      </c>
      <c r="L83" s="88">
        <v>32</v>
      </c>
      <c r="M83" s="91" t="s">
        <v>132</v>
      </c>
    </row>
    <row r="84" spans="1:13" s="5" customFormat="1" ht="35.450000000000003" customHeight="1" x14ac:dyDescent="0.2">
      <c r="A84" s="33" t="s">
        <v>131</v>
      </c>
      <c r="B84" s="85" t="s">
        <v>21</v>
      </c>
      <c r="C84" s="85" t="s">
        <v>22</v>
      </c>
      <c r="D84" s="49">
        <v>1</v>
      </c>
      <c r="E84" s="49">
        <v>30</v>
      </c>
      <c r="F84" s="85">
        <v>45938</v>
      </c>
      <c r="G84" s="86">
        <v>0.375</v>
      </c>
      <c r="H84" s="85">
        <v>45937</v>
      </c>
      <c r="I84" s="86">
        <v>0.9375</v>
      </c>
      <c r="J84" s="87">
        <f t="shared" si="1"/>
        <v>-2</v>
      </c>
      <c r="K84" s="8">
        <v>1</v>
      </c>
      <c r="L84" s="88">
        <v>32</v>
      </c>
      <c r="M84" s="91" t="s">
        <v>132</v>
      </c>
    </row>
    <row r="85" spans="1:13" s="5" customFormat="1" ht="35.450000000000003" customHeight="1" x14ac:dyDescent="0.2">
      <c r="A85" s="33" t="s">
        <v>131</v>
      </c>
      <c r="B85" s="85" t="s">
        <v>136</v>
      </c>
      <c r="C85" s="85" t="s">
        <v>34</v>
      </c>
      <c r="D85" s="49">
        <v>1</v>
      </c>
      <c r="E85" s="49">
        <v>30</v>
      </c>
      <c r="F85" s="85">
        <v>45938</v>
      </c>
      <c r="G85" s="86">
        <v>0.375</v>
      </c>
      <c r="H85" s="85">
        <v>45937</v>
      </c>
      <c r="I85" s="86">
        <v>0.9375</v>
      </c>
      <c r="J85" s="87">
        <f t="shared" si="1"/>
        <v>-2</v>
      </c>
      <c r="K85" s="8">
        <v>1</v>
      </c>
      <c r="L85" s="88">
        <v>32</v>
      </c>
      <c r="M85" s="91" t="s">
        <v>132</v>
      </c>
    </row>
    <row r="86" spans="1:13" s="5" customFormat="1" ht="35.450000000000003" customHeight="1" x14ac:dyDescent="0.2">
      <c r="A86" s="33" t="s">
        <v>131</v>
      </c>
      <c r="B86" s="85" t="s">
        <v>39</v>
      </c>
      <c r="C86" s="85" t="s">
        <v>40</v>
      </c>
      <c r="D86" s="49">
        <v>1</v>
      </c>
      <c r="E86" s="49">
        <v>30</v>
      </c>
      <c r="F86" s="85">
        <v>45938</v>
      </c>
      <c r="G86" s="86">
        <v>0.375</v>
      </c>
      <c r="H86" s="85">
        <v>45937</v>
      </c>
      <c r="I86" s="86">
        <v>0.9375</v>
      </c>
      <c r="J86" s="87">
        <f t="shared" si="1"/>
        <v>-2</v>
      </c>
      <c r="K86" s="8">
        <v>1</v>
      </c>
      <c r="L86" s="88">
        <v>32</v>
      </c>
      <c r="M86" s="91" t="s">
        <v>132</v>
      </c>
    </row>
    <row r="87" spans="1:13" s="5" customFormat="1" ht="35.450000000000003" customHeight="1" x14ac:dyDescent="0.2">
      <c r="A87" s="33" t="s">
        <v>133</v>
      </c>
      <c r="B87" s="85" t="s">
        <v>21</v>
      </c>
      <c r="C87" s="85" t="s">
        <v>22</v>
      </c>
      <c r="D87" s="49">
        <v>3</v>
      </c>
      <c r="E87" s="49">
        <v>20</v>
      </c>
      <c r="F87" s="85">
        <v>45938</v>
      </c>
      <c r="G87" s="86">
        <v>0.375</v>
      </c>
      <c r="H87" s="85">
        <v>45938</v>
      </c>
      <c r="I87" s="86">
        <v>0.375</v>
      </c>
      <c r="J87" s="87">
        <f t="shared" si="1"/>
        <v>5</v>
      </c>
      <c r="K87" s="8">
        <v>3</v>
      </c>
      <c r="L87" s="88">
        <v>15</v>
      </c>
      <c r="M87" s="91" t="s">
        <v>134</v>
      </c>
    </row>
    <row r="88" spans="1:13" s="5" customFormat="1" ht="35.450000000000003" customHeight="1" x14ac:dyDescent="0.2">
      <c r="A88"/>
      <c r="B88"/>
      <c r="C88"/>
      <c r="D88"/>
      <c r="E88"/>
      <c r="F88"/>
      <c r="G88"/>
      <c r="H88"/>
      <c r="I88"/>
      <c r="J88"/>
      <c r="K88"/>
      <c r="L88"/>
      <c r="M88"/>
    </row>
    <row r="89" spans="1:13" s="5" customFormat="1" ht="37.5" customHeight="1" x14ac:dyDescent="0.2">
      <c r="A89" s="4"/>
      <c r="B89" s="4"/>
      <c r="C89" s="4"/>
      <c r="D89" s="4"/>
      <c r="E89" s="4"/>
      <c r="F89" s="4"/>
      <c r="G89" s="4"/>
      <c r="H89" s="4"/>
      <c r="I89" s="3"/>
      <c r="J89" s="3"/>
      <c r="K89" s="2"/>
      <c r="L89" s="1"/>
      <c r="M89" s="1"/>
    </row>
    <row r="90" spans="1:13" x14ac:dyDescent="0.2">
      <c r="A90" s="70" t="s">
        <v>210</v>
      </c>
      <c r="B90" t="s">
        <v>215</v>
      </c>
      <c r="C90" t="s">
        <v>214</v>
      </c>
      <c r="D90" t="s">
        <v>213</v>
      </c>
      <c r="E90" t="s">
        <v>212</v>
      </c>
    </row>
    <row r="91" spans="1:13" x14ac:dyDescent="0.2">
      <c r="A91" s="71" t="s">
        <v>36</v>
      </c>
      <c r="B91">
        <v>18</v>
      </c>
      <c r="C91">
        <v>515</v>
      </c>
      <c r="D91">
        <v>17</v>
      </c>
      <c r="E91">
        <v>477</v>
      </c>
    </row>
    <row r="92" spans="1:13" x14ac:dyDescent="0.2">
      <c r="A92" s="71" t="s">
        <v>39</v>
      </c>
      <c r="B92">
        <v>16</v>
      </c>
      <c r="C92">
        <v>410</v>
      </c>
      <c r="D92">
        <v>17</v>
      </c>
      <c r="E92">
        <v>352</v>
      </c>
    </row>
    <row r="93" spans="1:13" x14ac:dyDescent="0.2">
      <c r="A93" s="71" t="s">
        <v>21</v>
      </c>
      <c r="B93">
        <v>17</v>
      </c>
      <c r="C93">
        <v>525</v>
      </c>
      <c r="D93">
        <v>18</v>
      </c>
      <c r="E93">
        <v>456</v>
      </c>
    </row>
    <row r="94" spans="1:13" x14ac:dyDescent="0.2">
      <c r="A94" s="71" t="s">
        <v>136</v>
      </c>
      <c r="B94">
        <v>10</v>
      </c>
      <c r="C94">
        <v>330</v>
      </c>
      <c r="D94">
        <v>11</v>
      </c>
      <c r="E94">
        <v>260</v>
      </c>
    </row>
    <row r="95" spans="1:13" x14ac:dyDescent="0.2">
      <c r="A95" s="71" t="s">
        <v>42</v>
      </c>
      <c r="B95">
        <v>14</v>
      </c>
      <c r="C95">
        <v>450</v>
      </c>
      <c r="D95">
        <v>16</v>
      </c>
      <c r="E95">
        <v>395</v>
      </c>
    </row>
    <row r="96" spans="1:13" x14ac:dyDescent="0.2">
      <c r="A96" s="71" t="s">
        <v>30</v>
      </c>
      <c r="B96">
        <v>12</v>
      </c>
      <c r="C96">
        <v>360</v>
      </c>
      <c r="D96">
        <v>14</v>
      </c>
      <c r="E96">
        <v>304</v>
      </c>
    </row>
    <row r="97" spans="1:13" x14ac:dyDescent="0.2">
      <c r="A97" s="71" t="s">
        <v>211</v>
      </c>
      <c r="B97">
        <v>87</v>
      </c>
      <c r="C97">
        <v>2590</v>
      </c>
      <c r="D97">
        <v>93</v>
      </c>
      <c r="E97">
        <v>2244</v>
      </c>
    </row>
    <row r="98" spans="1:13" x14ac:dyDescent="0.2">
      <c r="A98"/>
      <c r="B98"/>
      <c r="C98"/>
      <c r="D98"/>
      <c r="E98"/>
    </row>
    <row r="99" spans="1:13" x14ac:dyDescent="0.2">
      <c r="A99"/>
      <c r="B99"/>
      <c r="C99"/>
    </row>
    <row r="100" spans="1:13" x14ac:dyDescent="0.2">
      <c r="A100"/>
      <c r="B100"/>
      <c r="C100"/>
    </row>
    <row r="101" spans="1:13" x14ac:dyDescent="0.2">
      <c r="A101"/>
      <c r="B101"/>
      <c r="C101"/>
    </row>
    <row r="102" spans="1:13" x14ac:dyDescent="0.2">
      <c r="A102"/>
      <c r="B102"/>
      <c r="C102"/>
    </row>
    <row r="103" spans="1:13" x14ac:dyDescent="0.2">
      <c r="A103"/>
      <c r="B103"/>
      <c r="C103"/>
    </row>
    <row r="104" spans="1:13" x14ac:dyDescent="0.2">
      <c r="A104"/>
      <c r="B104"/>
      <c r="C104"/>
      <c r="D104"/>
      <c r="E104"/>
      <c r="F104"/>
      <c r="G104"/>
      <c r="H104"/>
      <c r="I104"/>
      <c r="J104"/>
      <c r="K104"/>
      <c r="L104"/>
      <c r="M104"/>
    </row>
    <row r="105" spans="1:13" x14ac:dyDescent="0.2">
      <c r="A105"/>
      <c r="B105"/>
      <c r="C105"/>
      <c r="D105"/>
      <c r="E105"/>
      <c r="F105"/>
      <c r="G105"/>
      <c r="H105"/>
      <c r="I105"/>
      <c r="J105"/>
      <c r="K105"/>
      <c r="L105"/>
      <c r="M105"/>
    </row>
    <row r="106" spans="1:13" x14ac:dyDescent="0.2">
      <c r="A106"/>
      <c r="B106"/>
      <c r="C106"/>
    </row>
    <row r="107" spans="1:13" x14ac:dyDescent="0.2">
      <c r="A107"/>
      <c r="B107"/>
      <c r="C107"/>
    </row>
    <row r="118" spans="1:20" s="4" customFormat="1" ht="30" customHeight="1" x14ac:dyDescent="0.2">
      <c r="I118" s="3"/>
      <c r="J118" s="3"/>
      <c r="K118" s="2"/>
      <c r="L118" s="1"/>
      <c r="M118" s="1"/>
      <c r="N118"/>
      <c r="O118"/>
      <c r="P118"/>
      <c r="Q118"/>
      <c r="R118"/>
      <c r="S118"/>
      <c r="T118"/>
    </row>
    <row r="119" spans="1:20" s="4" customFormat="1" ht="23.25" customHeight="1" x14ac:dyDescent="0.2">
      <c r="I119" s="3"/>
      <c r="J119" s="3"/>
      <c r="K119" s="2"/>
      <c r="L119" s="1"/>
      <c r="M119" s="1"/>
      <c r="N119"/>
      <c r="O119"/>
      <c r="P119"/>
      <c r="Q119"/>
      <c r="R119"/>
      <c r="S119"/>
      <c r="T119"/>
    </row>
    <row r="126" spans="1:20" s="5" customFormat="1" ht="12" customHeight="1" x14ac:dyDescent="0.2">
      <c r="A126" s="4"/>
      <c r="B126" s="4"/>
      <c r="C126" s="4"/>
      <c r="D126" s="4"/>
      <c r="E126" s="4"/>
      <c r="F126" s="4"/>
      <c r="G126" s="4"/>
      <c r="H126" s="4"/>
      <c r="I126" s="3"/>
      <c r="J126" s="3"/>
      <c r="K126" s="2"/>
      <c r="L126" s="1"/>
      <c r="M126" s="1"/>
    </row>
    <row r="130" spans="9:20" x14ac:dyDescent="0.2">
      <c r="Q130" s="42" t="e">
        <f>SUM(#REF!)</f>
        <v>#REF!</v>
      </c>
      <c r="R130" s="42" t="e">
        <f>SUM(#REF!)</f>
        <v>#REF!</v>
      </c>
      <c r="S130" s="42" t="e">
        <f>SUM(#REF!)</f>
        <v>#REF!</v>
      </c>
      <c r="T130" s="42" t="e">
        <f>SUM(#REF!)</f>
        <v>#REF!</v>
      </c>
    </row>
    <row r="131" spans="9:20" ht="35.25" customHeight="1" x14ac:dyDescent="0.2"/>
    <row r="132" spans="9:20" ht="36.75" customHeight="1" x14ac:dyDescent="0.2"/>
    <row r="133" spans="9:20" ht="33.75" customHeight="1" x14ac:dyDescent="0.2"/>
    <row r="134" spans="9:20" ht="26.25" customHeight="1" x14ac:dyDescent="0.2"/>
    <row r="135" spans="9:20" ht="27.75" customHeight="1" x14ac:dyDescent="0.2"/>
    <row r="136" spans="9:20" s="4" customFormat="1" ht="40.5" customHeight="1" x14ac:dyDescent="0.2">
      <c r="I136" s="3"/>
      <c r="J136" s="3"/>
      <c r="K136" s="2"/>
      <c r="L136" s="1"/>
      <c r="M136" s="1"/>
      <c r="N136"/>
      <c r="O136"/>
      <c r="P136"/>
      <c r="Q136"/>
      <c r="R136"/>
      <c r="S136"/>
      <c r="T136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7C4D4-19EB-4BDF-B2CD-F968D2E846C2}">
  <dimension ref="A1:T139"/>
  <sheetViews>
    <sheetView topLeftCell="A6" zoomScale="84" zoomScaleNormal="76" workbookViewId="0">
      <selection activeCell="B10" sqref="B10"/>
    </sheetView>
  </sheetViews>
  <sheetFormatPr baseColWidth="10" defaultColWidth="11.42578125" defaultRowHeight="12.75" x14ac:dyDescent="0.2"/>
  <cols>
    <col min="1" max="1" width="18.7109375" style="4" bestFit="1" customWidth="1"/>
    <col min="2" max="2" width="45.42578125" style="4" bestFit="1" customWidth="1"/>
    <col min="3" max="3" width="36.7109375" style="4" bestFit="1" customWidth="1"/>
    <col min="4" max="4" width="21.28515625" style="4" bestFit="1" customWidth="1"/>
    <col min="5" max="5" width="21.570312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26"/>
      <c r="B1" s="128" t="s">
        <v>0</v>
      </c>
      <c r="C1" s="128"/>
      <c r="D1" s="128"/>
      <c r="E1" s="128"/>
      <c r="F1" s="128"/>
      <c r="G1" s="128"/>
      <c r="H1" s="128"/>
      <c r="I1" s="128"/>
      <c r="J1" s="128"/>
      <c r="K1" s="128"/>
      <c r="L1" s="130"/>
      <c r="M1" s="131"/>
    </row>
    <row r="2" spans="1:20" ht="20.25" customHeight="1" x14ac:dyDescent="0.2">
      <c r="A2" s="127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32"/>
      <c r="M2" s="133"/>
    </row>
    <row r="3" spans="1:20" ht="12.75" customHeight="1" x14ac:dyDescent="0.2">
      <c r="A3" s="134" t="s">
        <v>1</v>
      </c>
      <c r="B3" s="136" t="s">
        <v>2</v>
      </c>
      <c r="C3" s="136"/>
      <c r="D3" s="136"/>
      <c r="E3" s="136"/>
      <c r="F3" s="136"/>
      <c r="G3" s="136"/>
      <c r="H3" s="136"/>
      <c r="I3" s="136"/>
      <c r="J3" s="136"/>
      <c r="K3" s="136"/>
      <c r="L3" s="138" t="s">
        <v>3</v>
      </c>
      <c r="M3" s="139"/>
    </row>
    <row r="4" spans="1:20" ht="13.5" thickBot="1" x14ac:dyDescent="0.25">
      <c r="A4" s="135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22" t="s">
        <v>6</v>
      </c>
      <c r="C6" s="122"/>
      <c r="D6" s="122"/>
      <c r="E6" s="122"/>
      <c r="F6" s="122"/>
      <c r="G6" s="122"/>
      <c r="H6" s="123" t="s">
        <v>7</v>
      </c>
      <c r="I6" s="124"/>
      <c r="J6" s="124"/>
      <c r="K6" s="124"/>
      <c r="L6" s="125"/>
      <c r="M6" s="25"/>
    </row>
    <row r="7" spans="1:20" s="14" customFormat="1" ht="49.5" customHeight="1" x14ac:dyDescent="0.2">
      <c r="A7" s="18" cm="1">
        <f t="array" aca="1" ref="A7" ca="1">+A71+A1:L7+A7:L7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474</v>
      </c>
      <c r="B8" s="85" t="s">
        <v>36</v>
      </c>
      <c r="C8" s="85" t="s">
        <v>37</v>
      </c>
      <c r="D8" s="84">
        <v>1</v>
      </c>
      <c r="E8" s="49">
        <v>30</v>
      </c>
      <c r="F8" s="80">
        <v>45945</v>
      </c>
      <c r="G8" s="81">
        <v>0.375</v>
      </c>
      <c r="H8" s="85">
        <v>45943</v>
      </c>
      <c r="I8" s="86">
        <v>0.79166666666666663</v>
      </c>
      <c r="J8" s="87">
        <f>E8-L8</f>
        <v>0</v>
      </c>
      <c r="K8" s="8">
        <v>1</v>
      </c>
      <c r="L8" s="88">
        <v>30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">
      <c r="A9" s="23" t="s">
        <v>474</v>
      </c>
      <c r="B9" s="85" t="s">
        <v>30</v>
      </c>
      <c r="C9" s="85" t="s">
        <v>31</v>
      </c>
      <c r="D9" s="84">
        <v>1</v>
      </c>
      <c r="E9" s="49">
        <v>30</v>
      </c>
      <c r="F9" s="80">
        <v>45945</v>
      </c>
      <c r="G9" s="81">
        <v>0.375</v>
      </c>
      <c r="H9" s="85">
        <v>45943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475</v>
      </c>
      <c r="O9" s="5" t="s">
        <v>155</v>
      </c>
    </row>
    <row r="10" spans="1:20" s="5" customFormat="1" ht="78.75" customHeight="1" x14ac:dyDescent="0.2">
      <c r="A10" s="79" t="s">
        <v>473</v>
      </c>
      <c r="B10" s="53" t="s">
        <v>36</v>
      </c>
      <c r="C10" s="53" t="s">
        <v>37</v>
      </c>
      <c r="D10" s="84">
        <v>1</v>
      </c>
      <c r="E10" s="49">
        <v>30</v>
      </c>
      <c r="F10" s="80">
        <v>45945</v>
      </c>
      <c r="G10" s="81">
        <v>0.375</v>
      </c>
      <c r="H10" s="80">
        <v>45943</v>
      </c>
      <c r="I10" s="81">
        <v>0.41666666666666669</v>
      </c>
      <c r="J10" s="87">
        <f t="shared" ref="J10:J66" si="0">E10-L10</f>
        <v>2</v>
      </c>
      <c r="K10" s="53">
        <v>1</v>
      </c>
      <c r="L10" s="53">
        <v>28</v>
      </c>
      <c r="M10" s="79" t="s">
        <v>476</v>
      </c>
    </row>
    <row r="11" spans="1:20" s="5" customFormat="1" ht="75" customHeight="1" x14ac:dyDescent="0.2">
      <c r="A11" s="79" t="s">
        <v>473</v>
      </c>
      <c r="B11" s="53" t="s">
        <v>42</v>
      </c>
      <c r="C11" s="53" t="s">
        <v>43</v>
      </c>
      <c r="D11" s="84">
        <v>1</v>
      </c>
      <c r="E11" s="49">
        <v>30</v>
      </c>
      <c r="F11" s="80">
        <v>45945</v>
      </c>
      <c r="G11" s="81">
        <v>0.375</v>
      </c>
      <c r="H11" s="80">
        <v>45943</v>
      </c>
      <c r="I11" s="81">
        <v>0.41666666666666669</v>
      </c>
      <c r="J11" s="87">
        <f t="shared" si="0"/>
        <v>2</v>
      </c>
      <c r="K11" s="53">
        <v>1</v>
      </c>
      <c r="L11" s="53">
        <v>28</v>
      </c>
      <c r="M11" s="79" t="s">
        <v>476</v>
      </c>
    </row>
    <row r="12" spans="1:20" s="5" customFormat="1" ht="84.75" customHeight="1" x14ac:dyDescent="0.2">
      <c r="A12" s="108" t="s">
        <v>477</v>
      </c>
      <c r="B12" s="53" t="s">
        <v>36</v>
      </c>
      <c r="C12" s="53" t="s">
        <v>37</v>
      </c>
      <c r="D12" s="84">
        <v>1</v>
      </c>
      <c r="E12" s="49">
        <v>30</v>
      </c>
      <c r="F12" s="80">
        <v>45945</v>
      </c>
      <c r="G12" s="81">
        <v>0.375</v>
      </c>
      <c r="H12" s="80">
        <v>45943</v>
      </c>
      <c r="I12" s="81">
        <v>0.4375</v>
      </c>
      <c r="J12" s="87">
        <f t="shared" si="0"/>
        <v>1</v>
      </c>
      <c r="K12" s="53">
        <v>1</v>
      </c>
      <c r="L12" s="53">
        <v>29</v>
      </c>
      <c r="M12" s="79" t="s">
        <v>478</v>
      </c>
    </row>
    <row r="13" spans="1:20" s="5" customFormat="1" ht="81.75" customHeight="1" x14ac:dyDescent="0.2">
      <c r="A13" s="79" t="s">
        <v>477</v>
      </c>
      <c r="B13" s="53" t="s">
        <v>42</v>
      </c>
      <c r="C13" s="53" t="s">
        <v>43</v>
      </c>
      <c r="D13" s="84">
        <v>1</v>
      </c>
      <c r="E13" s="49">
        <v>30</v>
      </c>
      <c r="F13" s="80">
        <v>45945</v>
      </c>
      <c r="G13" s="81">
        <v>0.375</v>
      </c>
      <c r="H13" s="80">
        <v>45943</v>
      </c>
      <c r="I13" s="81">
        <v>0.4375</v>
      </c>
      <c r="J13" s="87">
        <f t="shared" si="0"/>
        <v>1</v>
      </c>
      <c r="K13" s="53">
        <v>1</v>
      </c>
      <c r="L13" s="53">
        <v>29</v>
      </c>
      <c r="M13" s="79" t="s">
        <v>478</v>
      </c>
    </row>
    <row r="14" spans="1:20" s="5" customFormat="1" ht="61.5" customHeight="1" x14ac:dyDescent="0.2">
      <c r="A14" s="79" t="s">
        <v>479</v>
      </c>
      <c r="B14" s="53" t="s">
        <v>30</v>
      </c>
      <c r="C14" s="53" t="s">
        <v>31</v>
      </c>
      <c r="D14" s="84">
        <v>1</v>
      </c>
      <c r="E14" s="49">
        <v>30</v>
      </c>
      <c r="F14" s="80">
        <v>45945</v>
      </c>
      <c r="G14" s="81">
        <v>0.375</v>
      </c>
      <c r="H14" s="80">
        <v>45943</v>
      </c>
      <c r="I14" s="81">
        <v>0.41666666666666669</v>
      </c>
      <c r="J14" s="87">
        <f t="shared" si="0"/>
        <v>3</v>
      </c>
      <c r="K14" s="53">
        <v>2</v>
      </c>
      <c r="L14" s="53">
        <v>27</v>
      </c>
      <c r="M14" s="79" t="s">
        <v>480</v>
      </c>
    </row>
    <row r="15" spans="1:20" s="5" customFormat="1" ht="61.5" customHeight="1" x14ac:dyDescent="0.2">
      <c r="A15" s="79" t="s">
        <v>479</v>
      </c>
      <c r="B15" s="53" t="s">
        <v>39</v>
      </c>
      <c r="C15" s="53" t="s">
        <v>40</v>
      </c>
      <c r="D15" s="84">
        <v>1</v>
      </c>
      <c r="E15" s="49">
        <v>30</v>
      </c>
      <c r="F15" s="80">
        <v>45945</v>
      </c>
      <c r="G15" s="81">
        <v>0.375</v>
      </c>
      <c r="H15" s="80">
        <v>45943</v>
      </c>
      <c r="I15" s="81">
        <v>0.41666666666666669</v>
      </c>
      <c r="J15" s="87">
        <f t="shared" si="0"/>
        <v>3</v>
      </c>
      <c r="K15" s="53">
        <v>2</v>
      </c>
      <c r="L15" s="53">
        <v>27</v>
      </c>
      <c r="M15" s="79" t="s">
        <v>480</v>
      </c>
    </row>
    <row r="16" spans="1:20" s="5" customFormat="1" ht="63" customHeight="1" x14ac:dyDescent="0.2">
      <c r="A16" s="107" t="s">
        <v>481</v>
      </c>
      <c r="B16" s="53" t="s">
        <v>21</v>
      </c>
      <c r="C16" s="53" t="s">
        <v>22</v>
      </c>
      <c r="D16" s="84">
        <v>1</v>
      </c>
      <c r="E16" s="49">
        <v>30</v>
      </c>
      <c r="F16" s="80">
        <v>45945</v>
      </c>
      <c r="G16" s="81">
        <v>0.375</v>
      </c>
      <c r="H16" s="80">
        <v>45943</v>
      </c>
      <c r="I16" s="81">
        <v>0.41666666666666669</v>
      </c>
      <c r="J16" s="87">
        <f t="shared" si="0"/>
        <v>0</v>
      </c>
      <c r="K16" s="53">
        <v>2</v>
      </c>
      <c r="L16" s="53">
        <v>30</v>
      </c>
      <c r="M16" s="79" t="s">
        <v>482</v>
      </c>
    </row>
    <row r="17" spans="1:13" s="5" customFormat="1" ht="63" customHeight="1" x14ac:dyDescent="0.2">
      <c r="A17" s="107" t="s">
        <v>481</v>
      </c>
      <c r="B17" s="53" t="s">
        <v>136</v>
      </c>
      <c r="C17" s="53" t="s">
        <v>34</v>
      </c>
      <c r="D17" s="84">
        <v>1</v>
      </c>
      <c r="E17" s="49">
        <v>30</v>
      </c>
      <c r="F17" s="80">
        <v>45945</v>
      </c>
      <c r="G17" s="81">
        <v>0.375</v>
      </c>
      <c r="H17" s="80">
        <v>45943</v>
      </c>
      <c r="I17" s="81">
        <v>0.41666666666666669</v>
      </c>
      <c r="J17" s="87">
        <f t="shared" si="0"/>
        <v>0</v>
      </c>
      <c r="K17" s="53">
        <v>2</v>
      </c>
      <c r="L17" s="53">
        <v>30</v>
      </c>
      <c r="M17" s="79" t="s">
        <v>482</v>
      </c>
    </row>
    <row r="18" spans="1:13" s="5" customFormat="1" ht="75" customHeight="1" x14ac:dyDescent="0.2">
      <c r="A18" s="107" t="s">
        <v>483</v>
      </c>
      <c r="B18" s="53" t="s">
        <v>21</v>
      </c>
      <c r="C18" s="53" t="s">
        <v>22</v>
      </c>
      <c r="D18" s="84">
        <v>1</v>
      </c>
      <c r="E18" s="49">
        <v>30</v>
      </c>
      <c r="F18" s="80">
        <v>45945</v>
      </c>
      <c r="G18" s="81">
        <v>0.375</v>
      </c>
      <c r="H18" s="80">
        <v>45943</v>
      </c>
      <c r="I18" s="81">
        <v>0.4375</v>
      </c>
      <c r="J18" s="87">
        <f t="shared" si="0"/>
        <v>4</v>
      </c>
      <c r="K18" s="53">
        <v>1</v>
      </c>
      <c r="L18" s="53">
        <v>26</v>
      </c>
      <c r="M18" s="79" t="s">
        <v>484</v>
      </c>
    </row>
    <row r="19" spans="1:13" s="5" customFormat="1" ht="72.75" customHeight="1" x14ac:dyDescent="0.2">
      <c r="A19" s="109" t="s">
        <v>483</v>
      </c>
      <c r="B19" s="53" t="s">
        <v>136</v>
      </c>
      <c r="C19" s="53" t="s">
        <v>34</v>
      </c>
      <c r="D19" s="84">
        <v>1</v>
      </c>
      <c r="E19" s="49">
        <v>30</v>
      </c>
      <c r="F19" s="80">
        <v>45945</v>
      </c>
      <c r="G19" s="81">
        <v>0.375</v>
      </c>
      <c r="H19" s="80">
        <v>45943</v>
      </c>
      <c r="I19" s="81">
        <v>0.4375</v>
      </c>
      <c r="J19" s="87">
        <f t="shared" si="0"/>
        <v>4</v>
      </c>
      <c r="K19" s="53">
        <v>1</v>
      </c>
      <c r="L19" s="53">
        <v>26</v>
      </c>
      <c r="M19" s="79" t="s">
        <v>484</v>
      </c>
    </row>
    <row r="20" spans="1:13" s="5" customFormat="1" ht="77.25" customHeight="1" x14ac:dyDescent="0.2">
      <c r="A20" s="79" t="s">
        <v>485</v>
      </c>
      <c r="B20" s="53" t="s">
        <v>21</v>
      </c>
      <c r="C20" s="53" t="s">
        <v>22</v>
      </c>
      <c r="D20" s="84">
        <v>1</v>
      </c>
      <c r="E20" s="49">
        <v>30</v>
      </c>
      <c r="F20" s="80">
        <v>45945</v>
      </c>
      <c r="G20" s="81">
        <v>0.375</v>
      </c>
      <c r="H20" s="80">
        <v>45943</v>
      </c>
      <c r="I20" s="81">
        <v>0.45833333333333331</v>
      </c>
      <c r="J20" s="87">
        <f t="shared" si="0"/>
        <v>0</v>
      </c>
      <c r="K20" s="53">
        <v>1</v>
      </c>
      <c r="L20" s="53">
        <v>30</v>
      </c>
      <c r="M20" s="79" t="s">
        <v>486</v>
      </c>
    </row>
    <row r="21" spans="1:13" s="5" customFormat="1" ht="70.5" customHeight="1" x14ac:dyDescent="0.2">
      <c r="A21" s="79" t="s">
        <v>485</v>
      </c>
      <c r="B21" s="53" t="s">
        <v>136</v>
      </c>
      <c r="C21" s="53" t="s">
        <v>34</v>
      </c>
      <c r="D21" s="84">
        <v>1</v>
      </c>
      <c r="E21" s="49">
        <v>30</v>
      </c>
      <c r="F21" s="80">
        <v>45945</v>
      </c>
      <c r="G21" s="81">
        <v>0.375</v>
      </c>
      <c r="H21" s="80">
        <v>45943</v>
      </c>
      <c r="I21" s="81">
        <v>0.45833333333333331</v>
      </c>
      <c r="J21" s="87">
        <f t="shared" si="0"/>
        <v>0</v>
      </c>
      <c r="K21" s="53">
        <v>1</v>
      </c>
      <c r="L21" s="53">
        <v>30</v>
      </c>
      <c r="M21" s="79" t="s">
        <v>486</v>
      </c>
    </row>
    <row r="22" spans="1:13" s="5" customFormat="1" ht="66" customHeight="1" x14ac:dyDescent="0.2">
      <c r="A22" s="79" t="s">
        <v>487</v>
      </c>
      <c r="B22" s="53" t="s">
        <v>36</v>
      </c>
      <c r="C22" s="53" t="s">
        <v>37</v>
      </c>
      <c r="D22" s="84">
        <v>1</v>
      </c>
      <c r="E22" s="49">
        <v>30</v>
      </c>
      <c r="F22" s="80">
        <v>45945</v>
      </c>
      <c r="G22" s="81">
        <v>0.375</v>
      </c>
      <c r="H22" s="80">
        <v>45943</v>
      </c>
      <c r="I22" s="81">
        <v>0.45833333333333331</v>
      </c>
      <c r="J22" s="87">
        <f t="shared" si="0"/>
        <v>2</v>
      </c>
      <c r="K22" s="53">
        <v>1</v>
      </c>
      <c r="L22" s="53">
        <v>28</v>
      </c>
      <c r="M22" s="79" t="s">
        <v>488</v>
      </c>
    </row>
    <row r="23" spans="1:13" s="5" customFormat="1" ht="69" customHeight="1" x14ac:dyDescent="0.2">
      <c r="A23" s="79" t="s">
        <v>487</v>
      </c>
      <c r="B23" s="53" t="s">
        <v>42</v>
      </c>
      <c r="C23" s="53" t="s">
        <v>43</v>
      </c>
      <c r="D23" s="84">
        <v>1</v>
      </c>
      <c r="E23" s="49">
        <v>30</v>
      </c>
      <c r="F23" s="80">
        <v>45945</v>
      </c>
      <c r="G23" s="81">
        <v>0.375</v>
      </c>
      <c r="H23" s="80">
        <v>45943</v>
      </c>
      <c r="I23" s="81">
        <v>0.45833333333333331</v>
      </c>
      <c r="J23" s="87">
        <f t="shared" si="0"/>
        <v>2</v>
      </c>
      <c r="K23" s="53">
        <v>1</v>
      </c>
      <c r="L23" s="53">
        <v>28</v>
      </c>
      <c r="M23" s="79" t="s">
        <v>488</v>
      </c>
    </row>
    <row r="24" spans="1:13" s="5" customFormat="1" ht="60" customHeight="1" x14ac:dyDescent="0.2">
      <c r="A24" s="79" t="s">
        <v>489</v>
      </c>
      <c r="B24" s="53" t="s">
        <v>36</v>
      </c>
      <c r="C24" s="53" t="s">
        <v>37</v>
      </c>
      <c r="D24" s="84">
        <v>1</v>
      </c>
      <c r="E24" s="49">
        <v>30</v>
      </c>
      <c r="F24" s="80">
        <v>45945</v>
      </c>
      <c r="G24" s="81">
        <v>0.375</v>
      </c>
      <c r="H24" s="80">
        <v>45943</v>
      </c>
      <c r="I24" s="81">
        <v>0.47916666666666669</v>
      </c>
      <c r="J24" s="87">
        <f t="shared" si="0"/>
        <v>2</v>
      </c>
      <c r="K24" s="53">
        <v>1</v>
      </c>
      <c r="L24" s="53">
        <v>28</v>
      </c>
      <c r="M24" s="79" t="s">
        <v>490</v>
      </c>
    </row>
    <row r="25" spans="1:13" s="5" customFormat="1" ht="59.25" customHeight="1" x14ac:dyDescent="0.2">
      <c r="A25" s="79" t="s">
        <v>489</v>
      </c>
      <c r="B25" s="53" t="s">
        <v>42</v>
      </c>
      <c r="C25" s="53" t="s">
        <v>43</v>
      </c>
      <c r="D25" s="84">
        <v>1</v>
      </c>
      <c r="E25" s="49">
        <v>30</v>
      </c>
      <c r="F25" s="80">
        <v>45945</v>
      </c>
      <c r="G25" s="81">
        <v>0.375</v>
      </c>
      <c r="H25" s="80">
        <v>45943</v>
      </c>
      <c r="I25" s="81">
        <v>0.47916666666666669</v>
      </c>
      <c r="J25" s="87">
        <f t="shared" si="0"/>
        <v>2</v>
      </c>
      <c r="K25" s="53">
        <v>1</v>
      </c>
      <c r="L25" s="53">
        <v>28</v>
      </c>
      <c r="M25" s="79" t="s">
        <v>490</v>
      </c>
    </row>
    <row r="26" spans="1:13" s="5" customFormat="1" ht="89.25" customHeight="1" x14ac:dyDescent="0.2">
      <c r="A26" s="79" t="s">
        <v>491</v>
      </c>
      <c r="B26" s="53" t="s">
        <v>21</v>
      </c>
      <c r="C26" s="53" t="s">
        <v>22</v>
      </c>
      <c r="D26" s="84">
        <v>1</v>
      </c>
      <c r="E26" s="49">
        <v>30</v>
      </c>
      <c r="F26" s="80">
        <v>45945</v>
      </c>
      <c r="G26" s="81">
        <v>0.375</v>
      </c>
      <c r="H26" s="80">
        <v>45943</v>
      </c>
      <c r="I26" s="81">
        <v>0.75</v>
      </c>
      <c r="J26" s="87">
        <f t="shared" si="0"/>
        <v>0</v>
      </c>
      <c r="K26" s="53">
        <v>1</v>
      </c>
      <c r="L26" s="53">
        <v>30</v>
      </c>
      <c r="M26" s="79" t="s">
        <v>492</v>
      </c>
    </row>
    <row r="27" spans="1:13" s="5" customFormat="1" ht="87" customHeight="1" x14ac:dyDescent="0.2">
      <c r="A27" s="79" t="s">
        <v>491</v>
      </c>
      <c r="B27" s="53" t="s">
        <v>30</v>
      </c>
      <c r="C27" s="53" t="s">
        <v>31</v>
      </c>
      <c r="D27" s="84">
        <v>1</v>
      </c>
      <c r="E27" s="49">
        <v>30</v>
      </c>
      <c r="F27" s="80">
        <v>45945</v>
      </c>
      <c r="G27" s="81">
        <v>0.375</v>
      </c>
      <c r="H27" s="80">
        <v>45943</v>
      </c>
      <c r="I27" s="81">
        <v>0.75</v>
      </c>
      <c r="J27" s="87">
        <f t="shared" si="0"/>
        <v>0</v>
      </c>
      <c r="K27" s="53">
        <v>1</v>
      </c>
      <c r="L27" s="53">
        <v>30</v>
      </c>
      <c r="M27" s="79" t="s">
        <v>492</v>
      </c>
    </row>
    <row r="28" spans="1:13" s="5" customFormat="1" ht="48.75" customHeight="1" x14ac:dyDescent="0.2">
      <c r="A28" s="79" t="s">
        <v>491</v>
      </c>
      <c r="B28" s="53" t="s">
        <v>136</v>
      </c>
      <c r="C28" s="53" t="s">
        <v>34</v>
      </c>
      <c r="D28" s="84">
        <v>1</v>
      </c>
      <c r="E28" s="49">
        <v>30</v>
      </c>
      <c r="F28" s="80">
        <v>45945</v>
      </c>
      <c r="G28" s="81">
        <v>0.375</v>
      </c>
      <c r="H28" s="80">
        <v>45943</v>
      </c>
      <c r="I28" s="81">
        <v>0.75</v>
      </c>
      <c r="J28" s="87">
        <f t="shared" si="0"/>
        <v>0</v>
      </c>
      <c r="K28" s="53">
        <v>1</v>
      </c>
      <c r="L28" s="53">
        <v>30</v>
      </c>
      <c r="M28" s="79" t="s">
        <v>492</v>
      </c>
    </row>
    <row r="29" spans="1:13" s="5" customFormat="1" ht="36.75" customHeight="1" x14ac:dyDescent="0.2">
      <c r="A29" s="79" t="s">
        <v>491</v>
      </c>
      <c r="B29" s="53" t="s">
        <v>39</v>
      </c>
      <c r="C29" s="53" t="s">
        <v>40</v>
      </c>
      <c r="D29" s="84">
        <v>1</v>
      </c>
      <c r="E29" s="49">
        <v>30</v>
      </c>
      <c r="F29" s="80">
        <v>45945</v>
      </c>
      <c r="G29" s="81">
        <v>0.375</v>
      </c>
      <c r="H29" s="80">
        <v>45943</v>
      </c>
      <c r="I29" s="81">
        <v>0.75</v>
      </c>
      <c r="J29" s="87">
        <f t="shared" si="0"/>
        <v>0</v>
      </c>
      <c r="K29" s="53">
        <v>1</v>
      </c>
      <c r="L29" s="53">
        <v>30</v>
      </c>
      <c r="M29" s="79" t="s">
        <v>492</v>
      </c>
    </row>
    <row r="30" spans="1:13" s="5" customFormat="1" ht="37.5" customHeight="1" x14ac:dyDescent="0.2">
      <c r="A30" s="79" t="s">
        <v>491</v>
      </c>
      <c r="B30" s="53" t="s">
        <v>36</v>
      </c>
      <c r="C30" s="53" t="s">
        <v>37</v>
      </c>
      <c r="D30" s="84">
        <v>1</v>
      </c>
      <c r="E30" s="49">
        <v>30</v>
      </c>
      <c r="F30" s="80">
        <v>45945</v>
      </c>
      <c r="G30" s="81">
        <v>0.375</v>
      </c>
      <c r="H30" s="80">
        <v>45943</v>
      </c>
      <c r="I30" s="81">
        <v>0.75</v>
      </c>
      <c r="J30" s="87">
        <f t="shared" si="0"/>
        <v>0</v>
      </c>
      <c r="K30" s="53">
        <v>1</v>
      </c>
      <c r="L30" s="53">
        <v>30</v>
      </c>
      <c r="M30" s="79" t="s">
        <v>492</v>
      </c>
    </row>
    <row r="31" spans="1:13" s="5" customFormat="1" ht="38.25" customHeight="1" x14ac:dyDescent="0.2">
      <c r="A31" s="79" t="s">
        <v>491</v>
      </c>
      <c r="B31" s="53" t="s">
        <v>42</v>
      </c>
      <c r="C31" s="53" t="s">
        <v>43</v>
      </c>
      <c r="D31" s="84">
        <v>1</v>
      </c>
      <c r="E31" s="49">
        <v>30</v>
      </c>
      <c r="F31" s="80">
        <v>45945</v>
      </c>
      <c r="G31" s="81">
        <v>0.375</v>
      </c>
      <c r="H31" s="80">
        <v>45943</v>
      </c>
      <c r="I31" s="81">
        <v>0.75</v>
      </c>
      <c r="J31" s="87">
        <f t="shared" si="0"/>
        <v>0</v>
      </c>
      <c r="K31" s="53">
        <v>1</v>
      </c>
      <c r="L31" s="53">
        <v>30</v>
      </c>
      <c r="M31" s="79" t="s">
        <v>492</v>
      </c>
    </row>
    <row r="32" spans="1:13" s="5" customFormat="1" ht="38.25" customHeight="1" x14ac:dyDescent="0.2">
      <c r="A32" s="79" t="s">
        <v>493</v>
      </c>
      <c r="B32" s="53" t="s">
        <v>21</v>
      </c>
      <c r="C32" s="53" t="s">
        <v>22</v>
      </c>
      <c r="D32" s="84">
        <v>1</v>
      </c>
      <c r="E32" s="49">
        <v>30</v>
      </c>
      <c r="F32" s="80">
        <v>45945</v>
      </c>
      <c r="G32" s="81">
        <v>0.375</v>
      </c>
      <c r="H32" s="80">
        <v>45943</v>
      </c>
      <c r="I32" s="81">
        <v>0.77083333333333337</v>
      </c>
      <c r="J32" s="87">
        <f t="shared" si="0"/>
        <v>2</v>
      </c>
      <c r="K32" s="53">
        <v>2</v>
      </c>
      <c r="L32" s="53">
        <v>28</v>
      </c>
      <c r="M32" s="79" t="s">
        <v>494</v>
      </c>
    </row>
    <row r="33" spans="1:13" s="5" customFormat="1" ht="38.25" customHeight="1" x14ac:dyDescent="0.2">
      <c r="A33" s="79" t="s">
        <v>493</v>
      </c>
      <c r="B33" s="53" t="s">
        <v>30</v>
      </c>
      <c r="C33" s="53" t="s">
        <v>31</v>
      </c>
      <c r="D33" s="84">
        <v>1</v>
      </c>
      <c r="E33" s="49">
        <v>30</v>
      </c>
      <c r="F33" s="80">
        <v>45945</v>
      </c>
      <c r="G33" s="81">
        <v>0.375</v>
      </c>
      <c r="H33" s="80">
        <v>45943</v>
      </c>
      <c r="I33" s="81">
        <v>0.77083333333333337</v>
      </c>
      <c r="J33" s="87">
        <f t="shared" si="0"/>
        <v>2</v>
      </c>
      <c r="K33" s="53">
        <v>2</v>
      </c>
      <c r="L33" s="53">
        <v>28</v>
      </c>
      <c r="M33" s="79" t="s">
        <v>494</v>
      </c>
    </row>
    <row r="34" spans="1:13" s="5" customFormat="1" ht="44.25" customHeight="1" x14ac:dyDescent="0.2">
      <c r="A34" s="79" t="s">
        <v>493</v>
      </c>
      <c r="B34" s="53" t="s">
        <v>136</v>
      </c>
      <c r="C34" s="53" t="s">
        <v>34</v>
      </c>
      <c r="D34" s="84">
        <v>1</v>
      </c>
      <c r="E34" s="49">
        <v>30</v>
      </c>
      <c r="F34" s="80">
        <v>45945</v>
      </c>
      <c r="G34" s="81">
        <v>0.375</v>
      </c>
      <c r="H34" s="80">
        <v>45943</v>
      </c>
      <c r="I34" s="81">
        <v>0.77083333333333337</v>
      </c>
      <c r="J34" s="87">
        <f t="shared" si="0"/>
        <v>2</v>
      </c>
      <c r="K34" s="53">
        <v>2</v>
      </c>
      <c r="L34" s="53">
        <v>28</v>
      </c>
      <c r="M34" s="79" t="s">
        <v>494</v>
      </c>
    </row>
    <row r="35" spans="1:13" s="5" customFormat="1" ht="55.5" customHeight="1" x14ac:dyDescent="0.2">
      <c r="A35" s="79" t="s">
        <v>493</v>
      </c>
      <c r="B35" s="53" t="s">
        <v>39</v>
      </c>
      <c r="C35" s="53" t="s">
        <v>40</v>
      </c>
      <c r="D35" s="84">
        <v>1</v>
      </c>
      <c r="E35" s="49">
        <v>30</v>
      </c>
      <c r="F35" s="80">
        <v>45945</v>
      </c>
      <c r="G35" s="81">
        <v>0.375</v>
      </c>
      <c r="H35" s="80">
        <v>45943</v>
      </c>
      <c r="I35" s="81">
        <v>0.77083333333333337</v>
      </c>
      <c r="J35" s="87">
        <f t="shared" si="0"/>
        <v>2</v>
      </c>
      <c r="K35" s="53">
        <v>2</v>
      </c>
      <c r="L35" s="53">
        <v>28</v>
      </c>
      <c r="M35" s="79" t="s">
        <v>494</v>
      </c>
    </row>
    <row r="36" spans="1:13" s="5" customFormat="1" ht="39" customHeight="1" x14ac:dyDescent="0.2">
      <c r="A36" s="79" t="s">
        <v>493</v>
      </c>
      <c r="B36" s="53" t="s">
        <v>36</v>
      </c>
      <c r="C36" s="53" t="s">
        <v>37</v>
      </c>
      <c r="D36" s="84">
        <v>1</v>
      </c>
      <c r="E36" s="49">
        <v>30</v>
      </c>
      <c r="F36" s="80">
        <v>45945</v>
      </c>
      <c r="G36" s="81">
        <v>0.375</v>
      </c>
      <c r="H36" s="80">
        <v>45943</v>
      </c>
      <c r="I36" s="81">
        <v>0.77083333333333337</v>
      </c>
      <c r="J36" s="87">
        <f t="shared" si="0"/>
        <v>2</v>
      </c>
      <c r="K36" s="53">
        <v>2</v>
      </c>
      <c r="L36" s="53">
        <v>28</v>
      </c>
      <c r="M36" s="79" t="s">
        <v>494</v>
      </c>
    </row>
    <row r="37" spans="1:13" s="5" customFormat="1" ht="42" customHeight="1" x14ac:dyDescent="0.2">
      <c r="A37" s="79" t="s">
        <v>493</v>
      </c>
      <c r="B37" s="53" t="s">
        <v>42</v>
      </c>
      <c r="C37" s="53" t="s">
        <v>43</v>
      </c>
      <c r="D37" s="84">
        <v>1</v>
      </c>
      <c r="E37" s="49">
        <v>30</v>
      </c>
      <c r="F37" s="80">
        <v>45945</v>
      </c>
      <c r="G37" s="81">
        <v>0.375</v>
      </c>
      <c r="H37" s="80">
        <v>45943</v>
      </c>
      <c r="I37" s="81">
        <v>0.77083333333333337</v>
      </c>
      <c r="J37" s="87">
        <f t="shared" si="0"/>
        <v>2</v>
      </c>
      <c r="K37" s="53">
        <v>2</v>
      </c>
      <c r="L37" s="53">
        <v>28</v>
      </c>
      <c r="M37" s="79" t="s">
        <v>494</v>
      </c>
    </row>
    <row r="38" spans="1:13" s="5" customFormat="1" ht="71.25" customHeight="1" x14ac:dyDescent="0.2">
      <c r="A38" s="79" t="s">
        <v>495</v>
      </c>
      <c r="B38" s="53" t="s">
        <v>36</v>
      </c>
      <c r="C38" s="53" t="s">
        <v>37</v>
      </c>
      <c r="D38" s="84">
        <v>1</v>
      </c>
      <c r="E38" s="49">
        <v>30</v>
      </c>
      <c r="F38" s="80">
        <v>45945</v>
      </c>
      <c r="G38" s="81">
        <v>0.375</v>
      </c>
      <c r="H38" s="80">
        <v>45943</v>
      </c>
      <c r="I38" s="81">
        <v>0.5</v>
      </c>
      <c r="J38" s="87">
        <f t="shared" si="0"/>
        <v>5</v>
      </c>
      <c r="K38" s="53">
        <v>1</v>
      </c>
      <c r="L38" s="53">
        <v>25</v>
      </c>
      <c r="M38" s="79" t="s">
        <v>496</v>
      </c>
    </row>
    <row r="39" spans="1:13" s="5" customFormat="1" ht="66" customHeight="1" x14ac:dyDescent="0.2">
      <c r="A39" s="79" t="s">
        <v>495</v>
      </c>
      <c r="B39" s="53" t="s">
        <v>42</v>
      </c>
      <c r="C39" s="53" t="s">
        <v>43</v>
      </c>
      <c r="D39" s="84">
        <v>1</v>
      </c>
      <c r="E39" s="49">
        <v>30</v>
      </c>
      <c r="F39" s="80">
        <v>45945</v>
      </c>
      <c r="G39" s="81">
        <v>0.375</v>
      </c>
      <c r="H39" s="80">
        <v>45943</v>
      </c>
      <c r="I39" s="81">
        <v>0.5</v>
      </c>
      <c r="J39" s="87">
        <f t="shared" si="0"/>
        <v>5</v>
      </c>
      <c r="K39" s="53">
        <v>1</v>
      </c>
      <c r="L39" s="53">
        <v>25</v>
      </c>
      <c r="M39" s="79" t="s">
        <v>496</v>
      </c>
    </row>
    <row r="40" spans="1:13" s="5" customFormat="1" ht="56.25" customHeight="1" x14ac:dyDescent="0.2">
      <c r="A40" s="79" t="s">
        <v>497</v>
      </c>
      <c r="B40" s="53" t="s">
        <v>21</v>
      </c>
      <c r="C40" s="53" t="s">
        <v>43</v>
      </c>
      <c r="D40" s="84">
        <v>1</v>
      </c>
      <c r="E40" s="49">
        <v>30</v>
      </c>
      <c r="F40" s="80">
        <v>45945</v>
      </c>
      <c r="G40" s="81">
        <v>0.375</v>
      </c>
      <c r="H40" s="80">
        <v>45943</v>
      </c>
      <c r="I40" s="81">
        <v>0.79166666666666663</v>
      </c>
      <c r="J40" s="87">
        <f t="shared" si="0"/>
        <v>4</v>
      </c>
      <c r="K40" s="53">
        <v>1</v>
      </c>
      <c r="L40" s="53">
        <v>26</v>
      </c>
      <c r="M40" s="79" t="s">
        <v>498</v>
      </c>
    </row>
    <row r="41" spans="1:13" s="5" customFormat="1" ht="63" customHeight="1" x14ac:dyDescent="0.2">
      <c r="A41" s="79" t="s">
        <v>497</v>
      </c>
      <c r="B41" s="53" t="s">
        <v>30</v>
      </c>
      <c r="C41" s="53" t="s">
        <v>31</v>
      </c>
      <c r="D41" s="84">
        <v>1</v>
      </c>
      <c r="E41" s="49">
        <v>30</v>
      </c>
      <c r="F41" s="80">
        <v>45945</v>
      </c>
      <c r="G41" s="81">
        <v>0.375</v>
      </c>
      <c r="H41" s="80">
        <v>45943</v>
      </c>
      <c r="I41" s="81">
        <v>0.79166666666666663</v>
      </c>
      <c r="J41" s="87">
        <f t="shared" si="0"/>
        <v>4</v>
      </c>
      <c r="K41" s="53">
        <v>1</v>
      </c>
      <c r="L41" s="53">
        <v>26</v>
      </c>
      <c r="M41" s="79" t="s">
        <v>498</v>
      </c>
    </row>
    <row r="42" spans="1:13" s="5" customFormat="1" ht="66" customHeight="1" x14ac:dyDescent="0.2">
      <c r="A42" s="79" t="s">
        <v>497</v>
      </c>
      <c r="B42" s="53" t="s">
        <v>136</v>
      </c>
      <c r="C42" s="53" t="s">
        <v>34</v>
      </c>
      <c r="D42" s="84">
        <v>1</v>
      </c>
      <c r="E42" s="49">
        <v>30</v>
      </c>
      <c r="F42" s="80">
        <v>45945</v>
      </c>
      <c r="G42" s="81">
        <v>0.375</v>
      </c>
      <c r="H42" s="80">
        <v>45943</v>
      </c>
      <c r="I42" s="81">
        <v>0.79166666666666663</v>
      </c>
      <c r="J42" s="87">
        <f t="shared" si="0"/>
        <v>4</v>
      </c>
      <c r="K42" s="53">
        <v>1</v>
      </c>
      <c r="L42" s="53">
        <v>26</v>
      </c>
      <c r="M42" s="79" t="s">
        <v>498</v>
      </c>
    </row>
    <row r="43" spans="1:13" s="5" customFormat="1" ht="58.5" customHeight="1" x14ac:dyDescent="0.2">
      <c r="A43" s="79" t="s">
        <v>497</v>
      </c>
      <c r="B43" s="53" t="s">
        <v>39</v>
      </c>
      <c r="C43" s="53" t="s">
        <v>40</v>
      </c>
      <c r="D43" s="84">
        <v>1</v>
      </c>
      <c r="E43" s="49">
        <v>30</v>
      </c>
      <c r="F43" s="80">
        <v>45945</v>
      </c>
      <c r="G43" s="81">
        <v>0.375</v>
      </c>
      <c r="H43" s="80">
        <v>45943</v>
      </c>
      <c r="I43" s="81">
        <v>0.79166666666666663</v>
      </c>
      <c r="J43" s="87">
        <f t="shared" si="0"/>
        <v>4</v>
      </c>
      <c r="K43" s="53">
        <v>1</v>
      </c>
      <c r="L43" s="53">
        <v>26</v>
      </c>
      <c r="M43" s="79" t="s">
        <v>498</v>
      </c>
    </row>
    <row r="44" spans="1:13" s="5" customFormat="1" ht="57" customHeight="1" x14ac:dyDescent="0.2">
      <c r="A44" s="79" t="s">
        <v>497</v>
      </c>
      <c r="B44" s="53" t="s">
        <v>36</v>
      </c>
      <c r="C44" s="53" t="s">
        <v>37</v>
      </c>
      <c r="D44" s="84">
        <v>1</v>
      </c>
      <c r="E44" s="49">
        <v>30</v>
      </c>
      <c r="F44" s="80">
        <v>45945</v>
      </c>
      <c r="G44" s="81">
        <v>0.375</v>
      </c>
      <c r="H44" s="80">
        <v>45943</v>
      </c>
      <c r="I44" s="81">
        <v>0.79166666666666663</v>
      </c>
      <c r="J44" s="87">
        <f t="shared" si="0"/>
        <v>4</v>
      </c>
      <c r="K44" s="53">
        <v>1</v>
      </c>
      <c r="L44" s="53">
        <v>26</v>
      </c>
      <c r="M44" s="79" t="s">
        <v>498</v>
      </c>
    </row>
    <row r="45" spans="1:13" s="5" customFormat="1" ht="55.5" customHeight="1" x14ac:dyDescent="0.2">
      <c r="A45" s="79" t="s">
        <v>497</v>
      </c>
      <c r="B45" s="53" t="s">
        <v>42</v>
      </c>
      <c r="C45" s="53" t="s">
        <v>43</v>
      </c>
      <c r="D45" s="84">
        <v>1</v>
      </c>
      <c r="E45" s="49">
        <v>30</v>
      </c>
      <c r="F45" s="80">
        <v>45945</v>
      </c>
      <c r="G45" s="81">
        <v>0.375</v>
      </c>
      <c r="H45" s="80">
        <v>45943</v>
      </c>
      <c r="I45" s="81">
        <v>0.79166666666666663</v>
      </c>
      <c r="J45" s="87">
        <f t="shared" si="0"/>
        <v>4</v>
      </c>
      <c r="K45" s="53">
        <v>1</v>
      </c>
      <c r="L45" s="53">
        <v>26</v>
      </c>
      <c r="M45" s="79" t="s">
        <v>498</v>
      </c>
    </row>
    <row r="46" spans="1:13" ht="87" customHeight="1" x14ac:dyDescent="0.2">
      <c r="A46" s="79" t="s">
        <v>499</v>
      </c>
      <c r="B46" s="53" t="s">
        <v>21</v>
      </c>
      <c r="C46" s="53" t="s">
        <v>22</v>
      </c>
      <c r="D46" s="84">
        <v>1</v>
      </c>
      <c r="E46" s="49">
        <v>30</v>
      </c>
      <c r="F46" s="80">
        <v>45945</v>
      </c>
      <c r="G46" s="81">
        <v>0.375</v>
      </c>
      <c r="H46" s="80">
        <v>45943</v>
      </c>
      <c r="I46" s="81">
        <v>0.79166666666666663</v>
      </c>
      <c r="J46" s="87">
        <f t="shared" si="0"/>
        <v>0</v>
      </c>
      <c r="K46" s="53">
        <v>1</v>
      </c>
      <c r="L46" s="53">
        <v>30</v>
      </c>
      <c r="M46" s="79" t="s">
        <v>500</v>
      </c>
    </row>
    <row r="47" spans="1:13" s="5" customFormat="1" ht="56.25" customHeight="1" x14ac:dyDescent="0.2">
      <c r="A47" s="79" t="s">
        <v>499</v>
      </c>
      <c r="B47" s="53" t="s">
        <v>30</v>
      </c>
      <c r="C47" s="53" t="s">
        <v>31</v>
      </c>
      <c r="D47" s="84">
        <v>1</v>
      </c>
      <c r="E47" s="49">
        <v>30</v>
      </c>
      <c r="F47" s="80">
        <v>45945</v>
      </c>
      <c r="G47" s="81">
        <v>0.375</v>
      </c>
      <c r="H47" s="80">
        <v>45943</v>
      </c>
      <c r="I47" s="81">
        <v>0.79166666666666663</v>
      </c>
      <c r="J47" s="87">
        <f t="shared" si="0"/>
        <v>0</v>
      </c>
      <c r="K47" s="53">
        <v>1</v>
      </c>
      <c r="L47" s="53">
        <v>30</v>
      </c>
      <c r="M47" s="79" t="s">
        <v>500</v>
      </c>
    </row>
    <row r="48" spans="1:13" s="5" customFormat="1" ht="67.5" customHeight="1" x14ac:dyDescent="0.2">
      <c r="A48" s="79" t="s">
        <v>499</v>
      </c>
      <c r="B48" s="53" t="s">
        <v>136</v>
      </c>
      <c r="C48" s="53" t="s">
        <v>34</v>
      </c>
      <c r="D48" s="84">
        <v>1</v>
      </c>
      <c r="E48" s="49">
        <v>30</v>
      </c>
      <c r="F48" s="80">
        <v>45945</v>
      </c>
      <c r="G48" s="81">
        <v>0.375</v>
      </c>
      <c r="H48" s="80">
        <v>45943</v>
      </c>
      <c r="I48" s="81">
        <v>0.79166666666666663</v>
      </c>
      <c r="J48" s="87">
        <f t="shared" si="0"/>
        <v>0</v>
      </c>
      <c r="K48" s="53">
        <v>1</v>
      </c>
      <c r="L48" s="53">
        <v>30</v>
      </c>
      <c r="M48" s="79" t="s">
        <v>500</v>
      </c>
    </row>
    <row r="49" spans="1:13" s="5" customFormat="1" ht="69.75" customHeight="1" x14ac:dyDescent="0.2">
      <c r="A49" s="79" t="s">
        <v>499</v>
      </c>
      <c r="B49" s="53" t="s">
        <v>39</v>
      </c>
      <c r="C49" s="53" t="s">
        <v>40</v>
      </c>
      <c r="D49" s="84">
        <v>1</v>
      </c>
      <c r="E49" s="49">
        <v>30</v>
      </c>
      <c r="F49" s="80">
        <v>45945</v>
      </c>
      <c r="G49" s="81">
        <v>0.375</v>
      </c>
      <c r="H49" s="80">
        <v>45943</v>
      </c>
      <c r="I49" s="81">
        <v>0.79166666666666663</v>
      </c>
      <c r="J49" s="87">
        <f t="shared" si="0"/>
        <v>0</v>
      </c>
      <c r="K49" s="53">
        <v>1</v>
      </c>
      <c r="L49" s="53">
        <v>30</v>
      </c>
      <c r="M49" s="79" t="s">
        <v>500</v>
      </c>
    </row>
    <row r="50" spans="1:13" s="5" customFormat="1" ht="61.5" customHeight="1" x14ac:dyDescent="0.2">
      <c r="A50" s="79" t="s">
        <v>499</v>
      </c>
      <c r="B50" s="53" t="s">
        <v>36</v>
      </c>
      <c r="C50" s="53" t="s">
        <v>37</v>
      </c>
      <c r="D50" s="84">
        <v>1</v>
      </c>
      <c r="E50" s="49">
        <v>30</v>
      </c>
      <c r="F50" s="80">
        <v>45945</v>
      </c>
      <c r="G50" s="81">
        <v>0.375</v>
      </c>
      <c r="H50" s="80">
        <v>45943</v>
      </c>
      <c r="I50" s="81">
        <v>0.79166666666666663</v>
      </c>
      <c r="J50" s="87">
        <f t="shared" si="0"/>
        <v>0</v>
      </c>
      <c r="K50" s="53">
        <v>1</v>
      </c>
      <c r="L50" s="53">
        <v>30</v>
      </c>
      <c r="M50" s="79" t="s">
        <v>500</v>
      </c>
    </row>
    <row r="51" spans="1:13" s="5" customFormat="1" ht="56.25" customHeight="1" x14ac:dyDescent="0.2">
      <c r="A51" s="79" t="s">
        <v>499</v>
      </c>
      <c r="B51" s="53" t="s">
        <v>42</v>
      </c>
      <c r="C51" s="53" t="s">
        <v>43</v>
      </c>
      <c r="D51" s="84">
        <v>1</v>
      </c>
      <c r="E51" s="49">
        <v>30</v>
      </c>
      <c r="F51" s="80">
        <v>45945</v>
      </c>
      <c r="G51" s="81">
        <v>0.375</v>
      </c>
      <c r="H51" s="80">
        <v>45943</v>
      </c>
      <c r="I51" s="81">
        <v>0.79166666666666663</v>
      </c>
      <c r="J51" s="87">
        <f t="shared" si="0"/>
        <v>0</v>
      </c>
      <c r="K51" s="53">
        <v>1</v>
      </c>
      <c r="L51" s="53">
        <v>30</v>
      </c>
      <c r="M51" s="79" t="s">
        <v>500</v>
      </c>
    </row>
    <row r="52" spans="1:13" s="5" customFormat="1" ht="97.5" customHeight="1" x14ac:dyDescent="0.2">
      <c r="A52" s="79" t="s">
        <v>501</v>
      </c>
      <c r="B52" s="53" t="s">
        <v>30</v>
      </c>
      <c r="C52" s="53" t="s">
        <v>31</v>
      </c>
      <c r="D52" s="84">
        <v>1</v>
      </c>
      <c r="E52" s="49">
        <v>30</v>
      </c>
      <c r="F52" s="80">
        <v>45945</v>
      </c>
      <c r="G52" s="81">
        <v>0.375</v>
      </c>
      <c r="H52" s="80">
        <v>45943</v>
      </c>
      <c r="I52" s="81">
        <v>0.4375</v>
      </c>
      <c r="J52" s="87">
        <f t="shared" si="0"/>
        <v>6</v>
      </c>
      <c r="K52" s="53">
        <v>1</v>
      </c>
      <c r="L52" s="53">
        <v>24</v>
      </c>
      <c r="M52" s="79" t="s">
        <v>502</v>
      </c>
    </row>
    <row r="53" spans="1:13" s="5" customFormat="1" ht="75" customHeight="1" x14ac:dyDescent="0.2">
      <c r="A53" s="79" t="s">
        <v>501</v>
      </c>
      <c r="B53" s="53" t="s">
        <v>39</v>
      </c>
      <c r="C53" s="53" t="s">
        <v>40</v>
      </c>
      <c r="D53" s="84">
        <v>1</v>
      </c>
      <c r="E53" s="49">
        <v>30</v>
      </c>
      <c r="F53" s="80">
        <v>45945</v>
      </c>
      <c r="G53" s="81">
        <v>0.375</v>
      </c>
      <c r="H53" s="80">
        <v>45943</v>
      </c>
      <c r="I53" s="81">
        <v>0.4375</v>
      </c>
      <c r="J53" s="87">
        <f t="shared" si="0"/>
        <v>6</v>
      </c>
      <c r="K53" s="53">
        <v>1</v>
      </c>
      <c r="L53" s="53">
        <v>24</v>
      </c>
      <c r="M53" s="79" t="s">
        <v>502</v>
      </c>
    </row>
    <row r="54" spans="1:13" s="5" customFormat="1" ht="70.5" customHeight="1" x14ac:dyDescent="0.2">
      <c r="A54" s="79" t="s">
        <v>503</v>
      </c>
      <c r="B54" s="53" t="s">
        <v>21</v>
      </c>
      <c r="C54" s="53" t="s">
        <v>22</v>
      </c>
      <c r="D54" s="84">
        <v>1</v>
      </c>
      <c r="E54" s="49">
        <v>30</v>
      </c>
      <c r="F54" s="80">
        <v>45945</v>
      </c>
      <c r="G54" s="81">
        <v>0.375</v>
      </c>
      <c r="H54" s="80">
        <v>45943</v>
      </c>
      <c r="I54" s="81">
        <v>0.8125</v>
      </c>
      <c r="J54" s="87">
        <f t="shared" si="0"/>
        <v>2</v>
      </c>
      <c r="K54" s="53">
        <v>1</v>
      </c>
      <c r="L54" s="53">
        <v>28</v>
      </c>
      <c r="M54" s="79" t="s">
        <v>504</v>
      </c>
    </row>
    <row r="55" spans="1:13" s="5" customFormat="1" ht="73.5" customHeight="1" x14ac:dyDescent="0.2">
      <c r="A55" s="79" t="s">
        <v>503</v>
      </c>
      <c r="B55" s="53" t="s">
        <v>30</v>
      </c>
      <c r="C55" s="53" t="s">
        <v>31</v>
      </c>
      <c r="D55" s="84">
        <v>1</v>
      </c>
      <c r="E55" s="49">
        <v>30</v>
      </c>
      <c r="F55" s="80">
        <v>45945</v>
      </c>
      <c r="G55" s="81">
        <v>0.375</v>
      </c>
      <c r="H55" s="80">
        <v>45943</v>
      </c>
      <c r="I55" s="81">
        <v>0.8125</v>
      </c>
      <c r="J55" s="87">
        <f t="shared" si="0"/>
        <v>2</v>
      </c>
      <c r="K55" s="53">
        <v>1</v>
      </c>
      <c r="L55" s="53">
        <v>28</v>
      </c>
      <c r="M55" s="79" t="s">
        <v>504</v>
      </c>
    </row>
    <row r="56" spans="1:13" s="5" customFormat="1" ht="66.75" customHeight="1" x14ac:dyDescent="0.2">
      <c r="A56" s="79" t="s">
        <v>503</v>
      </c>
      <c r="B56" s="53" t="s">
        <v>136</v>
      </c>
      <c r="C56" s="53" t="s">
        <v>34</v>
      </c>
      <c r="D56" s="84">
        <v>1</v>
      </c>
      <c r="E56" s="49">
        <v>30</v>
      </c>
      <c r="F56" s="80">
        <v>45945</v>
      </c>
      <c r="G56" s="81">
        <v>0.375</v>
      </c>
      <c r="H56" s="80">
        <v>45943</v>
      </c>
      <c r="I56" s="81">
        <v>0.8125</v>
      </c>
      <c r="J56" s="87">
        <f t="shared" si="0"/>
        <v>2</v>
      </c>
      <c r="K56" s="53">
        <v>1</v>
      </c>
      <c r="L56" s="53">
        <v>28</v>
      </c>
      <c r="M56" s="79" t="s">
        <v>504</v>
      </c>
    </row>
    <row r="57" spans="1:13" s="5" customFormat="1" ht="55.5" customHeight="1" x14ac:dyDescent="0.2">
      <c r="A57" s="79" t="s">
        <v>503</v>
      </c>
      <c r="B57" s="53" t="s">
        <v>39</v>
      </c>
      <c r="C57" s="53" t="s">
        <v>40</v>
      </c>
      <c r="D57" s="84">
        <v>1</v>
      </c>
      <c r="E57" s="49">
        <v>30</v>
      </c>
      <c r="F57" s="80">
        <v>45945</v>
      </c>
      <c r="G57" s="81">
        <v>0.375</v>
      </c>
      <c r="H57" s="80">
        <v>45943</v>
      </c>
      <c r="I57" s="81">
        <v>0.8125</v>
      </c>
      <c r="J57" s="87">
        <f t="shared" si="0"/>
        <v>2</v>
      </c>
      <c r="K57" s="53">
        <v>1</v>
      </c>
      <c r="L57" s="53">
        <v>28</v>
      </c>
      <c r="M57" s="79" t="s">
        <v>504</v>
      </c>
    </row>
    <row r="58" spans="1:13" s="5" customFormat="1" ht="59.25" customHeight="1" x14ac:dyDescent="0.2">
      <c r="A58" s="79" t="s">
        <v>503</v>
      </c>
      <c r="B58" s="53" t="s">
        <v>36</v>
      </c>
      <c r="C58" s="53" t="s">
        <v>37</v>
      </c>
      <c r="D58" s="84">
        <v>1</v>
      </c>
      <c r="E58" s="49">
        <v>30</v>
      </c>
      <c r="F58" s="80">
        <v>45945</v>
      </c>
      <c r="G58" s="81">
        <v>0.375</v>
      </c>
      <c r="H58" s="80">
        <v>45943</v>
      </c>
      <c r="I58" s="81">
        <v>0.8125</v>
      </c>
      <c r="J58" s="87">
        <f t="shared" si="0"/>
        <v>2</v>
      </c>
      <c r="K58" s="53">
        <v>1</v>
      </c>
      <c r="L58" s="53">
        <v>28</v>
      </c>
      <c r="M58" s="79" t="s">
        <v>504</v>
      </c>
    </row>
    <row r="59" spans="1:13" s="5" customFormat="1" ht="53.25" customHeight="1" x14ac:dyDescent="0.2">
      <c r="A59" s="79" t="s">
        <v>503</v>
      </c>
      <c r="B59" s="53" t="s">
        <v>42</v>
      </c>
      <c r="C59" s="53" t="s">
        <v>43</v>
      </c>
      <c r="D59" s="84">
        <v>1</v>
      </c>
      <c r="E59" s="49">
        <v>30</v>
      </c>
      <c r="F59" s="80">
        <v>45945</v>
      </c>
      <c r="G59" s="81">
        <v>0.375</v>
      </c>
      <c r="H59" s="80">
        <v>45943</v>
      </c>
      <c r="I59" s="81">
        <v>0.8125</v>
      </c>
      <c r="J59" s="87">
        <f t="shared" si="0"/>
        <v>2</v>
      </c>
      <c r="K59" s="53">
        <v>1</v>
      </c>
      <c r="L59" s="53">
        <v>28</v>
      </c>
      <c r="M59" s="79" t="s">
        <v>504</v>
      </c>
    </row>
    <row r="60" spans="1:13" s="5" customFormat="1" ht="63.75" customHeight="1" x14ac:dyDescent="0.2">
      <c r="A60" s="79" t="s">
        <v>506</v>
      </c>
      <c r="B60" s="53" t="s">
        <v>21</v>
      </c>
      <c r="C60" s="53" t="s">
        <v>22</v>
      </c>
      <c r="D60" s="84">
        <v>1</v>
      </c>
      <c r="E60" s="49">
        <v>30</v>
      </c>
      <c r="F60" s="80">
        <v>45945</v>
      </c>
      <c r="G60" s="81">
        <v>0.375</v>
      </c>
      <c r="H60" s="80">
        <v>45943</v>
      </c>
      <c r="I60" s="81">
        <v>0.8125</v>
      </c>
      <c r="J60" s="87">
        <f t="shared" si="0"/>
        <v>0</v>
      </c>
      <c r="K60" s="53">
        <v>2</v>
      </c>
      <c r="L60" s="53">
        <v>30</v>
      </c>
      <c r="M60" s="79" t="s">
        <v>507</v>
      </c>
    </row>
    <row r="61" spans="1:13" s="5" customFormat="1" ht="57.75" customHeight="1" x14ac:dyDescent="0.2">
      <c r="A61" s="79" t="s">
        <v>506</v>
      </c>
      <c r="B61" s="53" t="s">
        <v>30</v>
      </c>
      <c r="C61" s="53" t="s">
        <v>31</v>
      </c>
      <c r="D61" s="84">
        <v>1</v>
      </c>
      <c r="E61" s="49">
        <v>30</v>
      </c>
      <c r="F61" s="80">
        <v>45945</v>
      </c>
      <c r="G61" s="81">
        <v>0.375</v>
      </c>
      <c r="H61" s="80">
        <v>45943</v>
      </c>
      <c r="I61" s="81">
        <v>0.8125</v>
      </c>
      <c r="J61" s="87">
        <f t="shared" si="0"/>
        <v>0</v>
      </c>
      <c r="K61" s="53">
        <v>2</v>
      </c>
      <c r="L61" s="53">
        <v>30</v>
      </c>
      <c r="M61" s="79" t="s">
        <v>507</v>
      </c>
    </row>
    <row r="62" spans="1:13" s="5" customFormat="1" ht="63" customHeight="1" x14ac:dyDescent="0.2">
      <c r="A62" s="79" t="s">
        <v>506</v>
      </c>
      <c r="B62" s="53" t="s">
        <v>136</v>
      </c>
      <c r="C62" s="53" t="s">
        <v>34</v>
      </c>
      <c r="D62" s="84">
        <v>1</v>
      </c>
      <c r="E62" s="49">
        <v>30</v>
      </c>
      <c r="F62" s="80">
        <v>45945</v>
      </c>
      <c r="G62" s="81">
        <v>0.375</v>
      </c>
      <c r="H62" s="80">
        <v>45943</v>
      </c>
      <c r="I62" s="81">
        <v>0.8125</v>
      </c>
      <c r="J62" s="87">
        <f t="shared" si="0"/>
        <v>0</v>
      </c>
      <c r="K62" s="53">
        <v>2</v>
      </c>
      <c r="L62" s="53">
        <v>30</v>
      </c>
      <c r="M62" s="79" t="s">
        <v>507</v>
      </c>
    </row>
    <row r="63" spans="1:13" s="5" customFormat="1" ht="71.25" customHeight="1" x14ac:dyDescent="0.2">
      <c r="A63" s="79" t="s">
        <v>506</v>
      </c>
      <c r="B63" s="53" t="s">
        <v>39</v>
      </c>
      <c r="C63" s="53" t="s">
        <v>40</v>
      </c>
      <c r="D63" s="84">
        <v>1</v>
      </c>
      <c r="E63" s="49">
        <v>30</v>
      </c>
      <c r="F63" s="80">
        <v>45945</v>
      </c>
      <c r="G63" s="81">
        <v>0.375</v>
      </c>
      <c r="H63" s="80">
        <v>45943</v>
      </c>
      <c r="I63" s="81">
        <v>0.8125</v>
      </c>
      <c r="J63" s="87">
        <f t="shared" si="0"/>
        <v>0</v>
      </c>
      <c r="K63" s="53">
        <v>2</v>
      </c>
      <c r="L63" s="53">
        <v>30</v>
      </c>
      <c r="M63" s="79" t="s">
        <v>507</v>
      </c>
    </row>
    <row r="64" spans="1:13" s="5" customFormat="1" ht="78.75" customHeight="1" x14ac:dyDescent="0.2">
      <c r="A64" s="79" t="s">
        <v>506</v>
      </c>
      <c r="B64" s="53" t="s">
        <v>36</v>
      </c>
      <c r="C64" s="53" t="s">
        <v>37</v>
      </c>
      <c r="D64" s="84">
        <v>1</v>
      </c>
      <c r="E64" s="49">
        <v>30</v>
      </c>
      <c r="F64" s="80">
        <v>45945</v>
      </c>
      <c r="G64" s="81">
        <v>0.375</v>
      </c>
      <c r="H64" s="80">
        <v>45943</v>
      </c>
      <c r="I64" s="81">
        <v>0.8125</v>
      </c>
      <c r="J64" s="87">
        <f t="shared" si="0"/>
        <v>0</v>
      </c>
      <c r="K64" s="53">
        <v>2</v>
      </c>
      <c r="L64" s="53">
        <v>30</v>
      </c>
      <c r="M64" s="79" t="s">
        <v>507</v>
      </c>
    </row>
    <row r="65" spans="1:13" s="5" customFormat="1" ht="66.75" customHeight="1" x14ac:dyDescent="0.2">
      <c r="A65" s="79" t="s">
        <v>506</v>
      </c>
      <c r="B65" s="53" t="s">
        <v>42</v>
      </c>
      <c r="C65" s="53" t="s">
        <v>43</v>
      </c>
      <c r="D65" s="84">
        <v>1</v>
      </c>
      <c r="E65" s="49">
        <v>30</v>
      </c>
      <c r="F65" s="80">
        <v>45945</v>
      </c>
      <c r="G65" s="81">
        <v>0.375</v>
      </c>
      <c r="H65" s="80">
        <v>45943</v>
      </c>
      <c r="I65" s="81">
        <v>0.8125</v>
      </c>
      <c r="J65" s="87">
        <f t="shared" si="0"/>
        <v>0</v>
      </c>
      <c r="K65" s="53">
        <v>2</v>
      </c>
      <c r="L65" s="53">
        <v>30</v>
      </c>
      <c r="M65" s="79" t="s">
        <v>507</v>
      </c>
    </row>
    <row r="66" spans="1:13" s="5" customFormat="1" ht="72.75" customHeight="1" x14ac:dyDescent="0.2">
      <c r="A66" s="79" t="s">
        <v>508</v>
      </c>
      <c r="B66" s="53" t="s">
        <v>21</v>
      </c>
      <c r="C66" s="53" t="s">
        <v>22</v>
      </c>
      <c r="D66" s="84">
        <v>1</v>
      </c>
      <c r="E66" s="49">
        <v>30</v>
      </c>
      <c r="F66" s="80">
        <v>45945</v>
      </c>
      <c r="G66" s="81">
        <v>0.375</v>
      </c>
      <c r="H66" s="80">
        <v>45943</v>
      </c>
      <c r="I66" s="81">
        <v>0.8125</v>
      </c>
      <c r="J66" s="87">
        <f t="shared" si="0"/>
        <v>0</v>
      </c>
      <c r="K66" s="53">
        <v>7</v>
      </c>
      <c r="L66" s="53">
        <v>30</v>
      </c>
      <c r="M66" s="79" t="s">
        <v>509</v>
      </c>
    </row>
    <row r="67" spans="1:13" s="5" customFormat="1" ht="40.5" customHeight="1" x14ac:dyDescent="0.2">
      <c r="A67" s="79" t="s">
        <v>505</v>
      </c>
      <c r="B67" s="53" t="s">
        <v>36</v>
      </c>
      <c r="C67" s="53" t="s">
        <v>37</v>
      </c>
      <c r="D67" s="84">
        <v>1</v>
      </c>
      <c r="E67" s="49">
        <v>30</v>
      </c>
      <c r="F67" s="80">
        <v>45938</v>
      </c>
      <c r="G67" s="81">
        <v>0.375</v>
      </c>
      <c r="H67" s="80">
        <v>45943</v>
      </c>
      <c r="I67" s="81">
        <v>0.6875</v>
      </c>
      <c r="J67" s="87">
        <f t="shared" ref="J67" si="1">E67-L67</f>
        <v>0</v>
      </c>
      <c r="K67" s="53">
        <v>1</v>
      </c>
      <c r="L67" s="53">
        <v>30</v>
      </c>
      <c r="M67" s="79" t="s">
        <v>438</v>
      </c>
    </row>
    <row r="68" spans="1:13" s="5" customFormat="1" ht="38.25" customHeight="1" x14ac:dyDescent="0.2">
      <c r="A68" s="106" t="s">
        <v>123</v>
      </c>
      <c r="B68" s="85" t="s">
        <v>36</v>
      </c>
      <c r="C68" s="85" t="s">
        <v>37</v>
      </c>
      <c r="D68" s="49">
        <v>1</v>
      </c>
      <c r="E68" s="49">
        <v>20</v>
      </c>
      <c r="F68" s="85">
        <v>45945</v>
      </c>
      <c r="G68" s="86">
        <v>0.375</v>
      </c>
      <c r="H68" s="85">
        <v>45943</v>
      </c>
      <c r="I68" s="86">
        <v>0.80555555555555558</v>
      </c>
      <c r="J68" s="87">
        <f>E68-L68</f>
        <v>0</v>
      </c>
      <c r="K68" s="53">
        <v>1</v>
      </c>
      <c r="L68" s="88">
        <v>20</v>
      </c>
      <c r="M68" s="93" t="s">
        <v>124</v>
      </c>
    </row>
    <row r="69" spans="1:13" s="5" customFormat="1" ht="38.25" customHeight="1" x14ac:dyDescent="0.2">
      <c r="A69" s="38" t="s">
        <v>123</v>
      </c>
      <c r="B69" s="85" t="s">
        <v>143</v>
      </c>
      <c r="C69" s="85" t="s">
        <v>43</v>
      </c>
      <c r="D69" s="49">
        <v>1</v>
      </c>
      <c r="E69" s="49">
        <v>20</v>
      </c>
      <c r="F69" s="85">
        <v>45945</v>
      </c>
      <c r="G69" s="86">
        <v>0.375</v>
      </c>
      <c r="H69" s="85">
        <v>45943</v>
      </c>
      <c r="I69" s="86">
        <v>0.80555555555555558</v>
      </c>
      <c r="J69" s="87">
        <f t="shared" ref="J69:J90" si="2">E69-L69</f>
        <v>0</v>
      </c>
      <c r="K69" s="8">
        <v>1</v>
      </c>
      <c r="L69" s="88">
        <v>20</v>
      </c>
      <c r="M69" s="93" t="s">
        <v>124</v>
      </c>
    </row>
    <row r="70" spans="1:13" s="5" customFormat="1" ht="27" customHeight="1" x14ac:dyDescent="0.2">
      <c r="A70" s="13" t="s">
        <v>175</v>
      </c>
      <c r="B70" s="13" t="s">
        <v>36</v>
      </c>
      <c r="C70" s="13" t="s">
        <v>37</v>
      </c>
      <c r="D70" s="53">
        <v>1</v>
      </c>
      <c r="E70" s="53">
        <v>30</v>
      </c>
      <c r="F70" s="13">
        <v>45945</v>
      </c>
      <c r="G70" s="86">
        <v>0.375</v>
      </c>
      <c r="H70" s="13">
        <v>45943</v>
      </c>
      <c r="I70" s="12">
        <v>0.83333333333333337</v>
      </c>
      <c r="J70" s="53">
        <f t="shared" si="2"/>
        <v>6</v>
      </c>
      <c r="K70" s="50">
        <v>1</v>
      </c>
      <c r="L70" s="68">
        <v>24</v>
      </c>
      <c r="M70" s="52" t="s">
        <v>176</v>
      </c>
    </row>
    <row r="71" spans="1:13" s="5" customFormat="1" ht="33" customHeight="1" x14ac:dyDescent="0.2">
      <c r="A71" s="13" t="s">
        <v>177</v>
      </c>
      <c r="B71" s="13" t="s">
        <v>39</v>
      </c>
      <c r="C71" s="13" t="s">
        <v>40</v>
      </c>
      <c r="D71" s="53">
        <v>1</v>
      </c>
      <c r="E71" s="53">
        <v>30</v>
      </c>
      <c r="F71" s="13">
        <v>45945</v>
      </c>
      <c r="G71" s="86">
        <v>0.375</v>
      </c>
      <c r="H71" s="13">
        <v>45943</v>
      </c>
      <c r="I71" s="12">
        <v>0.83333333333333337</v>
      </c>
      <c r="J71" s="53">
        <f t="shared" si="2"/>
        <v>0</v>
      </c>
      <c r="K71" s="50">
        <v>1</v>
      </c>
      <c r="L71" s="68">
        <v>30</v>
      </c>
      <c r="M71" s="52" t="s">
        <v>178</v>
      </c>
    </row>
    <row r="72" spans="1:13" s="5" customFormat="1" ht="33.75" customHeight="1" x14ac:dyDescent="0.2">
      <c r="A72" s="61" t="s">
        <v>179</v>
      </c>
      <c r="B72" s="13" t="s">
        <v>39</v>
      </c>
      <c r="C72" s="13" t="s">
        <v>40</v>
      </c>
      <c r="D72" s="53">
        <v>5</v>
      </c>
      <c r="E72" s="53">
        <v>50</v>
      </c>
      <c r="F72" s="13">
        <v>45945</v>
      </c>
      <c r="G72" s="86">
        <v>0.375</v>
      </c>
      <c r="H72" s="13">
        <v>45943</v>
      </c>
      <c r="I72" s="12">
        <v>0.86805555555555558</v>
      </c>
      <c r="J72" s="53">
        <f t="shared" si="2"/>
        <v>5</v>
      </c>
      <c r="K72" s="50">
        <v>5</v>
      </c>
      <c r="L72" s="68">
        <v>45</v>
      </c>
      <c r="M72" s="52" t="s">
        <v>180</v>
      </c>
    </row>
    <row r="73" spans="1:13" s="5" customFormat="1" ht="32.25" customHeight="1" x14ac:dyDescent="0.2">
      <c r="A73" s="23" t="s">
        <v>146</v>
      </c>
      <c r="B73" s="85" t="s">
        <v>30</v>
      </c>
      <c r="C73" s="90" t="s">
        <v>31</v>
      </c>
      <c r="D73" s="84">
        <v>1</v>
      </c>
      <c r="E73" s="49">
        <v>60</v>
      </c>
      <c r="F73" s="85">
        <v>45945</v>
      </c>
      <c r="G73" s="86">
        <v>0.375</v>
      </c>
      <c r="H73" s="85">
        <v>45943</v>
      </c>
      <c r="I73" s="86">
        <v>0.91666666666666663</v>
      </c>
      <c r="J73" s="87">
        <f t="shared" si="2"/>
        <v>50</v>
      </c>
      <c r="K73" s="8">
        <v>1</v>
      </c>
      <c r="L73" s="88">
        <v>10</v>
      </c>
      <c r="M73" s="91" t="s">
        <v>149</v>
      </c>
    </row>
    <row r="74" spans="1:13" s="5" customFormat="1" ht="27" customHeight="1" x14ac:dyDescent="0.2">
      <c r="A74" s="23" t="s">
        <v>146</v>
      </c>
      <c r="B74" s="85" t="s">
        <v>42</v>
      </c>
      <c r="C74" s="90" t="s">
        <v>43</v>
      </c>
      <c r="D74" s="84">
        <v>1</v>
      </c>
      <c r="E74" s="49">
        <v>60</v>
      </c>
      <c r="F74" s="85">
        <v>45945</v>
      </c>
      <c r="G74" s="86">
        <v>0.375</v>
      </c>
      <c r="H74" s="85">
        <v>45943</v>
      </c>
      <c r="I74" s="86">
        <v>0.91666666666666663</v>
      </c>
      <c r="J74" s="87">
        <f t="shared" si="2"/>
        <v>50</v>
      </c>
      <c r="K74" s="8">
        <v>1</v>
      </c>
      <c r="L74" s="88">
        <v>10</v>
      </c>
      <c r="M74" s="91" t="s">
        <v>149</v>
      </c>
    </row>
    <row r="75" spans="1:13" s="5" customFormat="1" ht="24.95" customHeight="1" x14ac:dyDescent="0.2">
      <c r="A75" s="23" t="s">
        <v>146</v>
      </c>
      <c r="B75" s="85" t="s">
        <v>21</v>
      </c>
      <c r="C75" s="90" t="s">
        <v>22</v>
      </c>
      <c r="D75" s="84">
        <v>1</v>
      </c>
      <c r="E75" s="49">
        <v>60</v>
      </c>
      <c r="F75" s="85">
        <v>45945</v>
      </c>
      <c r="G75" s="86">
        <v>0.375</v>
      </c>
      <c r="H75" s="85">
        <v>45943</v>
      </c>
      <c r="I75" s="86">
        <v>0.91666666666666663</v>
      </c>
      <c r="J75" s="87">
        <f t="shared" si="2"/>
        <v>50</v>
      </c>
      <c r="K75" s="8">
        <v>1</v>
      </c>
      <c r="L75" s="88">
        <v>10</v>
      </c>
      <c r="M75" s="91" t="s">
        <v>149</v>
      </c>
    </row>
    <row r="76" spans="1:13" s="5" customFormat="1" ht="28.5" customHeight="1" x14ac:dyDescent="0.2">
      <c r="A76" s="23" t="s">
        <v>146</v>
      </c>
      <c r="B76" s="85" t="s">
        <v>136</v>
      </c>
      <c r="C76" s="90" t="s">
        <v>34</v>
      </c>
      <c r="D76" s="84">
        <v>1</v>
      </c>
      <c r="E76" s="49">
        <v>60</v>
      </c>
      <c r="F76" s="85">
        <v>45945</v>
      </c>
      <c r="G76" s="86">
        <v>0.375</v>
      </c>
      <c r="H76" s="85">
        <v>45943</v>
      </c>
      <c r="I76" s="86">
        <v>0.91666666666666663</v>
      </c>
      <c r="J76" s="87">
        <f t="shared" si="2"/>
        <v>50</v>
      </c>
      <c r="K76" s="8">
        <v>1</v>
      </c>
      <c r="L76" s="88">
        <v>10</v>
      </c>
      <c r="M76" s="91" t="s">
        <v>149</v>
      </c>
    </row>
    <row r="77" spans="1:13" s="5" customFormat="1" ht="35.450000000000003" customHeight="1" x14ac:dyDescent="0.2">
      <c r="A77" s="23" t="s">
        <v>146</v>
      </c>
      <c r="B77" s="85" t="s">
        <v>36</v>
      </c>
      <c r="C77" s="90" t="s">
        <v>37</v>
      </c>
      <c r="D77" s="84">
        <v>1</v>
      </c>
      <c r="E77" s="49">
        <v>60</v>
      </c>
      <c r="F77" s="85">
        <v>45945</v>
      </c>
      <c r="G77" s="86">
        <v>0.375</v>
      </c>
      <c r="H77" s="85">
        <v>45943</v>
      </c>
      <c r="I77" s="86">
        <v>0.91666666666666663</v>
      </c>
      <c r="J77" s="87">
        <f t="shared" si="2"/>
        <v>50</v>
      </c>
      <c r="K77" s="8">
        <v>1</v>
      </c>
      <c r="L77" s="88">
        <v>10</v>
      </c>
      <c r="M77" s="91" t="s">
        <v>149</v>
      </c>
    </row>
    <row r="78" spans="1:13" s="5" customFormat="1" ht="36.6" customHeight="1" x14ac:dyDescent="0.2">
      <c r="A78" s="23" t="s">
        <v>146</v>
      </c>
      <c r="B78" s="85" t="s">
        <v>39</v>
      </c>
      <c r="C78" s="90" t="s">
        <v>40</v>
      </c>
      <c r="D78" s="84">
        <v>1</v>
      </c>
      <c r="E78" s="49">
        <v>60</v>
      </c>
      <c r="F78" s="85">
        <v>45945</v>
      </c>
      <c r="G78" s="86">
        <v>0.375</v>
      </c>
      <c r="H78" s="85">
        <v>45943</v>
      </c>
      <c r="I78" s="86">
        <v>0.91666666666666663</v>
      </c>
      <c r="J78" s="87">
        <f t="shared" si="2"/>
        <v>50</v>
      </c>
      <c r="K78" s="8">
        <v>1</v>
      </c>
      <c r="L78" s="88">
        <v>10</v>
      </c>
      <c r="M78" s="91" t="s">
        <v>149</v>
      </c>
    </row>
    <row r="79" spans="1:13" s="5" customFormat="1" ht="36.6" customHeight="1" x14ac:dyDescent="0.2">
      <c r="A79" s="23" t="s">
        <v>52</v>
      </c>
      <c r="B79" s="90" t="s">
        <v>21</v>
      </c>
      <c r="C79" s="90" t="s">
        <v>22</v>
      </c>
      <c r="D79" s="84">
        <v>1</v>
      </c>
      <c r="E79" s="49">
        <v>30</v>
      </c>
      <c r="F79" s="85">
        <v>45945</v>
      </c>
      <c r="G79" s="86">
        <v>0.375</v>
      </c>
      <c r="H79" s="85">
        <v>45943</v>
      </c>
      <c r="I79" s="86">
        <v>0.91666666666666663</v>
      </c>
      <c r="J79" s="87">
        <f t="shared" si="2"/>
        <v>0</v>
      </c>
      <c r="K79" s="8">
        <v>1</v>
      </c>
      <c r="L79" s="88">
        <v>30</v>
      </c>
      <c r="M79" s="91" t="s">
        <v>53</v>
      </c>
    </row>
    <row r="80" spans="1:13" s="5" customFormat="1" ht="35.450000000000003" customHeight="1" x14ac:dyDescent="0.2">
      <c r="A80" s="23" t="s">
        <v>153</v>
      </c>
      <c r="B80" s="90" t="s">
        <v>36</v>
      </c>
      <c r="C80" s="90" t="s">
        <v>37</v>
      </c>
      <c r="D80" s="84">
        <v>1</v>
      </c>
      <c r="E80" s="5">
        <v>30</v>
      </c>
      <c r="F80" s="85">
        <v>45945</v>
      </c>
      <c r="G80" s="86">
        <v>0.375</v>
      </c>
      <c r="H80" s="85">
        <v>45943</v>
      </c>
      <c r="I80" s="86">
        <v>0.91666666666666663</v>
      </c>
      <c r="J80" s="87">
        <f t="shared" si="2"/>
        <v>0</v>
      </c>
      <c r="K80" s="8">
        <v>1</v>
      </c>
      <c r="L80" s="88">
        <v>30</v>
      </c>
      <c r="M80" s="91" t="s">
        <v>53</v>
      </c>
    </row>
    <row r="81" spans="1:13" s="5" customFormat="1" ht="35.450000000000003" customHeight="1" x14ac:dyDescent="0.2">
      <c r="A81" s="23" t="s">
        <v>79</v>
      </c>
      <c r="B81" s="85" t="s">
        <v>36</v>
      </c>
      <c r="C81" s="90" t="s">
        <v>37</v>
      </c>
      <c r="D81" s="84">
        <v>1</v>
      </c>
      <c r="E81" s="49">
        <v>45</v>
      </c>
      <c r="F81" s="85">
        <v>45945</v>
      </c>
      <c r="G81" s="86">
        <v>0.375</v>
      </c>
      <c r="H81" s="85">
        <v>45943</v>
      </c>
      <c r="I81" s="86">
        <v>0.9375</v>
      </c>
      <c r="J81" s="87">
        <f t="shared" si="2"/>
        <v>-35</v>
      </c>
      <c r="K81" s="8">
        <v>1</v>
      </c>
      <c r="L81" s="88">
        <v>80</v>
      </c>
      <c r="M81" s="91" t="s">
        <v>81</v>
      </c>
    </row>
    <row r="82" spans="1:13" s="5" customFormat="1" ht="35.450000000000003" customHeight="1" x14ac:dyDescent="0.2">
      <c r="A82" s="23" t="s">
        <v>85</v>
      </c>
      <c r="B82" s="85" t="s">
        <v>21</v>
      </c>
      <c r="C82" s="90" t="s">
        <v>22</v>
      </c>
      <c r="D82" s="84">
        <v>1</v>
      </c>
      <c r="E82" s="49">
        <v>60</v>
      </c>
      <c r="F82" s="85">
        <v>45945</v>
      </c>
      <c r="G82" s="86">
        <v>0.375</v>
      </c>
      <c r="H82" s="85">
        <v>45943</v>
      </c>
      <c r="I82" s="86">
        <v>0.9375</v>
      </c>
      <c r="J82" s="87">
        <f t="shared" si="2"/>
        <v>10</v>
      </c>
      <c r="K82" s="8">
        <v>1</v>
      </c>
      <c r="L82" s="88">
        <v>50</v>
      </c>
      <c r="M82" s="91" t="s">
        <v>87</v>
      </c>
    </row>
    <row r="83" spans="1:13" s="5" customFormat="1" ht="35.450000000000003" customHeight="1" x14ac:dyDescent="0.2">
      <c r="A83" s="23" t="s">
        <v>88</v>
      </c>
      <c r="B83" s="85" t="s">
        <v>21</v>
      </c>
      <c r="C83" s="85" t="s">
        <v>22</v>
      </c>
      <c r="D83" s="84">
        <v>1</v>
      </c>
      <c r="E83" s="49">
        <v>55</v>
      </c>
      <c r="F83" s="85">
        <v>45945</v>
      </c>
      <c r="G83" s="86">
        <v>0.375</v>
      </c>
      <c r="H83" s="85">
        <v>45943</v>
      </c>
      <c r="I83" s="86">
        <v>0.9375</v>
      </c>
      <c r="J83" s="87">
        <f t="shared" si="2"/>
        <v>0</v>
      </c>
      <c r="K83" s="8">
        <v>1</v>
      </c>
      <c r="L83" s="88">
        <v>55</v>
      </c>
      <c r="M83" s="91" t="s">
        <v>89</v>
      </c>
    </row>
    <row r="84" spans="1:13" s="5" customFormat="1" ht="35.450000000000003" customHeight="1" x14ac:dyDescent="0.2">
      <c r="A84" s="33" t="s">
        <v>131</v>
      </c>
      <c r="B84" s="85" t="s">
        <v>36</v>
      </c>
      <c r="C84" s="85" t="s">
        <v>37</v>
      </c>
      <c r="D84" s="49">
        <v>1</v>
      </c>
      <c r="E84" s="49">
        <v>30</v>
      </c>
      <c r="F84" s="85">
        <v>45945</v>
      </c>
      <c r="G84" s="86">
        <v>0.375</v>
      </c>
      <c r="H84" s="85">
        <v>45943</v>
      </c>
      <c r="I84" s="86">
        <v>0.9375</v>
      </c>
      <c r="J84" s="87">
        <f t="shared" si="2"/>
        <v>-2</v>
      </c>
      <c r="K84" s="8">
        <v>1</v>
      </c>
      <c r="L84" s="88">
        <v>32</v>
      </c>
      <c r="M84" s="91" t="s">
        <v>132</v>
      </c>
    </row>
    <row r="85" spans="1:13" s="5" customFormat="1" ht="35.450000000000003" customHeight="1" x14ac:dyDescent="0.2">
      <c r="A85" s="33" t="s">
        <v>131</v>
      </c>
      <c r="B85" s="85" t="s">
        <v>42</v>
      </c>
      <c r="C85" s="85" t="s">
        <v>43</v>
      </c>
      <c r="D85" s="49">
        <v>1</v>
      </c>
      <c r="E85" s="49">
        <v>30</v>
      </c>
      <c r="F85" s="85">
        <v>45945</v>
      </c>
      <c r="G85" s="86">
        <v>0.375</v>
      </c>
      <c r="H85" s="85">
        <v>45943</v>
      </c>
      <c r="I85" s="86">
        <v>0.9375</v>
      </c>
      <c r="J85" s="87">
        <f t="shared" si="2"/>
        <v>-2</v>
      </c>
      <c r="K85" s="8">
        <v>1</v>
      </c>
      <c r="L85" s="88">
        <v>32</v>
      </c>
      <c r="M85" s="91" t="s">
        <v>132</v>
      </c>
    </row>
    <row r="86" spans="1:13" s="5" customFormat="1" ht="35.450000000000003" customHeight="1" x14ac:dyDescent="0.2">
      <c r="A86" s="33" t="s">
        <v>131</v>
      </c>
      <c r="B86" s="85" t="s">
        <v>30</v>
      </c>
      <c r="C86" s="85" t="s">
        <v>31</v>
      </c>
      <c r="D86" s="49">
        <v>1</v>
      </c>
      <c r="E86" s="49">
        <v>30</v>
      </c>
      <c r="F86" s="85">
        <v>45945</v>
      </c>
      <c r="G86" s="86">
        <v>0.375</v>
      </c>
      <c r="H86" s="85">
        <v>45943</v>
      </c>
      <c r="I86" s="86">
        <v>0.9375</v>
      </c>
      <c r="J86" s="87">
        <f t="shared" si="2"/>
        <v>-2</v>
      </c>
      <c r="K86" s="8">
        <v>1</v>
      </c>
      <c r="L86" s="88">
        <v>32</v>
      </c>
      <c r="M86" s="91" t="s">
        <v>132</v>
      </c>
    </row>
    <row r="87" spans="1:13" s="5" customFormat="1" ht="35.450000000000003" customHeight="1" x14ac:dyDescent="0.2">
      <c r="A87" s="33" t="s">
        <v>131</v>
      </c>
      <c r="B87" s="85" t="s">
        <v>21</v>
      </c>
      <c r="C87" s="85" t="s">
        <v>22</v>
      </c>
      <c r="D87" s="49">
        <v>1</v>
      </c>
      <c r="E87" s="49">
        <v>30</v>
      </c>
      <c r="F87" s="85">
        <v>45945</v>
      </c>
      <c r="G87" s="86">
        <v>0.375</v>
      </c>
      <c r="H87" s="85">
        <v>45943</v>
      </c>
      <c r="I87" s="86">
        <v>0.9375</v>
      </c>
      <c r="J87" s="87">
        <f t="shared" si="2"/>
        <v>-2</v>
      </c>
      <c r="K87" s="8">
        <v>1</v>
      </c>
      <c r="L87" s="88">
        <v>32</v>
      </c>
      <c r="M87" s="91" t="s">
        <v>132</v>
      </c>
    </row>
    <row r="88" spans="1:13" s="5" customFormat="1" ht="35.450000000000003" customHeight="1" x14ac:dyDescent="0.2">
      <c r="A88" s="33" t="s">
        <v>131</v>
      </c>
      <c r="B88" s="85" t="s">
        <v>136</v>
      </c>
      <c r="C88" s="85" t="s">
        <v>34</v>
      </c>
      <c r="D88" s="49">
        <v>1</v>
      </c>
      <c r="E88" s="49">
        <v>30</v>
      </c>
      <c r="F88" s="85">
        <v>45945</v>
      </c>
      <c r="G88" s="86">
        <v>0.375</v>
      </c>
      <c r="H88" s="85">
        <v>45943</v>
      </c>
      <c r="I88" s="86">
        <v>0.9375</v>
      </c>
      <c r="J88" s="87">
        <f t="shared" si="2"/>
        <v>-2</v>
      </c>
      <c r="K88" s="8">
        <v>1</v>
      </c>
      <c r="L88" s="88">
        <v>32</v>
      </c>
      <c r="M88" s="91" t="s">
        <v>132</v>
      </c>
    </row>
    <row r="89" spans="1:13" s="5" customFormat="1" ht="35.450000000000003" customHeight="1" x14ac:dyDescent="0.2">
      <c r="A89" s="33" t="s">
        <v>131</v>
      </c>
      <c r="B89" s="85" t="s">
        <v>39</v>
      </c>
      <c r="C89" s="85" t="s">
        <v>40</v>
      </c>
      <c r="D89" s="49">
        <v>1</v>
      </c>
      <c r="E89" s="49">
        <v>30</v>
      </c>
      <c r="F89" s="85">
        <v>45945</v>
      </c>
      <c r="G89" s="86">
        <v>0.375</v>
      </c>
      <c r="H89" s="85">
        <v>45943</v>
      </c>
      <c r="I89" s="86">
        <v>0.9375</v>
      </c>
      <c r="J89" s="87">
        <f t="shared" si="2"/>
        <v>-2</v>
      </c>
      <c r="K89" s="8">
        <v>1</v>
      </c>
      <c r="L89" s="88">
        <v>32</v>
      </c>
      <c r="M89" s="91" t="s">
        <v>132</v>
      </c>
    </row>
    <row r="90" spans="1:13" s="5" customFormat="1" ht="35.450000000000003" customHeight="1" x14ac:dyDescent="0.2">
      <c r="A90" s="33" t="s">
        <v>133</v>
      </c>
      <c r="B90" s="85" t="s">
        <v>21</v>
      </c>
      <c r="C90" s="85" t="s">
        <v>22</v>
      </c>
      <c r="D90" s="49">
        <v>3</v>
      </c>
      <c r="E90" s="49">
        <v>20</v>
      </c>
      <c r="F90" s="85">
        <v>45945</v>
      </c>
      <c r="G90" s="86">
        <v>0.375</v>
      </c>
      <c r="H90" s="85">
        <v>45945</v>
      </c>
      <c r="I90" s="86">
        <v>0.375</v>
      </c>
      <c r="J90" s="87">
        <f t="shared" si="2"/>
        <v>5</v>
      </c>
      <c r="K90" s="8">
        <v>3</v>
      </c>
      <c r="L90" s="88">
        <v>15</v>
      </c>
      <c r="M90" s="91" t="s">
        <v>134</v>
      </c>
    </row>
    <row r="91" spans="1:13" s="5" customFormat="1" ht="35.450000000000003" customHeight="1" x14ac:dyDescent="0.2">
      <c r="A91"/>
      <c r="B91"/>
      <c r="C91"/>
      <c r="D91"/>
      <c r="E91"/>
      <c r="F91"/>
      <c r="G91"/>
      <c r="H91"/>
      <c r="I91"/>
      <c r="J91"/>
      <c r="K91"/>
      <c r="L91"/>
      <c r="M91"/>
    </row>
    <row r="92" spans="1:13" s="5" customFormat="1" ht="37.5" customHeight="1" x14ac:dyDescent="0.2">
      <c r="A92" s="4"/>
      <c r="B92" s="4"/>
      <c r="C92" s="4"/>
      <c r="D92" s="4"/>
      <c r="E92" s="4"/>
      <c r="F92" s="4"/>
      <c r="G92" s="4"/>
      <c r="H92" s="4"/>
      <c r="I92" s="3"/>
      <c r="J92" s="3"/>
      <c r="K92" s="2"/>
      <c r="L92" s="1"/>
      <c r="M92" s="1"/>
    </row>
    <row r="93" spans="1:13" x14ac:dyDescent="0.2">
      <c r="A93" s="70" t="s">
        <v>210</v>
      </c>
      <c r="B93" t="s">
        <v>215</v>
      </c>
      <c r="C93" t="s">
        <v>214</v>
      </c>
      <c r="D93" t="s">
        <v>212</v>
      </c>
      <c r="E93" t="s">
        <v>213</v>
      </c>
    </row>
    <row r="94" spans="1:13" x14ac:dyDescent="0.2">
      <c r="A94" s="71" t="s">
        <v>36</v>
      </c>
      <c r="B94">
        <v>19</v>
      </c>
      <c r="C94">
        <v>605</v>
      </c>
      <c r="D94">
        <v>566</v>
      </c>
      <c r="E94">
        <v>21</v>
      </c>
    </row>
    <row r="95" spans="1:13" x14ac:dyDescent="0.2">
      <c r="A95" s="71" t="s">
        <v>39</v>
      </c>
      <c r="B95">
        <v>16</v>
      </c>
      <c r="C95">
        <v>410</v>
      </c>
      <c r="D95">
        <v>340</v>
      </c>
      <c r="E95">
        <v>19</v>
      </c>
    </row>
    <row r="96" spans="1:13" x14ac:dyDescent="0.2">
      <c r="A96" s="71" t="s">
        <v>21</v>
      </c>
      <c r="B96">
        <v>18</v>
      </c>
      <c r="C96">
        <v>555</v>
      </c>
      <c r="D96">
        <v>480</v>
      </c>
      <c r="E96">
        <v>27</v>
      </c>
    </row>
    <row r="97" spans="1:13" x14ac:dyDescent="0.2">
      <c r="A97" s="71" t="s">
        <v>136</v>
      </c>
      <c r="B97">
        <v>11</v>
      </c>
      <c r="C97">
        <v>360</v>
      </c>
      <c r="D97">
        <v>300</v>
      </c>
      <c r="E97">
        <v>14</v>
      </c>
    </row>
    <row r="98" spans="1:13" x14ac:dyDescent="0.2">
      <c r="A98" s="71" t="s">
        <v>42</v>
      </c>
      <c r="B98">
        <v>13</v>
      </c>
      <c r="C98">
        <v>420</v>
      </c>
      <c r="D98">
        <v>352</v>
      </c>
      <c r="E98">
        <v>15</v>
      </c>
    </row>
    <row r="99" spans="1:13" x14ac:dyDescent="0.2">
      <c r="A99" s="71" t="s">
        <v>30</v>
      </c>
      <c r="B99">
        <v>11</v>
      </c>
      <c r="C99">
        <v>360</v>
      </c>
      <c r="D99">
        <v>295</v>
      </c>
      <c r="E99">
        <v>14</v>
      </c>
    </row>
    <row r="100" spans="1:13" x14ac:dyDescent="0.2">
      <c r="A100" s="71" t="s">
        <v>211</v>
      </c>
      <c r="B100">
        <v>88</v>
      </c>
      <c r="C100">
        <v>2710</v>
      </c>
      <c r="D100">
        <v>2333</v>
      </c>
      <c r="E100">
        <v>110</v>
      </c>
    </row>
    <row r="101" spans="1:13" x14ac:dyDescent="0.2">
      <c r="A101"/>
      <c r="B101"/>
      <c r="C101"/>
      <c r="D101"/>
      <c r="E101"/>
    </row>
    <row r="102" spans="1:13" x14ac:dyDescent="0.2">
      <c r="A102"/>
      <c r="B102"/>
      <c r="C102"/>
    </row>
    <row r="103" spans="1:13" x14ac:dyDescent="0.2">
      <c r="A103"/>
      <c r="B103"/>
      <c r="C103"/>
    </row>
    <row r="104" spans="1:13" x14ac:dyDescent="0.2">
      <c r="A104"/>
      <c r="B104"/>
      <c r="C104"/>
    </row>
    <row r="105" spans="1:13" x14ac:dyDescent="0.2">
      <c r="A105"/>
      <c r="B105"/>
      <c r="C105"/>
    </row>
    <row r="106" spans="1:13" x14ac:dyDescent="0.2">
      <c r="A106"/>
      <c r="B106"/>
      <c r="C106"/>
    </row>
    <row r="107" spans="1:13" x14ac:dyDescent="0.2">
      <c r="A107"/>
      <c r="B107"/>
      <c r="C107"/>
      <c r="D107"/>
      <c r="E107"/>
      <c r="F107"/>
      <c r="G107"/>
      <c r="H107"/>
      <c r="I107"/>
      <c r="J107"/>
      <c r="K107"/>
      <c r="L107"/>
      <c r="M107"/>
    </row>
    <row r="108" spans="1:13" x14ac:dyDescent="0.2">
      <c r="A108"/>
      <c r="B108"/>
      <c r="C108"/>
      <c r="D108"/>
      <c r="E108"/>
      <c r="F108"/>
      <c r="G108"/>
      <c r="H108"/>
      <c r="I108"/>
      <c r="J108"/>
      <c r="K108"/>
      <c r="L108"/>
      <c r="M108"/>
    </row>
    <row r="109" spans="1:13" x14ac:dyDescent="0.2">
      <c r="A109"/>
      <c r="B109"/>
      <c r="C109"/>
    </row>
    <row r="110" spans="1:13" x14ac:dyDescent="0.2">
      <c r="A110"/>
      <c r="B110"/>
      <c r="C110"/>
    </row>
    <row r="121" spans="9:20" s="4" customFormat="1" ht="30" customHeight="1" x14ac:dyDescent="0.2">
      <c r="I121" s="3"/>
      <c r="J121" s="3"/>
      <c r="K121" s="2"/>
      <c r="L121" s="1"/>
      <c r="M121" s="1"/>
      <c r="N121"/>
      <c r="O121"/>
      <c r="P121"/>
      <c r="Q121"/>
      <c r="R121"/>
      <c r="S121"/>
      <c r="T121"/>
    </row>
    <row r="122" spans="9:20" s="4" customFormat="1" ht="23.25" customHeight="1" x14ac:dyDescent="0.2">
      <c r="I122" s="3"/>
      <c r="J122" s="3"/>
      <c r="K122" s="2"/>
      <c r="L122" s="1"/>
      <c r="M122" s="1"/>
      <c r="N122"/>
      <c r="O122"/>
      <c r="P122"/>
      <c r="Q122"/>
      <c r="R122"/>
      <c r="S122"/>
      <c r="T122"/>
    </row>
    <row r="129" spans="1:20" s="5" customFormat="1" ht="12" customHeight="1" x14ac:dyDescent="0.2">
      <c r="A129" s="4"/>
      <c r="B129" s="4"/>
      <c r="C129" s="4"/>
      <c r="D129" s="4"/>
      <c r="E129" s="4"/>
      <c r="F129" s="4"/>
      <c r="G129" s="4"/>
      <c r="H129" s="4"/>
      <c r="I129" s="3"/>
      <c r="J129" s="3"/>
      <c r="K129" s="2"/>
      <c r="L129" s="1"/>
      <c r="M129" s="1"/>
    </row>
    <row r="133" spans="1:20" x14ac:dyDescent="0.2">
      <c r="Q133" s="42" t="e">
        <f>SUM(#REF!)</f>
        <v>#REF!</v>
      </c>
      <c r="R133" s="42" t="e">
        <f>SUM(#REF!)</f>
        <v>#REF!</v>
      </c>
      <c r="S133" s="42" t="e">
        <f>SUM(#REF!)</f>
        <v>#REF!</v>
      </c>
      <c r="T133" s="42" t="e">
        <f>SUM(#REF!)</f>
        <v>#REF!</v>
      </c>
    </row>
    <row r="134" spans="1:20" ht="35.25" customHeight="1" x14ac:dyDescent="0.2"/>
    <row r="135" spans="1:20" ht="36.75" customHeight="1" x14ac:dyDescent="0.2"/>
    <row r="136" spans="1:20" ht="33.75" customHeight="1" x14ac:dyDescent="0.2"/>
    <row r="137" spans="1:20" ht="26.25" customHeight="1" x14ac:dyDescent="0.2"/>
    <row r="138" spans="1:20" ht="27.75" customHeight="1" x14ac:dyDescent="0.2"/>
    <row r="139" spans="1:20" s="4" customFormat="1" ht="40.5" customHeight="1" x14ac:dyDescent="0.2">
      <c r="I139" s="3"/>
      <c r="J139" s="3"/>
      <c r="K139" s="2"/>
      <c r="L139" s="1"/>
      <c r="M139" s="1"/>
      <c r="N139"/>
      <c r="O139"/>
      <c r="P139"/>
      <c r="Q139"/>
      <c r="R139"/>
      <c r="S139"/>
      <c r="T139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FCC21-455A-4277-BB35-7CBA750C4681}">
  <dimension ref="A1:T269"/>
  <sheetViews>
    <sheetView topLeftCell="B173" zoomScale="84" zoomScaleNormal="76" workbookViewId="0">
      <selection activeCell="H255" sqref="H255"/>
    </sheetView>
  </sheetViews>
  <sheetFormatPr baseColWidth="10" defaultColWidth="11.42578125" defaultRowHeight="12.75" x14ac:dyDescent="0.2"/>
  <cols>
    <col min="1" max="1" width="18.7109375" style="4" bestFit="1" customWidth="1"/>
    <col min="2" max="2" width="45.42578125" style="4" bestFit="1" customWidth="1"/>
    <col min="3" max="3" width="36.7109375" style="4" bestFit="1" customWidth="1"/>
    <col min="4" max="4" width="21.28515625" style="4" bestFit="1" customWidth="1"/>
    <col min="5" max="5" width="21.570312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26"/>
      <c r="B1" s="128" t="s">
        <v>0</v>
      </c>
      <c r="C1" s="128"/>
      <c r="D1" s="128"/>
      <c r="E1" s="128"/>
      <c r="F1" s="128"/>
      <c r="G1" s="128"/>
      <c r="H1" s="128"/>
      <c r="I1" s="128"/>
      <c r="J1" s="128"/>
      <c r="K1" s="128"/>
      <c r="L1" s="130"/>
      <c r="M1" s="131"/>
    </row>
    <row r="2" spans="1:20" ht="20.25" customHeight="1" x14ac:dyDescent="0.2">
      <c r="A2" s="127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32"/>
      <c r="M2" s="133"/>
    </row>
    <row r="3" spans="1:20" ht="12.75" customHeight="1" x14ac:dyDescent="0.2">
      <c r="A3" s="134" t="s">
        <v>1</v>
      </c>
      <c r="B3" s="136" t="s">
        <v>2</v>
      </c>
      <c r="C3" s="136"/>
      <c r="D3" s="136"/>
      <c r="E3" s="136"/>
      <c r="F3" s="136"/>
      <c r="G3" s="136"/>
      <c r="H3" s="136"/>
      <c r="I3" s="136"/>
      <c r="J3" s="136"/>
      <c r="K3" s="136"/>
      <c r="L3" s="138" t="s">
        <v>3</v>
      </c>
      <c r="M3" s="139"/>
    </row>
    <row r="4" spans="1:20" ht="13.5" thickBot="1" x14ac:dyDescent="0.25">
      <c r="A4" s="135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22" t="s">
        <v>6</v>
      </c>
      <c r="C6" s="122"/>
      <c r="D6" s="122"/>
      <c r="E6" s="122"/>
      <c r="F6" s="122"/>
      <c r="G6" s="122"/>
      <c r="H6" s="123" t="s">
        <v>7</v>
      </c>
      <c r="I6" s="124"/>
      <c r="J6" s="124"/>
      <c r="K6" s="124"/>
      <c r="L6" s="125"/>
      <c r="M6" s="25"/>
    </row>
    <row r="7" spans="1:20" s="14" customFormat="1" ht="49.5" customHeight="1" x14ac:dyDescent="0.2">
      <c r="A7" s="99" cm="1">
        <f t="array" aca="1" ref="A7" ca="1">+#REF!+A1:L7+A7:L108</f>
        <v>0</v>
      </c>
      <c r="B7" s="99" t="s">
        <v>8</v>
      </c>
      <c r="C7" s="99" t="s">
        <v>9</v>
      </c>
      <c r="D7" s="99" t="s">
        <v>10</v>
      </c>
      <c r="E7" s="99" t="s">
        <v>11</v>
      </c>
      <c r="F7" s="99" t="s">
        <v>12</v>
      </c>
      <c r="G7" s="99" t="s">
        <v>13</v>
      </c>
      <c r="H7" s="100" t="s">
        <v>14</v>
      </c>
      <c r="I7" s="100" t="s">
        <v>15</v>
      </c>
      <c r="J7" s="100" t="s">
        <v>16</v>
      </c>
      <c r="K7" s="100" t="s">
        <v>17</v>
      </c>
      <c r="L7" s="100" t="s">
        <v>18</v>
      </c>
      <c r="M7" s="9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8" t="s">
        <v>20</v>
      </c>
      <c r="B8" s="85" t="s">
        <v>21</v>
      </c>
      <c r="C8" s="85" t="s">
        <v>22</v>
      </c>
      <c r="D8" s="84">
        <v>1</v>
      </c>
      <c r="E8" s="84">
        <v>45</v>
      </c>
      <c r="F8" s="85">
        <v>45882</v>
      </c>
      <c r="G8" s="86">
        <v>0.375</v>
      </c>
      <c r="H8" s="85">
        <v>45877</v>
      </c>
      <c r="I8" s="86">
        <v>0.4375</v>
      </c>
      <c r="J8" s="87">
        <f t="shared" ref="J8:J71" si="0">E8-L8</f>
        <v>-15</v>
      </c>
      <c r="K8" s="8">
        <v>1</v>
      </c>
      <c r="L8" s="87">
        <v>60</v>
      </c>
      <c r="M8" s="87" t="s">
        <v>23</v>
      </c>
      <c r="Q8" s="20">
        <v>1</v>
      </c>
      <c r="R8" s="20">
        <v>45</v>
      </c>
      <c r="S8" s="8">
        <v>1</v>
      </c>
      <c r="T8" s="7">
        <v>60</v>
      </c>
    </row>
    <row r="9" spans="1:20" s="5" customFormat="1" ht="39" customHeight="1" x14ac:dyDescent="0.2">
      <c r="A9" s="8" t="s">
        <v>24</v>
      </c>
      <c r="B9" s="85" t="s">
        <v>21</v>
      </c>
      <c r="C9" s="85" t="s">
        <v>22</v>
      </c>
      <c r="D9" s="84">
        <v>1</v>
      </c>
      <c r="E9" s="84">
        <v>60</v>
      </c>
      <c r="F9" s="85">
        <v>45882</v>
      </c>
      <c r="G9" s="86">
        <v>0.375</v>
      </c>
      <c r="H9" s="85">
        <v>45877</v>
      </c>
      <c r="I9" s="86">
        <v>0.4375</v>
      </c>
      <c r="J9" s="87">
        <f>E9-L9</f>
        <v>0</v>
      </c>
      <c r="K9" s="8">
        <v>1</v>
      </c>
      <c r="L9" s="87">
        <v>60</v>
      </c>
      <c r="M9" s="87" t="s">
        <v>25</v>
      </c>
      <c r="Q9" s="20">
        <v>1</v>
      </c>
      <c r="R9" s="20">
        <v>60</v>
      </c>
      <c r="S9" s="8">
        <v>1</v>
      </c>
      <c r="T9" s="7">
        <v>60</v>
      </c>
    </row>
    <row r="10" spans="1:20" s="5" customFormat="1" ht="43.5" customHeight="1" x14ac:dyDescent="0.2">
      <c r="A10" s="8" t="s">
        <v>24</v>
      </c>
      <c r="B10" s="85" t="s">
        <v>135</v>
      </c>
      <c r="C10" s="85" t="s">
        <v>31</v>
      </c>
      <c r="D10" s="84">
        <v>1</v>
      </c>
      <c r="E10" s="84">
        <v>60</v>
      </c>
      <c r="F10" s="85">
        <v>45882</v>
      </c>
      <c r="G10" s="86">
        <v>0.375</v>
      </c>
      <c r="H10" s="85">
        <v>45877</v>
      </c>
      <c r="I10" s="86">
        <v>0.4375</v>
      </c>
      <c r="J10" s="87">
        <f>E10-L10</f>
        <v>0</v>
      </c>
      <c r="K10" s="8">
        <v>1</v>
      </c>
      <c r="L10" s="87">
        <v>60</v>
      </c>
      <c r="M10" s="87" t="s">
        <v>25</v>
      </c>
      <c r="Q10" s="20">
        <v>1</v>
      </c>
      <c r="R10" s="20">
        <v>60</v>
      </c>
      <c r="S10" s="8">
        <v>1</v>
      </c>
      <c r="T10" s="7">
        <v>60</v>
      </c>
    </row>
    <row r="11" spans="1:20" s="5" customFormat="1" ht="35.1" customHeight="1" x14ac:dyDescent="0.2">
      <c r="A11" s="8" t="s">
        <v>24</v>
      </c>
      <c r="B11" s="85" t="s">
        <v>136</v>
      </c>
      <c r="C11" s="85" t="s">
        <v>34</v>
      </c>
      <c r="D11" s="84">
        <v>1</v>
      </c>
      <c r="E11" s="84">
        <v>60</v>
      </c>
      <c r="F11" s="85">
        <v>45882</v>
      </c>
      <c r="G11" s="86">
        <v>0.375</v>
      </c>
      <c r="H11" s="85">
        <v>45877</v>
      </c>
      <c r="I11" s="86">
        <v>0.4375</v>
      </c>
      <c r="J11" s="87">
        <f>E11-L11</f>
        <v>0</v>
      </c>
      <c r="K11" s="8">
        <v>1</v>
      </c>
      <c r="L11" s="87">
        <v>60</v>
      </c>
      <c r="M11" s="87" t="s">
        <v>25</v>
      </c>
      <c r="Q11" s="20">
        <v>1</v>
      </c>
      <c r="R11" s="20">
        <v>60</v>
      </c>
      <c r="S11" s="8">
        <v>1</v>
      </c>
      <c r="T11" s="7">
        <v>60</v>
      </c>
    </row>
    <row r="12" spans="1:20" s="5" customFormat="1" ht="35.1" customHeight="1" x14ac:dyDescent="0.2">
      <c r="A12" s="8" t="s">
        <v>24</v>
      </c>
      <c r="B12" s="85" t="s">
        <v>137</v>
      </c>
      <c r="C12" s="85" t="s">
        <v>37</v>
      </c>
      <c r="D12" s="84">
        <v>1</v>
      </c>
      <c r="E12" s="84">
        <v>60</v>
      </c>
      <c r="F12" s="85">
        <v>45882</v>
      </c>
      <c r="G12" s="86">
        <v>0.375</v>
      </c>
      <c r="H12" s="85">
        <v>45877</v>
      </c>
      <c r="I12" s="86">
        <v>0.4375</v>
      </c>
      <c r="J12" s="87">
        <f>E12-L12</f>
        <v>0</v>
      </c>
      <c r="K12" s="8">
        <v>1</v>
      </c>
      <c r="L12" s="87">
        <v>60</v>
      </c>
      <c r="M12" s="87" t="s">
        <v>25</v>
      </c>
      <c r="Q12" s="20">
        <v>1</v>
      </c>
      <c r="R12" s="20">
        <v>60</v>
      </c>
      <c r="S12" s="8">
        <v>1</v>
      </c>
      <c r="T12" s="7">
        <v>60</v>
      </c>
    </row>
    <row r="13" spans="1:20" s="5" customFormat="1" ht="35.1" customHeight="1" x14ac:dyDescent="0.2">
      <c r="A13" s="8" t="s">
        <v>24</v>
      </c>
      <c r="B13" s="85" t="s">
        <v>42</v>
      </c>
      <c r="C13" s="85" t="s">
        <v>43</v>
      </c>
      <c r="D13" s="84">
        <v>1</v>
      </c>
      <c r="E13" s="84">
        <v>60</v>
      </c>
      <c r="F13" s="85">
        <v>45882</v>
      </c>
      <c r="G13" s="86">
        <v>0.375</v>
      </c>
      <c r="H13" s="85">
        <v>45877</v>
      </c>
      <c r="I13" s="86">
        <v>0.4375</v>
      </c>
      <c r="J13" s="87">
        <f>E13-L13</f>
        <v>0</v>
      </c>
      <c r="K13" s="8">
        <v>1</v>
      </c>
      <c r="L13" s="87">
        <v>60</v>
      </c>
      <c r="M13" s="87" t="s">
        <v>25</v>
      </c>
      <c r="Q13" s="20">
        <v>1</v>
      </c>
      <c r="R13" s="20">
        <v>60</v>
      </c>
      <c r="S13" s="8">
        <v>1</v>
      </c>
      <c r="T13" s="7">
        <v>60</v>
      </c>
    </row>
    <row r="14" spans="1:20" s="5" customFormat="1" ht="33.950000000000003" customHeight="1" x14ac:dyDescent="0.2">
      <c r="A14" s="8" t="s">
        <v>24</v>
      </c>
      <c r="B14" s="85" t="s">
        <v>138</v>
      </c>
      <c r="C14" s="85" t="s">
        <v>40</v>
      </c>
      <c r="D14" s="84">
        <v>1</v>
      </c>
      <c r="E14" s="84">
        <v>60</v>
      </c>
      <c r="F14" s="85">
        <v>45882</v>
      </c>
      <c r="G14" s="86">
        <v>0.375</v>
      </c>
      <c r="H14" s="85">
        <v>45877</v>
      </c>
      <c r="I14" s="86">
        <v>0.4375</v>
      </c>
      <c r="J14" s="87">
        <f t="shared" si="0"/>
        <v>0</v>
      </c>
      <c r="K14" s="8">
        <v>1</v>
      </c>
      <c r="L14" s="87">
        <v>60</v>
      </c>
      <c r="M14" s="87" t="s">
        <v>25</v>
      </c>
      <c r="Q14" s="20">
        <v>1</v>
      </c>
      <c r="R14" s="20">
        <v>60</v>
      </c>
      <c r="S14" s="8">
        <v>1</v>
      </c>
      <c r="T14" s="7">
        <v>60</v>
      </c>
    </row>
    <row r="15" spans="1:20" s="5" customFormat="1" ht="38.450000000000003" customHeight="1" x14ac:dyDescent="0.2">
      <c r="A15" s="8" t="s">
        <v>26</v>
      </c>
      <c r="B15" s="5" t="s">
        <v>27</v>
      </c>
      <c r="C15" s="8" t="s">
        <v>28</v>
      </c>
      <c r="D15" s="84">
        <v>1</v>
      </c>
      <c r="E15" s="97">
        <v>50</v>
      </c>
      <c r="F15" s="85">
        <v>45882</v>
      </c>
      <c r="G15" s="86">
        <v>0.375</v>
      </c>
      <c r="H15" s="85">
        <v>45877</v>
      </c>
      <c r="I15" s="86">
        <v>0.45833333333333331</v>
      </c>
      <c r="J15" s="87">
        <f t="shared" si="0"/>
        <v>-10</v>
      </c>
      <c r="K15" s="8">
        <v>1</v>
      </c>
      <c r="L15" s="87">
        <v>60</v>
      </c>
      <c r="M15" s="87" t="s">
        <v>29</v>
      </c>
      <c r="Q15" s="20">
        <v>1</v>
      </c>
      <c r="R15" s="28">
        <v>50</v>
      </c>
      <c r="S15" s="8">
        <v>1</v>
      </c>
      <c r="T15" s="7">
        <v>60</v>
      </c>
    </row>
    <row r="16" spans="1:20" s="5" customFormat="1" ht="30.95" customHeight="1" x14ac:dyDescent="0.2">
      <c r="A16" s="8" t="s">
        <v>26</v>
      </c>
      <c r="B16" s="85" t="s">
        <v>30</v>
      </c>
      <c r="C16" s="85" t="s">
        <v>31</v>
      </c>
      <c r="D16" s="84">
        <v>1</v>
      </c>
      <c r="E16" s="97">
        <v>50</v>
      </c>
      <c r="F16" s="85">
        <v>45882</v>
      </c>
      <c r="G16" s="86">
        <v>0.375</v>
      </c>
      <c r="H16" s="85">
        <v>45877</v>
      </c>
      <c r="I16" s="86">
        <v>0.45833333333333331</v>
      </c>
      <c r="J16" s="87">
        <f t="shared" si="0"/>
        <v>-10</v>
      </c>
      <c r="K16" s="8">
        <v>1</v>
      </c>
      <c r="L16" s="87">
        <v>60</v>
      </c>
      <c r="M16" s="87" t="s">
        <v>32</v>
      </c>
      <c r="Q16" s="20">
        <v>1</v>
      </c>
      <c r="R16" s="28">
        <v>50</v>
      </c>
      <c r="S16" s="8">
        <v>1</v>
      </c>
      <c r="T16" s="7">
        <v>60</v>
      </c>
    </row>
    <row r="17" spans="1:20" s="5" customFormat="1" ht="27" customHeight="1" x14ac:dyDescent="0.2">
      <c r="A17" s="8" t="s">
        <v>26</v>
      </c>
      <c r="B17" s="85" t="s">
        <v>33</v>
      </c>
      <c r="C17" s="85" t="s">
        <v>34</v>
      </c>
      <c r="D17" s="84">
        <v>1</v>
      </c>
      <c r="E17" s="97">
        <v>50</v>
      </c>
      <c r="F17" s="85">
        <v>45882</v>
      </c>
      <c r="G17" s="86">
        <v>0.375</v>
      </c>
      <c r="H17" s="85">
        <v>45877</v>
      </c>
      <c r="I17" s="86">
        <v>0.45833333333333331</v>
      </c>
      <c r="J17" s="87">
        <f t="shared" si="0"/>
        <v>-10</v>
      </c>
      <c r="K17" s="8">
        <v>1</v>
      </c>
      <c r="L17" s="87">
        <v>60</v>
      </c>
      <c r="M17" s="87" t="s">
        <v>35</v>
      </c>
      <c r="Q17" s="20">
        <v>1</v>
      </c>
      <c r="R17" s="28">
        <v>50</v>
      </c>
      <c r="S17" s="8">
        <v>1</v>
      </c>
      <c r="T17" s="7">
        <v>60</v>
      </c>
    </row>
    <row r="18" spans="1:20" s="5" customFormat="1" ht="27.6" customHeight="1" x14ac:dyDescent="0.2">
      <c r="A18" s="8" t="s">
        <v>26</v>
      </c>
      <c r="B18" s="85" t="s">
        <v>36</v>
      </c>
      <c r="C18" s="85" t="s">
        <v>37</v>
      </c>
      <c r="D18" s="84">
        <v>1</v>
      </c>
      <c r="E18" s="97">
        <v>50</v>
      </c>
      <c r="F18" s="85">
        <v>45882</v>
      </c>
      <c r="G18" s="86">
        <v>0.375</v>
      </c>
      <c r="H18" s="85">
        <v>45877</v>
      </c>
      <c r="I18" s="86">
        <v>0.45833333333333331</v>
      </c>
      <c r="J18" s="87">
        <f t="shared" si="0"/>
        <v>-10</v>
      </c>
      <c r="K18" s="8">
        <v>1</v>
      </c>
      <c r="L18" s="87">
        <v>60</v>
      </c>
      <c r="M18" s="87" t="s">
        <v>38</v>
      </c>
      <c r="Q18" s="20">
        <v>1</v>
      </c>
      <c r="R18" s="28">
        <v>50</v>
      </c>
      <c r="S18" s="8">
        <v>1</v>
      </c>
      <c r="T18" s="7">
        <v>60</v>
      </c>
    </row>
    <row r="19" spans="1:20" s="5" customFormat="1" ht="24" customHeight="1" x14ac:dyDescent="0.2">
      <c r="A19" s="8" t="s">
        <v>26</v>
      </c>
      <c r="B19" s="85" t="s">
        <v>39</v>
      </c>
      <c r="C19" s="85" t="s">
        <v>40</v>
      </c>
      <c r="D19" s="84">
        <v>1</v>
      </c>
      <c r="E19" s="97">
        <v>50</v>
      </c>
      <c r="F19" s="85">
        <v>45882</v>
      </c>
      <c r="G19" s="86">
        <v>0.375</v>
      </c>
      <c r="H19" s="85">
        <v>45877</v>
      </c>
      <c r="I19" s="86">
        <v>0.45833333333333331</v>
      </c>
      <c r="J19" s="87">
        <f t="shared" si="0"/>
        <v>-10</v>
      </c>
      <c r="K19" s="8">
        <v>1</v>
      </c>
      <c r="L19" s="87">
        <v>60</v>
      </c>
      <c r="M19" s="87" t="s">
        <v>41</v>
      </c>
      <c r="Q19" s="20">
        <v>1</v>
      </c>
      <c r="R19" s="28">
        <v>50</v>
      </c>
      <c r="S19" s="8">
        <v>1</v>
      </c>
      <c r="T19" s="7">
        <v>60</v>
      </c>
    </row>
    <row r="20" spans="1:20" s="5" customFormat="1" ht="29.45" customHeight="1" x14ac:dyDescent="0.2">
      <c r="A20" s="8" t="s">
        <v>26</v>
      </c>
      <c r="B20" s="85" t="s">
        <v>42</v>
      </c>
      <c r="C20" s="85" t="s">
        <v>43</v>
      </c>
      <c r="D20" s="84">
        <v>1</v>
      </c>
      <c r="E20" s="97">
        <v>50</v>
      </c>
      <c r="F20" s="85">
        <v>45882</v>
      </c>
      <c r="G20" s="86">
        <v>0.375</v>
      </c>
      <c r="H20" s="85">
        <v>45877</v>
      </c>
      <c r="I20" s="86">
        <v>0.45833333333333331</v>
      </c>
      <c r="J20" s="87">
        <f t="shared" si="0"/>
        <v>-10</v>
      </c>
      <c r="K20" s="8">
        <v>1</v>
      </c>
      <c r="L20" s="87">
        <v>60</v>
      </c>
      <c r="M20" s="87" t="s">
        <v>44</v>
      </c>
      <c r="Q20" s="20">
        <v>1</v>
      </c>
      <c r="R20" s="28">
        <v>50</v>
      </c>
      <c r="S20" s="8">
        <v>1</v>
      </c>
      <c r="T20" s="7">
        <v>60</v>
      </c>
    </row>
    <row r="21" spans="1:20" s="5" customFormat="1" ht="33.950000000000003" customHeight="1" x14ac:dyDescent="0.2">
      <c r="A21" s="8" t="s">
        <v>45</v>
      </c>
      <c r="B21" s="85" t="s">
        <v>21</v>
      </c>
      <c r="C21" s="85" t="s">
        <v>22</v>
      </c>
      <c r="D21" s="84">
        <v>1</v>
      </c>
      <c r="E21" s="97">
        <v>70</v>
      </c>
      <c r="F21" s="85">
        <v>45882</v>
      </c>
      <c r="G21" s="86">
        <v>0.375</v>
      </c>
      <c r="H21" s="85">
        <v>45877</v>
      </c>
      <c r="I21" s="86">
        <v>0.5</v>
      </c>
      <c r="J21" s="87">
        <f t="shared" si="0"/>
        <v>10</v>
      </c>
      <c r="K21" s="8">
        <v>1</v>
      </c>
      <c r="L21" s="87">
        <v>60</v>
      </c>
      <c r="M21" s="87" t="s">
        <v>46</v>
      </c>
      <c r="Q21" s="20">
        <v>1</v>
      </c>
      <c r="R21" s="28">
        <v>70</v>
      </c>
      <c r="S21" s="8">
        <v>1</v>
      </c>
      <c r="T21" s="7">
        <v>60</v>
      </c>
    </row>
    <row r="22" spans="1:20" s="5" customFormat="1" ht="33.950000000000003" customHeight="1" x14ac:dyDescent="0.2">
      <c r="A22" s="8" t="s">
        <v>45</v>
      </c>
      <c r="B22" s="85" t="s">
        <v>30</v>
      </c>
      <c r="C22" s="85" t="s">
        <v>31</v>
      </c>
      <c r="D22" s="84">
        <v>1</v>
      </c>
      <c r="E22" s="97">
        <v>70</v>
      </c>
      <c r="F22" s="85">
        <v>45882</v>
      </c>
      <c r="G22" s="86">
        <v>0.375</v>
      </c>
      <c r="H22" s="85">
        <v>45877</v>
      </c>
      <c r="I22" s="86">
        <v>0.5</v>
      </c>
      <c r="J22" s="87">
        <f t="shared" si="0"/>
        <v>10</v>
      </c>
      <c r="K22" s="8">
        <v>1</v>
      </c>
      <c r="L22" s="87">
        <v>60</v>
      </c>
      <c r="M22" s="87" t="s">
        <v>47</v>
      </c>
      <c r="Q22" s="20">
        <v>1</v>
      </c>
      <c r="R22" s="28">
        <v>70</v>
      </c>
      <c r="S22" s="8">
        <v>1</v>
      </c>
      <c r="T22" s="7">
        <v>60</v>
      </c>
    </row>
    <row r="23" spans="1:20" s="5" customFormat="1" ht="28.5" customHeight="1" x14ac:dyDescent="0.2">
      <c r="A23" s="5" t="s">
        <v>45</v>
      </c>
      <c r="B23" s="85" t="s">
        <v>33</v>
      </c>
      <c r="C23" s="85" t="s">
        <v>34</v>
      </c>
      <c r="D23" s="84">
        <v>1</v>
      </c>
      <c r="E23" s="97">
        <v>70</v>
      </c>
      <c r="F23" s="85">
        <v>45882</v>
      </c>
      <c r="G23" s="86">
        <v>0.375</v>
      </c>
      <c r="H23" s="85">
        <v>45877</v>
      </c>
      <c r="I23" s="86">
        <v>0.5</v>
      </c>
      <c r="J23" s="87">
        <f t="shared" si="0"/>
        <v>10</v>
      </c>
      <c r="K23" s="8">
        <v>1</v>
      </c>
      <c r="L23" s="87">
        <v>60</v>
      </c>
      <c r="M23" s="87" t="s">
        <v>48</v>
      </c>
      <c r="Q23" s="20">
        <v>1</v>
      </c>
      <c r="R23" s="28">
        <v>70</v>
      </c>
      <c r="S23" s="8">
        <v>1</v>
      </c>
      <c r="T23" s="7">
        <v>60</v>
      </c>
    </row>
    <row r="24" spans="1:20" s="5" customFormat="1" ht="24.95" customHeight="1" x14ac:dyDescent="0.2">
      <c r="A24" s="8" t="s">
        <v>45</v>
      </c>
      <c r="B24" s="85" t="s">
        <v>36</v>
      </c>
      <c r="C24" s="85" t="s">
        <v>37</v>
      </c>
      <c r="D24" s="84">
        <v>1</v>
      </c>
      <c r="E24" s="97">
        <v>70</v>
      </c>
      <c r="F24" s="85">
        <v>45882</v>
      </c>
      <c r="G24" s="86">
        <v>0.375</v>
      </c>
      <c r="H24" s="85">
        <v>45877</v>
      </c>
      <c r="I24" s="86">
        <v>0.5</v>
      </c>
      <c r="J24" s="87">
        <f t="shared" si="0"/>
        <v>10</v>
      </c>
      <c r="K24" s="8">
        <v>1</v>
      </c>
      <c r="L24" s="87">
        <v>60</v>
      </c>
      <c r="M24" s="87" t="s">
        <v>49</v>
      </c>
      <c r="Q24" s="20">
        <v>1</v>
      </c>
      <c r="R24" s="28">
        <v>70</v>
      </c>
      <c r="S24" s="8">
        <v>1</v>
      </c>
      <c r="T24" s="7">
        <v>60</v>
      </c>
    </row>
    <row r="25" spans="1:20" s="5" customFormat="1" ht="12.75" customHeight="1" x14ac:dyDescent="0.2">
      <c r="A25" s="8" t="s">
        <v>45</v>
      </c>
      <c r="B25" s="85" t="s">
        <v>39</v>
      </c>
      <c r="C25" s="85" t="s">
        <v>40</v>
      </c>
      <c r="D25" s="84">
        <v>1</v>
      </c>
      <c r="E25" s="97">
        <v>70</v>
      </c>
      <c r="F25" s="85">
        <v>45882</v>
      </c>
      <c r="G25" s="86">
        <v>0.375</v>
      </c>
      <c r="H25" s="85">
        <v>45877</v>
      </c>
      <c r="I25" s="86">
        <v>0.5</v>
      </c>
      <c r="J25" s="87">
        <f t="shared" si="0"/>
        <v>10</v>
      </c>
      <c r="K25" s="8">
        <v>1</v>
      </c>
      <c r="L25" s="87">
        <v>60</v>
      </c>
      <c r="M25" s="87" t="s">
        <v>50</v>
      </c>
      <c r="Q25" s="20">
        <v>1</v>
      </c>
      <c r="R25" s="28">
        <v>70</v>
      </c>
      <c r="S25" s="8">
        <v>1</v>
      </c>
      <c r="T25" s="7">
        <v>60</v>
      </c>
    </row>
    <row r="26" spans="1:20" s="5" customFormat="1" ht="12.75" customHeight="1" x14ac:dyDescent="0.2">
      <c r="A26" s="8" t="s">
        <v>45</v>
      </c>
      <c r="B26" s="85" t="s">
        <v>42</v>
      </c>
      <c r="C26" s="85" t="s">
        <v>43</v>
      </c>
      <c r="D26" s="84">
        <v>1</v>
      </c>
      <c r="E26" s="97">
        <v>70</v>
      </c>
      <c r="F26" s="85">
        <v>45882</v>
      </c>
      <c r="G26" s="86">
        <v>0.375</v>
      </c>
      <c r="H26" s="85">
        <v>45877</v>
      </c>
      <c r="I26" s="86">
        <v>0.5</v>
      </c>
      <c r="J26" s="87">
        <f t="shared" si="0"/>
        <v>10</v>
      </c>
      <c r="K26" s="8">
        <v>1</v>
      </c>
      <c r="L26" s="87">
        <v>60</v>
      </c>
      <c r="M26" s="87" t="s">
        <v>51</v>
      </c>
      <c r="Q26" s="20">
        <v>1</v>
      </c>
      <c r="R26" s="28">
        <v>70</v>
      </c>
      <c r="S26" s="8">
        <v>1</v>
      </c>
      <c r="T26" s="7">
        <v>60</v>
      </c>
    </row>
    <row r="27" spans="1:20" s="5" customFormat="1" ht="33.950000000000003" customHeight="1" x14ac:dyDescent="0.2">
      <c r="A27" s="8" t="s">
        <v>52</v>
      </c>
      <c r="B27" s="85" t="s">
        <v>21</v>
      </c>
      <c r="C27" s="85" t="s">
        <v>22</v>
      </c>
      <c r="D27" s="84">
        <v>1</v>
      </c>
      <c r="E27" s="49">
        <v>30</v>
      </c>
      <c r="F27" s="85">
        <v>45882</v>
      </c>
      <c r="G27" s="86">
        <v>0.375</v>
      </c>
      <c r="H27" s="85">
        <v>45877</v>
      </c>
      <c r="I27" s="86">
        <v>4.1666666666666664E-2</v>
      </c>
      <c r="J27" s="87">
        <f t="shared" si="0"/>
        <v>0</v>
      </c>
      <c r="K27" s="8">
        <v>1</v>
      </c>
      <c r="L27" s="87">
        <v>30</v>
      </c>
      <c r="M27" s="87" t="s">
        <v>53</v>
      </c>
      <c r="Q27" s="20">
        <v>1</v>
      </c>
      <c r="R27" s="29">
        <v>30</v>
      </c>
      <c r="S27" s="8">
        <v>1</v>
      </c>
      <c r="T27" s="7">
        <v>30</v>
      </c>
    </row>
    <row r="28" spans="1:20" s="5" customFormat="1" ht="32.450000000000003" customHeight="1" x14ac:dyDescent="0.2">
      <c r="A28" s="8" t="s">
        <v>52</v>
      </c>
      <c r="B28" s="85" t="s">
        <v>36</v>
      </c>
      <c r="C28" s="85" t="s">
        <v>37</v>
      </c>
      <c r="D28" s="84">
        <v>1</v>
      </c>
      <c r="E28" s="5">
        <v>30</v>
      </c>
      <c r="F28" s="85">
        <v>45882</v>
      </c>
      <c r="G28" s="86">
        <v>0.375</v>
      </c>
      <c r="H28" s="85">
        <v>45877</v>
      </c>
      <c r="I28" s="86">
        <v>4.1666666666666664E-2</v>
      </c>
      <c r="J28" s="87">
        <f>E28-L28</f>
        <v>0</v>
      </c>
      <c r="K28" s="8">
        <v>1</v>
      </c>
      <c r="L28" s="87">
        <v>30</v>
      </c>
      <c r="M28" s="87" t="s">
        <v>53</v>
      </c>
      <c r="Q28" s="20">
        <v>1</v>
      </c>
      <c r="R28" s="5">
        <v>30</v>
      </c>
      <c r="S28" s="8">
        <v>1</v>
      </c>
      <c r="T28" s="7">
        <v>30</v>
      </c>
    </row>
    <row r="29" spans="1:20" ht="35.25" customHeight="1" x14ac:dyDescent="0.2">
      <c r="A29" s="8" t="s">
        <v>144</v>
      </c>
      <c r="B29" s="85" t="s">
        <v>30</v>
      </c>
      <c r="C29" s="85" t="s">
        <v>31</v>
      </c>
      <c r="D29" s="84">
        <v>1</v>
      </c>
      <c r="E29" s="8">
        <v>30</v>
      </c>
      <c r="F29" s="85">
        <v>45882</v>
      </c>
      <c r="G29" s="86">
        <v>0.375</v>
      </c>
      <c r="H29" s="85">
        <v>45877</v>
      </c>
      <c r="I29" s="86">
        <v>4.1666666666666664E-2</v>
      </c>
      <c r="J29" s="87">
        <f t="shared" si="0"/>
        <v>0</v>
      </c>
      <c r="K29" s="8">
        <v>1</v>
      </c>
      <c r="L29" s="87">
        <v>30</v>
      </c>
      <c r="M29" s="87" t="s">
        <v>145</v>
      </c>
      <c r="Q29" s="20">
        <v>1</v>
      </c>
      <c r="R29" s="8">
        <v>30</v>
      </c>
      <c r="S29" s="8">
        <v>1</v>
      </c>
      <c r="T29" s="7">
        <v>30</v>
      </c>
    </row>
    <row r="30" spans="1:20" s="5" customFormat="1" ht="47.1" customHeight="1" x14ac:dyDescent="0.2">
      <c r="A30" s="8" t="s">
        <v>54</v>
      </c>
      <c r="B30" s="85" t="s">
        <v>21</v>
      </c>
      <c r="C30" s="85" t="s">
        <v>28</v>
      </c>
      <c r="D30" s="84">
        <v>1</v>
      </c>
      <c r="E30" s="49">
        <v>120</v>
      </c>
      <c r="F30" s="85">
        <v>45882</v>
      </c>
      <c r="G30" s="86">
        <v>0.375</v>
      </c>
      <c r="H30" s="27">
        <v>45879</v>
      </c>
      <c r="I30" s="86">
        <v>0.91666666666666663</v>
      </c>
      <c r="J30" s="87">
        <f t="shared" si="0"/>
        <v>60</v>
      </c>
      <c r="K30" s="8">
        <v>1</v>
      </c>
      <c r="L30" s="87">
        <v>60</v>
      </c>
      <c r="M30" s="87" t="s">
        <v>56</v>
      </c>
      <c r="Q30" s="20">
        <v>1</v>
      </c>
      <c r="R30" s="29">
        <v>120</v>
      </c>
      <c r="S30" s="8">
        <v>1</v>
      </c>
      <c r="T30" s="7">
        <v>60</v>
      </c>
    </row>
    <row r="31" spans="1:20" s="5" customFormat="1" ht="33" customHeight="1" x14ac:dyDescent="0.2">
      <c r="A31" s="8" t="s">
        <v>54</v>
      </c>
      <c r="B31" s="85" t="s">
        <v>39</v>
      </c>
      <c r="C31" s="85" t="s">
        <v>58</v>
      </c>
      <c r="D31" s="84">
        <v>1</v>
      </c>
      <c r="E31" s="49">
        <v>120</v>
      </c>
      <c r="F31" s="85">
        <v>45882</v>
      </c>
      <c r="G31" s="86">
        <v>0.375</v>
      </c>
      <c r="H31" s="85">
        <v>45879</v>
      </c>
      <c r="I31" s="86">
        <v>0.91666666666666663</v>
      </c>
      <c r="J31" s="87">
        <f t="shared" si="0"/>
        <v>60</v>
      </c>
      <c r="K31" s="8">
        <v>1</v>
      </c>
      <c r="L31" s="87">
        <v>60</v>
      </c>
      <c r="M31" s="87" t="s">
        <v>59</v>
      </c>
      <c r="Q31" s="20">
        <v>1</v>
      </c>
      <c r="R31" s="29">
        <v>120</v>
      </c>
      <c r="S31" s="8">
        <v>1</v>
      </c>
      <c r="T31" s="7">
        <v>60</v>
      </c>
    </row>
    <row r="32" spans="1:20" s="5" customFormat="1" ht="27" customHeight="1" x14ac:dyDescent="0.2">
      <c r="A32" s="26" t="s">
        <v>60</v>
      </c>
      <c r="B32" s="85" t="s">
        <v>30</v>
      </c>
      <c r="C32" s="85" t="s">
        <v>62</v>
      </c>
      <c r="D32" s="84">
        <v>1</v>
      </c>
      <c r="E32" s="49">
        <v>30</v>
      </c>
      <c r="F32" s="85">
        <v>45882</v>
      </c>
      <c r="G32" s="86">
        <v>0.375</v>
      </c>
      <c r="H32" s="13">
        <v>45879</v>
      </c>
      <c r="I32" s="12">
        <v>0.91666666666666663</v>
      </c>
      <c r="J32" s="87">
        <f>E32-L32</f>
        <v>-30</v>
      </c>
      <c r="K32" s="8">
        <v>1</v>
      </c>
      <c r="L32" s="101">
        <v>60</v>
      </c>
      <c r="M32" s="101" t="s">
        <v>63</v>
      </c>
      <c r="Q32" s="20">
        <v>1</v>
      </c>
      <c r="R32" s="29">
        <v>30</v>
      </c>
      <c r="S32" s="8">
        <v>1</v>
      </c>
      <c r="T32" s="30">
        <v>60</v>
      </c>
    </row>
    <row r="33" spans="1:20" s="5" customFormat="1" ht="33.6" customHeight="1" x14ac:dyDescent="0.2">
      <c r="A33" s="8" t="s">
        <v>60</v>
      </c>
      <c r="B33" s="85" t="s">
        <v>33</v>
      </c>
      <c r="C33" s="85" t="s">
        <v>65</v>
      </c>
      <c r="D33" s="84">
        <v>1</v>
      </c>
      <c r="E33" s="49">
        <v>30</v>
      </c>
      <c r="F33" s="85">
        <v>45882</v>
      </c>
      <c r="G33" s="86">
        <v>0.375</v>
      </c>
      <c r="H33" s="85">
        <v>45879</v>
      </c>
      <c r="I33" s="86">
        <v>0.875</v>
      </c>
      <c r="J33" s="87">
        <f t="shared" si="0"/>
        <v>-30</v>
      </c>
      <c r="K33" s="8">
        <v>1</v>
      </c>
      <c r="L33" s="87">
        <v>60</v>
      </c>
      <c r="M33" s="87" t="s">
        <v>66</v>
      </c>
      <c r="Q33" s="20">
        <v>1</v>
      </c>
      <c r="R33" s="29">
        <v>30</v>
      </c>
      <c r="S33" s="8">
        <v>1</v>
      </c>
      <c r="T33" s="7">
        <v>60</v>
      </c>
    </row>
    <row r="34" spans="1:20" s="5" customFormat="1" ht="84" customHeight="1" x14ac:dyDescent="0.2">
      <c r="A34" s="8" t="s">
        <v>60</v>
      </c>
      <c r="B34" s="90" t="s">
        <v>42</v>
      </c>
      <c r="C34" s="85" t="s">
        <v>68</v>
      </c>
      <c r="D34" s="84">
        <v>1</v>
      </c>
      <c r="E34" s="49">
        <v>30</v>
      </c>
      <c r="F34" s="85">
        <v>45882</v>
      </c>
      <c r="G34" s="86">
        <v>0.375</v>
      </c>
      <c r="H34" s="85">
        <v>45879</v>
      </c>
      <c r="I34" s="86">
        <v>0.91666666666666663</v>
      </c>
      <c r="J34" s="87">
        <f t="shared" si="0"/>
        <v>-90</v>
      </c>
      <c r="K34" s="8">
        <v>1</v>
      </c>
      <c r="L34" s="87">
        <v>120</v>
      </c>
      <c r="M34" s="87" t="s">
        <v>69</v>
      </c>
      <c r="Q34" s="20">
        <v>1</v>
      </c>
      <c r="R34" s="29">
        <v>30</v>
      </c>
      <c r="S34" s="8">
        <v>1</v>
      </c>
      <c r="T34" s="7">
        <v>120</v>
      </c>
    </row>
    <row r="35" spans="1:20" s="5" customFormat="1" ht="31.5" customHeight="1" x14ac:dyDescent="0.2">
      <c r="A35" s="8" t="s">
        <v>60</v>
      </c>
      <c r="B35" s="90" t="s">
        <v>36</v>
      </c>
      <c r="C35" s="85" t="s">
        <v>71</v>
      </c>
      <c r="D35" s="84">
        <v>1</v>
      </c>
      <c r="E35" s="49">
        <v>30</v>
      </c>
      <c r="F35" s="85">
        <v>45882</v>
      </c>
      <c r="G35" s="86">
        <v>0.375</v>
      </c>
      <c r="H35" s="85">
        <v>45879</v>
      </c>
      <c r="I35" s="86">
        <v>0.46527777777777779</v>
      </c>
      <c r="J35" s="87">
        <f t="shared" si="0"/>
        <v>5</v>
      </c>
      <c r="K35" s="8">
        <v>1</v>
      </c>
      <c r="L35" s="87">
        <v>25</v>
      </c>
      <c r="M35" s="87" t="s">
        <v>72</v>
      </c>
      <c r="Q35" s="20">
        <v>1</v>
      </c>
      <c r="R35" s="29">
        <v>30</v>
      </c>
      <c r="S35" s="8">
        <v>1</v>
      </c>
      <c r="T35" s="7">
        <v>25</v>
      </c>
    </row>
    <row r="36" spans="1:20" s="5" customFormat="1" ht="26.45" customHeight="1" x14ac:dyDescent="0.2">
      <c r="A36" s="8" t="s">
        <v>73</v>
      </c>
      <c r="B36" s="90" t="s">
        <v>74</v>
      </c>
      <c r="C36" s="85" t="s">
        <v>71</v>
      </c>
      <c r="D36" s="84">
        <v>1</v>
      </c>
      <c r="E36" s="49">
        <v>70</v>
      </c>
      <c r="F36" s="85">
        <v>45882</v>
      </c>
      <c r="G36" s="86">
        <v>0.375</v>
      </c>
      <c r="H36" s="85">
        <v>45880</v>
      </c>
      <c r="I36" s="86">
        <v>0.83333333333333337</v>
      </c>
      <c r="J36" s="87">
        <f t="shared" si="0"/>
        <v>-50</v>
      </c>
      <c r="K36" s="8">
        <v>1</v>
      </c>
      <c r="L36" s="87">
        <v>120</v>
      </c>
      <c r="M36" s="87" t="s">
        <v>75</v>
      </c>
      <c r="Q36" s="20">
        <v>1</v>
      </c>
      <c r="R36" s="29">
        <v>70</v>
      </c>
      <c r="S36" s="8">
        <v>1</v>
      </c>
      <c r="T36" s="7">
        <v>120</v>
      </c>
    </row>
    <row r="37" spans="1:20" s="5" customFormat="1" ht="29.1" customHeight="1" x14ac:dyDescent="0.2">
      <c r="A37" s="8" t="s">
        <v>76</v>
      </c>
      <c r="B37" s="85" t="s">
        <v>42</v>
      </c>
      <c r="C37" s="85" t="s">
        <v>77</v>
      </c>
      <c r="D37" s="84">
        <v>1</v>
      </c>
      <c r="E37" s="49">
        <v>50</v>
      </c>
      <c r="F37" s="85">
        <v>45882</v>
      </c>
      <c r="G37" s="86">
        <v>0.375</v>
      </c>
      <c r="H37" s="85">
        <v>45880</v>
      </c>
      <c r="I37" s="86">
        <v>0.91666666666666663</v>
      </c>
      <c r="J37" s="87">
        <f t="shared" si="0"/>
        <v>-70</v>
      </c>
      <c r="K37" s="8">
        <v>1</v>
      </c>
      <c r="L37" s="87">
        <v>120</v>
      </c>
      <c r="M37" s="87" t="s">
        <v>78</v>
      </c>
      <c r="Q37" s="20">
        <v>1</v>
      </c>
      <c r="R37" s="29">
        <v>50</v>
      </c>
      <c r="S37" s="8">
        <v>1</v>
      </c>
      <c r="T37" s="7">
        <v>120</v>
      </c>
    </row>
    <row r="38" spans="1:20" s="5" customFormat="1" ht="31.5" customHeight="1" x14ac:dyDescent="0.2">
      <c r="A38" s="8" t="s">
        <v>79</v>
      </c>
      <c r="B38" s="85" t="s">
        <v>36</v>
      </c>
      <c r="C38" s="85" t="s">
        <v>80</v>
      </c>
      <c r="D38" s="84">
        <v>1</v>
      </c>
      <c r="E38" s="49">
        <v>45</v>
      </c>
      <c r="F38" s="85">
        <v>45882</v>
      </c>
      <c r="G38" s="86">
        <v>0.375</v>
      </c>
      <c r="H38" s="85">
        <v>45880</v>
      </c>
      <c r="I38" s="86">
        <v>0.9375</v>
      </c>
      <c r="J38" s="87">
        <f t="shared" si="0"/>
        <v>-35</v>
      </c>
      <c r="K38" s="8">
        <v>1</v>
      </c>
      <c r="L38" s="87">
        <v>80</v>
      </c>
      <c r="M38" s="87" t="s">
        <v>81</v>
      </c>
      <c r="Q38" s="20">
        <v>1</v>
      </c>
      <c r="R38" s="29">
        <v>45</v>
      </c>
      <c r="S38" s="8">
        <v>1</v>
      </c>
      <c r="T38" s="7">
        <v>80</v>
      </c>
    </row>
    <row r="39" spans="1:20" s="5" customFormat="1" ht="26.1" customHeight="1" x14ac:dyDescent="0.2">
      <c r="A39" s="8" t="s">
        <v>82</v>
      </c>
      <c r="B39" s="85" t="s">
        <v>30</v>
      </c>
      <c r="C39" s="85" t="s">
        <v>83</v>
      </c>
      <c r="D39" s="84">
        <v>1</v>
      </c>
      <c r="E39" s="49">
        <v>50</v>
      </c>
      <c r="F39" s="85">
        <v>45882</v>
      </c>
      <c r="G39" s="86">
        <v>0.375</v>
      </c>
      <c r="H39" s="85">
        <v>45880</v>
      </c>
      <c r="I39" s="86">
        <v>0.95833333333333337</v>
      </c>
      <c r="J39" s="87">
        <f t="shared" si="0"/>
        <v>-4</v>
      </c>
      <c r="K39" s="8">
        <v>1</v>
      </c>
      <c r="L39" s="87">
        <v>54</v>
      </c>
      <c r="M39" s="87" t="s">
        <v>84</v>
      </c>
      <c r="Q39" s="20">
        <v>1</v>
      </c>
      <c r="R39" s="29">
        <v>50</v>
      </c>
      <c r="S39" s="8">
        <v>1</v>
      </c>
      <c r="T39" s="7">
        <v>54</v>
      </c>
    </row>
    <row r="40" spans="1:20" s="5" customFormat="1" ht="27" customHeight="1" x14ac:dyDescent="0.2">
      <c r="A40" s="8" t="s">
        <v>85</v>
      </c>
      <c r="B40" s="85" t="s">
        <v>21</v>
      </c>
      <c r="C40" s="85" t="s">
        <v>86</v>
      </c>
      <c r="D40" s="84">
        <v>1</v>
      </c>
      <c r="E40" s="49">
        <v>60</v>
      </c>
      <c r="F40" s="85">
        <v>45882</v>
      </c>
      <c r="G40" s="86">
        <v>0.375</v>
      </c>
      <c r="H40" s="85">
        <v>45880</v>
      </c>
      <c r="I40" s="86">
        <v>0.95833333333333337</v>
      </c>
      <c r="J40" s="87">
        <f t="shared" si="0"/>
        <v>10</v>
      </c>
      <c r="K40" s="8">
        <v>1</v>
      </c>
      <c r="L40" s="87">
        <v>50</v>
      </c>
      <c r="M40" s="87" t="s">
        <v>87</v>
      </c>
      <c r="Q40" s="20">
        <v>1</v>
      </c>
      <c r="R40" s="29">
        <v>60</v>
      </c>
      <c r="S40" s="8">
        <v>1</v>
      </c>
      <c r="T40" s="7">
        <v>50</v>
      </c>
    </row>
    <row r="41" spans="1:20" s="5" customFormat="1" ht="27" customHeight="1" x14ac:dyDescent="0.2">
      <c r="A41" s="8" t="s">
        <v>88</v>
      </c>
      <c r="B41" s="85" t="s">
        <v>21</v>
      </c>
      <c r="C41" s="85" t="s">
        <v>86</v>
      </c>
      <c r="D41" s="84">
        <v>1</v>
      </c>
      <c r="E41" s="49">
        <v>55</v>
      </c>
      <c r="F41" s="85">
        <v>45882</v>
      </c>
      <c r="G41" s="86">
        <v>0.375</v>
      </c>
      <c r="H41" s="85">
        <v>45880</v>
      </c>
      <c r="I41" s="86">
        <v>0.95833333333333337</v>
      </c>
      <c r="J41" s="87">
        <f t="shared" si="0"/>
        <v>0</v>
      </c>
      <c r="K41" s="8">
        <v>1</v>
      </c>
      <c r="L41" s="87">
        <v>55</v>
      </c>
      <c r="M41" s="87" t="s">
        <v>89</v>
      </c>
      <c r="Q41" s="20">
        <v>1</v>
      </c>
      <c r="R41" s="29">
        <v>55</v>
      </c>
      <c r="S41" s="8">
        <v>1</v>
      </c>
      <c r="T41" s="7">
        <v>55</v>
      </c>
    </row>
    <row r="42" spans="1:20" s="5" customFormat="1" ht="40.5" customHeight="1" x14ac:dyDescent="0.2">
      <c r="A42" s="8" t="s">
        <v>146</v>
      </c>
      <c r="B42" s="85" t="s">
        <v>30</v>
      </c>
      <c r="C42" s="85" t="s">
        <v>83</v>
      </c>
      <c r="D42" s="84">
        <v>1</v>
      </c>
      <c r="E42" s="49">
        <v>60</v>
      </c>
      <c r="F42" s="85">
        <v>45882</v>
      </c>
      <c r="G42" s="86">
        <v>0.375</v>
      </c>
      <c r="H42" s="85">
        <v>45880</v>
      </c>
      <c r="I42" s="86">
        <v>0.875</v>
      </c>
      <c r="J42" s="87">
        <f>E42-L42</f>
        <v>-6</v>
      </c>
      <c r="K42" s="8">
        <v>1</v>
      </c>
      <c r="L42" s="87">
        <v>66</v>
      </c>
      <c r="M42" s="87" t="s">
        <v>149</v>
      </c>
      <c r="Q42" s="20">
        <v>1</v>
      </c>
      <c r="R42" s="29">
        <v>60</v>
      </c>
      <c r="S42" s="8">
        <v>1</v>
      </c>
      <c r="T42" s="7">
        <v>66</v>
      </c>
    </row>
    <row r="43" spans="1:20" s="5" customFormat="1" ht="38.25" customHeight="1" x14ac:dyDescent="0.2">
      <c r="A43" s="8" t="s">
        <v>146</v>
      </c>
      <c r="B43" s="85" t="s">
        <v>21</v>
      </c>
      <c r="C43" s="85" t="s">
        <v>86</v>
      </c>
      <c r="D43" s="84">
        <v>1</v>
      </c>
      <c r="E43" s="49">
        <v>60</v>
      </c>
      <c r="F43" s="85">
        <v>45882</v>
      </c>
      <c r="G43" s="86">
        <v>0.375</v>
      </c>
      <c r="H43" s="85">
        <v>45880</v>
      </c>
      <c r="I43" s="86">
        <v>0.875</v>
      </c>
      <c r="J43" s="87">
        <f>E43-L43</f>
        <v>-6</v>
      </c>
      <c r="K43" s="8">
        <v>1</v>
      </c>
      <c r="L43" s="87">
        <v>66</v>
      </c>
      <c r="M43" s="87" t="s">
        <v>149</v>
      </c>
      <c r="Q43" s="20">
        <v>1</v>
      </c>
      <c r="R43" s="29">
        <v>60</v>
      </c>
      <c r="S43" s="8">
        <v>1</v>
      </c>
      <c r="T43" s="7">
        <v>66</v>
      </c>
    </row>
    <row r="44" spans="1:20" s="5" customFormat="1" ht="38.25" customHeight="1" x14ac:dyDescent="0.2">
      <c r="A44" s="8" t="s">
        <v>146</v>
      </c>
      <c r="B44" s="85" t="s">
        <v>39</v>
      </c>
      <c r="C44" s="85" t="s">
        <v>150</v>
      </c>
      <c r="D44" s="84">
        <v>1</v>
      </c>
      <c r="E44" s="49">
        <v>60</v>
      </c>
      <c r="F44" s="85">
        <v>45882</v>
      </c>
      <c r="G44" s="86">
        <v>0.375</v>
      </c>
      <c r="H44" s="85">
        <v>45880</v>
      </c>
      <c r="I44" s="86">
        <v>0.875</v>
      </c>
      <c r="J44" s="87">
        <f>E44-L44</f>
        <v>-6</v>
      </c>
      <c r="K44" s="8">
        <v>1</v>
      </c>
      <c r="L44" s="87">
        <v>66</v>
      </c>
      <c r="M44" s="87" t="s">
        <v>149</v>
      </c>
      <c r="Q44" s="20">
        <v>1</v>
      </c>
      <c r="R44" s="29">
        <v>60</v>
      </c>
      <c r="S44" s="8">
        <v>1</v>
      </c>
      <c r="T44" s="7">
        <v>66</v>
      </c>
    </row>
    <row r="45" spans="1:20" s="5" customFormat="1" ht="27" customHeight="1" x14ac:dyDescent="0.2">
      <c r="A45" s="8" t="s">
        <v>146</v>
      </c>
      <c r="B45" s="85" t="s">
        <v>136</v>
      </c>
      <c r="C45" s="85" t="s">
        <v>151</v>
      </c>
      <c r="D45" s="84">
        <v>1</v>
      </c>
      <c r="E45" s="49">
        <v>60</v>
      </c>
      <c r="F45" s="85">
        <v>45882</v>
      </c>
      <c r="G45" s="86">
        <v>0.375</v>
      </c>
      <c r="H45" s="85">
        <v>45880</v>
      </c>
      <c r="I45" s="86">
        <v>0.875</v>
      </c>
      <c r="J45" s="87">
        <f>E45-L45</f>
        <v>-6</v>
      </c>
      <c r="K45" s="8">
        <v>1</v>
      </c>
      <c r="L45" s="87">
        <v>66</v>
      </c>
      <c r="M45" s="87" t="s">
        <v>149</v>
      </c>
      <c r="Q45" s="20">
        <v>1</v>
      </c>
      <c r="R45" s="29">
        <v>60</v>
      </c>
      <c r="S45" s="8">
        <v>1</v>
      </c>
      <c r="T45" s="7">
        <v>66</v>
      </c>
    </row>
    <row r="46" spans="1:20" s="5" customFormat="1" ht="33" customHeight="1" x14ac:dyDescent="0.2">
      <c r="A46" s="8" t="s">
        <v>146</v>
      </c>
      <c r="B46" s="85" t="s">
        <v>42</v>
      </c>
      <c r="C46" s="85" t="s">
        <v>77</v>
      </c>
      <c r="D46" s="84">
        <v>1</v>
      </c>
      <c r="E46" s="49">
        <v>60</v>
      </c>
      <c r="F46" s="85">
        <v>45882</v>
      </c>
      <c r="G46" s="86">
        <v>0.375</v>
      </c>
      <c r="H46" s="85">
        <v>45880</v>
      </c>
      <c r="I46" s="86">
        <v>0.875</v>
      </c>
      <c r="J46" s="87">
        <f>E46-L46</f>
        <v>-6</v>
      </c>
      <c r="K46" s="8">
        <v>1</v>
      </c>
      <c r="L46" s="87">
        <v>66</v>
      </c>
      <c r="M46" s="87" t="s">
        <v>149</v>
      </c>
      <c r="Q46" s="20">
        <v>1</v>
      </c>
      <c r="R46" s="29">
        <v>60</v>
      </c>
      <c r="S46" s="8">
        <v>1</v>
      </c>
      <c r="T46" s="7">
        <v>66</v>
      </c>
    </row>
    <row r="47" spans="1:20" s="5" customFormat="1" ht="33.75" customHeight="1" x14ac:dyDescent="0.2">
      <c r="A47" s="8" t="s">
        <v>146</v>
      </c>
      <c r="B47" s="85" t="s">
        <v>36</v>
      </c>
      <c r="C47" s="85" t="s">
        <v>80</v>
      </c>
      <c r="D47" s="84">
        <v>1</v>
      </c>
      <c r="E47" s="49">
        <v>60</v>
      </c>
      <c r="F47" s="85">
        <v>45882</v>
      </c>
      <c r="G47" s="86">
        <v>0.375</v>
      </c>
      <c r="H47" s="85">
        <v>45880</v>
      </c>
      <c r="I47" s="86">
        <v>0.875</v>
      </c>
      <c r="J47" s="87">
        <f t="shared" si="0"/>
        <v>-6</v>
      </c>
      <c r="K47" s="8">
        <v>1</v>
      </c>
      <c r="L47" s="87">
        <v>66</v>
      </c>
      <c r="M47" s="87" t="s">
        <v>149</v>
      </c>
      <c r="Q47" s="20">
        <v>1</v>
      </c>
      <c r="R47" s="29">
        <v>60</v>
      </c>
      <c r="S47" s="8">
        <v>1</v>
      </c>
      <c r="T47" s="7">
        <v>66</v>
      </c>
    </row>
    <row r="48" spans="1:20" s="5" customFormat="1" ht="27" customHeight="1" x14ac:dyDescent="0.2">
      <c r="A48" s="8" t="s">
        <v>147</v>
      </c>
      <c r="B48" s="85" t="s">
        <v>30</v>
      </c>
      <c r="C48" s="85" t="s">
        <v>83</v>
      </c>
      <c r="D48" s="84">
        <v>1</v>
      </c>
      <c r="E48" s="49">
        <v>30</v>
      </c>
      <c r="F48" s="85">
        <v>45882</v>
      </c>
      <c r="G48" s="86">
        <v>0.375</v>
      </c>
      <c r="H48" s="85">
        <v>45880</v>
      </c>
      <c r="I48" s="86">
        <v>0.95833333333333337</v>
      </c>
      <c r="J48" s="87">
        <f t="shared" si="0"/>
        <v>5</v>
      </c>
      <c r="K48" s="8">
        <v>1</v>
      </c>
      <c r="L48" s="87">
        <v>25</v>
      </c>
      <c r="M48" s="87" t="s">
        <v>148</v>
      </c>
      <c r="Q48" s="20">
        <v>1</v>
      </c>
      <c r="R48" s="29">
        <v>30</v>
      </c>
      <c r="S48" s="8">
        <v>1</v>
      </c>
      <c r="T48" s="7">
        <v>25</v>
      </c>
    </row>
    <row r="49" spans="1:20" s="5" customFormat="1" ht="26.1" customHeight="1" x14ac:dyDescent="0.2">
      <c r="A49" s="8" t="s">
        <v>90</v>
      </c>
      <c r="B49" s="85" t="s">
        <v>42</v>
      </c>
      <c r="C49" s="85" t="s">
        <v>77</v>
      </c>
      <c r="D49" s="84">
        <v>1</v>
      </c>
      <c r="E49" s="49">
        <v>20</v>
      </c>
      <c r="F49" s="85">
        <v>45882</v>
      </c>
      <c r="G49" s="86">
        <v>0.375</v>
      </c>
      <c r="H49" s="85">
        <v>45880</v>
      </c>
      <c r="I49" s="86">
        <v>0.95833333333333337</v>
      </c>
      <c r="J49" s="87">
        <f t="shared" si="0"/>
        <v>0</v>
      </c>
      <c r="K49" s="8">
        <v>1</v>
      </c>
      <c r="L49" s="87">
        <v>20</v>
      </c>
      <c r="M49" s="87" t="s">
        <v>91</v>
      </c>
      <c r="Q49" s="20">
        <v>1</v>
      </c>
      <c r="R49" s="29">
        <v>20</v>
      </c>
      <c r="S49" s="8">
        <v>1</v>
      </c>
      <c r="T49" s="7">
        <v>20</v>
      </c>
    </row>
    <row r="50" spans="1:20" s="5" customFormat="1" ht="24.95" customHeight="1" x14ac:dyDescent="0.2">
      <c r="A50" s="102" t="s">
        <v>92</v>
      </c>
      <c r="B50" s="85" t="s">
        <v>140</v>
      </c>
      <c r="C50" s="85" t="s">
        <v>22</v>
      </c>
      <c r="D50" s="84">
        <v>1</v>
      </c>
      <c r="E50" s="49">
        <v>30</v>
      </c>
      <c r="F50" s="85">
        <v>45896</v>
      </c>
      <c r="G50" s="86">
        <v>0.375</v>
      </c>
      <c r="H50" s="85">
        <v>45890</v>
      </c>
      <c r="I50" s="86">
        <v>0.8125</v>
      </c>
      <c r="J50" s="87">
        <f>E50-L50</f>
        <v>5</v>
      </c>
      <c r="K50" s="8">
        <v>1</v>
      </c>
      <c r="L50" s="87">
        <v>25</v>
      </c>
      <c r="M50" s="87" t="s">
        <v>93</v>
      </c>
      <c r="Q50" s="20">
        <v>1</v>
      </c>
      <c r="R50" s="29">
        <v>30</v>
      </c>
      <c r="S50" s="8">
        <v>1</v>
      </c>
      <c r="T50" s="7">
        <v>25</v>
      </c>
    </row>
    <row r="51" spans="1:20" s="5" customFormat="1" ht="22.5" customHeight="1" x14ac:dyDescent="0.2">
      <c r="A51" s="103" t="s">
        <v>92</v>
      </c>
      <c r="B51" s="85" t="s">
        <v>139</v>
      </c>
      <c r="C51" s="85" t="s">
        <v>34</v>
      </c>
      <c r="D51" s="84">
        <v>1</v>
      </c>
      <c r="E51" s="49">
        <v>30</v>
      </c>
      <c r="F51" s="85">
        <v>45896</v>
      </c>
      <c r="G51" s="86">
        <v>0.375</v>
      </c>
      <c r="H51" s="85">
        <v>45890</v>
      </c>
      <c r="I51" s="86">
        <v>0.8125</v>
      </c>
      <c r="J51" s="87">
        <f t="shared" si="0"/>
        <v>5</v>
      </c>
      <c r="K51" s="8">
        <v>1</v>
      </c>
      <c r="L51" s="87">
        <v>25</v>
      </c>
      <c r="M51" s="87" t="s">
        <v>93</v>
      </c>
      <c r="Q51" s="20">
        <v>1</v>
      </c>
      <c r="R51" s="29">
        <v>30</v>
      </c>
      <c r="S51" s="8">
        <v>1</v>
      </c>
      <c r="T51" s="7">
        <v>25</v>
      </c>
    </row>
    <row r="52" spans="1:20" s="5" customFormat="1" ht="35.450000000000003" customHeight="1" x14ac:dyDescent="0.2">
      <c r="A52" s="8" t="s">
        <v>144</v>
      </c>
      <c r="B52" s="85" t="s">
        <v>30</v>
      </c>
      <c r="C52" s="85" t="s">
        <v>31</v>
      </c>
      <c r="D52" s="84">
        <v>1</v>
      </c>
      <c r="E52" s="8">
        <v>30</v>
      </c>
      <c r="F52" s="85">
        <v>45882</v>
      </c>
      <c r="G52" s="86">
        <v>0.375</v>
      </c>
      <c r="H52" s="85">
        <v>45890</v>
      </c>
      <c r="I52" s="86">
        <v>0.83333333333333337</v>
      </c>
      <c r="J52" s="87">
        <f t="shared" si="0"/>
        <v>0</v>
      </c>
      <c r="K52" s="8">
        <v>1</v>
      </c>
      <c r="L52" s="87">
        <v>30</v>
      </c>
      <c r="M52" s="87" t="s">
        <v>152</v>
      </c>
      <c r="Q52" s="20">
        <v>1</v>
      </c>
      <c r="R52" s="8">
        <v>30</v>
      </c>
      <c r="S52" s="8">
        <v>1</v>
      </c>
      <c r="T52" s="7">
        <v>30</v>
      </c>
    </row>
    <row r="53" spans="1:20" s="5" customFormat="1" ht="36.6" customHeight="1" x14ac:dyDescent="0.2">
      <c r="A53" s="49" t="s">
        <v>94</v>
      </c>
      <c r="B53" s="85" t="s">
        <v>139</v>
      </c>
      <c r="C53" s="85" t="s">
        <v>34</v>
      </c>
      <c r="D53" s="84">
        <v>3</v>
      </c>
      <c r="E53" s="49">
        <v>60</v>
      </c>
      <c r="F53" s="85">
        <v>45896</v>
      </c>
      <c r="G53" s="86">
        <v>0.375</v>
      </c>
      <c r="H53" s="85">
        <v>45890</v>
      </c>
      <c r="I53" s="86">
        <v>0.85416666666666663</v>
      </c>
      <c r="J53" s="87">
        <f>E53-L53</f>
        <v>0</v>
      </c>
      <c r="K53" s="8">
        <v>3</v>
      </c>
      <c r="L53" s="87">
        <v>60</v>
      </c>
      <c r="M53" s="87" t="s">
        <v>141</v>
      </c>
      <c r="Q53" s="20">
        <v>3</v>
      </c>
      <c r="R53" s="29">
        <v>60</v>
      </c>
      <c r="S53" s="8">
        <v>3</v>
      </c>
      <c r="T53" s="7">
        <v>60</v>
      </c>
    </row>
    <row r="54" spans="1:20" s="5" customFormat="1" ht="36.6" customHeight="1" x14ac:dyDescent="0.2">
      <c r="A54" s="49" t="s">
        <v>94</v>
      </c>
      <c r="B54" s="85" t="s">
        <v>21</v>
      </c>
      <c r="C54" s="85" t="s">
        <v>22</v>
      </c>
      <c r="D54" s="84">
        <v>3</v>
      </c>
      <c r="E54" s="49">
        <v>60</v>
      </c>
      <c r="F54" s="85">
        <v>45896</v>
      </c>
      <c r="G54" s="86">
        <v>0.375</v>
      </c>
      <c r="H54" s="85">
        <v>45890</v>
      </c>
      <c r="I54" s="86">
        <v>0.85416666666666663</v>
      </c>
      <c r="J54" s="87">
        <f t="shared" si="0"/>
        <v>0</v>
      </c>
      <c r="K54" s="8">
        <v>3</v>
      </c>
      <c r="L54" s="87">
        <v>60</v>
      </c>
      <c r="M54" s="87" t="s">
        <v>141</v>
      </c>
      <c r="Q54" s="20">
        <v>3</v>
      </c>
      <c r="R54" s="29">
        <v>60</v>
      </c>
      <c r="S54" s="8">
        <v>3</v>
      </c>
      <c r="T54" s="7">
        <v>60</v>
      </c>
    </row>
    <row r="55" spans="1:20" s="5" customFormat="1" ht="35.450000000000003" customHeight="1" x14ac:dyDescent="0.2">
      <c r="A55" s="49" t="s">
        <v>95</v>
      </c>
      <c r="B55" s="85" t="s">
        <v>21</v>
      </c>
      <c r="C55" s="85" t="s">
        <v>22</v>
      </c>
      <c r="D55" s="84">
        <v>1</v>
      </c>
      <c r="E55" s="49">
        <v>30</v>
      </c>
      <c r="F55" s="85">
        <v>45896</v>
      </c>
      <c r="G55" s="86">
        <v>0.375</v>
      </c>
      <c r="H55" s="85">
        <v>45890</v>
      </c>
      <c r="I55" s="86">
        <v>0.875</v>
      </c>
      <c r="J55" s="87">
        <f>E55-L55</f>
        <v>0</v>
      </c>
      <c r="K55" s="8">
        <v>1</v>
      </c>
      <c r="L55" s="87">
        <v>30</v>
      </c>
      <c r="M55" s="87" t="s">
        <v>96</v>
      </c>
      <c r="Q55" s="20">
        <v>1</v>
      </c>
      <c r="R55" s="29">
        <v>30</v>
      </c>
      <c r="S55" s="8">
        <v>1</v>
      </c>
      <c r="T55" s="7">
        <v>30</v>
      </c>
    </row>
    <row r="56" spans="1:20" s="5" customFormat="1" ht="35.450000000000003" customHeight="1" x14ac:dyDescent="0.2">
      <c r="A56" s="49" t="s">
        <v>95</v>
      </c>
      <c r="B56" s="85" t="s">
        <v>139</v>
      </c>
      <c r="C56" s="85" t="s">
        <v>34</v>
      </c>
      <c r="D56" s="84">
        <v>1</v>
      </c>
      <c r="E56" s="49">
        <v>30</v>
      </c>
      <c r="F56" s="85">
        <v>45896</v>
      </c>
      <c r="G56" s="86">
        <v>0.375</v>
      </c>
      <c r="H56" s="85">
        <v>45890</v>
      </c>
      <c r="I56" s="86">
        <v>0.875</v>
      </c>
      <c r="J56" s="87">
        <f t="shared" si="0"/>
        <v>0</v>
      </c>
      <c r="K56" s="8">
        <v>1</v>
      </c>
      <c r="L56" s="87">
        <v>30</v>
      </c>
      <c r="M56" s="87" t="s">
        <v>96</v>
      </c>
      <c r="Q56" s="20">
        <v>1</v>
      </c>
      <c r="R56" s="29">
        <v>30</v>
      </c>
      <c r="S56" s="8">
        <v>1</v>
      </c>
      <c r="T56" s="7">
        <v>30</v>
      </c>
    </row>
    <row r="57" spans="1:20" s="5" customFormat="1" ht="35.450000000000003" customHeight="1" x14ac:dyDescent="0.2">
      <c r="A57" s="8" t="s">
        <v>97</v>
      </c>
      <c r="B57" s="85" t="s">
        <v>21</v>
      </c>
      <c r="C57" s="85" t="s">
        <v>22</v>
      </c>
      <c r="D57" s="84">
        <v>1</v>
      </c>
      <c r="E57" s="49">
        <v>20</v>
      </c>
      <c r="F57" s="85">
        <v>45896</v>
      </c>
      <c r="G57" s="86">
        <v>0.375</v>
      </c>
      <c r="H57" s="85">
        <v>45890</v>
      </c>
      <c r="I57" s="86">
        <v>0.88888888888888884</v>
      </c>
      <c r="J57" s="87">
        <f>E57-L57</f>
        <v>0</v>
      </c>
      <c r="K57" s="8">
        <v>1</v>
      </c>
      <c r="L57" s="87">
        <v>20</v>
      </c>
      <c r="M57" s="87" t="s">
        <v>98</v>
      </c>
      <c r="Q57" s="20">
        <v>1</v>
      </c>
      <c r="R57" s="29">
        <v>20</v>
      </c>
      <c r="S57" s="8">
        <v>1</v>
      </c>
      <c r="T57" s="7">
        <v>20</v>
      </c>
    </row>
    <row r="58" spans="1:20" s="5" customFormat="1" ht="35.450000000000003" customHeight="1" x14ac:dyDescent="0.2">
      <c r="A58" s="8" t="s">
        <v>97</v>
      </c>
      <c r="B58" s="85" t="s">
        <v>139</v>
      </c>
      <c r="C58" s="85" t="s">
        <v>34</v>
      </c>
      <c r="D58" s="84">
        <v>1</v>
      </c>
      <c r="E58" s="49">
        <v>20</v>
      </c>
      <c r="F58" s="85">
        <v>45896</v>
      </c>
      <c r="G58" s="86">
        <v>0.375</v>
      </c>
      <c r="H58" s="85">
        <v>45890</v>
      </c>
      <c r="I58" s="86">
        <v>0.88888888888888884</v>
      </c>
      <c r="J58" s="87">
        <f t="shared" si="0"/>
        <v>0</v>
      </c>
      <c r="K58" s="8">
        <v>1</v>
      </c>
      <c r="L58" s="87">
        <v>20</v>
      </c>
      <c r="M58" s="87" t="s">
        <v>98</v>
      </c>
      <c r="Q58" s="20">
        <v>1</v>
      </c>
      <c r="R58" s="29">
        <v>20</v>
      </c>
      <c r="S58" s="8">
        <v>1</v>
      </c>
      <c r="T58" s="7">
        <v>20</v>
      </c>
    </row>
    <row r="59" spans="1:20" s="5" customFormat="1" ht="35.450000000000003" customHeight="1" x14ac:dyDescent="0.2">
      <c r="A59" s="8" t="s">
        <v>99</v>
      </c>
      <c r="B59" s="85" t="s">
        <v>21</v>
      </c>
      <c r="C59" s="85" t="s">
        <v>22</v>
      </c>
      <c r="D59" s="49">
        <v>1</v>
      </c>
      <c r="E59" s="5">
        <v>20</v>
      </c>
      <c r="F59" s="85">
        <v>45896</v>
      </c>
      <c r="G59" s="86">
        <v>0.375</v>
      </c>
      <c r="H59" s="85">
        <v>45890</v>
      </c>
      <c r="I59" s="86">
        <v>0.90277777777777779</v>
      </c>
      <c r="J59" s="87">
        <f>E59-L59</f>
        <v>2</v>
      </c>
      <c r="K59" s="8">
        <v>1</v>
      </c>
      <c r="L59" s="87">
        <v>18</v>
      </c>
      <c r="M59" s="87" t="s">
        <v>100</v>
      </c>
      <c r="Q59" s="29">
        <v>1</v>
      </c>
      <c r="R59" s="34">
        <v>20</v>
      </c>
      <c r="S59" s="8">
        <v>1</v>
      </c>
      <c r="T59" s="7">
        <v>18</v>
      </c>
    </row>
    <row r="60" spans="1:20" s="5" customFormat="1" ht="35.450000000000003" customHeight="1" x14ac:dyDescent="0.2">
      <c r="A60" s="8" t="s">
        <v>99</v>
      </c>
      <c r="B60" s="85" t="s">
        <v>139</v>
      </c>
      <c r="C60" s="85" t="s">
        <v>34</v>
      </c>
      <c r="D60" s="49">
        <v>1</v>
      </c>
      <c r="E60" s="8">
        <v>20</v>
      </c>
      <c r="F60" s="85">
        <v>45896</v>
      </c>
      <c r="G60" s="86">
        <v>0.375</v>
      </c>
      <c r="H60" s="85">
        <v>45890</v>
      </c>
      <c r="I60" s="86">
        <v>0.90277777777777779</v>
      </c>
      <c r="J60" s="87">
        <f t="shared" si="0"/>
        <v>2</v>
      </c>
      <c r="K60" s="8">
        <v>1</v>
      </c>
      <c r="L60" s="87">
        <v>18</v>
      </c>
      <c r="M60" s="87" t="s">
        <v>100</v>
      </c>
      <c r="Q60" s="29">
        <v>1</v>
      </c>
      <c r="R60" s="40">
        <v>20</v>
      </c>
      <c r="S60" s="8">
        <v>1</v>
      </c>
      <c r="T60" s="7">
        <v>18</v>
      </c>
    </row>
    <row r="61" spans="1:20" s="5" customFormat="1" ht="35.450000000000003" customHeight="1" x14ac:dyDescent="0.2">
      <c r="A61" s="5" t="s">
        <v>101</v>
      </c>
      <c r="B61" s="85" t="s">
        <v>21</v>
      </c>
      <c r="C61" s="85" t="s">
        <v>22</v>
      </c>
      <c r="D61" s="49">
        <v>1</v>
      </c>
      <c r="E61" s="49">
        <v>20</v>
      </c>
      <c r="F61" s="85">
        <v>45896</v>
      </c>
      <c r="G61" s="86">
        <v>0.375</v>
      </c>
      <c r="H61" s="85">
        <v>45890</v>
      </c>
      <c r="I61" s="86">
        <v>0.91666666666666663</v>
      </c>
      <c r="J61" s="87">
        <f>E61-L61</f>
        <v>1</v>
      </c>
      <c r="K61" s="8">
        <v>1</v>
      </c>
      <c r="L61" s="87">
        <v>19</v>
      </c>
      <c r="M61" s="87" t="s">
        <v>102</v>
      </c>
      <c r="Q61" s="29">
        <v>1</v>
      </c>
      <c r="R61" s="29">
        <v>20</v>
      </c>
      <c r="S61" s="8">
        <v>1</v>
      </c>
      <c r="T61" s="7">
        <v>19</v>
      </c>
    </row>
    <row r="62" spans="1:20" s="5" customFormat="1" ht="35.450000000000003" customHeight="1" x14ac:dyDescent="0.2">
      <c r="A62" s="41" t="s">
        <v>101</v>
      </c>
      <c r="B62" s="85" t="s">
        <v>136</v>
      </c>
      <c r="C62" s="85" t="s">
        <v>34</v>
      </c>
      <c r="D62" s="49">
        <v>1</v>
      </c>
      <c r="E62" s="49">
        <v>20</v>
      </c>
      <c r="F62" s="85">
        <v>45896</v>
      </c>
      <c r="G62" s="86">
        <v>0.375</v>
      </c>
      <c r="H62" s="85">
        <v>45890</v>
      </c>
      <c r="I62" s="86">
        <v>0.91666666666666663</v>
      </c>
      <c r="J62" s="87">
        <f t="shared" si="0"/>
        <v>1</v>
      </c>
      <c r="K62" s="8">
        <v>1</v>
      </c>
      <c r="L62" s="87">
        <v>19</v>
      </c>
      <c r="M62" s="87" t="s">
        <v>102</v>
      </c>
      <c r="Q62" s="29">
        <v>1</v>
      </c>
      <c r="R62" s="29">
        <v>20</v>
      </c>
      <c r="S62" s="8">
        <v>1</v>
      </c>
      <c r="T62" s="7">
        <v>19</v>
      </c>
    </row>
    <row r="63" spans="1:20" s="5" customFormat="1" ht="35.450000000000003" customHeight="1" x14ac:dyDescent="0.2">
      <c r="A63" s="8" t="s">
        <v>103</v>
      </c>
      <c r="B63" s="85" t="s">
        <v>21</v>
      </c>
      <c r="C63" s="85" t="s">
        <v>22</v>
      </c>
      <c r="D63" s="49">
        <v>1</v>
      </c>
      <c r="E63" s="49">
        <v>30</v>
      </c>
      <c r="F63" s="85">
        <v>45896</v>
      </c>
      <c r="G63" s="86">
        <v>0.375</v>
      </c>
      <c r="H63" s="85">
        <v>45890</v>
      </c>
      <c r="I63" s="86">
        <v>0.9375</v>
      </c>
      <c r="J63" s="87">
        <f>E63-L63</f>
        <v>5</v>
      </c>
      <c r="K63" s="8">
        <v>1</v>
      </c>
      <c r="L63" s="87">
        <v>25</v>
      </c>
      <c r="M63" s="87" t="s">
        <v>104</v>
      </c>
      <c r="Q63" s="29">
        <v>1</v>
      </c>
      <c r="R63" s="29">
        <v>30</v>
      </c>
      <c r="S63" s="8">
        <v>1</v>
      </c>
      <c r="T63" s="7">
        <v>25</v>
      </c>
    </row>
    <row r="64" spans="1:20" s="5" customFormat="1" ht="35.450000000000003" customHeight="1" x14ac:dyDescent="0.2">
      <c r="A64" s="8" t="s">
        <v>103</v>
      </c>
      <c r="B64" s="85" t="s">
        <v>136</v>
      </c>
      <c r="C64" s="85" t="s">
        <v>34</v>
      </c>
      <c r="D64" s="49">
        <v>1</v>
      </c>
      <c r="E64" s="49">
        <v>30</v>
      </c>
      <c r="F64" s="85">
        <v>45896</v>
      </c>
      <c r="G64" s="86">
        <v>0.375</v>
      </c>
      <c r="H64" s="85">
        <v>45890</v>
      </c>
      <c r="I64" s="86">
        <v>0.9375</v>
      </c>
      <c r="J64" s="87">
        <f t="shared" si="0"/>
        <v>5</v>
      </c>
      <c r="K64" s="8">
        <v>1</v>
      </c>
      <c r="L64" s="87">
        <v>25</v>
      </c>
      <c r="M64" s="87" t="s">
        <v>104</v>
      </c>
      <c r="Q64" s="29">
        <v>1</v>
      </c>
      <c r="R64" s="29">
        <v>30</v>
      </c>
      <c r="S64" s="8">
        <v>1</v>
      </c>
      <c r="T64" s="7">
        <v>25</v>
      </c>
    </row>
    <row r="65" spans="1:20" s="5" customFormat="1" ht="35.450000000000003" customHeight="1" x14ac:dyDescent="0.2">
      <c r="A65" s="8" t="s">
        <v>105</v>
      </c>
      <c r="B65" s="85" t="s">
        <v>30</v>
      </c>
      <c r="C65" s="85" t="s">
        <v>31</v>
      </c>
      <c r="D65" s="49">
        <v>1</v>
      </c>
      <c r="E65" s="49">
        <v>30</v>
      </c>
      <c r="F65" s="85">
        <v>45896</v>
      </c>
      <c r="G65" s="86">
        <v>0.375</v>
      </c>
      <c r="H65" s="85">
        <v>45890</v>
      </c>
      <c r="I65" s="86">
        <v>0.8125</v>
      </c>
      <c r="J65" s="87">
        <f>E65-L65</f>
        <v>6</v>
      </c>
      <c r="K65" s="8">
        <v>1</v>
      </c>
      <c r="L65" s="87">
        <v>24</v>
      </c>
      <c r="M65" s="87" t="s">
        <v>106</v>
      </c>
      <c r="Q65" s="29">
        <v>1</v>
      </c>
      <c r="R65" s="29">
        <v>30</v>
      </c>
      <c r="S65" s="8">
        <v>1</v>
      </c>
      <c r="T65" s="7">
        <v>24</v>
      </c>
    </row>
    <row r="66" spans="1:20" s="5" customFormat="1" ht="35.450000000000003" customHeight="1" x14ac:dyDescent="0.2">
      <c r="A66" s="8" t="s">
        <v>105</v>
      </c>
      <c r="B66" s="85" t="s">
        <v>39</v>
      </c>
      <c r="C66" s="85" t="s">
        <v>40</v>
      </c>
      <c r="D66" s="49">
        <v>1</v>
      </c>
      <c r="E66" s="49">
        <v>30</v>
      </c>
      <c r="F66" s="85">
        <v>45896</v>
      </c>
      <c r="G66" s="86">
        <v>0.375</v>
      </c>
      <c r="H66" s="85">
        <v>45890</v>
      </c>
      <c r="I66" s="86">
        <v>0.8125</v>
      </c>
      <c r="J66" s="87">
        <f t="shared" si="0"/>
        <v>6</v>
      </c>
      <c r="K66" s="8">
        <v>1</v>
      </c>
      <c r="L66" s="87">
        <v>24</v>
      </c>
      <c r="M66" s="87" t="s">
        <v>106</v>
      </c>
      <c r="Q66" s="29">
        <v>1</v>
      </c>
      <c r="R66" s="29">
        <v>30</v>
      </c>
      <c r="S66" s="8">
        <v>1</v>
      </c>
      <c r="T66" s="7">
        <v>24</v>
      </c>
    </row>
    <row r="67" spans="1:20" s="5" customFormat="1" ht="35.450000000000003" customHeight="1" x14ac:dyDescent="0.2">
      <c r="A67" s="49" t="s">
        <v>107</v>
      </c>
      <c r="B67" s="85" t="s">
        <v>30</v>
      </c>
      <c r="C67" s="85" t="s">
        <v>31</v>
      </c>
      <c r="D67" s="49">
        <v>1</v>
      </c>
      <c r="E67" s="49">
        <v>60</v>
      </c>
      <c r="F67" s="85">
        <v>45896</v>
      </c>
      <c r="G67" s="86">
        <v>0.375</v>
      </c>
      <c r="H67" s="85">
        <v>45890</v>
      </c>
      <c r="I67" s="86">
        <v>0.85416666666666663</v>
      </c>
      <c r="J67" s="87">
        <f>E67-L67</f>
        <v>15</v>
      </c>
      <c r="K67" s="8">
        <v>1</v>
      </c>
      <c r="L67" s="87">
        <v>45</v>
      </c>
      <c r="M67" s="87" t="s">
        <v>108</v>
      </c>
      <c r="Q67" s="29">
        <v>1</v>
      </c>
      <c r="R67" s="29">
        <v>60</v>
      </c>
      <c r="S67" s="8">
        <v>1</v>
      </c>
      <c r="T67" s="7">
        <v>45</v>
      </c>
    </row>
    <row r="68" spans="1:20" s="5" customFormat="1" ht="37.5" customHeight="1" x14ac:dyDescent="0.2">
      <c r="A68" s="49" t="s">
        <v>107</v>
      </c>
      <c r="B68" s="85" t="s">
        <v>39</v>
      </c>
      <c r="C68" s="85" t="s">
        <v>40</v>
      </c>
      <c r="D68" s="49">
        <v>1</v>
      </c>
      <c r="E68" s="49">
        <v>60</v>
      </c>
      <c r="F68" s="85">
        <v>45896</v>
      </c>
      <c r="G68" s="86">
        <v>0.375</v>
      </c>
      <c r="H68" s="85">
        <v>45890</v>
      </c>
      <c r="I68" s="86">
        <v>0.85416666666666663</v>
      </c>
      <c r="J68" s="87">
        <f t="shared" si="0"/>
        <v>15</v>
      </c>
      <c r="K68" s="8">
        <v>1</v>
      </c>
      <c r="L68" s="87">
        <v>45</v>
      </c>
      <c r="M68" s="87" t="s">
        <v>108</v>
      </c>
      <c r="Q68" s="29">
        <v>1</v>
      </c>
      <c r="R68" s="29">
        <v>60</v>
      </c>
      <c r="S68" s="8">
        <v>1</v>
      </c>
      <c r="T68" s="7">
        <v>45</v>
      </c>
    </row>
    <row r="69" spans="1:20" ht="24" x14ac:dyDescent="0.2">
      <c r="A69" s="8" t="s">
        <v>109</v>
      </c>
      <c r="B69" s="85" t="s">
        <v>30</v>
      </c>
      <c r="C69" s="85" t="s">
        <v>31</v>
      </c>
      <c r="D69" s="49">
        <v>1</v>
      </c>
      <c r="E69" s="49">
        <v>30</v>
      </c>
      <c r="F69" s="85">
        <v>45896</v>
      </c>
      <c r="G69" s="86">
        <v>0.375</v>
      </c>
      <c r="H69" s="85">
        <v>45890</v>
      </c>
      <c r="I69" s="86">
        <v>0.875</v>
      </c>
      <c r="J69" s="87">
        <f>E69-L69</f>
        <v>10</v>
      </c>
      <c r="K69" s="8">
        <v>1</v>
      </c>
      <c r="L69" s="87">
        <v>20</v>
      </c>
      <c r="M69" s="87" t="s">
        <v>110</v>
      </c>
      <c r="Q69" s="29">
        <v>1</v>
      </c>
      <c r="R69" s="29">
        <v>30</v>
      </c>
      <c r="S69" s="8">
        <v>1</v>
      </c>
      <c r="T69" s="7">
        <v>20</v>
      </c>
    </row>
    <row r="70" spans="1:20" ht="24" x14ac:dyDescent="0.2">
      <c r="A70" s="8" t="s">
        <v>109</v>
      </c>
      <c r="B70" s="85" t="s">
        <v>39</v>
      </c>
      <c r="C70" s="85" t="s">
        <v>40</v>
      </c>
      <c r="D70" s="49">
        <v>1</v>
      </c>
      <c r="E70" s="49">
        <v>30</v>
      </c>
      <c r="F70" s="85">
        <v>45896</v>
      </c>
      <c r="G70" s="86">
        <v>0.375</v>
      </c>
      <c r="H70" s="85">
        <v>45890</v>
      </c>
      <c r="I70" s="86">
        <v>0.875</v>
      </c>
      <c r="J70" s="87">
        <f t="shared" si="0"/>
        <v>10</v>
      </c>
      <c r="K70" s="8">
        <v>1</v>
      </c>
      <c r="L70" s="87">
        <v>20</v>
      </c>
      <c r="M70" s="87" t="s">
        <v>110</v>
      </c>
      <c r="Q70" s="29">
        <v>1</v>
      </c>
      <c r="R70" s="29">
        <v>30</v>
      </c>
      <c r="S70" s="8">
        <v>1</v>
      </c>
      <c r="T70" s="7">
        <v>20</v>
      </c>
    </row>
    <row r="71" spans="1:20" ht="24" x14ac:dyDescent="0.2">
      <c r="A71" s="8" t="s">
        <v>111</v>
      </c>
      <c r="B71" s="85" t="s">
        <v>39</v>
      </c>
      <c r="C71" s="85" t="s">
        <v>142</v>
      </c>
      <c r="D71" s="49">
        <v>1</v>
      </c>
      <c r="E71" s="49">
        <v>30</v>
      </c>
      <c r="F71" s="85">
        <v>45896</v>
      </c>
      <c r="G71" s="86">
        <v>0.375</v>
      </c>
      <c r="H71" s="85">
        <v>45890</v>
      </c>
      <c r="I71" s="86">
        <v>0.89583333333333337</v>
      </c>
      <c r="J71" s="87">
        <f t="shared" si="0"/>
        <v>0</v>
      </c>
      <c r="K71" s="8">
        <v>1</v>
      </c>
      <c r="L71" s="87">
        <v>30</v>
      </c>
      <c r="M71" s="87" t="s">
        <v>112</v>
      </c>
      <c r="Q71" s="29">
        <v>1</v>
      </c>
      <c r="R71" s="29">
        <v>30</v>
      </c>
      <c r="S71" s="8">
        <v>1</v>
      </c>
      <c r="T71" s="7">
        <v>30</v>
      </c>
    </row>
    <row r="72" spans="1:20" ht="24" x14ac:dyDescent="0.2">
      <c r="A72" s="8" t="s">
        <v>111</v>
      </c>
      <c r="B72" s="85" t="s">
        <v>30</v>
      </c>
      <c r="C72" s="85" t="s">
        <v>31</v>
      </c>
      <c r="D72" s="49">
        <v>1</v>
      </c>
      <c r="E72" s="49">
        <v>30</v>
      </c>
      <c r="F72" s="85">
        <v>45896</v>
      </c>
      <c r="G72" s="86">
        <v>0.375</v>
      </c>
      <c r="H72" s="85">
        <v>45890</v>
      </c>
      <c r="I72" s="86">
        <v>0.89583333333333337</v>
      </c>
      <c r="J72" s="87">
        <f t="shared" ref="J72:J135" si="1">E72-L72</f>
        <v>0</v>
      </c>
      <c r="K72" s="8">
        <v>1</v>
      </c>
      <c r="L72" s="87">
        <v>30</v>
      </c>
      <c r="M72" s="87" t="s">
        <v>112</v>
      </c>
      <c r="Q72" s="29">
        <v>1</v>
      </c>
      <c r="R72" s="29">
        <v>30</v>
      </c>
      <c r="S72" s="8">
        <v>1</v>
      </c>
      <c r="T72" s="7">
        <v>30</v>
      </c>
    </row>
    <row r="73" spans="1:20" ht="24" x14ac:dyDescent="0.2">
      <c r="A73" s="49" t="s">
        <v>113</v>
      </c>
      <c r="B73" s="85" t="s">
        <v>30</v>
      </c>
      <c r="C73" s="85" t="s">
        <v>31</v>
      </c>
      <c r="D73" s="49">
        <v>1</v>
      </c>
      <c r="E73" s="49">
        <v>30</v>
      </c>
      <c r="F73" s="85">
        <v>45896</v>
      </c>
      <c r="G73" s="86">
        <v>0.375</v>
      </c>
      <c r="H73" s="85">
        <v>45890</v>
      </c>
      <c r="I73" s="86">
        <v>0.91666666666666663</v>
      </c>
      <c r="J73" s="87">
        <f t="shared" si="1"/>
        <v>-2</v>
      </c>
      <c r="K73" s="8">
        <v>1</v>
      </c>
      <c r="L73" s="87">
        <v>32</v>
      </c>
      <c r="M73" s="87" t="s">
        <v>114</v>
      </c>
      <c r="Q73" s="29">
        <v>1</v>
      </c>
      <c r="R73" s="29">
        <v>30</v>
      </c>
      <c r="S73" s="8">
        <v>1</v>
      </c>
      <c r="T73" s="7">
        <v>32</v>
      </c>
    </row>
    <row r="74" spans="1:20" ht="24" x14ac:dyDescent="0.2">
      <c r="A74" s="49" t="s">
        <v>113</v>
      </c>
      <c r="B74" s="85" t="s">
        <v>39</v>
      </c>
      <c r="C74" s="85" t="s">
        <v>40</v>
      </c>
      <c r="D74" s="49">
        <v>1</v>
      </c>
      <c r="E74" s="49">
        <v>30</v>
      </c>
      <c r="F74" s="85">
        <v>45896</v>
      </c>
      <c r="G74" s="86">
        <v>0.375</v>
      </c>
      <c r="H74" s="85">
        <v>45890</v>
      </c>
      <c r="I74" s="86">
        <v>0.91666666666666663</v>
      </c>
      <c r="J74" s="87">
        <f t="shared" si="1"/>
        <v>-2</v>
      </c>
      <c r="K74" s="8">
        <v>1</v>
      </c>
      <c r="L74" s="87">
        <v>32</v>
      </c>
      <c r="M74" s="87" t="s">
        <v>114</v>
      </c>
      <c r="Q74" s="29">
        <v>1</v>
      </c>
      <c r="R74" s="29">
        <v>30</v>
      </c>
      <c r="S74" s="8">
        <v>1</v>
      </c>
      <c r="T74" s="7">
        <v>32</v>
      </c>
    </row>
    <row r="75" spans="1:20" ht="24" x14ac:dyDescent="0.2">
      <c r="A75" s="49" t="s">
        <v>115</v>
      </c>
      <c r="B75" s="85" t="s">
        <v>36</v>
      </c>
      <c r="C75" s="85" t="s">
        <v>37</v>
      </c>
      <c r="D75" s="49">
        <v>1</v>
      </c>
      <c r="E75" s="49">
        <v>20</v>
      </c>
      <c r="F75" s="85">
        <v>45896</v>
      </c>
      <c r="G75" s="86">
        <v>0.375</v>
      </c>
      <c r="H75" s="85">
        <v>45890</v>
      </c>
      <c r="I75" s="86">
        <v>0.80555555555555558</v>
      </c>
      <c r="J75" s="87">
        <f t="shared" si="1"/>
        <v>0</v>
      </c>
      <c r="K75" s="8">
        <v>1</v>
      </c>
      <c r="L75" s="87">
        <v>20</v>
      </c>
      <c r="M75" s="87" t="s">
        <v>116</v>
      </c>
      <c r="Q75" s="29">
        <v>1</v>
      </c>
      <c r="R75" s="29">
        <v>20</v>
      </c>
      <c r="S75" s="8">
        <v>1</v>
      </c>
      <c r="T75" s="7">
        <v>20</v>
      </c>
    </row>
    <row r="76" spans="1:20" ht="24" x14ac:dyDescent="0.2">
      <c r="A76" s="49" t="s">
        <v>115</v>
      </c>
      <c r="B76" s="85" t="s">
        <v>42</v>
      </c>
      <c r="C76" s="85" t="s">
        <v>43</v>
      </c>
      <c r="D76" s="49">
        <v>1</v>
      </c>
      <c r="E76" s="49">
        <v>20</v>
      </c>
      <c r="F76" s="85">
        <v>45896</v>
      </c>
      <c r="G76" s="86">
        <v>0.375</v>
      </c>
      <c r="H76" s="85">
        <v>45890</v>
      </c>
      <c r="I76" s="86">
        <v>0.80555555555555558</v>
      </c>
      <c r="J76" s="87">
        <f t="shared" si="1"/>
        <v>0</v>
      </c>
      <c r="K76" s="8">
        <v>1</v>
      </c>
      <c r="L76" s="87">
        <v>20</v>
      </c>
      <c r="M76" s="87" t="s">
        <v>116</v>
      </c>
      <c r="Q76" s="29">
        <v>1</v>
      </c>
      <c r="R76" s="29">
        <v>20</v>
      </c>
      <c r="S76" s="8">
        <v>1</v>
      </c>
      <c r="T76" s="7">
        <v>20</v>
      </c>
    </row>
    <row r="77" spans="1:20" ht="24" x14ac:dyDescent="0.2">
      <c r="A77" s="49" t="s">
        <v>117</v>
      </c>
      <c r="B77" s="85" t="s">
        <v>36</v>
      </c>
      <c r="C77" s="85" t="s">
        <v>37</v>
      </c>
      <c r="D77" s="49">
        <v>1</v>
      </c>
      <c r="E77" s="49">
        <v>20</v>
      </c>
      <c r="F77" s="85">
        <v>45896</v>
      </c>
      <c r="G77" s="86">
        <v>0.375</v>
      </c>
      <c r="H77" s="85">
        <v>45890</v>
      </c>
      <c r="I77" s="86">
        <v>0.81944444444444442</v>
      </c>
      <c r="J77" s="87">
        <f t="shared" si="1"/>
        <v>0</v>
      </c>
      <c r="K77" s="8">
        <v>1</v>
      </c>
      <c r="L77" s="87">
        <v>20</v>
      </c>
      <c r="M77" s="87" t="s">
        <v>118</v>
      </c>
      <c r="Q77" s="29">
        <v>1</v>
      </c>
      <c r="R77" s="29">
        <v>20</v>
      </c>
      <c r="S77" s="8">
        <v>1</v>
      </c>
      <c r="T77" s="7">
        <v>20</v>
      </c>
    </row>
    <row r="78" spans="1:20" ht="24" x14ac:dyDescent="0.2">
      <c r="A78" s="49" t="s">
        <v>117</v>
      </c>
      <c r="B78" s="85" t="s">
        <v>42</v>
      </c>
      <c r="C78" s="85" t="s">
        <v>43</v>
      </c>
      <c r="D78" s="49">
        <v>1</v>
      </c>
      <c r="E78" s="49">
        <v>20</v>
      </c>
      <c r="F78" s="85">
        <v>45896</v>
      </c>
      <c r="G78" s="86">
        <v>0.375</v>
      </c>
      <c r="H78" s="85">
        <v>45890</v>
      </c>
      <c r="I78" s="86">
        <v>0.81944444444444442</v>
      </c>
      <c r="J78" s="87">
        <f t="shared" si="1"/>
        <v>0</v>
      </c>
      <c r="K78" s="8">
        <v>1</v>
      </c>
      <c r="L78" s="87">
        <v>20</v>
      </c>
      <c r="M78" s="87" t="s">
        <v>118</v>
      </c>
      <c r="Q78" s="29">
        <v>1</v>
      </c>
      <c r="R78" s="29">
        <v>20</v>
      </c>
      <c r="S78" s="8">
        <v>1</v>
      </c>
      <c r="T78" s="7">
        <v>20</v>
      </c>
    </row>
    <row r="79" spans="1:20" ht="36" x14ac:dyDescent="0.2">
      <c r="A79" s="49" t="s">
        <v>119</v>
      </c>
      <c r="B79" s="85" t="s">
        <v>36</v>
      </c>
      <c r="C79" s="85" t="s">
        <v>37</v>
      </c>
      <c r="D79" s="49">
        <v>1</v>
      </c>
      <c r="E79" s="49">
        <v>20</v>
      </c>
      <c r="F79" s="85">
        <v>45896</v>
      </c>
      <c r="G79" s="86">
        <v>0.375</v>
      </c>
      <c r="H79" s="85">
        <v>45890</v>
      </c>
      <c r="I79" s="86">
        <v>0.83333333333333337</v>
      </c>
      <c r="J79" s="87">
        <f>E79-L79</f>
        <v>0</v>
      </c>
      <c r="K79" s="8">
        <v>1</v>
      </c>
      <c r="L79" s="87">
        <v>20</v>
      </c>
      <c r="M79" s="87" t="s">
        <v>120</v>
      </c>
      <c r="Q79" s="29">
        <v>1</v>
      </c>
      <c r="R79" s="29">
        <v>20</v>
      </c>
      <c r="S79" s="8">
        <v>1</v>
      </c>
      <c r="T79" s="7">
        <v>20</v>
      </c>
    </row>
    <row r="80" spans="1:20" ht="36" x14ac:dyDescent="0.2">
      <c r="A80" s="49" t="s">
        <v>119</v>
      </c>
      <c r="B80" s="85" t="s">
        <v>42</v>
      </c>
      <c r="C80" s="85" t="s">
        <v>43</v>
      </c>
      <c r="D80" s="49">
        <v>1</v>
      </c>
      <c r="E80" s="49">
        <v>20</v>
      </c>
      <c r="F80" s="85">
        <v>45896</v>
      </c>
      <c r="G80" s="86">
        <v>0.375</v>
      </c>
      <c r="H80" s="85">
        <v>45890</v>
      </c>
      <c r="I80" s="86">
        <v>0.83333333333333337</v>
      </c>
      <c r="J80" s="87">
        <f t="shared" si="1"/>
        <v>0</v>
      </c>
      <c r="K80" s="8">
        <v>1</v>
      </c>
      <c r="L80" s="87">
        <v>20</v>
      </c>
      <c r="M80" s="87" t="s">
        <v>120</v>
      </c>
      <c r="Q80" s="29">
        <v>1</v>
      </c>
      <c r="R80" s="29">
        <v>20</v>
      </c>
      <c r="S80" s="8">
        <v>1</v>
      </c>
      <c r="T80" s="7">
        <v>20</v>
      </c>
    </row>
    <row r="81" spans="1:20" ht="24" x14ac:dyDescent="0.2">
      <c r="A81" s="49" t="s">
        <v>121</v>
      </c>
      <c r="B81" s="85" t="s">
        <v>36</v>
      </c>
      <c r="C81" s="85" t="s">
        <v>37</v>
      </c>
      <c r="D81" s="49">
        <v>1</v>
      </c>
      <c r="E81" s="49">
        <v>20</v>
      </c>
      <c r="F81" s="85">
        <v>45896</v>
      </c>
      <c r="G81" s="86">
        <v>0.375</v>
      </c>
      <c r="H81" s="85">
        <v>45890</v>
      </c>
      <c r="I81" s="86">
        <v>0.84722222222222221</v>
      </c>
      <c r="J81" s="87">
        <f>E81-L81</f>
        <v>2</v>
      </c>
      <c r="K81" s="8">
        <v>1</v>
      </c>
      <c r="L81" s="87">
        <v>18</v>
      </c>
      <c r="M81" s="87" t="s">
        <v>122</v>
      </c>
      <c r="Q81" s="29">
        <v>1</v>
      </c>
      <c r="R81" s="29">
        <v>20</v>
      </c>
      <c r="S81" s="8">
        <v>1</v>
      </c>
      <c r="T81" s="7">
        <v>18</v>
      </c>
    </row>
    <row r="82" spans="1:20" ht="24" x14ac:dyDescent="0.2">
      <c r="A82" s="49" t="s">
        <v>121</v>
      </c>
      <c r="B82" s="85" t="s">
        <v>42</v>
      </c>
      <c r="C82" s="85" t="s">
        <v>43</v>
      </c>
      <c r="D82" s="49">
        <v>1</v>
      </c>
      <c r="E82" s="49">
        <v>20</v>
      </c>
      <c r="F82" s="85">
        <v>45896</v>
      </c>
      <c r="G82" s="86">
        <v>0.375</v>
      </c>
      <c r="H82" s="85">
        <v>45890</v>
      </c>
      <c r="I82" s="86">
        <v>0.84722222222222221</v>
      </c>
      <c r="J82" s="87">
        <f t="shared" si="1"/>
        <v>2</v>
      </c>
      <c r="K82" s="8">
        <v>1</v>
      </c>
      <c r="L82" s="87">
        <v>18</v>
      </c>
      <c r="M82" s="87" t="s">
        <v>122</v>
      </c>
      <c r="Q82" s="29">
        <v>1</v>
      </c>
      <c r="R82" s="29">
        <v>20</v>
      </c>
      <c r="S82" s="8">
        <v>1</v>
      </c>
      <c r="T82" s="7">
        <v>18</v>
      </c>
    </row>
    <row r="83" spans="1:20" ht="24" x14ac:dyDescent="0.2">
      <c r="A83" s="38" t="s">
        <v>123</v>
      </c>
      <c r="B83" s="85" t="s">
        <v>36</v>
      </c>
      <c r="C83" s="85" t="s">
        <v>37</v>
      </c>
      <c r="D83" s="49">
        <v>1</v>
      </c>
      <c r="E83" s="49">
        <v>20</v>
      </c>
      <c r="F83" s="85">
        <v>45896</v>
      </c>
      <c r="G83" s="86">
        <v>0.375</v>
      </c>
      <c r="H83" s="85">
        <v>45890</v>
      </c>
      <c r="I83" s="86">
        <v>0.86111111111111116</v>
      </c>
      <c r="J83" s="87">
        <f>E83-L83</f>
        <v>0</v>
      </c>
      <c r="K83" s="8">
        <v>1</v>
      </c>
      <c r="L83" s="87">
        <v>20</v>
      </c>
      <c r="M83" s="49" t="s">
        <v>124</v>
      </c>
      <c r="Q83" s="29">
        <v>1</v>
      </c>
      <c r="R83" s="29">
        <v>20</v>
      </c>
      <c r="S83" s="8">
        <v>1</v>
      </c>
      <c r="T83" s="7">
        <v>20</v>
      </c>
    </row>
    <row r="84" spans="1:20" ht="24" x14ac:dyDescent="0.2">
      <c r="A84" s="35" t="s">
        <v>123</v>
      </c>
      <c r="B84" s="85" t="s">
        <v>143</v>
      </c>
      <c r="C84" s="85" t="s">
        <v>43</v>
      </c>
      <c r="D84" s="49">
        <v>1</v>
      </c>
      <c r="E84" s="49">
        <v>20</v>
      </c>
      <c r="F84" s="85">
        <v>45896</v>
      </c>
      <c r="G84" s="86">
        <v>0.375</v>
      </c>
      <c r="H84" s="85">
        <v>45890</v>
      </c>
      <c r="I84" s="86">
        <v>0.86111111111111116</v>
      </c>
      <c r="J84" s="87">
        <f t="shared" si="1"/>
        <v>0</v>
      </c>
      <c r="K84" s="8">
        <v>1</v>
      </c>
      <c r="L84" s="87">
        <v>20</v>
      </c>
      <c r="M84" s="49" t="s">
        <v>124</v>
      </c>
      <c r="Q84" s="29">
        <v>1</v>
      </c>
      <c r="R84" s="29">
        <v>20</v>
      </c>
      <c r="S84" s="8">
        <v>1</v>
      </c>
      <c r="T84" s="7">
        <v>20</v>
      </c>
    </row>
    <row r="85" spans="1:20" ht="24" x14ac:dyDescent="0.2">
      <c r="A85" s="49" t="s">
        <v>125</v>
      </c>
      <c r="B85" s="85" t="s">
        <v>36</v>
      </c>
      <c r="C85" s="85" t="s">
        <v>37</v>
      </c>
      <c r="D85" s="49">
        <v>1</v>
      </c>
      <c r="E85" s="49">
        <v>20</v>
      </c>
      <c r="F85" s="85">
        <v>45896</v>
      </c>
      <c r="G85" s="86">
        <v>0.375</v>
      </c>
      <c r="H85" s="85">
        <v>45890</v>
      </c>
      <c r="I85" s="86">
        <v>0.875</v>
      </c>
      <c r="J85" s="87">
        <f>E85-L85</f>
        <v>-1</v>
      </c>
      <c r="K85" s="8">
        <v>1</v>
      </c>
      <c r="L85" s="87">
        <v>21</v>
      </c>
      <c r="M85" s="87" t="s">
        <v>126</v>
      </c>
      <c r="Q85" s="29">
        <v>1</v>
      </c>
      <c r="R85" s="29">
        <v>20</v>
      </c>
      <c r="S85" s="8">
        <v>1</v>
      </c>
      <c r="T85" s="7">
        <v>21</v>
      </c>
    </row>
    <row r="86" spans="1:20" ht="24" x14ac:dyDescent="0.2">
      <c r="A86" s="49" t="s">
        <v>125</v>
      </c>
      <c r="B86" s="85" t="s">
        <v>42</v>
      </c>
      <c r="C86" s="85" t="s">
        <v>43</v>
      </c>
      <c r="D86" s="49">
        <v>1</v>
      </c>
      <c r="E86" s="49">
        <v>20</v>
      </c>
      <c r="F86" s="85">
        <v>45896</v>
      </c>
      <c r="G86" s="86">
        <v>0.375</v>
      </c>
      <c r="H86" s="85">
        <v>45890</v>
      </c>
      <c r="I86" s="86">
        <v>0.875</v>
      </c>
      <c r="J86" s="87">
        <f t="shared" si="1"/>
        <v>-1</v>
      </c>
      <c r="K86" s="8">
        <v>1</v>
      </c>
      <c r="L86" s="87">
        <v>21</v>
      </c>
      <c r="M86" s="87" t="s">
        <v>126</v>
      </c>
      <c r="Q86" s="29">
        <v>1</v>
      </c>
      <c r="R86" s="29">
        <v>20</v>
      </c>
      <c r="S86" s="8">
        <v>1</v>
      </c>
      <c r="T86" s="7">
        <v>21</v>
      </c>
    </row>
    <row r="87" spans="1:20" ht="36" x14ac:dyDescent="0.2">
      <c r="A87" s="39" t="s">
        <v>127</v>
      </c>
      <c r="B87" s="85" t="s">
        <v>36</v>
      </c>
      <c r="C87" s="85" t="s">
        <v>37</v>
      </c>
      <c r="D87" s="49">
        <v>1</v>
      </c>
      <c r="E87" s="49">
        <v>30</v>
      </c>
      <c r="F87" s="85">
        <v>45896</v>
      </c>
      <c r="G87" s="86">
        <v>0.375</v>
      </c>
      <c r="H87" s="85">
        <v>45890</v>
      </c>
      <c r="I87" s="86">
        <v>0.89583333333333337</v>
      </c>
      <c r="J87" s="87">
        <f>E87-L87</f>
        <v>5</v>
      </c>
      <c r="K87" s="8">
        <v>1</v>
      </c>
      <c r="L87" s="87">
        <v>25</v>
      </c>
      <c r="M87" s="87" t="s">
        <v>128</v>
      </c>
      <c r="Q87" s="29">
        <v>1</v>
      </c>
      <c r="R87" s="29">
        <v>30</v>
      </c>
      <c r="S87" s="8">
        <v>1</v>
      </c>
      <c r="T87" s="7">
        <v>25</v>
      </c>
    </row>
    <row r="88" spans="1:20" ht="36" x14ac:dyDescent="0.2">
      <c r="A88" t="s">
        <v>127</v>
      </c>
      <c r="B88" s="85" t="s">
        <v>42</v>
      </c>
      <c r="C88" s="85" t="s">
        <v>43</v>
      </c>
      <c r="D88" s="49">
        <v>1</v>
      </c>
      <c r="E88" s="49">
        <v>30</v>
      </c>
      <c r="F88" s="85">
        <v>45896</v>
      </c>
      <c r="G88" s="86">
        <v>0.375</v>
      </c>
      <c r="H88" s="85">
        <v>45890</v>
      </c>
      <c r="I88" s="86">
        <v>0.89583333333333337</v>
      </c>
      <c r="J88" s="87">
        <f t="shared" si="1"/>
        <v>5</v>
      </c>
      <c r="K88" s="8">
        <v>1</v>
      </c>
      <c r="L88" s="87">
        <v>25</v>
      </c>
      <c r="M88" s="87" t="s">
        <v>128</v>
      </c>
      <c r="Q88" s="29">
        <v>1</v>
      </c>
      <c r="R88" s="29">
        <v>30</v>
      </c>
      <c r="S88" s="8">
        <v>1</v>
      </c>
      <c r="T88" s="7">
        <v>25</v>
      </c>
    </row>
    <row r="89" spans="1:20" ht="36" x14ac:dyDescent="0.2">
      <c r="A89" s="49" t="s">
        <v>129</v>
      </c>
      <c r="B89" s="85" t="s">
        <v>36</v>
      </c>
      <c r="C89" s="85" t="s">
        <v>37</v>
      </c>
      <c r="D89" s="49">
        <v>1</v>
      </c>
      <c r="E89" s="49">
        <v>30</v>
      </c>
      <c r="F89" s="85">
        <v>45896</v>
      </c>
      <c r="G89" s="86">
        <v>0.375</v>
      </c>
      <c r="H89" s="85">
        <v>45890</v>
      </c>
      <c r="I89" s="86">
        <v>0.91666666666666663</v>
      </c>
      <c r="J89" s="87">
        <f>E89-L89</f>
        <v>10</v>
      </c>
      <c r="K89" s="8">
        <v>1</v>
      </c>
      <c r="L89" s="87">
        <v>20</v>
      </c>
      <c r="M89" s="87" t="s">
        <v>130</v>
      </c>
      <c r="Q89" s="29">
        <v>1</v>
      </c>
      <c r="R89" s="29">
        <v>30</v>
      </c>
      <c r="S89" s="8">
        <v>1</v>
      </c>
      <c r="T89" s="7">
        <v>20</v>
      </c>
    </row>
    <row r="90" spans="1:20" ht="36" x14ac:dyDescent="0.2">
      <c r="A90" s="49" t="s">
        <v>129</v>
      </c>
      <c r="B90" s="85" t="s">
        <v>42</v>
      </c>
      <c r="C90" s="85" t="s">
        <v>43</v>
      </c>
      <c r="D90" s="49">
        <v>1</v>
      </c>
      <c r="E90" s="49">
        <v>30</v>
      </c>
      <c r="F90" s="85">
        <v>45896</v>
      </c>
      <c r="G90" s="86">
        <v>0.375</v>
      </c>
      <c r="H90" s="85">
        <v>45890</v>
      </c>
      <c r="I90" s="86">
        <v>0.91666666666666663</v>
      </c>
      <c r="J90" s="87">
        <f t="shared" si="1"/>
        <v>10</v>
      </c>
      <c r="K90" s="8">
        <v>1</v>
      </c>
      <c r="L90" s="87">
        <v>20</v>
      </c>
      <c r="M90" s="87" t="s">
        <v>130</v>
      </c>
      <c r="Q90" s="29">
        <v>1</v>
      </c>
      <c r="R90" s="29">
        <v>30</v>
      </c>
      <c r="S90" s="8">
        <v>1</v>
      </c>
      <c r="T90" s="7">
        <v>20</v>
      </c>
    </row>
    <row r="91" spans="1:20" ht="36" x14ac:dyDescent="0.2">
      <c r="A91" s="8" t="s">
        <v>146</v>
      </c>
      <c r="B91" s="85" t="s">
        <v>30</v>
      </c>
      <c r="C91" s="85" t="s">
        <v>83</v>
      </c>
      <c r="D91" s="84">
        <v>1</v>
      </c>
      <c r="E91" s="49">
        <v>60</v>
      </c>
      <c r="F91" s="85">
        <v>45896</v>
      </c>
      <c r="G91" s="86">
        <v>0.375</v>
      </c>
      <c r="H91" s="85">
        <v>45890</v>
      </c>
      <c r="I91" s="86">
        <v>0.91666666666666663</v>
      </c>
      <c r="J91" s="87">
        <f>E91-L91</f>
        <v>50</v>
      </c>
      <c r="K91" s="8">
        <v>1</v>
      </c>
      <c r="L91" s="87">
        <v>10</v>
      </c>
      <c r="M91" s="87" t="s">
        <v>149</v>
      </c>
      <c r="Q91" s="20">
        <v>1</v>
      </c>
      <c r="R91" s="29">
        <v>60</v>
      </c>
      <c r="S91" s="8">
        <v>1</v>
      </c>
      <c r="T91" s="7">
        <v>10</v>
      </c>
    </row>
    <row r="92" spans="1:20" ht="36" x14ac:dyDescent="0.2">
      <c r="A92" s="8" t="s">
        <v>146</v>
      </c>
      <c r="B92" s="85" t="s">
        <v>42</v>
      </c>
      <c r="C92" s="85" t="s">
        <v>77</v>
      </c>
      <c r="D92" s="84">
        <v>1</v>
      </c>
      <c r="E92" s="49">
        <v>60</v>
      </c>
      <c r="F92" s="85">
        <v>45896</v>
      </c>
      <c r="G92" s="86">
        <v>0.375</v>
      </c>
      <c r="H92" s="85">
        <v>45890</v>
      </c>
      <c r="I92" s="86">
        <v>0.91666666666666663</v>
      </c>
      <c r="J92" s="87">
        <f>E92-L92</f>
        <v>50</v>
      </c>
      <c r="K92" s="8">
        <v>1</v>
      </c>
      <c r="L92" s="87">
        <v>10</v>
      </c>
      <c r="M92" s="87" t="s">
        <v>149</v>
      </c>
      <c r="Q92" s="20">
        <v>1</v>
      </c>
      <c r="R92" s="29">
        <v>60</v>
      </c>
      <c r="S92" s="8">
        <v>1</v>
      </c>
      <c r="T92" s="7">
        <v>10</v>
      </c>
    </row>
    <row r="93" spans="1:20" ht="36" x14ac:dyDescent="0.2">
      <c r="A93" s="8" t="s">
        <v>146</v>
      </c>
      <c r="B93" s="85" t="s">
        <v>21</v>
      </c>
      <c r="C93" s="85" t="s">
        <v>86</v>
      </c>
      <c r="D93" s="84">
        <v>1</v>
      </c>
      <c r="E93" s="49">
        <v>60</v>
      </c>
      <c r="F93" s="85">
        <v>45896</v>
      </c>
      <c r="G93" s="86">
        <v>0.375</v>
      </c>
      <c r="H93" s="85">
        <v>45890</v>
      </c>
      <c r="I93" s="86">
        <v>0.91666666666666663</v>
      </c>
      <c r="J93" s="87">
        <f>E93-L93</f>
        <v>50</v>
      </c>
      <c r="K93" s="8">
        <v>1</v>
      </c>
      <c r="L93" s="87">
        <v>10</v>
      </c>
      <c r="M93" s="87" t="s">
        <v>149</v>
      </c>
      <c r="Q93" s="20">
        <v>1</v>
      </c>
      <c r="R93" s="29">
        <v>60</v>
      </c>
      <c r="S93" s="8">
        <v>1</v>
      </c>
      <c r="T93" s="7">
        <v>10</v>
      </c>
    </row>
    <row r="94" spans="1:20" ht="36" x14ac:dyDescent="0.2">
      <c r="A94" s="8" t="s">
        <v>146</v>
      </c>
      <c r="B94" s="85" t="s">
        <v>136</v>
      </c>
      <c r="C94" s="85" t="s">
        <v>151</v>
      </c>
      <c r="D94" s="84">
        <v>1</v>
      </c>
      <c r="E94" s="49">
        <v>60</v>
      </c>
      <c r="F94" s="85">
        <v>45896</v>
      </c>
      <c r="G94" s="86">
        <v>0.375</v>
      </c>
      <c r="H94" s="85">
        <v>45890</v>
      </c>
      <c r="I94" s="86">
        <v>0.91666666666666663</v>
      </c>
      <c r="J94" s="87">
        <f>E94-L94</f>
        <v>50</v>
      </c>
      <c r="K94" s="8">
        <v>1</v>
      </c>
      <c r="L94" s="87">
        <v>10</v>
      </c>
      <c r="M94" s="87" t="s">
        <v>149</v>
      </c>
      <c r="Q94" s="20">
        <v>1</v>
      </c>
      <c r="R94" s="29">
        <v>60</v>
      </c>
      <c r="S94" s="8">
        <v>1</v>
      </c>
      <c r="T94" s="7">
        <v>10</v>
      </c>
    </row>
    <row r="95" spans="1:20" ht="36" x14ac:dyDescent="0.2">
      <c r="A95" s="8" t="s">
        <v>146</v>
      </c>
      <c r="B95" s="85" t="s">
        <v>36</v>
      </c>
      <c r="C95" s="85" t="s">
        <v>80</v>
      </c>
      <c r="D95" s="84">
        <v>1</v>
      </c>
      <c r="E95" s="49">
        <v>60</v>
      </c>
      <c r="F95" s="85">
        <v>45882</v>
      </c>
      <c r="G95" s="86">
        <v>0.375</v>
      </c>
      <c r="H95" s="85">
        <v>45890</v>
      </c>
      <c r="I95" s="86">
        <v>0.91666666666666663</v>
      </c>
      <c r="J95" s="87">
        <f>E95-L95</f>
        <v>50</v>
      </c>
      <c r="K95" s="8">
        <v>1</v>
      </c>
      <c r="L95" s="87">
        <v>10</v>
      </c>
      <c r="M95" s="87" t="s">
        <v>149</v>
      </c>
      <c r="Q95" s="20">
        <v>1</v>
      </c>
      <c r="R95" s="29">
        <v>60</v>
      </c>
      <c r="S95" s="8">
        <v>1</v>
      </c>
      <c r="T95" s="7">
        <v>10</v>
      </c>
    </row>
    <row r="96" spans="1:20" ht="36" x14ac:dyDescent="0.2">
      <c r="A96" s="8" t="s">
        <v>146</v>
      </c>
      <c r="B96" s="85" t="s">
        <v>39</v>
      </c>
      <c r="C96" s="85" t="s">
        <v>150</v>
      </c>
      <c r="D96" s="84">
        <v>1</v>
      </c>
      <c r="E96" s="49">
        <v>60</v>
      </c>
      <c r="F96" s="85">
        <v>45896</v>
      </c>
      <c r="G96" s="86">
        <v>0.375</v>
      </c>
      <c r="H96" s="85">
        <v>45890</v>
      </c>
      <c r="I96" s="86">
        <v>0.91666666666666663</v>
      </c>
      <c r="J96" s="87">
        <f t="shared" si="1"/>
        <v>50</v>
      </c>
      <c r="K96" s="8">
        <v>1</v>
      </c>
      <c r="L96" s="87">
        <v>10</v>
      </c>
      <c r="M96" s="87" t="s">
        <v>149</v>
      </c>
      <c r="Q96" s="20">
        <v>1</v>
      </c>
      <c r="R96" s="29">
        <v>60</v>
      </c>
      <c r="S96" s="8">
        <v>1</v>
      </c>
      <c r="T96" s="7">
        <v>10</v>
      </c>
    </row>
    <row r="97" spans="1:20" ht="30" customHeight="1" x14ac:dyDescent="0.2">
      <c r="A97" s="8" t="s">
        <v>52</v>
      </c>
      <c r="B97" s="85" t="s">
        <v>21</v>
      </c>
      <c r="C97" s="85" t="s">
        <v>22</v>
      </c>
      <c r="D97" s="84">
        <v>1</v>
      </c>
      <c r="E97" s="49">
        <v>30</v>
      </c>
      <c r="F97" s="85">
        <v>45896</v>
      </c>
      <c r="G97" s="86">
        <v>0.375</v>
      </c>
      <c r="H97" s="85">
        <v>45890</v>
      </c>
      <c r="I97" s="86">
        <v>0.91666666666666663</v>
      </c>
      <c r="J97" s="87">
        <f t="shared" si="1"/>
        <v>0</v>
      </c>
      <c r="K97" s="8">
        <v>1</v>
      </c>
      <c r="L97" s="87">
        <v>30</v>
      </c>
      <c r="M97" s="87" t="s">
        <v>53</v>
      </c>
      <c r="Q97" s="20">
        <v>1</v>
      </c>
      <c r="R97" s="29">
        <v>30</v>
      </c>
      <c r="S97" s="8">
        <v>1</v>
      </c>
      <c r="T97" s="7">
        <v>30</v>
      </c>
    </row>
    <row r="98" spans="1:20" ht="23.25" customHeight="1" x14ac:dyDescent="0.2">
      <c r="A98" s="8" t="s">
        <v>153</v>
      </c>
      <c r="B98" s="85" t="s">
        <v>36</v>
      </c>
      <c r="C98" s="85" t="s">
        <v>37</v>
      </c>
      <c r="D98" s="84">
        <v>1</v>
      </c>
      <c r="E98" s="5">
        <v>30</v>
      </c>
      <c r="F98" s="85">
        <v>45896</v>
      </c>
      <c r="G98" s="86">
        <v>0.375</v>
      </c>
      <c r="H98" s="85">
        <v>45890</v>
      </c>
      <c r="I98" s="86">
        <v>0.91666666666666663</v>
      </c>
      <c r="J98" s="87">
        <f t="shared" si="1"/>
        <v>0</v>
      </c>
      <c r="K98" s="8">
        <v>1</v>
      </c>
      <c r="L98" s="87">
        <v>30</v>
      </c>
      <c r="M98" s="87" t="s">
        <v>53</v>
      </c>
      <c r="Q98" s="20">
        <v>1</v>
      </c>
      <c r="R98" s="5">
        <v>30</v>
      </c>
      <c r="S98" s="8">
        <v>1</v>
      </c>
      <c r="T98" s="7">
        <v>30</v>
      </c>
    </row>
    <row r="99" spans="1:20" ht="24" x14ac:dyDescent="0.2">
      <c r="A99" s="8" t="s">
        <v>79</v>
      </c>
      <c r="B99" s="85" t="s">
        <v>36</v>
      </c>
      <c r="C99" s="85" t="s">
        <v>80</v>
      </c>
      <c r="D99" s="84">
        <v>1</v>
      </c>
      <c r="E99" s="49">
        <v>45</v>
      </c>
      <c r="F99" s="85">
        <v>45896</v>
      </c>
      <c r="G99" s="86">
        <v>0.375</v>
      </c>
      <c r="H99" s="85">
        <v>45890</v>
      </c>
      <c r="I99" s="86">
        <v>0.9375</v>
      </c>
      <c r="J99" s="87">
        <f t="shared" si="1"/>
        <v>-35</v>
      </c>
      <c r="K99" s="8">
        <v>1</v>
      </c>
      <c r="L99" s="87">
        <v>80</v>
      </c>
      <c r="M99" s="87" t="s">
        <v>81</v>
      </c>
      <c r="Q99" s="20">
        <v>1</v>
      </c>
      <c r="R99" s="29">
        <v>45</v>
      </c>
      <c r="S99" s="8">
        <v>1</v>
      </c>
      <c r="T99" s="7">
        <v>80</v>
      </c>
    </row>
    <row r="100" spans="1:20" x14ac:dyDescent="0.2">
      <c r="A100" s="8" t="s">
        <v>85</v>
      </c>
      <c r="B100" s="85" t="s">
        <v>21</v>
      </c>
      <c r="C100" s="85" t="s">
        <v>86</v>
      </c>
      <c r="D100" s="84">
        <v>1</v>
      </c>
      <c r="E100" s="49">
        <v>60</v>
      </c>
      <c r="F100" s="85">
        <v>45896</v>
      </c>
      <c r="G100" s="86">
        <v>0.375</v>
      </c>
      <c r="H100" s="85">
        <v>45890</v>
      </c>
      <c r="I100" s="86">
        <v>0.9375</v>
      </c>
      <c r="J100" s="87">
        <f t="shared" si="1"/>
        <v>10</v>
      </c>
      <c r="K100" s="8">
        <v>1</v>
      </c>
      <c r="L100" s="87">
        <v>50</v>
      </c>
      <c r="M100" s="87" t="s">
        <v>87</v>
      </c>
      <c r="Q100" s="20">
        <v>1</v>
      </c>
      <c r="R100" s="29">
        <v>60</v>
      </c>
      <c r="S100" s="8">
        <v>1</v>
      </c>
      <c r="T100" s="7">
        <v>50</v>
      </c>
    </row>
    <row r="101" spans="1:20" x14ac:dyDescent="0.2">
      <c r="A101" s="8" t="s">
        <v>88</v>
      </c>
      <c r="B101" s="85" t="s">
        <v>21</v>
      </c>
      <c r="C101" s="85" t="s">
        <v>86</v>
      </c>
      <c r="D101" s="84">
        <v>1</v>
      </c>
      <c r="E101" s="49">
        <v>55</v>
      </c>
      <c r="F101" s="85">
        <v>45896</v>
      </c>
      <c r="G101" s="86">
        <v>0.375</v>
      </c>
      <c r="H101" s="85">
        <v>45890</v>
      </c>
      <c r="I101" s="86">
        <v>0.9375</v>
      </c>
      <c r="J101" s="87">
        <f t="shared" si="1"/>
        <v>0</v>
      </c>
      <c r="K101" s="8">
        <v>1</v>
      </c>
      <c r="L101" s="87">
        <v>55</v>
      </c>
      <c r="M101" s="87" t="s">
        <v>89</v>
      </c>
      <c r="Q101" s="20">
        <v>1</v>
      </c>
      <c r="R101" s="29">
        <v>55</v>
      </c>
      <c r="S101" s="8">
        <v>1</v>
      </c>
      <c r="T101" s="7">
        <v>55</v>
      </c>
    </row>
    <row r="102" spans="1:20" ht="24" x14ac:dyDescent="0.2">
      <c r="A102" s="49" t="s">
        <v>131</v>
      </c>
      <c r="B102" s="85" t="s">
        <v>36</v>
      </c>
      <c r="C102" s="85" t="s">
        <v>37</v>
      </c>
      <c r="D102" s="49">
        <v>1</v>
      </c>
      <c r="E102" s="49">
        <v>30</v>
      </c>
      <c r="F102" s="85">
        <v>45896</v>
      </c>
      <c r="G102" s="86">
        <v>0.375</v>
      </c>
      <c r="H102" s="85">
        <v>45894</v>
      </c>
      <c r="I102" s="86">
        <v>0.9375</v>
      </c>
      <c r="J102" s="87">
        <f>E102-L102</f>
        <v>-2</v>
      </c>
      <c r="K102" s="8">
        <v>1</v>
      </c>
      <c r="L102" s="87">
        <v>32</v>
      </c>
      <c r="M102" s="87" t="s">
        <v>132</v>
      </c>
      <c r="Q102" s="29">
        <v>1</v>
      </c>
      <c r="R102" s="29">
        <v>30</v>
      </c>
      <c r="S102" s="8">
        <v>1</v>
      </c>
      <c r="T102" s="7">
        <v>32</v>
      </c>
    </row>
    <row r="103" spans="1:20" ht="24" x14ac:dyDescent="0.2">
      <c r="A103" s="49" t="s">
        <v>131</v>
      </c>
      <c r="B103" s="85" t="s">
        <v>42</v>
      </c>
      <c r="C103" s="85" t="s">
        <v>43</v>
      </c>
      <c r="D103" s="49">
        <v>1</v>
      </c>
      <c r="E103" s="49">
        <v>30</v>
      </c>
      <c r="F103" s="85">
        <v>45896</v>
      </c>
      <c r="G103" s="86">
        <v>0.375</v>
      </c>
      <c r="H103" s="85">
        <v>45894</v>
      </c>
      <c r="I103" s="86">
        <v>0.9375</v>
      </c>
      <c r="J103" s="87">
        <f>E103-L103</f>
        <v>-2</v>
      </c>
      <c r="K103" s="8">
        <v>1</v>
      </c>
      <c r="L103" s="87">
        <v>32</v>
      </c>
      <c r="M103" s="87" t="s">
        <v>132</v>
      </c>
      <c r="Q103" s="29">
        <v>1</v>
      </c>
      <c r="R103" s="29">
        <v>30</v>
      </c>
      <c r="S103" s="8">
        <v>1</v>
      </c>
      <c r="T103" s="7">
        <v>32</v>
      </c>
    </row>
    <row r="104" spans="1:20" ht="24" x14ac:dyDescent="0.2">
      <c r="A104" s="49" t="s">
        <v>131</v>
      </c>
      <c r="B104" s="85" t="s">
        <v>30</v>
      </c>
      <c r="C104" s="85" t="s">
        <v>31</v>
      </c>
      <c r="D104" s="49">
        <v>1</v>
      </c>
      <c r="E104" s="49">
        <v>30</v>
      </c>
      <c r="F104" s="85">
        <v>45896</v>
      </c>
      <c r="G104" s="86">
        <v>0.375</v>
      </c>
      <c r="H104" s="85">
        <v>45894</v>
      </c>
      <c r="I104" s="86">
        <v>0.9375</v>
      </c>
      <c r="J104" s="87">
        <f>E104-L104</f>
        <v>-2</v>
      </c>
      <c r="K104" s="8">
        <v>1</v>
      </c>
      <c r="L104" s="87">
        <v>32</v>
      </c>
      <c r="M104" s="87" t="s">
        <v>132</v>
      </c>
      <c r="Q104" s="29">
        <v>1</v>
      </c>
      <c r="R104" s="29">
        <v>30</v>
      </c>
      <c r="S104" s="8">
        <v>1</v>
      </c>
      <c r="T104" s="7">
        <v>32</v>
      </c>
    </row>
    <row r="105" spans="1:20" s="5" customFormat="1" ht="12" customHeight="1" x14ac:dyDescent="0.2">
      <c r="A105" s="49" t="s">
        <v>131</v>
      </c>
      <c r="B105" s="85" t="s">
        <v>21</v>
      </c>
      <c r="C105" s="85" t="s">
        <v>22</v>
      </c>
      <c r="D105" s="49">
        <v>1</v>
      </c>
      <c r="E105" s="49">
        <v>30</v>
      </c>
      <c r="F105" s="85">
        <v>45896</v>
      </c>
      <c r="G105" s="86">
        <v>0.375</v>
      </c>
      <c r="H105" s="85">
        <v>45894</v>
      </c>
      <c r="I105" s="86">
        <v>0.9375</v>
      </c>
      <c r="J105" s="87">
        <f>E105-L105</f>
        <v>-2</v>
      </c>
      <c r="K105" s="8">
        <v>1</v>
      </c>
      <c r="L105" s="87">
        <v>32</v>
      </c>
      <c r="M105" s="87" t="s">
        <v>132</v>
      </c>
      <c r="Q105" s="29">
        <v>1</v>
      </c>
      <c r="R105" s="29">
        <v>30</v>
      </c>
      <c r="S105" s="8">
        <v>1</v>
      </c>
      <c r="T105" s="7">
        <v>32</v>
      </c>
    </row>
    <row r="106" spans="1:20" ht="24" x14ac:dyDescent="0.2">
      <c r="A106" s="49" t="s">
        <v>131</v>
      </c>
      <c r="B106" s="85" t="s">
        <v>136</v>
      </c>
      <c r="C106" s="85" t="s">
        <v>34</v>
      </c>
      <c r="D106" s="49">
        <v>1</v>
      </c>
      <c r="E106" s="49">
        <v>30</v>
      </c>
      <c r="F106" s="85">
        <v>45896</v>
      </c>
      <c r="G106" s="86">
        <v>0.375</v>
      </c>
      <c r="H106" s="85">
        <v>45894</v>
      </c>
      <c r="I106" s="86">
        <v>0.9375</v>
      </c>
      <c r="J106" s="87">
        <f>E106-L106</f>
        <v>-2</v>
      </c>
      <c r="K106" s="8">
        <v>1</v>
      </c>
      <c r="L106" s="87">
        <v>32</v>
      </c>
      <c r="M106" s="87" t="s">
        <v>132</v>
      </c>
      <c r="Q106" s="29">
        <v>1</v>
      </c>
      <c r="R106" s="29">
        <v>30</v>
      </c>
      <c r="S106" s="8">
        <v>1</v>
      </c>
      <c r="T106" s="7">
        <v>32</v>
      </c>
    </row>
    <row r="107" spans="1:20" ht="24" x14ac:dyDescent="0.2">
      <c r="A107" s="49" t="s">
        <v>131</v>
      </c>
      <c r="B107" s="85" t="s">
        <v>39</v>
      </c>
      <c r="C107" s="85" t="s">
        <v>40</v>
      </c>
      <c r="D107" s="49">
        <v>1</v>
      </c>
      <c r="E107" s="49">
        <v>30</v>
      </c>
      <c r="F107" s="85">
        <v>45896</v>
      </c>
      <c r="G107" s="86">
        <v>0.375</v>
      </c>
      <c r="H107" s="85">
        <v>45894</v>
      </c>
      <c r="I107" s="86">
        <v>0.9375</v>
      </c>
      <c r="J107" s="87">
        <f t="shared" si="1"/>
        <v>-2</v>
      </c>
      <c r="K107" s="8">
        <v>1</v>
      </c>
      <c r="L107" s="87">
        <v>32</v>
      </c>
      <c r="M107" s="87" t="s">
        <v>132</v>
      </c>
      <c r="Q107" s="29">
        <v>1</v>
      </c>
      <c r="R107" s="29">
        <v>30</v>
      </c>
      <c r="S107" s="8">
        <v>1</v>
      </c>
      <c r="T107" s="7">
        <v>32</v>
      </c>
    </row>
    <row r="108" spans="1:20" ht="24" x14ac:dyDescent="0.2">
      <c r="A108" s="49" t="s">
        <v>133</v>
      </c>
      <c r="B108" s="85" t="s">
        <v>21</v>
      </c>
      <c r="C108" s="85" t="s">
        <v>22</v>
      </c>
      <c r="D108" s="49">
        <v>3</v>
      </c>
      <c r="E108" s="49">
        <v>20</v>
      </c>
      <c r="F108" s="85">
        <v>45896</v>
      </c>
      <c r="G108" s="86">
        <v>0.375</v>
      </c>
      <c r="H108" s="85">
        <v>45895</v>
      </c>
      <c r="I108" s="86">
        <v>0.58333333333333337</v>
      </c>
      <c r="J108" s="87">
        <f t="shared" si="1"/>
        <v>5</v>
      </c>
      <c r="K108" s="8">
        <v>3</v>
      </c>
      <c r="L108" s="87">
        <v>15</v>
      </c>
      <c r="M108" s="87" t="s">
        <v>134</v>
      </c>
      <c r="Q108" s="29">
        <v>3</v>
      </c>
      <c r="R108" s="29">
        <v>20</v>
      </c>
      <c r="S108" s="8">
        <v>3</v>
      </c>
      <c r="T108" s="7">
        <v>15</v>
      </c>
    </row>
    <row r="109" spans="1:20" ht="24" x14ac:dyDescent="0.2">
      <c r="A109" s="104" t="s">
        <v>154</v>
      </c>
      <c r="B109" s="85" t="s">
        <v>30</v>
      </c>
      <c r="C109" s="85" t="s">
        <v>31</v>
      </c>
      <c r="D109" s="49">
        <v>2</v>
      </c>
      <c r="E109" s="49">
        <v>50</v>
      </c>
      <c r="F109" s="85">
        <v>45903</v>
      </c>
      <c r="G109" s="86">
        <v>0.375</v>
      </c>
      <c r="H109" s="85">
        <v>45902</v>
      </c>
      <c r="I109" s="86">
        <v>0.16666666666666666</v>
      </c>
      <c r="J109" s="87">
        <f t="shared" si="1"/>
        <v>0</v>
      </c>
      <c r="K109" s="8">
        <v>1</v>
      </c>
      <c r="L109" s="87">
        <v>50</v>
      </c>
      <c r="M109" s="49" t="s">
        <v>155</v>
      </c>
      <c r="Q109" s="42">
        <f>SUM(Q8:Q108)</f>
        <v>107</v>
      </c>
      <c r="R109" s="42">
        <f>SUM(R8:R108)</f>
        <v>4265</v>
      </c>
      <c r="S109" s="42">
        <f>SUM(S8:S108)</f>
        <v>107</v>
      </c>
      <c r="T109" s="42">
        <f>SUM(T8:T108)</f>
        <v>4101</v>
      </c>
    </row>
    <row r="110" spans="1:20" ht="35.25" customHeight="1" x14ac:dyDescent="0.2">
      <c r="A110" s="104" t="s">
        <v>154</v>
      </c>
      <c r="B110" s="85" t="s">
        <v>39</v>
      </c>
      <c r="C110" s="85" t="s">
        <v>40</v>
      </c>
      <c r="D110" s="49">
        <v>2</v>
      </c>
      <c r="E110" s="49">
        <v>50</v>
      </c>
      <c r="F110" s="85">
        <v>45903</v>
      </c>
      <c r="G110" s="86">
        <v>0.375</v>
      </c>
      <c r="H110" s="85">
        <v>45902</v>
      </c>
      <c r="I110" s="86">
        <v>0.16666666666666666</v>
      </c>
      <c r="J110" s="87">
        <f t="shared" si="1"/>
        <v>0</v>
      </c>
      <c r="K110" s="8">
        <v>1</v>
      </c>
      <c r="L110" s="87">
        <v>50</v>
      </c>
      <c r="M110" s="49" t="s">
        <v>155</v>
      </c>
    </row>
    <row r="111" spans="1:20" ht="36.75" customHeight="1" x14ac:dyDescent="0.2">
      <c r="A111" s="104" t="s">
        <v>154</v>
      </c>
      <c r="B111" s="85" t="s">
        <v>21</v>
      </c>
      <c r="C111" s="85" t="s">
        <v>22</v>
      </c>
      <c r="D111" s="49">
        <v>2</v>
      </c>
      <c r="E111" s="49">
        <v>50</v>
      </c>
      <c r="F111" s="85">
        <v>45903</v>
      </c>
      <c r="G111" s="86">
        <v>0.375</v>
      </c>
      <c r="H111" s="85">
        <v>45902</v>
      </c>
      <c r="I111" s="86">
        <v>0.16666666666666666</v>
      </c>
      <c r="J111" s="87">
        <f t="shared" si="1"/>
        <v>0</v>
      </c>
      <c r="K111" s="8">
        <v>1</v>
      </c>
      <c r="L111" s="87">
        <v>50</v>
      </c>
      <c r="M111" s="49" t="s">
        <v>155</v>
      </c>
    </row>
    <row r="112" spans="1:20" ht="33.75" customHeight="1" x14ac:dyDescent="0.2">
      <c r="A112" s="104" t="s">
        <v>154</v>
      </c>
      <c r="B112" s="85" t="s">
        <v>136</v>
      </c>
      <c r="C112" s="85" t="s">
        <v>34</v>
      </c>
      <c r="D112" s="49">
        <v>2</v>
      </c>
      <c r="E112" s="49">
        <v>50</v>
      </c>
      <c r="F112" s="85">
        <v>45903</v>
      </c>
      <c r="G112" s="86">
        <v>0.375</v>
      </c>
      <c r="H112" s="85">
        <v>45902</v>
      </c>
      <c r="I112" s="86">
        <v>0.16666666666666666</v>
      </c>
      <c r="J112" s="87">
        <f t="shared" si="1"/>
        <v>0</v>
      </c>
      <c r="K112" s="8">
        <v>1</v>
      </c>
      <c r="L112" s="87">
        <v>50</v>
      </c>
      <c r="M112" s="49" t="s">
        <v>155</v>
      </c>
    </row>
    <row r="113" spans="1:13" ht="26.25" customHeight="1" x14ac:dyDescent="0.2">
      <c r="A113" s="104" t="s">
        <v>154</v>
      </c>
      <c r="B113" s="85" t="s">
        <v>36</v>
      </c>
      <c r="C113" s="85" t="s">
        <v>37</v>
      </c>
      <c r="D113" s="49">
        <v>2</v>
      </c>
      <c r="E113" s="49">
        <v>50</v>
      </c>
      <c r="F113" s="85">
        <v>45903</v>
      </c>
      <c r="G113" s="86">
        <v>0.375</v>
      </c>
      <c r="H113" s="85">
        <v>45902</v>
      </c>
      <c r="I113" s="86">
        <v>0.16666666666666666</v>
      </c>
      <c r="J113" s="87">
        <f t="shared" si="1"/>
        <v>0</v>
      </c>
      <c r="K113" s="8">
        <v>1</v>
      </c>
      <c r="L113" s="87">
        <v>50</v>
      </c>
      <c r="M113" s="49" t="s">
        <v>155</v>
      </c>
    </row>
    <row r="114" spans="1:13" ht="27.75" customHeight="1" x14ac:dyDescent="0.2">
      <c r="A114" s="104" t="s">
        <v>154</v>
      </c>
      <c r="B114" s="85" t="s">
        <v>42</v>
      </c>
      <c r="C114" s="85" t="s">
        <v>43</v>
      </c>
      <c r="D114" s="49">
        <v>2</v>
      </c>
      <c r="E114" s="49">
        <v>50</v>
      </c>
      <c r="F114" s="85">
        <v>45903</v>
      </c>
      <c r="G114" s="86">
        <v>0.375</v>
      </c>
      <c r="H114" s="85">
        <v>45902</v>
      </c>
      <c r="I114" s="86">
        <v>0.16666666666666666</v>
      </c>
      <c r="J114" s="87">
        <f t="shared" si="1"/>
        <v>0</v>
      </c>
      <c r="K114" s="8">
        <v>1</v>
      </c>
      <c r="L114" s="87">
        <v>50</v>
      </c>
      <c r="M114" s="49" t="s">
        <v>155</v>
      </c>
    </row>
    <row r="115" spans="1:13" ht="40.5" customHeight="1" x14ac:dyDescent="0.2">
      <c r="A115" s="8" t="s">
        <v>144</v>
      </c>
      <c r="B115" s="85" t="s">
        <v>30</v>
      </c>
      <c r="C115" s="85" t="s">
        <v>31</v>
      </c>
      <c r="D115" s="84">
        <v>1</v>
      </c>
      <c r="E115" s="8">
        <v>30</v>
      </c>
      <c r="F115" s="85">
        <v>45903</v>
      </c>
      <c r="G115" s="86">
        <v>0.375</v>
      </c>
      <c r="H115" s="85">
        <v>45899</v>
      </c>
      <c r="I115" s="86">
        <v>0.79166666666666663</v>
      </c>
      <c r="J115" s="87">
        <f t="shared" si="1"/>
        <v>0</v>
      </c>
      <c r="K115" s="8">
        <v>1</v>
      </c>
      <c r="L115" s="87">
        <v>30</v>
      </c>
      <c r="M115" s="87" t="s">
        <v>156</v>
      </c>
    </row>
    <row r="116" spans="1:13" ht="24" x14ac:dyDescent="0.2">
      <c r="A116" s="38" t="s">
        <v>123</v>
      </c>
      <c r="B116" s="85" t="s">
        <v>36</v>
      </c>
      <c r="C116" s="85" t="s">
        <v>37</v>
      </c>
      <c r="D116" s="49">
        <v>1</v>
      </c>
      <c r="E116" s="49">
        <v>20</v>
      </c>
      <c r="F116" s="85">
        <v>45903</v>
      </c>
      <c r="G116" s="86">
        <v>0.375</v>
      </c>
      <c r="H116" s="85">
        <v>45902</v>
      </c>
      <c r="I116" s="86">
        <v>0.80555555555555558</v>
      </c>
      <c r="J116" s="87">
        <f t="shared" si="1"/>
        <v>0</v>
      </c>
      <c r="K116" s="8">
        <v>1</v>
      </c>
      <c r="L116" s="87">
        <v>20</v>
      </c>
      <c r="M116" s="49" t="s">
        <v>124</v>
      </c>
    </row>
    <row r="117" spans="1:13" ht="24" x14ac:dyDescent="0.2">
      <c r="A117" s="38" t="s">
        <v>123</v>
      </c>
      <c r="B117" s="85" t="s">
        <v>143</v>
      </c>
      <c r="C117" s="85" t="s">
        <v>43</v>
      </c>
      <c r="D117" s="49">
        <v>1</v>
      </c>
      <c r="E117" s="49">
        <v>20</v>
      </c>
      <c r="F117" s="85">
        <v>45903</v>
      </c>
      <c r="G117" s="86">
        <v>0.375</v>
      </c>
      <c r="H117" s="85">
        <v>45902</v>
      </c>
      <c r="I117" s="86">
        <v>0.80555555555555558</v>
      </c>
      <c r="J117" s="87">
        <f t="shared" si="1"/>
        <v>0</v>
      </c>
      <c r="K117" s="8">
        <v>1</v>
      </c>
      <c r="L117" s="87">
        <v>20</v>
      </c>
      <c r="M117" s="49" t="s">
        <v>124</v>
      </c>
    </row>
    <row r="118" spans="1:13" ht="24" x14ac:dyDescent="0.2">
      <c r="A118" s="38" t="s">
        <v>157</v>
      </c>
      <c r="B118" s="85" t="s">
        <v>39</v>
      </c>
      <c r="C118" s="85" t="s">
        <v>40</v>
      </c>
      <c r="D118" s="49">
        <v>1</v>
      </c>
      <c r="E118" s="49">
        <v>30</v>
      </c>
      <c r="F118" s="85">
        <v>45903</v>
      </c>
      <c r="G118" s="86">
        <v>0.375</v>
      </c>
      <c r="H118" s="85">
        <v>45902</v>
      </c>
      <c r="I118" s="86">
        <v>0.8125</v>
      </c>
      <c r="J118" s="87">
        <f t="shared" si="1"/>
        <v>2</v>
      </c>
      <c r="K118" s="8">
        <v>2</v>
      </c>
      <c r="L118" s="87">
        <v>28</v>
      </c>
      <c r="M118" s="49" t="s">
        <v>158</v>
      </c>
    </row>
    <row r="119" spans="1:13" ht="38.25" x14ac:dyDescent="0.2">
      <c r="A119" s="49" t="s">
        <v>159</v>
      </c>
      <c r="B119" s="13" t="s">
        <v>21</v>
      </c>
      <c r="C119" s="13" t="s">
        <v>22</v>
      </c>
      <c r="D119" s="53">
        <v>1</v>
      </c>
      <c r="E119" s="53">
        <v>30</v>
      </c>
      <c r="F119" s="13">
        <v>45903</v>
      </c>
      <c r="G119" s="86">
        <v>0.375</v>
      </c>
      <c r="H119" s="13">
        <v>45902</v>
      </c>
      <c r="I119" s="12">
        <v>0.8125</v>
      </c>
      <c r="J119" s="53">
        <f t="shared" si="1"/>
        <v>0</v>
      </c>
      <c r="K119" s="50">
        <v>2</v>
      </c>
      <c r="L119" s="50">
        <v>30</v>
      </c>
      <c r="M119" s="101" t="s">
        <v>160</v>
      </c>
    </row>
    <row r="120" spans="1:13" ht="25.5" x14ac:dyDescent="0.2">
      <c r="A120" s="60" t="s">
        <v>162</v>
      </c>
      <c r="B120" s="98" t="s">
        <v>30</v>
      </c>
      <c r="C120" s="98" t="s">
        <v>31</v>
      </c>
      <c r="D120" s="53">
        <v>1</v>
      </c>
      <c r="E120" s="53">
        <v>30</v>
      </c>
      <c r="F120" s="13">
        <v>45903</v>
      </c>
      <c r="G120" s="86">
        <v>0.375</v>
      </c>
      <c r="H120" s="13">
        <v>45902</v>
      </c>
      <c r="I120" s="12">
        <v>0.8125</v>
      </c>
      <c r="J120" s="53">
        <f t="shared" si="1"/>
        <v>3</v>
      </c>
      <c r="K120" s="50">
        <v>1</v>
      </c>
      <c r="L120" s="50">
        <v>27</v>
      </c>
      <c r="M120" s="101" t="s">
        <v>161</v>
      </c>
    </row>
    <row r="121" spans="1:13" ht="25.5" x14ac:dyDescent="0.2">
      <c r="A121" s="60" t="s">
        <v>163</v>
      </c>
      <c r="B121" s="13" t="s">
        <v>30</v>
      </c>
      <c r="C121" s="13" t="s">
        <v>31</v>
      </c>
      <c r="D121" s="53">
        <v>1</v>
      </c>
      <c r="E121" s="53">
        <v>30</v>
      </c>
      <c r="F121" s="13">
        <v>45903</v>
      </c>
      <c r="G121" s="86">
        <v>0.375</v>
      </c>
      <c r="H121" s="13">
        <v>45902</v>
      </c>
      <c r="I121" s="12">
        <v>0.83333333333333337</v>
      </c>
      <c r="J121" s="53">
        <f t="shared" si="1"/>
        <v>2</v>
      </c>
      <c r="K121" s="50">
        <v>1</v>
      </c>
      <c r="L121" s="50">
        <v>28</v>
      </c>
      <c r="M121" s="101" t="s">
        <v>164</v>
      </c>
    </row>
    <row r="122" spans="1:13" ht="25.5" x14ac:dyDescent="0.2">
      <c r="A122" s="61" t="s">
        <v>165</v>
      </c>
      <c r="B122" s="13" t="s">
        <v>30</v>
      </c>
      <c r="C122" s="13" t="s">
        <v>31</v>
      </c>
      <c r="D122" s="53">
        <v>1</v>
      </c>
      <c r="E122" s="53">
        <v>30</v>
      </c>
      <c r="F122" s="13">
        <v>45903</v>
      </c>
      <c r="G122" s="86">
        <v>0.375</v>
      </c>
      <c r="H122" s="13">
        <v>45902</v>
      </c>
      <c r="I122" s="12">
        <v>0.85416666666666663</v>
      </c>
      <c r="J122" s="53">
        <f t="shared" si="1"/>
        <v>10</v>
      </c>
      <c r="K122" s="50">
        <v>2</v>
      </c>
      <c r="L122" s="50">
        <v>20</v>
      </c>
      <c r="M122" s="101" t="s">
        <v>166</v>
      </c>
    </row>
    <row r="123" spans="1:13" ht="25.5" x14ac:dyDescent="0.2">
      <c r="A123" s="61" t="s">
        <v>167</v>
      </c>
      <c r="B123" s="13" t="s">
        <v>42</v>
      </c>
      <c r="C123" s="13" t="s">
        <v>43</v>
      </c>
      <c r="D123" s="53">
        <v>1</v>
      </c>
      <c r="E123" s="53">
        <v>30</v>
      </c>
      <c r="F123" s="13">
        <v>45903</v>
      </c>
      <c r="G123" s="86">
        <v>0.375</v>
      </c>
      <c r="H123" s="13">
        <v>45900</v>
      </c>
      <c r="I123" s="12">
        <v>0.79166666666666663</v>
      </c>
      <c r="J123" s="53">
        <f t="shared" si="1"/>
        <v>5</v>
      </c>
      <c r="K123" s="50">
        <v>2</v>
      </c>
      <c r="L123" s="50">
        <v>25</v>
      </c>
      <c r="M123" s="101" t="s">
        <v>168</v>
      </c>
    </row>
    <row r="124" spans="1:13" ht="25.5" x14ac:dyDescent="0.2">
      <c r="A124" s="61" t="s">
        <v>169</v>
      </c>
      <c r="B124" s="13" t="s">
        <v>136</v>
      </c>
      <c r="C124" s="13" t="s">
        <v>34</v>
      </c>
      <c r="D124" s="53">
        <v>1</v>
      </c>
      <c r="E124" s="53">
        <v>30</v>
      </c>
      <c r="F124" s="13">
        <v>45903</v>
      </c>
      <c r="G124" s="86">
        <v>0.375</v>
      </c>
      <c r="H124" s="13">
        <v>45900</v>
      </c>
      <c r="I124" s="12">
        <v>0.79166666666666663</v>
      </c>
      <c r="J124" s="53">
        <f t="shared" si="1"/>
        <v>4</v>
      </c>
      <c r="K124" s="50">
        <v>1</v>
      </c>
      <c r="L124" s="50">
        <v>26</v>
      </c>
      <c r="M124" s="101" t="s">
        <v>170</v>
      </c>
    </row>
    <row r="125" spans="1:13" ht="25.5" x14ac:dyDescent="0.2">
      <c r="A125" s="13" t="s">
        <v>171</v>
      </c>
      <c r="B125" s="13" t="s">
        <v>36</v>
      </c>
      <c r="C125" s="13" t="s">
        <v>37</v>
      </c>
      <c r="D125" s="53">
        <v>1</v>
      </c>
      <c r="E125" s="53">
        <v>30</v>
      </c>
      <c r="F125" s="13">
        <v>45903</v>
      </c>
      <c r="G125" s="86">
        <v>0.375</v>
      </c>
      <c r="H125" s="13">
        <v>45899</v>
      </c>
      <c r="I125" s="12">
        <v>0.79166666666666663</v>
      </c>
      <c r="J125" s="53">
        <f t="shared" si="1"/>
        <v>0</v>
      </c>
      <c r="K125" s="50">
        <v>1</v>
      </c>
      <c r="L125" s="50">
        <v>30</v>
      </c>
      <c r="M125" s="101" t="s">
        <v>172</v>
      </c>
    </row>
    <row r="126" spans="1:13" ht="25.5" x14ac:dyDescent="0.2">
      <c r="A126" s="13" t="s">
        <v>174</v>
      </c>
      <c r="B126" s="13" t="s">
        <v>36</v>
      </c>
      <c r="C126" s="13" t="s">
        <v>37</v>
      </c>
      <c r="D126" s="53">
        <v>1</v>
      </c>
      <c r="E126" s="53">
        <v>30</v>
      </c>
      <c r="F126" s="13">
        <v>45903</v>
      </c>
      <c r="G126" s="86">
        <v>0.375</v>
      </c>
      <c r="H126" s="13">
        <v>45899</v>
      </c>
      <c r="I126" s="12">
        <v>0.8125</v>
      </c>
      <c r="J126" s="53">
        <f t="shared" si="1"/>
        <v>2</v>
      </c>
      <c r="K126" s="50">
        <v>1</v>
      </c>
      <c r="L126" s="50">
        <v>28</v>
      </c>
      <c r="M126" s="101" t="s">
        <v>173</v>
      </c>
    </row>
    <row r="127" spans="1:13" ht="25.5" x14ac:dyDescent="0.2">
      <c r="A127" s="13" t="s">
        <v>175</v>
      </c>
      <c r="B127" s="13" t="s">
        <v>36</v>
      </c>
      <c r="C127" s="13" t="s">
        <v>37</v>
      </c>
      <c r="D127" s="53">
        <v>1</v>
      </c>
      <c r="E127" s="53">
        <v>30</v>
      </c>
      <c r="F127" s="13">
        <v>45903</v>
      </c>
      <c r="G127" s="86">
        <v>0.375</v>
      </c>
      <c r="H127" s="13">
        <v>45899</v>
      </c>
      <c r="I127" s="12">
        <v>0.83333333333333337</v>
      </c>
      <c r="J127" s="53">
        <f t="shared" si="1"/>
        <v>6</v>
      </c>
      <c r="K127" s="50">
        <v>1</v>
      </c>
      <c r="L127" s="50">
        <v>24</v>
      </c>
      <c r="M127" s="101" t="s">
        <v>176</v>
      </c>
    </row>
    <row r="128" spans="1:13" ht="25.5" x14ac:dyDescent="0.2">
      <c r="A128" s="13" t="s">
        <v>177</v>
      </c>
      <c r="B128" s="13" t="s">
        <v>39</v>
      </c>
      <c r="C128" s="13" t="s">
        <v>40</v>
      </c>
      <c r="D128" s="53">
        <v>1</v>
      </c>
      <c r="E128" s="53">
        <v>30</v>
      </c>
      <c r="F128" s="13">
        <v>45903</v>
      </c>
      <c r="G128" s="86">
        <v>0.375</v>
      </c>
      <c r="H128" s="13">
        <v>45902</v>
      </c>
      <c r="I128" s="12">
        <v>0.83333333333333337</v>
      </c>
      <c r="J128" s="53">
        <f t="shared" si="1"/>
        <v>0</v>
      </c>
      <c r="K128" s="50">
        <v>1</v>
      </c>
      <c r="L128" s="50">
        <v>30</v>
      </c>
      <c r="M128" s="101" t="s">
        <v>178</v>
      </c>
    </row>
    <row r="129" spans="1:13" ht="38.25" x14ac:dyDescent="0.2">
      <c r="A129" s="61" t="s">
        <v>179</v>
      </c>
      <c r="B129" s="13" t="s">
        <v>39</v>
      </c>
      <c r="C129" s="13" t="s">
        <v>40</v>
      </c>
      <c r="D129" s="53">
        <v>5</v>
      </c>
      <c r="E129" s="53">
        <v>50</v>
      </c>
      <c r="F129" s="13">
        <v>45903</v>
      </c>
      <c r="G129" s="86">
        <v>0.375</v>
      </c>
      <c r="H129" s="13">
        <v>45902</v>
      </c>
      <c r="I129" s="12">
        <v>0.86805555555555558</v>
      </c>
      <c r="J129" s="53">
        <f t="shared" si="1"/>
        <v>5</v>
      </c>
      <c r="K129" s="50">
        <v>5</v>
      </c>
      <c r="L129" s="50">
        <v>45</v>
      </c>
      <c r="M129" s="101" t="s">
        <v>180</v>
      </c>
    </row>
    <row r="130" spans="1:13" ht="25.5" x14ac:dyDescent="0.2">
      <c r="A130" s="13" t="s">
        <v>181</v>
      </c>
      <c r="B130" s="13" t="s">
        <v>136</v>
      </c>
      <c r="C130" s="13" t="s">
        <v>34</v>
      </c>
      <c r="D130" s="53">
        <v>1</v>
      </c>
      <c r="E130" s="53">
        <v>30</v>
      </c>
      <c r="F130" s="13">
        <v>45903</v>
      </c>
      <c r="G130" s="86">
        <v>0.375</v>
      </c>
      <c r="H130" s="13">
        <v>45900</v>
      </c>
      <c r="I130" s="12">
        <v>0.8125</v>
      </c>
      <c r="J130" s="53">
        <f t="shared" si="1"/>
        <v>8</v>
      </c>
      <c r="K130" s="50">
        <v>1</v>
      </c>
      <c r="L130" s="50">
        <v>22</v>
      </c>
      <c r="M130" s="101" t="s">
        <v>184</v>
      </c>
    </row>
    <row r="131" spans="1:13" ht="25.5" x14ac:dyDescent="0.2">
      <c r="A131" s="13" t="s">
        <v>182</v>
      </c>
      <c r="B131" s="13" t="s">
        <v>21</v>
      </c>
      <c r="C131" s="13" t="s">
        <v>22</v>
      </c>
      <c r="D131" s="53">
        <v>1</v>
      </c>
      <c r="E131" s="53">
        <v>30</v>
      </c>
      <c r="F131" s="13">
        <v>45903</v>
      </c>
      <c r="G131" s="86">
        <v>0.375</v>
      </c>
      <c r="H131" s="13">
        <v>45902</v>
      </c>
      <c r="I131" s="12">
        <v>0.83333333333333337</v>
      </c>
      <c r="J131" s="53">
        <f t="shared" si="1"/>
        <v>7</v>
      </c>
      <c r="K131" s="50">
        <v>1</v>
      </c>
      <c r="L131" s="50">
        <v>23</v>
      </c>
      <c r="M131" s="101" t="s">
        <v>183</v>
      </c>
    </row>
    <row r="132" spans="1:13" ht="38.25" x14ac:dyDescent="0.2">
      <c r="A132" s="61" t="s">
        <v>185</v>
      </c>
      <c r="B132" s="13" t="s">
        <v>21</v>
      </c>
      <c r="C132" s="13" t="s">
        <v>22</v>
      </c>
      <c r="D132" s="53">
        <v>1</v>
      </c>
      <c r="E132" s="53">
        <v>40</v>
      </c>
      <c r="F132" s="13">
        <v>45903</v>
      </c>
      <c r="G132" s="86">
        <v>0.375</v>
      </c>
      <c r="H132" s="13">
        <v>45902</v>
      </c>
      <c r="I132" s="12">
        <v>0.86111111111111116</v>
      </c>
      <c r="J132" s="53">
        <f t="shared" si="1"/>
        <v>9</v>
      </c>
      <c r="K132" s="50">
        <v>2</v>
      </c>
      <c r="L132" s="50">
        <v>31</v>
      </c>
      <c r="M132" s="101" t="s">
        <v>186</v>
      </c>
    </row>
    <row r="133" spans="1:13" ht="25.5" x14ac:dyDescent="0.2">
      <c r="A133" s="13" t="s">
        <v>187</v>
      </c>
      <c r="B133" s="13" t="s">
        <v>136</v>
      </c>
      <c r="C133" s="13" t="s">
        <v>34</v>
      </c>
      <c r="D133" s="53">
        <v>1</v>
      </c>
      <c r="E133" s="53">
        <v>25</v>
      </c>
      <c r="F133" s="13">
        <v>45903</v>
      </c>
      <c r="G133" s="86">
        <v>0.375</v>
      </c>
      <c r="H133" s="13">
        <v>45900</v>
      </c>
      <c r="I133" s="12">
        <v>0.82986111111111116</v>
      </c>
      <c r="J133" s="53">
        <f t="shared" si="1"/>
        <v>5</v>
      </c>
      <c r="K133" s="50">
        <v>2</v>
      </c>
      <c r="L133" s="50">
        <v>20</v>
      </c>
      <c r="M133" s="101" t="s">
        <v>188</v>
      </c>
    </row>
    <row r="134" spans="1:13" ht="25.5" x14ac:dyDescent="0.2">
      <c r="A134" s="61" t="s">
        <v>88</v>
      </c>
      <c r="B134" s="13" t="s">
        <v>42</v>
      </c>
      <c r="C134" s="13" t="s">
        <v>43</v>
      </c>
      <c r="D134" s="53">
        <v>1</v>
      </c>
      <c r="E134" s="53">
        <v>20</v>
      </c>
      <c r="F134" s="13">
        <v>45903</v>
      </c>
      <c r="G134" s="86">
        <v>0.375</v>
      </c>
      <c r="H134" s="13">
        <v>45900</v>
      </c>
      <c r="I134" s="12">
        <v>0.80555555555555558</v>
      </c>
      <c r="J134" s="53">
        <f t="shared" si="1"/>
        <v>0</v>
      </c>
      <c r="K134" s="50">
        <v>1</v>
      </c>
      <c r="L134" s="50">
        <v>20</v>
      </c>
      <c r="M134" s="101" t="s">
        <v>189</v>
      </c>
    </row>
    <row r="135" spans="1:13" ht="25.5" x14ac:dyDescent="0.2">
      <c r="A135" s="13" t="s">
        <v>190</v>
      </c>
      <c r="B135" s="13" t="s">
        <v>42</v>
      </c>
      <c r="C135" s="13" t="s">
        <v>43</v>
      </c>
      <c r="D135" s="53">
        <v>1</v>
      </c>
      <c r="E135" s="53">
        <v>20</v>
      </c>
      <c r="F135" s="13">
        <v>45903</v>
      </c>
      <c r="G135" s="86">
        <v>0.375</v>
      </c>
      <c r="H135" s="13">
        <v>45900</v>
      </c>
      <c r="I135" s="12">
        <v>0.81944444444444442</v>
      </c>
      <c r="J135" s="53">
        <f t="shared" si="1"/>
        <v>0</v>
      </c>
      <c r="K135" s="50">
        <v>1</v>
      </c>
      <c r="L135" s="50">
        <v>20</v>
      </c>
      <c r="M135" s="101" t="s">
        <v>191</v>
      </c>
    </row>
    <row r="136" spans="1:13" ht="25.5" x14ac:dyDescent="0.2">
      <c r="A136" s="13" t="s">
        <v>193</v>
      </c>
      <c r="B136" s="13" t="s">
        <v>30</v>
      </c>
      <c r="C136" s="13" t="s">
        <v>31</v>
      </c>
      <c r="D136" s="53">
        <v>1</v>
      </c>
      <c r="E136" s="53">
        <v>30</v>
      </c>
      <c r="F136" s="13">
        <v>45903</v>
      </c>
      <c r="G136" s="86">
        <v>0.375</v>
      </c>
      <c r="H136" s="13">
        <v>45902</v>
      </c>
      <c r="I136" s="12">
        <v>0.875</v>
      </c>
      <c r="J136" s="53">
        <f t="shared" ref="J136:J161" si="2">E136-L136</f>
        <v>5</v>
      </c>
      <c r="K136" s="50">
        <v>1</v>
      </c>
      <c r="L136" s="50">
        <v>25</v>
      </c>
      <c r="M136" s="101" t="s">
        <v>192</v>
      </c>
    </row>
    <row r="137" spans="1:13" ht="25.5" x14ac:dyDescent="0.2">
      <c r="A137" s="13" t="s">
        <v>194</v>
      </c>
      <c r="B137" s="13" t="s">
        <v>42</v>
      </c>
      <c r="C137" s="13" t="s">
        <v>43</v>
      </c>
      <c r="D137" s="53">
        <v>1</v>
      </c>
      <c r="E137" s="53">
        <v>30</v>
      </c>
      <c r="F137" s="13">
        <v>45903</v>
      </c>
      <c r="G137" s="86">
        <v>0.375</v>
      </c>
      <c r="H137" s="13">
        <v>45900</v>
      </c>
      <c r="I137" s="12">
        <v>0.84027777777777779</v>
      </c>
      <c r="J137" s="53">
        <f t="shared" si="2"/>
        <v>0</v>
      </c>
      <c r="K137" s="50">
        <v>1</v>
      </c>
      <c r="L137" s="50">
        <v>30</v>
      </c>
      <c r="M137" s="101" t="s">
        <v>195</v>
      </c>
    </row>
    <row r="138" spans="1:13" ht="25.5" x14ac:dyDescent="0.2">
      <c r="A138" s="13" t="s">
        <v>198</v>
      </c>
      <c r="B138" s="13" t="s">
        <v>36</v>
      </c>
      <c r="C138" s="13" t="s">
        <v>37</v>
      </c>
      <c r="D138" s="53">
        <v>1</v>
      </c>
      <c r="E138" s="53">
        <v>30</v>
      </c>
      <c r="F138" s="13">
        <v>45903</v>
      </c>
      <c r="G138" s="86">
        <v>0.375</v>
      </c>
      <c r="H138" s="13">
        <v>45899</v>
      </c>
      <c r="I138" s="12">
        <v>0.85416666666666663</v>
      </c>
      <c r="J138" s="53">
        <f t="shared" si="2"/>
        <v>5</v>
      </c>
      <c r="K138" s="50">
        <v>1</v>
      </c>
      <c r="L138" s="50">
        <v>25</v>
      </c>
      <c r="M138" s="101" t="s">
        <v>196</v>
      </c>
    </row>
    <row r="139" spans="1:13" ht="25.5" x14ac:dyDescent="0.2">
      <c r="A139" s="13" t="s">
        <v>197</v>
      </c>
      <c r="B139" s="13" t="s">
        <v>21</v>
      </c>
      <c r="C139" s="13" t="s">
        <v>22</v>
      </c>
      <c r="D139" s="53">
        <v>1</v>
      </c>
      <c r="E139" s="53">
        <v>30</v>
      </c>
      <c r="F139" s="13">
        <v>45903</v>
      </c>
      <c r="G139" s="86">
        <v>0.375</v>
      </c>
      <c r="H139" s="13">
        <v>45902</v>
      </c>
      <c r="I139" s="12">
        <v>0.88194444444444442</v>
      </c>
      <c r="J139" s="53">
        <f t="shared" si="2"/>
        <v>6</v>
      </c>
      <c r="K139" s="50">
        <v>1</v>
      </c>
      <c r="L139" s="50">
        <v>24</v>
      </c>
      <c r="M139" s="101" t="s">
        <v>199</v>
      </c>
    </row>
    <row r="140" spans="1:13" ht="25.5" x14ac:dyDescent="0.2">
      <c r="A140" s="13" t="s">
        <v>200</v>
      </c>
      <c r="B140" s="13" t="s">
        <v>136</v>
      </c>
      <c r="C140" s="13" t="s">
        <v>34</v>
      </c>
      <c r="D140" s="53">
        <v>1</v>
      </c>
      <c r="E140" s="53">
        <v>30</v>
      </c>
      <c r="F140" s="13">
        <v>45903</v>
      </c>
      <c r="G140" s="86">
        <v>0.375</v>
      </c>
      <c r="H140" s="13">
        <v>45900</v>
      </c>
      <c r="I140" s="12">
        <v>0.85069444444444442</v>
      </c>
      <c r="J140" s="53">
        <f t="shared" si="2"/>
        <v>7</v>
      </c>
      <c r="K140" s="50">
        <v>1</v>
      </c>
      <c r="L140" s="50">
        <v>23</v>
      </c>
      <c r="M140" s="101" t="s">
        <v>201</v>
      </c>
    </row>
    <row r="141" spans="1:13" ht="25.5" x14ac:dyDescent="0.2">
      <c r="A141" s="13" t="s">
        <v>202</v>
      </c>
      <c r="B141" s="13" t="s">
        <v>39</v>
      </c>
      <c r="C141" s="13" t="s">
        <v>40</v>
      </c>
      <c r="D141" s="53">
        <v>1</v>
      </c>
      <c r="E141" s="53">
        <v>30</v>
      </c>
      <c r="F141" s="13">
        <v>45903</v>
      </c>
      <c r="G141" s="86">
        <v>0.375</v>
      </c>
      <c r="H141" s="13">
        <v>45902</v>
      </c>
      <c r="I141" s="12">
        <v>0.88888888888888884</v>
      </c>
      <c r="J141" s="53">
        <f t="shared" si="2"/>
        <v>4</v>
      </c>
      <c r="K141" s="50">
        <v>1</v>
      </c>
      <c r="L141" s="50">
        <v>26</v>
      </c>
      <c r="M141" s="101" t="s">
        <v>203</v>
      </c>
    </row>
    <row r="142" spans="1:13" ht="25.5" x14ac:dyDescent="0.2">
      <c r="A142" s="13" t="s">
        <v>204</v>
      </c>
      <c r="B142" s="13" t="s">
        <v>39</v>
      </c>
      <c r="C142" s="13" t="s">
        <v>40</v>
      </c>
      <c r="D142" s="53">
        <v>1</v>
      </c>
      <c r="E142" s="53">
        <v>60</v>
      </c>
      <c r="F142" s="13">
        <v>45903</v>
      </c>
      <c r="G142" s="86">
        <v>0.375</v>
      </c>
      <c r="H142" s="13">
        <v>45902</v>
      </c>
      <c r="I142" s="12">
        <v>0.93055555555555558</v>
      </c>
      <c r="J142" s="53">
        <f t="shared" si="2"/>
        <v>-2</v>
      </c>
      <c r="K142" s="50">
        <v>1</v>
      </c>
      <c r="L142" s="50">
        <v>62</v>
      </c>
      <c r="M142" s="101" t="s">
        <v>205</v>
      </c>
    </row>
    <row r="143" spans="1:13" ht="36" x14ac:dyDescent="0.2">
      <c r="A143" s="8" t="s">
        <v>146</v>
      </c>
      <c r="B143" s="85" t="s">
        <v>30</v>
      </c>
      <c r="C143" s="85" t="s">
        <v>83</v>
      </c>
      <c r="D143" s="84">
        <v>1</v>
      </c>
      <c r="E143" s="49">
        <v>60</v>
      </c>
      <c r="F143" s="85">
        <v>45903</v>
      </c>
      <c r="G143" s="86">
        <v>0.375</v>
      </c>
      <c r="H143" s="85">
        <v>45902</v>
      </c>
      <c r="I143" s="86">
        <v>0.91666666666666663</v>
      </c>
      <c r="J143" s="87">
        <f t="shared" si="2"/>
        <v>50</v>
      </c>
      <c r="K143" s="8">
        <v>1</v>
      </c>
      <c r="L143" s="87">
        <v>10</v>
      </c>
      <c r="M143" s="87" t="s">
        <v>149</v>
      </c>
    </row>
    <row r="144" spans="1:13" ht="36" x14ac:dyDescent="0.2">
      <c r="A144" s="8" t="s">
        <v>146</v>
      </c>
      <c r="B144" s="85" t="s">
        <v>42</v>
      </c>
      <c r="C144" s="85" t="s">
        <v>77</v>
      </c>
      <c r="D144" s="84">
        <v>1</v>
      </c>
      <c r="E144" s="49">
        <v>60</v>
      </c>
      <c r="F144" s="85">
        <v>45903</v>
      </c>
      <c r="G144" s="86">
        <v>0.375</v>
      </c>
      <c r="H144" s="85">
        <v>45902</v>
      </c>
      <c r="I144" s="86">
        <v>0.91666666666666663</v>
      </c>
      <c r="J144" s="87">
        <f t="shared" si="2"/>
        <v>50</v>
      </c>
      <c r="K144" s="8">
        <v>1</v>
      </c>
      <c r="L144" s="87">
        <v>10</v>
      </c>
      <c r="M144" s="87" t="s">
        <v>149</v>
      </c>
    </row>
    <row r="145" spans="1:13" ht="36" x14ac:dyDescent="0.2">
      <c r="A145" s="8" t="s">
        <v>146</v>
      </c>
      <c r="B145" s="85" t="s">
        <v>21</v>
      </c>
      <c r="C145" s="85" t="s">
        <v>86</v>
      </c>
      <c r="D145" s="84">
        <v>1</v>
      </c>
      <c r="E145" s="49">
        <v>60</v>
      </c>
      <c r="F145" s="85">
        <v>45903</v>
      </c>
      <c r="G145" s="86">
        <v>0.375</v>
      </c>
      <c r="H145" s="85">
        <v>45902</v>
      </c>
      <c r="I145" s="86">
        <v>0.91666666666666663</v>
      </c>
      <c r="J145" s="87">
        <f t="shared" si="2"/>
        <v>50</v>
      </c>
      <c r="K145" s="8">
        <v>1</v>
      </c>
      <c r="L145" s="87">
        <v>10</v>
      </c>
      <c r="M145" s="87" t="s">
        <v>149</v>
      </c>
    </row>
    <row r="146" spans="1:13" ht="36" x14ac:dyDescent="0.2">
      <c r="A146" s="8" t="s">
        <v>146</v>
      </c>
      <c r="B146" s="85" t="s">
        <v>136</v>
      </c>
      <c r="C146" s="85" t="s">
        <v>151</v>
      </c>
      <c r="D146" s="84">
        <v>1</v>
      </c>
      <c r="E146" s="49">
        <v>60</v>
      </c>
      <c r="F146" s="85">
        <v>45903</v>
      </c>
      <c r="G146" s="86">
        <v>0.375</v>
      </c>
      <c r="H146" s="85">
        <v>45902</v>
      </c>
      <c r="I146" s="86">
        <v>0.91666666666666663</v>
      </c>
      <c r="J146" s="87">
        <f t="shared" si="2"/>
        <v>50</v>
      </c>
      <c r="K146" s="8">
        <v>1</v>
      </c>
      <c r="L146" s="87">
        <v>10</v>
      </c>
      <c r="M146" s="87" t="s">
        <v>149</v>
      </c>
    </row>
    <row r="147" spans="1:13" ht="36" x14ac:dyDescent="0.2">
      <c r="A147" s="8" t="s">
        <v>146</v>
      </c>
      <c r="B147" s="85" t="s">
        <v>36</v>
      </c>
      <c r="C147" s="85" t="s">
        <v>80</v>
      </c>
      <c r="D147" s="84">
        <v>1</v>
      </c>
      <c r="E147" s="49">
        <v>60</v>
      </c>
      <c r="F147" s="85">
        <v>45903</v>
      </c>
      <c r="G147" s="86">
        <v>0.375</v>
      </c>
      <c r="H147" s="85">
        <v>45902</v>
      </c>
      <c r="I147" s="86">
        <v>0.91666666666666663</v>
      </c>
      <c r="J147" s="87">
        <f t="shared" si="2"/>
        <v>50</v>
      </c>
      <c r="K147" s="8">
        <v>1</v>
      </c>
      <c r="L147" s="87">
        <v>10</v>
      </c>
      <c r="M147" s="87" t="s">
        <v>149</v>
      </c>
    </row>
    <row r="148" spans="1:13" ht="36" x14ac:dyDescent="0.2">
      <c r="A148" s="8" t="s">
        <v>146</v>
      </c>
      <c r="B148" s="85" t="s">
        <v>39</v>
      </c>
      <c r="C148" s="85" t="s">
        <v>150</v>
      </c>
      <c r="D148" s="84">
        <v>1</v>
      </c>
      <c r="E148" s="49">
        <v>60</v>
      </c>
      <c r="F148" s="85">
        <v>45903</v>
      </c>
      <c r="G148" s="86">
        <v>0.375</v>
      </c>
      <c r="H148" s="85">
        <v>45902</v>
      </c>
      <c r="I148" s="86">
        <v>0.91666666666666663</v>
      </c>
      <c r="J148" s="87">
        <f t="shared" si="2"/>
        <v>50</v>
      </c>
      <c r="K148" s="8">
        <v>1</v>
      </c>
      <c r="L148" s="87">
        <v>10</v>
      </c>
      <c r="M148" s="87" t="s">
        <v>149</v>
      </c>
    </row>
    <row r="149" spans="1:13" x14ac:dyDescent="0.2">
      <c r="A149" s="8" t="s">
        <v>52</v>
      </c>
      <c r="B149" s="85" t="s">
        <v>21</v>
      </c>
      <c r="C149" s="85" t="s">
        <v>22</v>
      </c>
      <c r="D149" s="84">
        <v>1</v>
      </c>
      <c r="E149" s="49">
        <v>30</v>
      </c>
      <c r="F149" s="85">
        <v>45903</v>
      </c>
      <c r="G149" s="86">
        <v>0.375</v>
      </c>
      <c r="H149" s="85">
        <v>45902</v>
      </c>
      <c r="I149" s="86">
        <v>0.91666666666666663</v>
      </c>
      <c r="J149" s="87">
        <f t="shared" si="2"/>
        <v>0</v>
      </c>
      <c r="K149" s="8">
        <v>1</v>
      </c>
      <c r="L149" s="87">
        <v>30</v>
      </c>
      <c r="M149" s="87" t="s">
        <v>53</v>
      </c>
    </row>
    <row r="150" spans="1:13" x14ac:dyDescent="0.2">
      <c r="A150" s="8" t="s">
        <v>153</v>
      </c>
      <c r="B150" s="85" t="s">
        <v>36</v>
      </c>
      <c r="C150" s="85" t="s">
        <v>37</v>
      </c>
      <c r="D150" s="84">
        <v>1</v>
      </c>
      <c r="E150" s="5">
        <v>30</v>
      </c>
      <c r="F150" s="85">
        <v>45903</v>
      </c>
      <c r="G150" s="86">
        <v>0.375</v>
      </c>
      <c r="H150" s="85">
        <v>45902</v>
      </c>
      <c r="I150" s="86">
        <v>0.91666666666666663</v>
      </c>
      <c r="J150" s="87">
        <f t="shared" si="2"/>
        <v>0</v>
      </c>
      <c r="K150" s="8">
        <v>1</v>
      </c>
      <c r="L150" s="87">
        <v>30</v>
      </c>
      <c r="M150" s="87" t="s">
        <v>53</v>
      </c>
    </row>
    <row r="151" spans="1:13" ht="24" x14ac:dyDescent="0.2">
      <c r="A151" s="8" t="s">
        <v>79</v>
      </c>
      <c r="B151" s="85" t="s">
        <v>36</v>
      </c>
      <c r="C151" s="85" t="s">
        <v>37</v>
      </c>
      <c r="D151" s="84">
        <v>1</v>
      </c>
      <c r="E151" s="49">
        <v>45</v>
      </c>
      <c r="F151" s="85">
        <v>45903</v>
      </c>
      <c r="G151" s="86">
        <v>0.375</v>
      </c>
      <c r="H151" s="85">
        <v>45902</v>
      </c>
      <c r="I151" s="86">
        <v>0.9375</v>
      </c>
      <c r="J151" s="87">
        <f t="shared" si="2"/>
        <v>-35</v>
      </c>
      <c r="K151" s="8">
        <v>1</v>
      </c>
      <c r="L151" s="87">
        <v>80</v>
      </c>
      <c r="M151" s="87" t="s">
        <v>81</v>
      </c>
    </row>
    <row r="152" spans="1:13" x14ac:dyDescent="0.2">
      <c r="A152" s="8" t="s">
        <v>85</v>
      </c>
      <c r="B152" s="85" t="s">
        <v>21</v>
      </c>
      <c r="C152" s="85" t="s">
        <v>22</v>
      </c>
      <c r="D152" s="84">
        <v>1</v>
      </c>
      <c r="E152" s="49">
        <v>60</v>
      </c>
      <c r="F152" s="85">
        <v>45903</v>
      </c>
      <c r="G152" s="86">
        <v>0.375</v>
      </c>
      <c r="H152" s="85">
        <v>45902</v>
      </c>
      <c r="I152" s="86">
        <v>0.9375</v>
      </c>
      <c r="J152" s="87">
        <f t="shared" si="2"/>
        <v>10</v>
      </c>
      <c r="K152" s="8">
        <v>1</v>
      </c>
      <c r="L152" s="87">
        <v>50</v>
      </c>
      <c r="M152" s="87" t="s">
        <v>87</v>
      </c>
    </row>
    <row r="153" spans="1:13" x14ac:dyDescent="0.2">
      <c r="A153" s="8" t="s">
        <v>88</v>
      </c>
      <c r="B153" s="85" t="s">
        <v>21</v>
      </c>
      <c r="C153" s="85" t="s">
        <v>22</v>
      </c>
      <c r="D153" s="84">
        <v>1</v>
      </c>
      <c r="E153" s="49">
        <v>55</v>
      </c>
      <c r="F153" s="85">
        <v>45903</v>
      </c>
      <c r="G153" s="86">
        <v>0.375</v>
      </c>
      <c r="H153" s="85">
        <v>45902</v>
      </c>
      <c r="I153" s="86">
        <v>0.9375</v>
      </c>
      <c r="J153" s="87">
        <f t="shared" si="2"/>
        <v>0</v>
      </c>
      <c r="K153" s="8">
        <v>1</v>
      </c>
      <c r="L153" s="87">
        <v>55</v>
      </c>
      <c r="M153" s="87" t="s">
        <v>89</v>
      </c>
    </row>
    <row r="154" spans="1:13" ht="24" x14ac:dyDescent="0.2">
      <c r="A154" s="49" t="s">
        <v>131</v>
      </c>
      <c r="B154" s="85" t="s">
        <v>36</v>
      </c>
      <c r="C154" s="85" t="s">
        <v>37</v>
      </c>
      <c r="D154" s="49">
        <v>1</v>
      </c>
      <c r="E154" s="49">
        <v>30</v>
      </c>
      <c r="F154" s="85">
        <v>45903</v>
      </c>
      <c r="G154" s="86">
        <v>0.375</v>
      </c>
      <c r="H154" s="85">
        <v>45902</v>
      </c>
      <c r="I154" s="86">
        <v>0.9375</v>
      </c>
      <c r="J154" s="87">
        <f t="shared" si="2"/>
        <v>-2</v>
      </c>
      <c r="K154" s="8">
        <v>1</v>
      </c>
      <c r="L154" s="87">
        <v>32</v>
      </c>
      <c r="M154" s="87" t="s">
        <v>132</v>
      </c>
    </row>
    <row r="155" spans="1:13" ht="24" x14ac:dyDescent="0.2">
      <c r="A155" s="49" t="s">
        <v>131</v>
      </c>
      <c r="B155" s="85" t="s">
        <v>42</v>
      </c>
      <c r="C155" s="85" t="s">
        <v>43</v>
      </c>
      <c r="D155" s="49">
        <v>1</v>
      </c>
      <c r="E155" s="49">
        <v>30</v>
      </c>
      <c r="F155" s="85">
        <v>45903</v>
      </c>
      <c r="G155" s="86">
        <v>0.375</v>
      </c>
      <c r="H155" s="85">
        <v>45902</v>
      </c>
      <c r="I155" s="86">
        <v>0.9375</v>
      </c>
      <c r="J155" s="87">
        <f t="shared" si="2"/>
        <v>-2</v>
      </c>
      <c r="K155" s="8">
        <v>1</v>
      </c>
      <c r="L155" s="87">
        <v>32</v>
      </c>
      <c r="M155" s="87" t="s">
        <v>132</v>
      </c>
    </row>
    <row r="156" spans="1:13" ht="24" x14ac:dyDescent="0.2">
      <c r="A156" s="49" t="s">
        <v>131</v>
      </c>
      <c r="B156" s="85" t="s">
        <v>30</v>
      </c>
      <c r="C156" s="85" t="s">
        <v>31</v>
      </c>
      <c r="D156" s="49">
        <v>1</v>
      </c>
      <c r="E156" s="49">
        <v>30</v>
      </c>
      <c r="F156" s="85">
        <v>45903</v>
      </c>
      <c r="G156" s="86">
        <v>0.375</v>
      </c>
      <c r="H156" s="85">
        <v>45902</v>
      </c>
      <c r="I156" s="86">
        <v>0.9375</v>
      </c>
      <c r="J156" s="87">
        <f t="shared" si="2"/>
        <v>-2</v>
      </c>
      <c r="K156" s="8">
        <v>1</v>
      </c>
      <c r="L156" s="87">
        <v>32</v>
      </c>
      <c r="M156" s="87" t="s">
        <v>132</v>
      </c>
    </row>
    <row r="157" spans="1:13" ht="24" x14ac:dyDescent="0.2">
      <c r="A157" s="49" t="s">
        <v>131</v>
      </c>
      <c r="B157" s="85" t="s">
        <v>21</v>
      </c>
      <c r="C157" s="85" t="s">
        <v>22</v>
      </c>
      <c r="D157" s="49">
        <v>1</v>
      </c>
      <c r="E157" s="49">
        <v>30</v>
      </c>
      <c r="F157" s="85">
        <v>45903</v>
      </c>
      <c r="G157" s="86">
        <v>0.375</v>
      </c>
      <c r="H157" s="85">
        <v>45902</v>
      </c>
      <c r="I157" s="86">
        <v>0.9375</v>
      </c>
      <c r="J157" s="87">
        <f t="shared" si="2"/>
        <v>-2</v>
      </c>
      <c r="K157" s="8">
        <v>1</v>
      </c>
      <c r="L157" s="87">
        <v>32</v>
      </c>
      <c r="M157" s="87" t="s">
        <v>132</v>
      </c>
    </row>
    <row r="158" spans="1:13" ht="24" x14ac:dyDescent="0.2">
      <c r="A158" s="49" t="s">
        <v>131</v>
      </c>
      <c r="B158" s="85" t="s">
        <v>136</v>
      </c>
      <c r="C158" s="85" t="s">
        <v>34</v>
      </c>
      <c r="D158" s="49">
        <v>1</v>
      </c>
      <c r="E158" s="49">
        <v>30</v>
      </c>
      <c r="F158" s="85">
        <v>45903</v>
      </c>
      <c r="G158" s="86">
        <v>0.375</v>
      </c>
      <c r="H158" s="85">
        <v>45902</v>
      </c>
      <c r="I158" s="86">
        <v>0.9375</v>
      </c>
      <c r="J158" s="87">
        <f t="shared" si="2"/>
        <v>-2</v>
      </c>
      <c r="K158" s="8">
        <v>1</v>
      </c>
      <c r="L158" s="87">
        <v>32</v>
      </c>
      <c r="M158" s="87" t="s">
        <v>132</v>
      </c>
    </row>
    <row r="159" spans="1:13" ht="24" x14ac:dyDescent="0.2">
      <c r="A159" s="49" t="s">
        <v>131</v>
      </c>
      <c r="B159" s="85" t="s">
        <v>39</v>
      </c>
      <c r="C159" s="85" t="s">
        <v>40</v>
      </c>
      <c r="D159" s="49">
        <v>1</v>
      </c>
      <c r="E159" s="49">
        <v>30</v>
      </c>
      <c r="F159" s="85">
        <v>45903</v>
      </c>
      <c r="G159" s="86">
        <v>0.375</v>
      </c>
      <c r="H159" s="85">
        <v>45902</v>
      </c>
      <c r="I159" s="86">
        <v>0.9375</v>
      </c>
      <c r="J159" s="87">
        <f t="shared" si="2"/>
        <v>-2</v>
      </c>
      <c r="K159" s="8">
        <v>1</v>
      </c>
      <c r="L159" s="87">
        <v>32</v>
      </c>
      <c r="M159" s="87" t="s">
        <v>132</v>
      </c>
    </row>
    <row r="160" spans="1:13" ht="24" x14ac:dyDescent="0.2">
      <c r="A160" s="49" t="s">
        <v>133</v>
      </c>
      <c r="B160" s="85" t="s">
        <v>21</v>
      </c>
      <c r="C160" s="85" t="s">
        <v>22</v>
      </c>
      <c r="D160" s="49">
        <v>3</v>
      </c>
      <c r="E160" s="49">
        <v>20</v>
      </c>
      <c r="F160" s="85">
        <v>45903</v>
      </c>
      <c r="G160" s="86">
        <v>0.375</v>
      </c>
      <c r="H160" s="85">
        <v>45902</v>
      </c>
      <c r="I160" s="86">
        <v>0.58333333333333337</v>
      </c>
      <c r="J160" s="87">
        <f t="shared" si="2"/>
        <v>5</v>
      </c>
      <c r="K160" s="8">
        <v>3</v>
      </c>
      <c r="L160" s="87">
        <v>15</v>
      </c>
      <c r="M160" s="87" t="s">
        <v>134</v>
      </c>
    </row>
    <row r="161" spans="1:13" ht="36" x14ac:dyDescent="0.2">
      <c r="A161" s="105" t="s">
        <v>144</v>
      </c>
      <c r="B161" s="85" t="s">
        <v>30</v>
      </c>
      <c r="C161" s="85" t="s">
        <v>31</v>
      </c>
      <c r="D161" s="84">
        <v>1</v>
      </c>
      <c r="E161" s="8">
        <v>30</v>
      </c>
      <c r="F161" s="85">
        <v>45909</v>
      </c>
      <c r="G161" s="86">
        <v>0.375</v>
      </c>
      <c r="H161" s="85">
        <v>45905</v>
      </c>
      <c r="I161" s="86">
        <v>0.45833333333333331</v>
      </c>
      <c r="J161" s="87">
        <f t="shared" si="2"/>
        <v>0</v>
      </c>
      <c r="K161" s="8">
        <v>1</v>
      </c>
      <c r="L161" s="87">
        <v>30</v>
      </c>
      <c r="M161" s="87" t="s">
        <v>156</v>
      </c>
    </row>
    <row r="162" spans="1:13" ht="24" x14ac:dyDescent="0.2">
      <c r="A162" s="8" t="s">
        <v>216</v>
      </c>
      <c r="B162" s="85" t="s">
        <v>36</v>
      </c>
      <c r="C162" s="85" t="s">
        <v>37</v>
      </c>
      <c r="D162" s="84">
        <v>1</v>
      </c>
      <c r="E162" s="49">
        <v>30</v>
      </c>
      <c r="F162" s="85">
        <v>45909</v>
      </c>
      <c r="G162" s="86">
        <v>0.375</v>
      </c>
      <c r="H162" s="85">
        <v>45905</v>
      </c>
      <c r="I162" s="86">
        <v>0.79166666666666663</v>
      </c>
      <c r="J162" s="87">
        <f>E162-L162</f>
        <v>0</v>
      </c>
      <c r="K162" s="8">
        <v>1</v>
      </c>
      <c r="L162" s="87">
        <v>30</v>
      </c>
      <c r="M162" s="87" t="s">
        <v>75</v>
      </c>
    </row>
    <row r="163" spans="1:13" ht="25.5" x14ac:dyDescent="0.2">
      <c r="A163" s="53" t="s">
        <v>252</v>
      </c>
      <c r="B163" s="53" t="s">
        <v>36</v>
      </c>
      <c r="C163" s="53" t="s">
        <v>37</v>
      </c>
      <c r="D163" s="53">
        <v>2</v>
      </c>
      <c r="E163" s="53">
        <v>30</v>
      </c>
      <c r="F163" s="80">
        <v>45909</v>
      </c>
      <c r="G163" s="81">
        <v>0.375</v>
      </c>
      <c r="H163" s="80">
        <v>45907</v>
      </c>
      <c r="I163" s="81">
        <v>0.52083333333333337</v>
      </c>
      <c r="J163" s="87">
        <f>E163-L163</f>
        <v>0</v>
      </c>
      <c r="K163" s="53">
        <v>2</v>
      </c>
      <c r="L163" s="53">
        <v>30</v>
      </c>
      <c r="M163" s="79" t="s">
        <v>253</v>
      </c>
    </row>
    <row r="164" spans="1:13" ht="25.5" x14ac:dyDescent="0.2">
      <c r="A164" s="53" t="s">
        <v>252</v>
      </c>
      <c r="B164" s="53" t="s">
        <v>42</v>
      </c>
      <c r="C164" s="53" t="s">
        <v>43</v>
      </c>
      <c r="D164" s="53">
        <v>2</v>
      </c>
      <c r="E164" s="53">
        <v>30</v>
      </c>
      <c r="F164" s="80">
        <v>45909</v>
      </c>
      <c r="G164" s="81">
        <v>0.375</v>
      </c>
      <c r="H164" s="80">
        <v>45907</v>
      </c>
      <c r="I164" s="81">
        <v>0.54166666666666663</v>
      </c>
      <c r="J164" s="87">
        <f t="shared" ref="J164:J227" si="3">E164-L164</f>
        <v>0</v>
      </c>
      <c r="K164" s="53">
        <v>2</v>
      </c>
      <c r="L164" s="53">
        <v>30</v>
      </c>
      <c r="M164" s="79" t="s">
        <v>253</v>
      </c>
    </row>
    <row r="165" spans="1:13" ht="25.5" x14ac:dyDescent="0.2">
      <c r="A165" s="53" t="s">
        <v>254</v>
      </c>
      <c r="B165" s="53" t="s">
        <v>36</v>
      </c>
      <c r="C165" s="53" t="s">
        <v>37</v>
      </c>
      <c r="D165" s="53">
        <v>1</v>
      </c>
      <c r="E165" s="53">
        <v>30</v>
      </c>
      <c r="F165" s="80">
        <v>45909</v>
      </c>
      <c r="G165" s="81">
        <v>0.375</v>
      </c>
      <c r="H165" s="80">
        <v>45907</v>
      </c>
      <c r="I165" s="81">
        <v>0.5625</v>
      </c>
      <c r="J165" s="87">
        <f t="shared" si="3"/>
        <v>0</v>
      </c>
      <c r="K165" s="53">
        <v>1</v>
      </c>
      <c r="L165" s="53">
        <v>30</v>
      </c>
      <c r="M165" s="79" t="s">
        <v>255</v>
      </c>
    </row>
    <row r="166" spans="1:13" ht="25.5" x14ac:dyDescent="0.2">
      <c r="A166" s="79" t="s">
        <v>254</v>
      </c>
      <c r="B166" s="53" t="s">
        <v>42</v>
      </c>
      <c r="C166" s="53" t="s">
        <v>43</v>
      </c>
      <c r="D166" s="53">
        <v>1</v>
      </c>
      <c r="E166" s="53">
        <v>30</v>
      </c>
      <c r="F166" s="80">
        <v>45909</v>
      </c>
      <c r="G166" s="81">
        <v>0.375</v>
      </c>
      <c r="H166" s="80">
        <v>45907</v>
      </c>
      <c r="I166" s="81">
        <v>0.58333333333333337</v>
      </c>
      <c r="J166" s="87">
        <f t="shared" si="3"/>
        <v>0</v>
      </c>
      <c r="K166" s="53">
        <v>2</v>
      </c>
      <c r="L166" s="53">
        <v>30</v>
      </c>
      <c r="M166" s="79" t="s">
        <v>255</v>
      </c>
    </row>
    <row r="167" spans="1:13" ht="25.5" x14ac:dyDescent="0.2">
      <c r="A167" s="53" t="s">
        <v>256</v>
      </c>
      <c r="B167" s="53" t="s">
        <v>36</v>
      </c>
      <c r="C167" s="53" t="s">
        <v>37</v>
      </c>
      <c r="D167" s="53">
        <v>2</v>
      </c>
      <c r="E167" s="53">
        <v>30</v>
      </c>
      <c r="F167" s="80">
        <v>45909</v>
      </c>
      <c r="G167" s="81">
        <v>0.375</v>
      </c>
      <c r="H167" s="80">
        <v>45907</v>
      </c>
      <c r="I167" s="81">
        <v>0.58333333333333337</v>
      </c>
      <c r="J167" s="53">
        <f t="shared" si="3"/>
        <v>0</v>
      </c>
      <c r="K167" s="53">
        <v>2</v>
      </c>
      <c r="L167" s="53">
        <v>30</v>
      </c>
      <c r="M167" s="79" t="s">
        <v>257</v>
      </c>
    </row>
    <row r="168" spans="1:13" ht="25.5" x14ac:dyDescent="0.2">
      <c r="A168" s="79" t="s">
        <v>256</v>
      </c>
      <c r="B168" s="53" t="s">
        <v>42</v>
      </c>
      <c r="C168" s="53" t="s">
        <v>43</v>
      </c>
      <c r="D168" s="53">
        <v>2</v>
      </c>
      <c r="E168" s="53">
        <v>30</v>
      </c>
      <c r="F168" s="80">
        <v>45909</v>
      </c>
      <c r="G168" s="81">
        <v>0.375</v>
      </c>
      <c r="H168" s="80">
        <v>45907</v>
      </c>
      <c r="I168" s="81">
        <v>0.58333333333333337</v>
      </c>
      <c r="J168" s="53">
        <f t="shared" si="3"/>
        <v>0</v>
      </c>
      <c r="K168" s="53">
        <v>2</v>
      </c>
      <c r="L168" s="53">
        <v>30</v>
      </c>
      <c r="M168" s="79" t="s">
        <v>257</v>
      </c>
    </row>
    <row r="169" spans="1:13" ht="38.25" x14ac:dyDescent="0.2">
      <c r="A169" s="79" t="s">
        <v>258</v>
      </c>
      <c r="B169" s="53" t="s">
        <v>36</v>
      </c>
      <c r="C169" s="53" t="s">
        <v>37</v>
      </c>
      <c r="D169" s="53">
        <v>2</v>
      </c>
      <c r="E169" s="53">
        <v>30</v>
      </c>
      <c r="F169" s="80">
        <v>45909</v>
      </c>
      <c r="G169" s="81">
        <v>0.375</v>
      </c>
      <c r="H169" s="80">
        <v>45907</v>
      </c>
      <c r="I169" s="81">
        <v>0.58333333333333337</v>
      </c>
      <c r="J169" s="53">
        <f t="shared" si="3"/>
        <v>0</v>
      </c>
      <c r="K169" s="53">
        <v>1</v>
      </c>
      <c r="L169" s="53">
        <v>30</v>
      </c>
      <c r="M169" s="79" t="s">
        <v>259</v>
      </c>
    </row>
    <row r="170" spans="1:13" ht="38.25" x14ac:dyDescent="0.2">
      <c r="A170" s="79" t="s">
        <v>258</v>
      </c>
      <c r="B170" s="53" t="s">
        <v>42</v>
      </c>
      <c r="C170" s="53" t="s">
        <v>43</v>
      </c>
      <c r="D170" s="53">
        <v>2</v>
      </c>
      <c r="E170" s="53">
        <v>30</v>
      </c>
      <c r="F170" s="80">
        <v>45909</v>
      </c>
      <c r="G170" s="81">
        <v>0.375</v>
      </c>
      <c r="H170" s="80">
        <v>45907</v>
      </c>
      <c r="I170" s="81">
        <v>0.58333333333333337</v>
      </c>
      <c r="J170" s="53">
        <f t="shared" si="3"/>
        <v>0</v>
      </c>
      <c r="K170" s="53">
        <v>1</v>
      </c>
      <c r="L170" s="53">
        <v>30</v>
      </c>
      <c r="M170" s="79" t="s">
        <v>259</v>
      </c>
    </row>
    <row r="171" spans="1:13" ht="25.5" x14ac:dyDescent="0.2">
      <c r="A171" s="53" t="s">
        <v>260</v>
      </c>
      <c r="B171" s="53" t="s">
        <v>36</v>
      </c>
      <c r="C171" s="53" t="s">
        <v>37</v>
      </c>
      <c r="D171" s="53">
        <v>1</v>
      </c>
      <c r="E171" s="53">
        <v>30</v>
      </c>
      <c r="F171" s="80">
        <v>45909</v>
      </c>
      <c r="G171" s="81">
        <v>0.375</v>
      </c>
      <c r="H171" s="80">
        <v>45907</v>
      </c>
      <c r="I171" s="81">
        <v>0.58333333333333337</v>
      </c>
      <c r="J171" s="53">
        <f t="shared" si="3"/>
        <v>0</v>
      </c>
      <c r="K171" s="53">
        <v>3</v>
      </c>
      <c r="L171" s="53">
        <v>30</v>
      </c>
      <c r="M171" s="79" t="s">
        <v>261</v>
      </c>
    </row>
    <row r="172" spans="1:13" ht="25.5" x14ac:dyDescent="0.2">
      <c r="A172" s="53" t="s">
        <v>260</v>
      </c>
      <c r="B172" s="53" t="s">
        <v>42</v>
      </c>
      <c r="C172" s="53" t="s">
        <v>43</v>
      </c>
      <c r="D172" s="53">
        <v>1</v>
      </c>
      <c r="E172" s="53">
        <v>30</v>
      </c>
      <c r="F172" s="80">
        <v>45909</v>
      </c>
      <c r="G172" s="81">
        <v>0.375</v>
      </c>
      <c r="H172" s="80">
        <v>45907</v>
      </c>
      <c r="I172" s="81">
        <v>0.58333333333333337</v>
      </c>
      <c r="J172" s="53">
        <f t="shared" si="3"/>
        <v>0</v>
      </c>
      <c r="K172" s="53">
        <v>2</v>
      </c>
      <c r="L172" s="53">
        <v>30</v>
      </c>
      <c r="M172" s="79" t="s">
        <v>261</v>
      </c>
    </row>
    <row r="173" spans="1:13" ht="38.25" x14ac:dyDescent="0.2">
      <c r="A173" s="53" t="s">
        <v>262</v>
      </c>
      <c r="B173" s="53" t="s">
        <v>36</v>
      </c>
      <c r="C173" s="53" t="s">
        <v>37</v>
      </c>
      <c r="D173" s="53">
        <v>1</v>
      </c>
      <c r="E173" s="53">
        <v>30</v>
      </c>
      <c r="F173" s="80">
        <v>45909</v>
      </c>
      <c r="G173" s="81">
        <v>0.375</v>
      </c>
      <c r="H173" s="80">
        <v>45907</v>
      </c>
      <c r="I173" s="81">
        <v>0.58333333333333337</v>
      </c>
      <c r="J173" s="53">
        <f t="shared" si="3"/>
        <v>0</v>
      </c>
      <c r="K173" s="53">
        <v>2</v>
      </c>
      <c r="L173" s="53">
        <v>30</v>
      </c>
      <c r="M173" s="79" t="s">
        <v>263</v>
      </c>
    </row>
    <row r="174" spans="1:13" ht="38.25" x14ac:dyDescent="0.2">
      <c r="A174" s="79" t="s">
        <v>262</v>
      </c>
      <c r="B174" s="53" t="s">
        <v>42</v>
      </c>
      <c r="C174" s="53" t="s">
        <v>43</v>
      </c>
      <c r="D174" s="53">
        <v>1</v>
      </c>
      <c r="E174" s="53">
        <v>30</v>
      </c>
      <c r="F174" s="80">
        <v>45909</v>
      </c>
      <c r="G174" s="81">
        <v>0.375</v>
      </c>
      <c r="H174" s="80">
        <v>45907</v>
      </c>
      <c r="I174" s="81">
        <v>0.58333333333333337</v>
      </c>
      <c r="J174" s="53">
        <f t="shared" si="3"/>
        <v>0</v>
      </c>
      <c r="K174" s="53">
        <v>1</v>
      </c>
      <c r="L174" s="53">
        <v>30</v>
      </c>
      <c r="M174" s="79" t="s">
        <v>263</v>
      </c>
    </row>
    <row r="175" spans="1:13" ht="38.25" x14ac:dyDescent="0.2">
      <c r="A175" s="79" t="s">
        <v>264</v>
      </c>
      <c r="B175" s="53" t="s">
        <v>36</v>
      </c>
      <c r="C175" s="53" t="s">
        <v>37</v>
      </c>
      <c r="D175" s="53">
        <v>1</v>
      </c>
      <c r="E175" s="53">
        <v>30</v>
      </c>
      <c r="F175" s="80">
        <v>45909</v>
      </c>
      <c r="G175" s="81">
        <v>0.375</v>
      </c>
      <c r="H175" s="80">
        <v>45907</v>
      </c>
      <c r="I175" s="81">
        <v>0.58333333333333337</v>
      </c>
      <c r="J175" s="53">
        <f t="shared" si="3"/>
        <v>0</v>
      </c>
      <c r="K175" s="53">
        <v>1</v>
      </c>
      <c r="L175" s="53">
        <v>30</v>
      </c>
      <c r="M175" s="79" t="s">
        <v>265</v>
      </c>
    </row>
    <row r="176" spans="1:13" ht="38.25" x14ac:dyDescent="0.2">
      <c r="A176" s="79" t="s">
        <v>264</v>
      </c>
      <c r="B176" s="53" t="s">
        <v>42</v>
      </c>
      <c r="C176" s="53" t="s">
        <v>43</v>
      </c>
      <c r="D176" s="53">
        <v>1</v>
      </c>
      <c r="E176" s="53">
        <v>30</v>
      </c>
      <c r="F176" s="80">
        <v>45909</v>
      </c>
      <c r="G176" s="81">
        <v>0.375</v>
      </c>
      <c r="H176" s="80">
        <v>45907</v>
      </c>
      <c r="I176" s="81">
        <v>0.58333333333333337</v>
      </c>
      <c r="J176" s="53">
        <f t="shared" si="3"/>
        <v>0</v>
      </c>
      <c r="K176" s="53">
        <v>1</v>
      </c>
      <c r="L176" s="53">
        <v>30</v>
      </c>
      <c r="M176" s="79" t="s">
        <v>265</v>
      </c>
    </row>
    <row r="177" spans="1:13" ht="25.5" x14ac:dyDescent="0.2">
      <c r="A177" s="79" t="s">
        <v>266</v>
      </c>
      <c r="B177" s="53" t="s">
        <v>36</v>
      </c>
      <c r="C177" s="53" t="s">
        <v>37</v>
      </c>
      <c r="D177" s="53">
        <v>1</v>
      </c>
      <c r="E177" s="53">
        <v>20</v>
      </c>
      <c r="F177" s="80">
        <v>45909</v>
      </c>
      <c r="G177" s="81">
        <v>0.375</v>
      </c>
      <c r="H177" s="80">
        <v>45907</v>
      </c>
      <c r="I177" s="81">
        <v>0.58333333333333337</v>
      </c>
      <c r="J177" s="53">
        <f t="shared" si="3"/>
        <v>-10</v>
      </c>
      <c r="K177" s="53">
        <v>1</v>
      </c>
      <c r="L177" s="53">
        <v>30</v>
      </c>
      <c r="M177" s="79" t="s">
        <v>267</v>
      </c>
    </row>
    <row r="178" spans="1:13" ht="25.5" x14ac:dyDescent="0.2">
      <c r="A178" s="79" t="s">
        <v>266</v>
      </c>
      <c r="B178" s="53" t="s">
        <v>42</v>
      </c>
      <c r="C178" s="53" t="s">
        <v>43</v>
      </c>
      <c r="D178" s="53">
        <v>1</v>
      </c>
      <c r="E178" s="53">
        <v>20</v>
      </c>
      <c r="F178" s="80">
        <v>45909</v>
      </c>
      <c r="G178" s="81">
        <v>0.375</v>
      </c>
      <c r="H178" s="80">
        <v>45907</v>
      </c>
      <c r="I178" s="81">
        <v>0.58333333333333337</v>
      </c>
      <c r="J178" s="53">
        <f t="shared" si="3"/>
        <v>-10</v>
      </c>
      <c r="K178" s="53">
        <v>1</v>
      </c>
      <c r="L178" s="53">
        <v>30</v>
      </c>
      <c r="M178" s="79" t="s">
        <v>267</v>
      </c>
    </row>
    <row r="179" spans="1:13" ht="25.5" x14ac:dyDescent="0.2">
      <c r="A179" s="79" t="s">
        <v>268</v>
      </c>
      <c r="B179" s="53" t="s">
        <v>36</v>
      </c>
      <c r="C179" s="53" t="s">
        <v>37</v>
      </c>
      <c r="D179" s="53">
        <v>1</v>
      </c>
      <c r="E179" s="53">
        <v>20</v>
      </c>
      <c r="F179" s="80">
        <v>45909</v>
      </c>
      <c r="G179" s="81">
        <v>0.375</v>
      </c>
      <c r="H179" s="80">
        <v>45907</v>
      </c>
      <c r="I179" s="81">
        <v>0.58333333333333337</v>
      </c>
      <c r="J179" s="53">
        <f t="shared" si="3"/>
        <v>-10</v>
      </c>
      <c r="K179" s="53">
        <v>1</v>
      </c>
      <c r="L179" s="53">
        <v>30</v>
      </c>
      <c r="M179" s="79" t="s">
        <v>269</v>
      </c>
    </row>
    <row r="180" spans="1:13" ht="25.5" x14ac:dyDescent="0.2">
      <c r="A180" s="79" t="s">
        <v>268</v>
      </c>
      <c r="B180" s="53" t="s">
        <v>42</v>
      </c>
      <c r="C180" s="53" t="s">
        <v>43</v>
      </c>
      <c r="D180" s="53">
        <v>1</v>
      </c>
      <c r="E180" s="53">
        <v>20</v>
      </c>
      <c r="F180" s="80">
        <v>45909</v>
      </c>
      <c r="G180" s="81">
        <v>0.375</v>
      </c>
      <c r="H180" s="80">
        <v>45907</v>
      </c>
      <c r="I180" s="81">
        <v>0.58333333333333337</v>
      </c>
      <c r="J180" s="53">
        <f t="shared" si="3"/>
        <v>0</v>
      </c>
      <c r="K180" s="53">
        <v>1</v>
      </c>
      <c r="L180" s="53">
        <v>20</v>
      </c>
      <c r="M180" s="79" t="s">
        <v>269</v>
      </c>
    </row>
    <row r="181" spans="1:13" ht="25.5" x14ac:dyDescent="0.2">
      <c r="A181" s="79" t="s">
        <v>270</v>
      </c>
      <c r="B181" s="53" t="s">
        <v>36</v>
      </c>
      <c r="C181" s="53" t="s">
        <v>37</v>
      </c>
      <c r="D181" s="53">
        <v>1</v>
      </c>
      <c r="E181" s="53">
        <v>20</v>
      </c>
      <c r="F181" s="80">
        <v>45909</v>
      </c>
      <c r="G181" s="81">
        <v>0.375</v>
      </c>
      <c r="H181" s="80">
        <v>45907</v>
      </c>
      <c r="I181" s="81">
        <v>0.58333333333333337</v>
      </c>
      <c r="J181" s="53">
        <f t="shared" si="3"/>
        <v>1</v>
      </c>
      <c r="K181" s="53">
        <v>2</v>
      </c>
      <c r="L181" s="53">
        <v>19</v>
      </c>
      <c r="M181" s="79" t="s">
        <v>273</v>
      </c>
    </row>
    <row r="182" spans="1:13" ht="25.5" x14ac:dyDescent="0.2">
      <c r="A182" s="79" t="s">
        <v>271</v>
      </c>
      <c r="B182" s="53" t="s">
        <v>42</v>
      </c>
      <c r="C182" s="53" t="s">
        <v>43</v>
      </c>
      <c r="D182" s="53">
        <v>1</v>
      </c>
      <c r="E182" s="53">
        <v>20</v>
      </c>
      <c r="F182" s="80">
        <v>45909</v>
      </c>
      <c r="G182" s="81">
        <v>0.375</v>
      </c>
      <c r="H182" s="80">
        <v>45907</v>
      </c>
      <c r="I182" s="81">
        <v>0.58333333333333337</v>
      </c>
      <c r="J182" s="53">
        <f t="shared" si="3"/>
        <v>0</v>
      </c>
      <c r="K182" s="53">
        <v>2</v>
      </c>
      <c r="L182" s="53">
        <v>20</v>
      </c>
      <c r="M182" s="79" t="s">
        <v>273</v>
      </c>
    </row>
    <row r="183" spans="1:13" ht="38.25" x14ac:dyDescent="0.2">
      <c r="A183" s="79" t="s">
        <v>272</v>
      </c>
      <c r="B183" s="53" t="s">
        <v>36</v>
      </c>
      <c r="C183" s="53" t="s">
        <v>37</v>
      </c>
      <c r="D183" s="53">
        <v>1</v>
      </c>
      <c r="E183" s="53">
        <v>15</v>
      </c>
      <c r="F183" s="80">
        <v>45909</v>
      </c>
      <c r="G183" s="81">
        <v>0.375</v>
      </c>
      <c r="H183" s="80">
        <v>45907</v>
      </c>
      <c r="I183" s="81">
        <v>0.58333333333333337</v>
      </c>
      <c r="J183" s="53">
        <f t="shared" si="3"/>
        <v>5</v>
      </c>
      <c r="K183" s="53">
        <v>1</v>
      </c>
      <c r="L183" s="53">
        <v>10</v>
      </c>
      <c r="M183" s="79" t="s">
        <v>274</v>
      </c>
    </row>
    <row r="184" spans="1:13" ht="38.25" x14ac:dyDescent="0.2">
      <c r="A184" s="79" t="s">
        <v>272</v>
      </c>
      <c r="B184" s="53" t="s">
        <v>42</v>
      </c>
      <c r="C184" s="53" t="s">
        <v>43</v>
      </c>
      <c r="D184" s="53">
        <v>1</v>
      </c>
      <c r="E184" s="53">
        <v>15</v>
      </c>
      <c r="F184" s="80">
        <v>45909</v>
      </c>
      <c r="G184" s="81">
        <v>0.375</v>
      </c>
      <c r="H184" s="80">
        <v>45907</v>
      </c>
      <c r="I184" s="81">
        <v>0.58333333333333337</v>
      </c>
      <c r="J184" s="53">
        <f t="shared" si="3"/>
        <v>5</v>
      </c>
      <c r="K184" s="53">
        <v>1</v>
      </c>
      <c r="L184" s="53">
        <v>10</v>
      </c>
      <c r="M184" s="79" t="s">
        <v>274</v>
      </c>
    </row>
    <row r="185" spans="1:13" ht="38.25" x14ac:dyDescent="0.2">
      <c r="A185" s="79" t="s">
        <v>275</v>
      </c>
      <c r="B185" s="53" t="s">
        <v>36</v>
      </c>
      <c r="C185" s="53" t="s">
        <v>37</v>
      </c>
      <c r="D185" s="53">
        <v>1</v>
      </c>
      <c r="E185" s="53">
        <v>20</v>
      </c>
      <c r="F185" s="80">
        <v>45909</v>
      </c>
      <c r="G185" s="81">
        <v>0.375</v>
      </c>
      <c r="H185" s="80">
        <v>45907</v>
      </c>
      <c r="I185" s="81">
        <v>0.58333333333333337</v>
      </c>
      <c r="J185" s="53">
        <f t="shared" si="3"/>
        <v>10</v>
      </c>
      <c r="K185" s="53">
        <v>1</v>
      </c>
      <c r="L185" s="53">
        <v>10</v>
      </c>
      <c r="M185" s="79" t="s">
        <v>276</v>
      </c>
    </row>
    <row r="186" spans="1:13" ht="38.25" x14ac:dyDescent="0.2">
      <c r="A186" s="79" t="s">
        <v>275</v>
      </c>
      <c r="B186" s="53" t="s">
        <v>42</v>
      </c>
      <c r="C186" s="53" t="s">
        <v>43</v>
      </c>
      <c r="D186" s="53">
        <v>1</v>
      </c>
      <c r="E186" s="53">
        <v>20</v>
      </c>
      <c r="F186" s="80">
        <v>45909</v>
      </c>
      <c r="G186" s="81">
        <v>0.375</v>
      </c>
      <c r="H186" s="80">
        <v>45907</v>
      </c>
      <c r="I186" s="81">
        <v>0.58333333333333337</v>
      </c>
      <c r="J186" s="53">
        <f t="shared" si="3"/>
        <v>10</v>
      </c>
      <c r="K186" s="53">
        <v>1</v>
      </c>
      <c r="L186" s="53">
        <v>10</v>
      </c>
      <c r="M186" s="79" t="s">
        <v>276</v>
      </c>
    </row>
    <row r="187" spans="1:13" ht="38.25" x14ac:dyDescent="0.2">
      <c r="A187" s="79" t="s">
        <v>277</v>
      </c>
      <c r="B187" s="53" t="s">
        <v>21</v>
      </c>
      <c r="C187" s="53" t="s">
        <v>22</v>
      </c>
      <c r="D187" s="53">
        <v>1</v>
      </c>
      <c r="E187" s="53">
        <v>55</v>
      </c>
      <c r="F187" s="80">
        <v>45909</v>
      </c>
      <c r="G187" s="81">
        <v>0.375</v>
      </c>
      <c r="H187" s="80">
        <v>45906</v>
      </c>
      <c r="I187" s="81">
        <v>0.35416666666666669</v>
      </c>
      <c r="J187" s="53">
        <f t="shared" si="3"/>
        <v>-5</v>
      </c>
      <c r="K187" s="53">
        <v>2</v>
      </c>
      <c r="L187" s="53">
        <v>60</v>
      </c>
      <c r="M187" s="79" t="s">
        <v>278</v>
      </c>
    </row>
    <row r="188" spans="1:13" ht="38.25" x14ac:dyDescent="0.2">
      <c r="A188" s="79" t="s">
        <v>277</v>
      </c>
      <c r="B188" s="53" t="s">
        <v>136</v>
      </c>
      <c r="C188" s="53" t="s">
        <v>34</v>
      </c>
      <c r="D188" s="53">
        <v>1</v>
      </c>
      <c r="E188" s="53">
        <v>55</v>
      </c>
      <c r="F188" s="80">
        <v>45909</v>
      </c>
      <c r="G188" s="81">
        <v>0.375</v>
      </c>
      <c r="H188" s="80">
        <v>45906</v>
      </c>
      <c r="I188" s="81">
        <v>0.39583333333333298</v>
      </c>
      <c r="J188" s="53">
        <f t="shared" si="3"/>
        <v>-5</v>
      </c>
      <c r="K188" s="53">
        <v>1</v>
      </c>
      <c r="L188" s="53">
        <v>60</v>
      </c>
      <c r="M188" s="79" t="s">
        <v>278</v>
      </c>
    </row>
    <row r="189" spans="1:13" ht="38.25" x14ac:dyDescent="0.2">
      <c r="A189" s="79" t="s">
        <v>279</v>
      </c>
      <c r="B189" s="53" t="s">
        <v>21</v>
      </c>
      <c r="C189" s="53" t="s">
        <v>22</v>
      </c>
      <c r="D189" s="53">
        <v>1</v>
      </c>
      <c r="E189" s="53">
        <v>60</v>
      </c>
      <c r="F189" s="80">
        <v>45909</v>
      </c>
      <c r="G189" s="81">
        <v>0.375</v>
      </c>
      <c r="H189" s="80">
        <v>45906</v>
      </c>
      <c r="I189" s="81">
        <v>0.4375</v>
      </c>
      <c r="J189" s="53">
        <f t="shared" si="3"/>
        <v>0</v>
      </c>
      <c r="K189" s="53">
        <v>3</v>
      </c>
      <c r="L189" s="53">
        <v>60</v>
      </c>
      <c r="M189" s="79" t="s">
        <v>280</v>
      </c>
    </row>
    <row r="190" spans="1:13" ht="38.25" x14ac:dyDescent="0.2">
      <c r="A190" s="79" t="s">
        <v>279</v>
      </c>
      <c r="B190" s="53" t="s">
        <v>136</v>
      </c>
      <c r="C190" s="53" t="s">
        <v>34</v>
      </c>
      <c r="D190" s="53">
        <v>1</v>
      </c>
      <c r="E190" s="53">
        <v>60</v>
      </c>
      <c r="F190" s="80">
        <v>45909</v>
      </c>
      <c r="G190" s="81">
        <v>0.375</v>
      </c>
      <c r="H190" s="80">
        <v>45906</v>
      </c>
      <c r="I190" s="81">
        <v>0.47916666666666702</v>
      </c>
      <c r="J190" s="53">
        <f t="shared" si="3"/>
        <v>0</v>
      </c>
      <c r="K190" s="53">
        <v>1</v>
      </c>
      <c r="L190" s="53">
        <v>60</v>
      </c>
      <c r="M190" s="79" t="s">
        <v>280</v>
      </c>
    </row>
    <row r="191" spans="1:13" ht="25.5" x14ac:dyDescent="0.2">
      <c r="A191" s="79" t="s">
        <v>281</v>
      </c>
      <c r="B191" s="53" t="s">
        <v>21</v>
      </c>
      <c r="C191" s="53" t="s">
        <v>22</v>
      </c>
      <c r="D191" s="53">
        <v>1</v>
      </c>
      <c r="E191" s="53">
        <v>30</v>
      </c>
      <c r="F191" s="80">
        <v>45909</v>
      </c>
      <c r="G191" s="81">
        <v>0.375</v>
      </c>
      <c r="H191" s="80">
        <v>45906</v>
      </c>
      <c r="I191" s="81">
        <v>0.5</v>
      </c>
      <c r="J191" s="53">
        <f t="shared" si="3"/>
        <v>0</v>
      </c>
      <c r="K191" s="53">
        <v>1</v>
      </c>
      <c r="L191" s="53">
        <v>30</v>
      </c>
      <c r="M191" s="79" t="s">
        <v>282</v>
      </c>
    </row>
    <row r="192" spans="1:13" ht="25.5" x14ac:dyDescent="0.2">
      <c r="A192" s="79" t="s">
        <v>281</v>
      </c>
      <c r="B192" s="53" t="s">
        <v>136</v>
      </c>
      <c r="C192" s="53" t="s">
        <v>34</v>
      </c>
      <c r="D192" s="53">
        <v>1</v>
      </c>
      <c r="E192" s="53">
        <v>30</v>
      </c>
      <c r="F192" s="80">
        <v>45909</v>
      </c>
      <c r="G192" s="81">
        <v>0.375</v>
      </c>
      <c r="H192" s="80">
        <v>45906</v>
      </c>
      <c r="I192" s="81">
        <v>0.52083333333333337</v>
      </c>
      <c r="J192" s="53">
        <f t="shared" si="3"/>
        <v>2</v>
      </c>
      <c r="K192" s="53">
        <v>1</v>
      </c>
      <c r="L192" s="53">
        <v>28</v>
      </c>
      <c r="M192" s="79" t="s">
        <v>282</v>
      </c>
    </row>
    <row r="193" spans="1:13" ht="38.25" x14ac:dyDescent="0.2">
      <c r="A193" s="79" t="s">
        <v>283</v>
      </c>
      <c r="B193" s="53" t="s">
        <v>21</v>
      </c>
      <c r="C193" s="53" t="s">
        <v>22</v>
      </c>
      <c r="D193" s="53">
        <v>1</v>
      </c>
      <c r="E193" s="53">
        <v>30</v>
      </c>
      <c r="F193" s="80">
        <v>45909</v>
      </c>
      <c r="G193" s="81">
        <v>0.375</v>
      </c>
      <c r="H193" s="80">
        <v>45906</v>
      </c>
      <c r="I193" s="81">
        <v>0.54166666666666663</v>
      </c>
      <c r="J193" s="53">
        <f t="shared" si="3"/>
        <v>0</v>
      </c>
      <c r="K193" s="53">
        <v>1</v>
      </c>
      <c r="L193" s="53">
        <v>30</v>
      </c>
      <c r="M193" s="79" t="s">
        <v>284</v>
      </c>
    </row>
    <row r="194" spans="1:13" ht="38.25" x14ac:dyDescent="0.2">
      <c r="A194" s="79" t="s">
        <v>283</v>
      </c>
      <c r="B194" s="53" t="s">
        <v>136</v>
      </c>
      <c r="C194" s="53" t="s">
        <v>34</v>
      </c>
      <c r="D194" s="53">
        <v>1</v>
      </c>
      <c r="E194" s="53">
        <v>30</v>
      </c>
      <c r="F194" s="80">
        <v>45909</v>
      </c>
      <c r="G194" s="81">
        <v>0.375</v>
      </c>
      <c r="H194" s="80">
        <v>45906</v>
      </c>
      <c r="I194" s="81">
        <v>0.5625</v>
      </c>
      <c r="J194" s="53">
        <f t="shared" si="3"/>
        <v>1</v>
      </c>
      <c r="K194" s="53">
        <v>1</v>
      </c>
      <c r="L194" s="53">
        <v>29</v>
      </c>
      <c r="M194" s="79" t="s">
        <v>284</v>
      </c>
    </row>
    <row r="195" spans="1:13" ht="38.25" x14ac:dyDescent="0.2">
      <c r="A195" s="79" t="s">
        <v>285</v>
      </c>
      <c r="B195" s="53" t="s">
        <v>21</v>
      </c>
      <c r="C195" s="53" t="s">
        <v>22</v>
      </c>
      <c r="D195" s="53">
        <v>1</v>
      </c>
      <c r="E195" s="53">
        <v>30</v>
      </c>
      <c r="F195" s="80">
        <v>45909</v>
      </c>
      <c r="G195" s="81">
        <v>0.375</v>
      </c>
      <c r="H195" s="80">
        <v>45906</v>
      </c>
      <c r="I195" s="81">
        <v>0.58333333333333337</v>
      </c>
      <c r="J195" s="53">
        <f t="shared" si="3"/>
        <v>0</v>
      </c>
      <c r="K195" s="53">
        <v>1</v>
      </c>
      <c r="L195" s="53">
        <v>30</v>
      </c>
      <c r="M195" s="79" t="s">
        <v>286</v>
      </c>
    </row>
    <row r="196" spans="1:13" ht="38.25" x14ac:dyDescent="0.2">
      <c r="A196" s="79" t="s">
        <v>285</v>
      </c>
      <c r="B196" s="53" t="s">
        <v>136</v>
      </c>
      <c r="C196" s="53" t="s">
        <v>34</v>
      </c>
      <c r="D196" s="53">
        <v>1</v>
      </c>
      <c r="E196" s="53">
        <v>30</v>
      </c>
      <c r="F196" s="80">
        <v>45909</v>
      </c>
      <c r="G196" s="81">
        <v>0.375</v>
      </c>
      <c r="H196" s="80">
        <v>45906</v>
      </c>
      <c r="I196" s="81">
        <v>0.58333333333333337</v>
      </c>
      <c r="J196" s="53">
        <f t="shared" si="3"/>
        <v>0</v>
      </c>
      <c r="K196" s="53">
        <v>1</v>
      </c>
      <c r="L196" s="53">
        <v>30</v>
      </c>
      <c r="M196" s="79" t="s">
        <v>286</v>
      </c>
    </row>
    <row r="197" spans="1:13" ht="25.5" x14ac:dyDescent="0.2">
      <c r="A197" s="79" t="s">
        <v>287</v>
      </c>
      <c r="B197" s="53" t="s">
        <v>21</v>
      </c>
      <c r="C197" s="53" t="s">
        <v>22</v>
      </c>
      <c r="D197" s="53">
        <v>1</v>
      </c>
      <c r="E197" s="53">
        <v>30</v>
      </c>
      <c r="F197" s="80">
        <v>45909</v>
      </c>
      <c r="G197" s="81">
        <v>0.375</v>
      </c>
      <c r="H197" s="80">
        <v>45906</v>
      </c>
      <c r="I197" s="81">
        <v>0.60416666666666663</v>
      </c>
      <c r="J197" s="53">
        <f t="shared" si="3"/>
        <v>0</v>
      </c>
      <c r="K197" s="53">
        <v>1</v>
      </c>
      <c r="L197" s="53">
        <v>30</v>
      </c>
      <c r="M197" s="79" t="s">
        <v>288</v>
      </c>
    </row>
    <row r="198" spans="1:13" ht="25.5" x14ac:dyDescent="0.2">
      <c r="A198" s="79" t="s">
        <v>287</v>
      </c>
      <c r="B198" s="53" t="s">
        <v>136</v>
      </c>
      <c r="C198" s="53" t="s">
        <v>34</v>
      </c>
      <c r="D198" s="53">
        <v>1</v>
      </c>
      <c r="E198" s="53">
        <v>30</v>
      </c>
      <c r="F198" s="80">
        <v>45909</v>
      </c>
      <c r="G198" s="81">
        <v>0.375</v>
      </c>
      <c r="H198" s="80">
        <v>45906</v>
      </c>
      <c r="I198" s="81">
        <v>0.60416666666666663</v>
      </c>
      <c r="J198" s="53">
        <f t="shared" si="3"/>
        <v>5</v>
      </c>
      <c r="K198" s="53">
        <v>1</v>
      </c>
      <c r="L198" s="53">
        <v>25</v>
      </c>
      <c r="M198" s="79" t="s">
        <v>288</v>
      </c>
    </row>
    <row r="199" spans="1:13" ht="38.25" x14ac:dyDescent="0.2">
      <c r="A199" s="79" t="s">
        <v>289</v>
      </c>
      <c r="B199" s="53" t="s">
        <v>21</v>
      </c>
      <c r="C199" s="53" t="s">
        <v>22</v>
      </c>
      <c r="D199" s="53">
        <v>1</v>
      </c>
      <c r="E199" s="53">
        <v>30</v>
      </c>
      <c r="F199" s="80">
        <v>45909</v>
      </c>
      <c r="G199" s="81">
        <v>0.375</v>
      </c>
      <c r="H199" s="80">
        <v>45906</v>
      </c>
      <c r="I199" s="81">
        <v>0.625</v>
      </c>
      <c r="J199" s="53">
        <f t="shared" si="3"/>
        <v>5</v>
      </c>
      <c r="K199" s="53">
        <v>1</v>
      </c>
      <c r="L199" s="53">
        <v>25</v>
      </c>
      <c r="M199" s="79" t="s">
        <v>290</v>
      </c>
    </row>
    <row r="200" spans="1:13" ht="38.25" x14ac:dyDescent="0.2">
      <c r="A200" s="53" t="s">
        <v>289</v>
      </c>
      <c r="B200" s="53" t="s">
        <v>136</v>
      </c>
      <c r="C200" s="53" t="s">
        <v>34</v>
      </c>
      <c r="D200" s="53">
        <v>1</v>
      </c>
      <c r="E200" s="53">
        <v>30</v>
      </c>
      <c r="F200" s="80">
        <v>45909</v>
      </c>
      <c r="G200" s="81">
        <v>0.375</v>
      </c>
      <c r="H200" s="80">
        <v>45906</v>
      </c>
      <c r="I200" s="81">
        <v>0.625</v>
      </c>
      <c r="J200" s="53">
        <f t="shared" si="3"/>
        <v>0</v>
      </c>
      <c r="K200" s="53">
        <v>1</v>
      </c>
      <c r="L200" s="53">
        <v>30</v>
      </c>
      <c r="M200" s="79" t="s">
        <v>290</v>
      </c>
    </row>
    <row r="201" spans="1:13" ht="38.25" x14ac:dyDescent="0.2">
      <c r="A201" s="79" t="s">
        <v>291</v>
      </c>
      <c r="B201" s="53" t="s">
        <v>21</v>
      </c>
      <c r="C201" s="53" t="s">
        <v>22</v>
      </c>
      <c r="D201" s="53">
        <v>1</v>
      </c>
      <c r="E201" s="53">
        <v>30</v>
      </c>
      <c r="F201" s="80">
        <v>45909</v>
      </c>
      <c r="G201" s="81">
        <v>0.375</v>
      </c>
      <c r="H201" s="80">
        <v>45906</v>
      </c>
      <c r="I201" s="81">
        <v>0.64583333333333337</v>
      </c>
      <c r="J201" s="53">
        <f t="shared" si="3"/>
        <v>0</v>
      </c>
      <c r="K201" s="53">
        <v>1</v>
      </c>
      <c r="L201" s="53">
        <v>30</v>
      </c>
      <c r="M201" s="79" t="s">
        <v>292</v>
      </c>
    </row>
    <row r="202" spans="1:13" ht="38.25" x14ac:dyDescent="0.2">
      <c r="A202" s="79" t="s">
        <v>291</v>
      </c>
      <c r="B202" s="53" t="s">
        <v>136</v>
      </c>
      <c r="C202" s="53" t="s">
        <v>34</v>
      </c>
      <c r="D202" s="53">
        <v>1</v>
      </c>
      <c r="E202" s="53">
        <v>30</v>
      </c>
      <c r="F202" s="80">
        <v>45909</v>
      </c>
      <c r="G202" s="81">
        <v>0.375</v>
      </c>
      <c r="H202" s="80">
        <v>45906</v>
      </c>
      <c r="I202" s="81">
        <v>0.64583333333333337</v>
      </c>
      <c r="J202" s="53">
        <f t="shared" si="3"/>
        <v>0</v>
      </c>
      <c r="K202" s="53">
        <v>1</v>
      </c>
      <c r="L202" s="53">
        <v>30</v>
      </c>
      <c r="M202" s="79" t="s">
        <v>292</v>
      </c>
    </row>
    <row r="203" spans="1:13" ht="25.5" x14ac:dyDescent="0.2">
      <c r="A203" s="79" t="s">
        <v>293</v>
      </c>
      <c r="B203" s="53" t="s">
        <v>21</v>
      </c>
      <c r="C203" s="53" t="s">
        <v>22</v>
      </c>
      <c r="D203" s="53">
        <v>2</v>
      </c>
      <c r="E203" s="53">
        <v>60</v>
      </c>
      <c r="F203" s="80">
        <v>45909</v>
      </c>
      <c r="G203" s="81">
        <v>0.375</v>
      </c>
      <c r="H203" s="80">
        <v>45906</v>
      </c>
      <c r="I203" s="81">
        <v>0.66666666666666663</v>
      </c>
      <c r="J203" s="53">
        <f t="shared" si="3"/>
        <v>35</v>
      </c>
      <c r="K203" s="53">
        <v>1</v>
      </c>
      <c r="L203" s="53">
        <v>25</v>
      </c>
      <c r="M203" s="79" t="s">
        <v>294</v>
      </c>
    </row>
    <row r="204" spans="1:13" ht="25.5" x14ac:dyDescent="0.2">
      <c r="A204" s="79" t="s">
        <v>293</v>
      </c>
      <c r="B204" s="53" t="s">
        <v>136</v>
      </c>
      <c r="C204" s="53" t="s">
        <v>34</v>
      </c>
      <c r="D204" s="53">
        <v>2</v>
      </c>
      <c r="E204" s="53">
        <v>60</v>
      </c>
      <c r="F204" s="80">
        <v>45909</v>
      </c>
      <c r="G204" s="81">
        <v>0.375</v>
      </c>
      <c r="H204" s="80">
        <v>45906</v>
      </c>
      <c r="I204" s="81">
        <v>0.66666666666666663</v>
      </c>
      <c r="J204" s="53">
        <f t="shared" si="3"/>
        <v>35</v>
      </c>
      <c r="K204" s="53">
        <v>1</v>
      </c>
      <c r="L204" s="53">
        <v>25</v>
      </c>
      <c r="M204" s="79" t="s">
        <v>294</v>
      </c>
    </row>
    <row r="205" spans="1:13" ht="25.5" x14ac:dyDescent="0.2">
      <c r="A205" s="79" t="s">
        <v>295</v>
      </c>
      <c r="B205" s="53" t="s">
        <v>21</v>
      </c>
      <c r="C205" s="53" t="s">
        <v>22</v>
      </c>
      <c r="D205" s="53">
        <v>2</v>
      </c>
      <c r="E205" s="53">
        <v>60</v>
      </c>
      <c r="F205" s="80">
        <v>45909</v>
      </c>
      <c r="G205" s="81">
        <v>0.375</v>
      </c>
      <c r="H205" s="80">
        <v>45906</v>
      </c>
      <c r="I205" s="81">
        <v>0.70833333333333337</v>
      </c>
      <c r="J205" s="53">
        <f t="shared" si="3"/>
        <v>38</v>
      </c>
      <c r="K205" s="53">
        <v>1</v>
      </c>
      <c r="L205" s="53">
        <v>22</v>
      </c>
      <c r="M205" s="79" t="s">
        <v>296</v>
      </c>
    </row>
    <row r="206" spans="1:13" ht="25.5" x14ac:dyDescent="0.2">
      <c r="A206" s="79" t="s">
        <v>295</v>
      </c>
      <c r="B206" s="53" t="s">
        <v>136</v>
      </c>
      <c r="C206" s="53" t="s">
        <v>34</v>
      </c>
      <c r="D206" s="53">
        <v>2</v>
      </c>
      <c r="E206" s="53">
        <v>60</v>
      </c>
      <c r="F206" s="80">
        <v>45909</v>
      </c>
      <c r="G206" s="81">
        <v>0.375</v>
      </c>
      <c r="H206" s="80">
        <v>45906</v>
      </c>
      <c r="I206" s="81">
        <v>0.75</v>
      </c>
      <c r="J206" s="53">
        <f t="shared" si="3"/>
        <v>38</v>
      </c>
      <c r="K206" s="53">
        <v>2</v>
      </c>
      <c r="L206" s="53">
        <v>22</v>
      </c>
      <c r="M206" s="79" t="s">
        <v>296</v>
      </c>
    </row>
    <row r="207" spans="1:13" ht="25.5" x14ac:dyDescent="0.2">
      <c r="A207" s="79" t="s">
        <v>297</v>
      </c>
      <c r="B207" s="53" t="s">
        <v>21</v>
      </c>
      <c r="C207" s="53" t="s">
        <v>22</v>
      </c>
      <c r="D207" s="53">
        <v>2</v>
      </c>
      <c r="E207" s="53">
        <v>60</v>
      </c>
      <c r="F207" s="80">
        <v>45909</v>
      </c>
      <c r="G207" s="81">
        <v>0.375</v>
      </c>
      <c r="H207" s="80">
        <v>45906</v>
      </c>
      <c r="I207" s="81">
        <v>0.79166666666666696</v>
      </c>
      <c r="J207" s="53">
        <f t="shared" si="3"/>
        <v>39</v>
      </c>
      <c r="K207" s="53">
        <v>2</v>
      </c>
      <c r="L207" s="53">
        <v>21</v>
      </c>
      <c r="M207" s="79" t="s">
        <v>298</v>
      </c>
    </row>
    <row r="208" spans="1:13" ht="25.5" x14ac:dyDescent="0.2">
      <c r="A208" s="79" t="s">
        <v>297</v>
      </c>
      <c r="B208" s="53" t="s">
        <v>136</v>
      </c>
      <c r="C208" s="53" t="s">
        <v>34</v>
      </c>
      <c r="D208" s="53">
        <v>2</v>
      </c>
      <c r="E208" s="53">
        <v>60</v>
      </c>
      <c r="F208" s="80">
        <v>45909</v>
      </c>
      <c r="G208" s="81">
        <v>0.375</v>
      </c>
      <c r="H208" s="80">
        <v>45906</v>
      </c>
      <c r="I208" s="81">
        <v>0.83333333333333304</v>
      </c>
      <c r="J208" s="53">
        <f t="shared" si="3"/>
        <v>39</v>
      </c>
      <c r="K208" s="53">
        <v>2</v>
      </c>
      <c r="L208" s="53">
        <v>21</v>
      </c>
      <c r="M208" s="79" t="s">
        <v>298</v>
      </c>
    </row>
    <row r="209" spans="1:13" ht="38.25" x14ac:dyDescent="0.2">
      <c r="A209" s="79" t="s">
        <v>299</v>
      </c>
      <c r="B209" s="53" t="s">
        <v>30</v>
      </c>
      <c r="C209" s="53" t="s">
        <v>31</v>
      </c>
      <c r="D209" s="53">
        <v>1</v>
      </c>
      <c r="E209" s="53">
        <v>30</v>
      </c>
      <c r="F209" s="80">
        <v>45909</v>
      </c>
      <c r="G209" s="81">
        <v>0.375</v>
      </c>
      <c r="H209" s="80">
        <v>45907</v>
      </c>
      <c r="I209" s="81">
        <v>0.5</v>
      </c>
      <c r="J209" s="53">
        <f t="shared" si="3"/>
        <v>0</v>
      </c>
      <c r="K209" s="53">
        <v>2</v>
      </c>
      <c r="L209" s="53">
        <v>30</v>
      </c>
      <c r="M209" s="79" t="s">
        <v>300</v>
      </c>
    </row>
    <row r="210" spans="1:13" ht="38.25" x14ac:dyDescent="0.2">
      <c r="A210" s="53" t="s">
        <v>299</v>
      </c>
      <c r="B210" s="53" t="s">
        <v>39</v>
      </c>
      <c r="C210" s="53" t="s">
        <v>40</v>
      </c>
      <c r="D210" s="53">
        <v>1</v>
      </c>
      <c r="E210" s="53">
        <v>30</v>
      </c>
      <c r="F210" s="80">
        <v>45909</v>
      </c>
      <c r="G210" s="81">
        <v>0.375</v>
      </c>
      <c r="H210" s="80">
        <v>45907</v>
      </c>
      <c r="I210" s="81">
        <v>0.52083333333333337</v>
      </c>
      <c r="J210" s="53">
        <f t="shared" si="3"/>
        <v>0</v>
      </c>
      <c r="K210" s="53">
        <v>2</v>
      </c>
      <c r="L210" s="53">
        <v>30</v>
      </c>
      <c r="M210" s="79" t="s">
        <v>300</v>
      </c>
    </row>
    <row r="211" spans="1:13" ht="25.5" x14ac:dyDescent="0.2">
      <c r="A211" s="79" t="s">
        <v>301</v>
      </c>
      <c r="B211" s="53" t="s">
        <v>30</v>
      </c>
      <c r="C211" s="53" t="s">
        <v>31</v>
      </c>
      <c r="D211" s="53">
        <v>1</v>
      </c>
      <c r="E211" s="53">
        <v>30</v>
      </c>
      <c r="F211" s="80">
        <v>45909</v>
      </c>
      <c r="G211" s="81">
        <v>0.375</v>
      </c>
      <c r="H211" s="80">
        <v>45907</v>
      </c>
      <c r="I211" s="81">
        <v>0.54166666666666663</v>
      </c>
      <c r="J211" s="53">
        <f t="shared" si="3"/>
        <v>0</v>
      </c>
      <c r="K211" s="53">
        <v>2</v>
      </c>
      <c r="L211" s="53">
        <v>30</v>
      </c>
      <c r="M211" s="79" t="s">
        <v>302</v>
      </c>
    </row>
    <row r="212" spans="1:13" ht="25.5" x14ac:dyDescent="0.2">
      <c r="A212" s="79" t="s">
        <v>301</v>
      </c>
      <c r="B212" s="53" t="s">
        <v>39</v>
      </c>
      <c r="C212" s="53" t="s">
        <v>40</v>
      </c>
      <c r="D212" s="53">
        <v>1</v>
      </c>
      <c r="E212" s="53">
        <v>30</v>
      </c>
      <c r="F212" s="80">
        <v>45909</v>
      </c>
      <c r="G212" s="81">
        <v>0.375</v>
      </c>
      <c r="H212" s="80">
        <v>45907</v>
      </c>
      <c r="I212" s="81">
        <v>0.5625</v>
      </c>
      <c r="J212" s="53">
        <f t="shared" si="3"/>
        <v>0</v>
      </c>
      <c r="K212" s="53">
        <v>1</v>
      </c>
      <c r="L212" s="53">
        <v>30</v>
      </c>
      <c r="M212" s="79" t="s">
        <v>302</v>
      </c>
    </row>
    <row r="213" spans="1:13" ht="25.5" x14ac:dyDescent="0.2">
      <c r="A213" s="79" t="s">
        <v>303</v>
      </c>
      <c r="B213" s="53" t="s">
        <v>30</v>
      </c>
      <c r="C213" s="53" t="s">
        <v>31</v>
      </c>
      <c r="D213" s="53">
        <v>1</v>
      </c>
      <c r="E213" s="53">
        <v>30</v>
      </c>
      <c r="F213" s="80">
        <v>45909</v>
      </c>
      <c r="G213" s="81">
        <v>0.375</v>
      </c>
      <c r="H213" s="80">
        <v>45907</v>
      </c>
      <c r="I213" s="81">
        <v>0.58333333333333337</v>
      </c>
      <c r="J213" s="53">
        <f t="shared" si="3"/>
        <v>-5</v>
      </c>
      <c r="K213" s="53">
        <v>1</v>
      </c>
      <c r="L213" s="53">
        <v>35</v>
      </c>
      <c r="M213" s="79" t="s">
        <v>304</v>
      </c>
    </row>
    <row r="214" spans="1:13" ht="25.5" x14ac:dyDescent="0.2">
      <c r="A214" s="79" t="s">
        <v>303</v>
      </c>
      <c r="B214" s="53" t="s">
        <v>39</v>
      </c>
      <c r="C214" s="53" t="s">
        <v>40</v>
      </c>
      <c r="D214" s="53">
        <v>1</v>
      </c>
      <c r="E214" s="53">
        <v>30</v>
      </c>
      <c r="F214" s="80">
        <v>45909</v>
      </c>
      <c r="G214" s="81">
        <v>0.375</v>
      </c>
      <c r="H214" s="80">
        <v>45907</v>
      </c>
      <c r="I214" s="81">
        <v>0.60416666666666663</v>
      </c>
      <c r="J214" s="53">
        <f t="shared" si="3"/>
        <v>6</v>
      </c>
      <c r="K214" s="53">
        <v>1</v>
      </c>
      <c r="L214" s="53">
        <v>24</v>
      </c>
      <c r="M214" s="79" t="s">
        <v>304</v>
      </c>
    </row>
    <row r="215" spans="1:13" ht="25.5" x14ac:dyDescent="0.2">
      <c r="A215" s="79" t="s">
        <v>305</v>
      </c>
      <c r="B215" s="53" t="s">
        <v>30</v>
      </c>
      <c r="C215" s="53" t="s">
        <v>31</v>
      </c>
      <c r="D215" s="53">
        <v>2</v>
      </c>
      <c r="E215" s="53">
        <v>20</v>
      </c>
      <c r="F215" s="80">
        <v>45909</v>
      </c>
      <c r="G215" s="81">
        <v>0.375</v>
      </c>
      <c r="H215" s="80">
        <v>45907</v>
      </c>
      <c r="I215" s="81">
        <v>0.625</v>
      </c>
      <c r="J215" s="53">
        <f t="shared" si="3"/>
        <v>0</v>
      </c>
      <c r="K215" s="53">
        <v>1</v>
      </c>
      <c r="L215" s="53">
        <v>20</v>
      </c>
      <c r="M215" s="53" t="s">
        <v>306</v>
      </c>
    </row>
    <row r="216" spans="1:13" ht="25.5" x14ac:dyDescent="0.2">
      <c r="A216" s="79" t="s">
        <v>305</v>
      </c>
      <c r="B216" s="53" t="s">
        <v>39</v>
      </c>
      <c r="C216" s="53" t="s">
        <v>40</v>
      </c>
      <c r="D216" s="53">
        <v>2</v>
      </c>
      <c r="E216" s="53">
        <v>20</v>
      </c>
      <c r="F216" s="80">
        <v>45909</v>
      </c>
      <c r="G216" s="81">
        <v>0.375</v>
      </c>
      <c r="H216" s="80">
        <v>45907</v>
      </c>
      <c r="I216" s="81">
        <v>0.63888888888888884</v>
      </c>
      <c r="J216" s="53">
        <f t="shared" si="3"/>
        <v>0</v>
      </c>
      <c r="K216" s="53">
        <v>1</v>
      </c>
      <c r="L216" s="53">
        <v>20</v>
      </c>
      <c r="M216" t="s">
        <v>306</v>
      </c>
    </row>
    <row r="217" spans="1:13" ht="25.5" x14ac:dyDescent="0.2">
      <c r="A217" s="79" t="s">
        <v>308</v>
      </c>
      <c r="B217" s="53" t="s">
        <v>30</v>
      </c>
      <c r="C217" s="53" t="s">
        <v>31</v>
      </c>
      <c r="D217" s="53">
        <v>1</v>
      </c>
      <c r="E217" s="53">
        <v>20</v>
      </c>
      <c r="F217" s="80">
        <v>45909</v>
      </c>
      <c r="G217" s="81">
        <v>0.375</v>
      </c>
      <c r="H217" s="80">
        <v>45907</v>
      </c>
      <c r="I217" s="81">
        <v>0.65277777777777779</v>
      </c>
      <c r="J217" s="53">
        <f t="shared" si="3"/>
        <v>0</v>
      </c>
      <c r="K217" s="53">
        <v>1</v>
      </c>
      <c r="L217" s="53">
        <v>20</v>
      </c>
      <c r="M217" s="79" t="s">
        <v>307</v>
      </c>
    </row>
    <row r="218" spans="1:13" ht="25.5" x14ac:dyDescent="0.2">
      <c r="A218" s="79" t="s">
        <v>308</v>
      </c>
      <c r="B218" s="53" t="s">
        <v>39</v>
      </c>
      <c r="C218" s="53" t="s">
        <v>40</v>
      </c>
      <c r="D218" s="53">
        <v>1</v>
      </c>
      <c r="E218" s="53">
        <v>20</v>
      </c>
      <c r="F218" s="80">
        <v>45909</v>
      </c>
      <c r="G218" s="81">
        <v>0.375</v>
      </c>
      <c r="H218" s="80">
        <v>45907</v>
      </c>
      <c r="I218" s="81">
        <v>0.66666666666666663</v>
      </c>
      <c r="J218" s="53">
        <f t="shared" si="3"/>
        <v>-5</v>
      </c>
      <c r="K218" s="53">
        <v>1</v>
      </c>
      <c r="L218" s="53">
        <v>25</v>
      </c>
      <c r="M218" s="79" t="s">
        <v>307</v>
      </c>
    </row>
    <row r="219" spans="1:13" ht="25.5" x14ac:dyDescent="0.2">
      <c r="A219" s="79" t="s">
        <v>309</v>
      </c>
      <c r="B219" s="53" t="s">
        <v>30</v>
      </c>
      <c r="C219" s="53" t="s">
        <v>31</v>
      </c>
      <c r="D219" s="53">
        <v>1</v>
      </c>
      <c r="E219" s="53">
        <v>20</v>
      </c>
      <c r="F219" s="80">
        <v>45909</v>
      </c>
      <c r="G219" s="81">
        <v>0.375</v>
      </c>
      <c r="H219" s="80">
        <v>45907</v>
      </c>
      <c r="I219" s="81">
        <v>0.68055555555555558</v>
      </c>
      <c r="J219" s="53">
        <f t="shared" si="3"/>
        <v>-5</v>
      </c>
      <c r="K219" s="53">
        <v>1</v>
      </c>
      <c r="L219" s="53">
        <v>25</v>
      </c>
      <c r="M219" s="79" t="s">
        <v>310</v>
      </c>
    </row>
    <row r="220" spans="1:13" ht="25.5" x14ac:dyDescent="0.2">
      <c r="A220" s="79" t="s">
        <v>309</v>
      </c>
      <c r="B220" s="53" t="s">
        <v>39</v>
      </c>
      <c r="C220" s="53" t="s">
        <v>40</v>
      </c>
      <c r="D220" s="53">
        <v>1</v>
      </c>
      <c r="E220" s="53">
        <v>20</v>
      </c>
      <c r="F220" s="80">
        <v>45909</v>
      </c>
      <c r="G220" s="81">
        <v>0.375</v>
      </c>
      <c r="H220" s="80">
        <v>45907</v>
      </c>
      <c r="I220" s="81">
        <v>0.69444444444444442</v>
      </c>
      <c r="J220" s="53">
        <f t="shared" si="3"/>
        <v>5</v>
      </c>
      <c r="K220" s="53">
        <v>1</v>
      </c>
      <c r="L220" s="53">
        <v>15</v>
      </c>
      <c r="M220" s="79" t="s">
        <v>310</v>
      </c>
    </row>
    <row r="221" spans="1:13" ht="25.5" x14ac:dyDescent="0.2">
      <c r="A221" s="79" t="s">
        <v>311</v>
      </c>
      <c r="B221" s="53" t="s">
        <v>30</v>
      </c>
      <c r="C221" s="53" t="s">
        <v>31</v>
      </c>
      <c r="D221" s="53">
        <v>1</v>
      </c>
      <c r="E221" s="53">
        <v>20</v>
      </c>
      <c r="F221" s="80">
        <v>45909</v>
      </c>
      <c r="G221" s="81">
        <v>0.375</v>
      </c>
      <c r="H221" s="80">
        <v>45907</v>
      </c>
      <c r="I221" s="81">
        <v>0.70833333333333337</v>
      </c>
      <c r="J221" s="53">
        <f t="shared" si="3"/>
        <v>10</v>
      </c>
      <c r="K221" s="53">
        <v>1</v>
      </c>
      <c r="L221" s="53">
        <v>10</v>
      </c>
      <c r="M221" s="53" t="s">
        <v>312</v>
      </c>
    </row>
    <row r="222" spans="1:13" ht="25.5" x14ac:dyDescent="0.2">
      <c r="A222" s="79" t="s">
        <v>311</v>
      </c>
      <c r="B222" s="53" t="s">
        <v>39</v>
      </c>
      <c r="C222" s="53" t="s">
        <v>40</v>
      </c>
      <c r="D222" s="53">
        <v>1</v>
      </c>
      <c r="E222" s="53">
        <v>20</v>
      </c>
      <c r="F222" s="80">
        <v>45909</v>
      </c>
      <c r="G222" s="81">
        <v>0.375</v>
      </c>
      <c r="H222" s="80">
        <v>45907</v>
      </c>
      <c r="I222" s="81">
        <v>0.72222222222222221</v>
      </c>
      <c r="J222" s="53">
        <f t="shared" si="3"/>
        <v>10</v>
      </c>
      <c r="K222" s="53">
        <v>1</v>
      </c>
      <c r="L222" s="53">
        <v>10</v>
      </c>
      <c r="M222" s="53" t="s">
        <v>312</v>
      </c>
    </row>
    <row r="223" spans="1:13" ht="25.5" x14ac:dyDescent="0.2">
      <c r="A223" s="79" t="s">
        <v>313</v>
      </c>
      <c r="B223" s="53" t="s">
        <v>30</v>
      </c>
      <c r="C223" s="53" t="s">
        <v>31</v>
      </c>
      <c r="D223" s="53">
        <v>1</v>
      </c>
      <c r="E223" s="53">
        <v>20</v>
      </c>
      <c r="F223" s="80">
        <v>45909</v>
      </c>
      <c r="G223" s="81">
        <v>0.375</v>
      </c>
      <c r="H223" s="80">
        <v>45907</v>
      </c>
      <c r="I223" s="81">
        <v>0.73611111111111116</v>
      </c>
      <c r="J223" s="53">
        <f t="shared" si="3"/>
        <v>10</v>
      </c>
      <c r="K223" s="53">
        <v>1</v>
      </c>
      <c r="L223" s="53">
        <v>10</v>
      </c>
      <c r="M223" s="79" t="s">
        <v>314</v>
      </c>
    </row>
    <row r="224" spans="1:13" ht="25.5" x14ac:dyDescent="0.2">
      <c r="A224" s="79" t="s">
        <v>313</v>
      </c>
      <c r="B224" s="53" t="s">
        <v>39</v>
      </c>
      <c r="C224" s="53" t="s">
        <v>40</v>
      </c>
      <c r="D224" s="53">
        <v>1</v>
      </c>
      <c r="E224" s="53">
        <v>20</v>
      </c>
      <c r="F224" s="80">
        <v>45909</v>
      </c>
      <c r="G224" s="81">
        <v>0.375</v>
      </c>
      <c r="H224" s="80">
        <v>45907</v>
      </c>
      <c r="I224" s="81">
        <v>0.75</v>
      </c>
      <c r="J224" s="53">
        <f t="shared" si="3"/>
        <v>5</v>
      </c>
      <c r="K224" s="53">
        <v>1</v>
      </c>
      <c r="L224" s="53">
        <v>15</v>
      </c>
      <c r="M224" s="79" t="s">
        <v>314</v>
      </c>
    </row>
    <row r="225" spans="1:13" ht="25.5" x14ac:dyDescent="0.2">
      <c r="A225" s="79" t="s">
        <v>315</v>
      </c>
      <c r="B225" s="53" t="s">
        <v>30</v>
      </c>
      <c r="C225" s="53" t="s">
        <v>31</v>
      </c>
      <c r="D225" s="53">
        <v>1</v>
      </c>
      <c r="E225" s="53">
        <v>10</v>
      </c>
      <c r="F225" s="80">
        <v>45909</v>
      </c>
      <c r="G225" s="81">
        <v>0.375</v>
      </c>
      <c r="H225" s="80">
        <v>45907</v>
      </c>
      <c r="I225" s="81">
        <v>0.75694444444444442</v>
      </c>
      <c r="J225" s="53">
        <f t="shared" si="3"/>
        <v>0</v>
      </c>
      <c r="K225" s="53">
        <v>1</v>
      </c>
      <c r="L225" s="53">
        <v>10</v>
      </c>
      <c r="M225" s="79" t="s">
        <v>316</v>
      </c>
    </row>
    <row r="226" spans="1:13" ht="25.5" x14ac:dyDescent="0.2">
      <c r="A226" s="79" t="s">
        <v>315</v>
      </c>
      <c r="B226" s="53" t="s">
        <v>39</v>
      </c>
      <c r="C226" s="53" t="s">
        <v>40</v>
      </c>
      <c r="D226" s="53">
        <v>1</v>
      </c>
      <c r="E226" s="53">
        <v>10</v>
      </c>
      <c r="F226" s="80">
        <v>45909</v>
      </c>
      <c r="G226" s="81">
        <v>0.375</v>
      </c>
      <c r="H226" s="80">
        <v>45907</v>
      </c>
      <c r="I226" s="81">
        <v>0.76388888888888884</v>
      </c>
      <c r="J226" s="53">
        <f t="shared" si="3"/>
        <v>0</v>
      </c>
      <c r="K226" s="53">
        <v>1</v>
      </c>
      <c r="L226" s="53">
        <v>10</v>
      </c>
      <c r="M226" s="79" t="s">
        <v>316</v>
      </c>
    </row>
    <row r="227" spans="1:13" ht="24" x14ac:dyDescent="0.2">
      <c r="A227" s="92" t="s">
        <v>123</v>
      </c>
      <c r="B227" s="85" t="s">
        <v>36</v>
      </c>
      <c r="C227" s="85" t="s">
        <v>37</v>
      </c>
      <c r="D227" s="49">
        <v>1</v>
      </c>
      <c r="E227" s="49">
        <v>20</v>
      </c>
      <c r="F227" s="85">
        <v>45909</v>
      </c>
      <c r="G227" s="86">
        <v>0.375</v>
      </c>
      <c r="H227" s="85">
        <v>45907</v>
      </c>
      <c r="I227" s="86">
        <v>0.80555555555555558</v>
      </c>
      <c r="J227" s="87">
        <f t="shared" si="3"/>
        <v>0</v>
      </c>
      <c r="K227" s="8">
        <v>1</v>
      </c>
      <c r="L227" s="87">
        <v>20</v>
      </c>
      <c r="M227" s="49" t="s">
        <v>124</v>
      </c>
    </row>
    <row r="228" spans="1:13" ht="24" x14ac:dyDescent="0.2">
      <c r="A228" s="38" t="s">
        <v>123</v>
      </c>
      <c r="B228" s="85" t="s">
        <v>143</v>
      </c>
      <c r="C228" s="85" t="s">
        <v>43</v>
      </c>
      <c r="D228" s="49">
        <v>1</v>
      </c>
      <c r="E228" s="49">
        <v>20</v>
      </c>
      <c r="F228" s="85">
        <v>45909</v>
      </c>
      <c r="G228" s="86">
        <v>0.375</v>
      </c>
      <c r="H228" s="85">
        <v>45907</v>
      </c>
      <c r="I228" s="86">
        <v>0.80555555555555558</v>
      </c>
      <c r="J228" s="87">
        <f t="shared" ref="J228:J249" si="4">E228-L228</f>
        <v>0</v>
      </c>
      <c r="K228" s="8">
        <v>1</v>
      </c>
      <c r="L228" s="87">
        <v>20</v>
      </c>
      <c r="M228" s="49" t="s">
        <v>124</v>
      </c>
    </row>
    <row r="229" spans="1:13" ht="25.5" x14ac:dyDescent="0.2">
      <c r="A229" s="13" t="s">
        <v>175</v>
      </c>
      <c r="B229" s="13" t="s">
        <v>36</v>
      </c>
      <c r="C229" s="13" t="s">
        <v>37</v>
      </c>
      <c r="D229" s="53">
        <v>1</v>
      </c>
      <c r="E229" s="53">
        <v>30</v>
      </c>
      <c r="F229" s="13">
        <v>45909</v>
      </c>
      <c r="G229" s="86">
        <v>0.375</v>
      </c>
      <c r="H229" s="13">
        <v>45907</v>
      </c>
      <c r="I229" s="12">
        <v>0.83333333333333337</v>
      </c>
      <c r="J229" s="53">
        <f t="shared" si="4"/>
        <v>6</v>
      </c>
      <c r="K229" s="50">
        <v>1</v>
      </c>
      <c r="L229" s="50">
        <v>24</v>
      </c>
      <c r="M229" s="101" t="s">
        <v>176</v>
      </c>
    </row>
    <row r="230" spans="1:13" ht="25.5" x14ac:dyDescent="0.2">
      <c r="A230" s="13" t="s">
        <v>177</v>
      </c>
      <c r="B230" s="13" t="s">
        <v>39</v>
      </c>
      <c r="C230" s="13" t="s">
        <v>40</v>
      </c>
      <c r="D230" s="53">
        <v>1</v>
      </c>
      <c r="E230" s="53">
        <v>30</v>
      </c>
      <c r="F230" s="13">
        <v>45909</v>
      </c>
      <c r="G230" s="86">
        <v>0.375</v>
      </c>
      <c r="H230" s="13">
        <v>45907</v>
      </c>
      <c r="I230" s="12">
        <v>0.83333333333333337</v>
      </c>
      <c r="J230" s="53">
        <f t="shared" si="4"/>
        <v>0</v>
      </c>
      <c r="K230" s="50">
        <v>1</v>
      </c>
      <c r="L230" s="50">
        <v>30</v>
      </c>
      <c r="M230" s="101" t="s">
        <v>178</v>
      </c>
    </row>
    <row r="231" spans="1:13" ht="38.25" x14ac:dyDescent="0.2">
      <c r="A231" s="61" t="s">
        <v>179</v>
      </c>
      <c r="B231" s="13" t="s">
        <v>39</v>
      </c>
      <c r="C231" s="13" t="s">
        <v>40</v>
      </c>
      <c r="D231" s="53">
        <v>5</v>
      </c>
      <c r="E231" s="53">
        <v>50</v>
      </c>
      <c r="F231" s="13">
        <v>45909</v>
      </c>
      <c r="G231" s="86">
        <v>0.375</v>
      </c>
      <c r="H231" s="13">
        <v>45907</v>
      </c>
      <c r="I231" s="12">
        <v>0.86805555555555558</v>
      </c>
      <c r="J231" s="53">
        <f t="shared" si="4"/>
        <v>5</v>
      </c>
      <c r="K231" s="50">
        <v>5</v>
      </c>
      <c r="L231" s="50">
        <v>45</v>
      </c>
      <c r="M231" s="101" t="s">
        <v>180</v>
      </c>
    </row>
    <row r="232" spans="1:13" ht="36" x14ac:dyDescent="0.2">
      <c r="A232" s="8" t="s">
        <v>146</v>
      </c>
      <c r="B232" s="85" t="s">
        <v>30</v>
      </c>
      <c r="C232" s="85" t="s">
        <v>207</v>
      </c>
      <c r="D232" s="84">
        <v>1</v>
      </c>
      <c r="E232" s="49">
        <v>60</v>
      </c>
      <c r="F232" s="85">
        <v>45909</v>
      </c>
      <c r="G232" s="86">
        <v>0.375</v>
      </c>
      <c r="H232" s="85">
        <v>45907</v>
      </c>
      <c r="I232" s="86">
        <v>0.91666666666666663</v>
      </c>
      <c r="J232" s="87">
        <f t="shared" si="4"/>
        <v>50</v>
      </c>
      <c r="K232" s="8">
        <v>1</v>
      </c>
      <c r="L232" s="87">
        <v>10</v>
      </c>
      <c r="M232" s="87" t="s">
        <v>149</v>
      </c>
    </row>
    <row r="233" spans="1:13" ht="36" x14ac:dyDescent="0.2">
      <c r="A233" s="8" t="s">
        <v>146</v>
      </c>
      <c r="B233" s="85" t="s">
        <v>42</v>
      </c>
      <c r="C233" s="85" t="s">
        <v>77</v>
      </c>
      <c r="D233" s="84">
        <v>1</v>
      </c>
      <c r="E233" s="49">
        <v>60</v>
      </c>
      <c r="F233" s="85">
        <v>45909</v>
      </c>
      <c r="G233" s="86">
        <v>0.375</v>
      </c>
      <c r="H233" s="85">
        <v>45907</v>
      </c>
      <c r="I233" s="86">
        <v>0.91666666666666663</v>
      </c>
      <c r="J233" s="87">
        <f t="shared" si="4"/>
        <v>50</v>
      </c>
      <c r="K233" s="8">
        <v>1</v>
      </c>
      <c r="L233" s="87">
        <v>10</v>
      </c>
      <c r="M233" s="87" t="s">
        <v>149</v>
      </c>
    </row>
    <row r="234" spans="1:13" ht="36" x14ac:dyDescent="0.2">
      <c r="A234" s="8" t="s">
        <v>146</v>
      </c>
      <c r="B234" s="85" t="s">
        <v>21</v>
      </c>
      <c r="C234" s="85" t="s">
        <v>86</v>
      </c>
      <c r="D234" s="84">
        <v>1</v>
      </c>
      <c r="E234" s="49">
        <v>60</v>
      </c>
      <c r="F234" s="85">
        <v>45909</v>
      </c>
      <c r="G234" s="86">
        <v>0.375</v>
      </c>
      <c r="H234" s="85">
        <v>45907</v>
      </c>
      <c r="I234" s="86">
        <v>0.91666666666666663</v>
      </c>
      <c r="J234" s="87">
        <f t="shared" si="4"/>
        <v>50</v>
      </c>
      <c r="K234" s="8">
        <v>1</v>
      </c>
      <c r="L234" s="87">
        <v>10</v>
      </c>
      <c r="M234" s="87" t="s">
        <v>149</v>
      </c>
    </row>
    <row r="235" spans="1:13" ht="36" x14ac:dyDescent="0.2">
      <c r="A235" s="8" t="s">
        <v>146</v>
      </c>
      <c r="B235" s="85" t="s">
        <v>136</v>
      </c>
      <c r="C235" s="85" t="s">
        <v>151</v>
      </c>
      <c r="D235" s="84">
        <v>1</v>
      </c>
      <c r="E235" s="49">
        <v>60</v>
      </c>
      <c r="F235" s="85">
        <v>45909</v>
      </c>
      <c r="G235" s="86">
        <v>0.375</v>
      </c>
      <c r="H235" s="85">
        <v>45907</v>
      </c>
      <c r="I235" s="86">
        <v>0.91666666666666663</v>
      </c>
      <c r="J235" s="87">
        <f t="shared" si="4"/>
        <v>50</v>
      </c>
      <c r="K235" s="8">
        <v>1</v>
      </c>
      <c r="L235" s="87">
        <v>10</v>
      </c>
      <c r="M235" s="87" t="s">
        <v>149</v>
      </c>
    </row>
    <row r="236" spans="1:13" ht="36" x14ac:dyDescent="0.2">
      <c r="A236" s="8" t="s">
        <v>146</v>
      </c>
      <c r="B236" s="85" t="s">
        <v>36</v>
      </c>
      <c r="C236" s="85" t="s">
        <v>80</v>
      </c>
      <c r="D236" s="84">
        <v>1</v>
      </c>
      <c r="E236" s="49">
        <v>60</v>
      </c>
      <c r="F236" s="85">
        <v>45909</v>
      </c>
      <c r="G236" s="86">
        <v>0.375</v>
      </c>
      <c r="H236" s="85">
        <v>45907</v>
      </c>
      <c r="I236" s="86">
        <v>0.91666666666666663</v>
      </c>
      <c r="J236" s="87">
        <f t="shared" si="4"/>
        <v>50</v>
      </c>
      <c r="K236" s="8">
        <v>1</v>
      </c>
      <c r="L236" s="87">
        <v>10</v>
      </c>
      <c r="M236" s="87" t="s">
        <v>149</v>
      </c>
    </row>
    <row r="237" spans="1:13" ht="36" x14ac:dyDescent="0.2">
      <c r="A237" s="8" t="s">
        <v>146</v>
      </c>
      <c r="B237" s="85" t="s">
        <v>39</v>
      </c>
      <c r="C237" s="85" t="s">
        <v>150</v>
      </c>
      <c r="D237" s="84">
        <v>1</v>
      </c>
      <c r="E237" s="49">
        <v>60</v>
      </c>
      <c r="F237" s="85">
        <v>45909</v>
      </c>
      <c r="G237" s="86">
        <v>0.375</v>
      </c>
      <c r="H237" s="85">
        <v>45907</v>
      </c>
      <c r="I237" s="86">
        <v>0.91666666666666663</v>
      </c>
      <c r="J237" s="87">
        <f t="shared" si="4"/>
        <v>50</v>
      </c>
      <c r="K237" s="8">
        <v>1</v>
      </c>
      <c r="L237" s="87">
        <v>10</v>
      </c>
      <c r="M237" s="87" t="s">
        <v>149</v>
      </c>
    </row>
    <row r="238" spans="1:13" x14ac:dyDescent="0.2">
      <c r="A238" s="8" t="s">
        <v>52</v>
      </c>
      <c r="B238" s="85" t="s">
        <v>21</v>
      </c>
      <c r="C238" s="85" t="s">
        <v>22</v>
      </c>
      <c r="D238" s="84">
        <v>1</v>
      </c>
      <c r="E238" s="49">
        <v>30</v>
      </c>
      <c r="F238" s="85">
        <v>45909</v>
      </c>
      <c r="G238" s="86">
        <v>0.375</v>
      </c>
      <c r="H238" s="85">
        <v>45907</v>
      </c>
      <c r="I238" s="86">
        <v>0.91666666666666663</v>
      </c>
      <c r="J238" s="87">
        <f t="shared" si="4"/>
        <v>0</v>
      </c>
      <c r="K238" s="8">
        <v>1</v>
      </c>
      <c r="L238" s="87">
        <v>30</v>
      </c>
      <c r="M238" s="87" t="s">
        <v>53</v>
      </c>
    </row>
    <row r="239" spans="1:13" x14ac:dyDescent="0.2">
      <c r="A239" s="8" t="s">
        <v>153</v>
      </c>
      <c r="B239" s="85" t="s">
        <v>36</v>
      </c>
      <c r="C239" s="85" t="s">
        <v>37</v>
      </c>
      <c r="D239" s="84">
        <v>1</v>
      </c>
      <c r="E239" s="5">
        <v>30</v>
      </c>
      <c r="F239" s="85">
        <v>45909</v>
      </c>
      <c r="G239" s="86">
        <v>0.375</v>
      </c>
      <c r="H239" s="85">
        <v>45907</v>
      </c>
      <c r="I239" s="86">
        <v>0.91666666666666663</v>
      </c>
      <c r="J239" s="87">
        <f t="shared" si="4"/>
        <v>0</v>
      </c>
      <c r="K239" s="8">
        <v>1</v>
      </c>
      <c r="L239" s="87">
        <v>30</v>
      </c>
      <c r="M239" s="87" t="s">
        <v>53</v>
      </c>
    </row>
    <row r="240" spans="1:13" ht="24" x14ac:dyDescent="0.2">
      <c r="A240" s="8" t="s">
        <v>79</v>
      </c>
      <c r="B240" s="85" t="s">
        <v>36</v>
      </c>
      <c r="C240" s="85" t="s">
        <v>37</v>
      </c>
      <c r="D240" s="84">
        <v>1</v>
      </c>
      <c r="E240" s="49">
        <v>45</v>
      </c>
      <c r="F240" s="85">
        <v>45909</v>
      </c>
      <c r="G240" s="86">
        <v>0.375</v>
      </c>
      <c r="H240" s="85">
        <v>45907</v>
      </c>
      <c r="I240" s="86">
        <v>0.9375</v>
      </c>
      <c r="J240" s="87">
        <f t="shared" si="4"/>
        <v>-35</v>
      </c>
      <c r="K240" s="8">
        <v>1</v>
      </c>
      <c r="L240" s="87">
        <v>80</v>
      </c>
      <c r="M240" s="87" t="s">
        <v>81</v>
      </c>
    </row>
    <row r="241" spans="1:13" x14ac:dyDescent="0.2">
      <c r="A241" s="8" t="s">
        <v>85</v>
      </c>
      <c r="B241" s="85" t="s">
        <v>21</v>
      </c>
      <c r="C241" s="85" t="s">
        <v>22</v>
      </c>
      <c r="D241" s="84">
        <v>1</v>
      </c>
      <c r="E241" s="49">
        <v>60</v>
      </c>
      <c r="F241" s="85">
        <v>45909</v>
      </c>
      <c r="G241" s="86">
        <v>0.375</v>
      </c>
      <c r="H241" s="85">
        <v>45907</v>
      </c>
      <c r="I241" s="86">
        <v>0.9375</v>
      </c>
      <c r="J241" s="87">
        <f t="shared" si="4"/>
        <v>10</v>
      </c>
      <c r="K241" s="8">
        <v>1</v>
      </c>
      <c r="L241" s="87">
        <v>50</v>
      </c>
      <c r="M241" s="87" t="s">
        <v>87</v>
      </c>
    </row>
    <row r="242" spans="1:13" x14ac:dyDescent="0.2">
      <c r="A242" s="8" t="s">
        <v>88</v>
      </c>
      <c r="B242" s="85" t="s">
        <v>21</v>
      </c>
      <c r="C242" s="85" t="s">
        <v>22</v>
      </c>
      <c r="D242" s="84">
        <v>1</v>
      </c>
      <c r="E242" s="49">
        <v>55</v>
      </c>
      <c r="F242" s="85">
        <v>45909</v>
      </c>
      <c r="G242" s="86">
        <v>0.375</v>
      </c>
      <c r="H242" s="85">
        <v>45907</v>
      </c>
      <c r="I242" s="86">
        <v>0.9375</v>
      </c>
      <c r="J242" s="87">
        <f t="shared" si="4"/>
        <v>0</v>
      </c>
      <c r="K242" s="8">
        <v>1</v>
      </c>
      <c r="L242" s="87">
        <v>55</v>
      </c>
      <c r="M242" s="87" t="s">
        <v>89</v>
      </c>
    </row>
    <row r="243" spans="1:13" ht="24" x14ac:dyDescent="0.2">
      <c r="A243" s="49" t="s">
        <v>131</v>
      </c>
      <c r="B243" s="85" t="s">
        <v>36</v>
      </c>
      <c r="C243" s="85" t="s">
        <v>37</v>
      </c>
      <c r="D243" s="49">
        <v>1</v>
      </c>
      <c r="E243" s="49">
        <v>30</v>
      </c>
      <c r="F243" s="85">
        <v>45909</v>
      </c>
      <c r="G243" s="86">
        <v>0.375</v>
      </c>
      <c r="H243" s="85">
        <v>45907</v>
      </c>
      <c r="I243" s="86">
        <v>0.9375</v>
      </c>
      <c r="J243" s="87">
        <f t="shared" si="4"/>
        <v>-2</v>
      </c>
      <c r="K243" s="8">
        <v>1</v>
      </c>
      <c r="L243" s="87">
        <v>32</v>
      </c>
      <c r="M243" s="87" t="s">
        <v>132</v>
      </c>
    </row>
    <row r="244" spans="1:13" ht="24" x14ac:dyDescent="0.2">
      <c r="A244" s="49" t="s">
        <v>131</v>
      </c>
      <c r="B244" s="85" t="s">
        <v>42</v>
      </c>
      <c r="C244" s="85" t="s">
        <v>43</v>
      </c>
      <c r="D244" s="49">
        <v>1</v>
      </c>
      <c r="E244" s="49">
        <v>30</v>
      </c>
      <c r="F244" s="85">
        <v>45909</v>
      </c>
      <c r="G244" s="86">
        <v>0.375</v>
      </c>
      <c r="H244" s="85">
        <v>45907</v>
      </c>
      <c r="I244" s="86">
        <v>0.9375</v>
      </c>
      <c r="J244" s="87">
        <f t="shared" si="4"/>
        <v>-2</v>
      </c>
      <c r="K244" s="8">
        <v>1</v>
      </c>
      <c r="L244" s="87">
        <v>32</v>
      </c>
      <c r="M244" s="87" t="s">
        <v>132</v>
      </c>
    </row>
    <row r="245" spans="1:13" ht="24" x14ac:dyDescent="0.2">
      <c r="A245" s="49" t="s">
        <v>131</v>
      </c>
      <c r="B245" s="85" t="s">
        <v>30</v>
      </c>
      <c r="C245" s="85" t="s">
        <v>31</v>
      </c>
      <c r="D245" s="49">
        <v>1</v>
      </c>
      <c r="E245" s="49">
        <v>30</v>
      </c>
      <c r="F245" s="85">
        <v>45909</v>
      </c>
      <c r="G245" s="86">
        <v>0.375</v>
      </c>
      <c r="H245" s="85">
        <v>45907</v>
      </c>
      <c r="I245" s="86">
        <v>0.9375</v>
      </c>
      <c r="J245" s="87">
        <f t="shared" si="4"/>
        <v>-2</v>
      </c>
      <c r="K245" s="8">
        <v>1</v>
      </c>
      <c r="L245" s="87">
        <v>32</v>
      </c>
      <c r="M245" s="87" t="s">
        <v>132</v>
      </c>
    </row>
    <row r="246" spans="1:13" ht="24" x14ac:dyDescent="0.2">
      <c r="A246" s="49" t="s">
        <v>131</v>
      </c>
      <c r="B246" s="85" t="s">
        <v>21</v>
      </c>
      <c r="C246" s="85" t="s">
        <v>22</v>
      </c>
      <c r="D246" s="49">
        <v>1</v>
      </c>
      <c r="E246" s="49">
        <v>30</v>
      </c>
      <c r="F246" s="85">
        <v>45909</v>
      </c>
      <c r="G246" s="86">
        <v>0.375</v>
      </c>
      <c r="H246" s="85">
        <v>45907</v>
      </c>
      <c r="I246" s="86">
        <v>0.9375</v>
      </c>
      <c r="J246" s="87">
        <f t="shared" si="4"/>
        <v>-2</v>
      </c>
      <c r="K246" s="8">
        <v>1</v>
      </c>
      <c r="L246" s="87">
        <v>32</v>
      </c>
      <c r="M246" s="87" t="s">
        <v>132</v>
      </c>
    </row>
    <row r="247" spans="1:13" ht="24" x14ac:dyDescent="0.2">
      <c r="A247" s="49" t="s">
        <v>131</v>
      </c>
      <c r="B247" s="85" t="s">
        <v>136</v>
      </c>
      <c r="C247" s="85" t="s">
        <v>34</v>
      </c>
      <c r="D247" s="49">
        <v>1</v>
      </c>
      <c r="E247" s="49">
        <v>30</v>
      </c>
      <c r="F247" s="85">
        <v>45909</v>
      </c>
      <c r="G247" s="86">
        <v>0.375</v>
      </c>
      <c r="H247" s="85">
        <v>45907</v>
      </c>
      <c r="I247" s="86">
        <v>0.9375</v>
      </c>
      <c r="J247" s="87">
        <f t="shared" si="4"/>
        <v>-2</v>
      </c>
      <c r="K247" s="8">
        <v>1</v>
      </c>
      <c r="L247" s="87">
        <v>32</v>
      </c>
      <c r="M247" s="87" t="s">
        <v>132</v>
      </c>
    </row>
    <row r="248" spans="1:13" ht="24" x14ac:dyDescent="0.2">
      <c r="A248" s="49" t="s">
        <v>131</v>
      </c>
      <c r="B248" s="85" t="s">
        <v>39</v>
      </c>
      <c r="C248" s="85" t="s">
        <v>40</v>
      </c>
      <c r="D248" s="49">
        <v>1</v>
      </c>
      <c r="E248" s="49">
        <v>30</v>
      </c>
      <c r="F248" s="85">
        <v>45909</v>
      </c>
      <c r="G248" s="86">
        <v>0.375</v>
      </c>
      <c r="H248" s="85">
        <v>45907</v>
      </c>
      <c r="I248" s="86">
        <v>0.9375</v>
      </c>
      <c r="J248" s="87">
        <f t="shared" si="4"/>
        <v>-2</v>
      </c>
      <c r="K248" s="8">
        <v>1</v>
      </c>
      <c r="L248" s="87">
        <v>32</v>
      </c>
      <c r="M248" s="87" t="s">
        <v>132</v>
      </c>
    </row>
    <row r="249" spans="1:13" ht="24" x14ac:dyDescent="0.2">
      <c r="A249" s="49" t="s">
        <v>133</v>
      </c>
      <c r="B249" s="85" t="s">
        <v>21</v>
      </c>
      <c r="C249" s="85" t="s">
        <v>22</v>
      </c>
      <c r="D249" s="49">
        <v>3</v>
      </c>
      <c r="E249" s="49">
        <v>20</v>
      </c>
      <c r="F249" s="85">
        <v>45909</v>
      </c>
      <c r="G249" s="86">
        <v>0.375</v>
      </c>
      <c r="H249" s="85">
        <v>45908</v>
      </c>
      <c r="I249" s="86">
        <v>0.375</v>
      </c>
      <c r="J249" s="87">
        <f t="shared" si="4"/>
        <v>5</v>
      </c>
      <c r="K249" s="8">
        <v>3</v>
      </c>
      <c r="L249" s="87">
        <v>15</v>
      </c>
      <c r="M249" s="87" t="s">
        <v>134</v>
      </c>
    </row>
    <row r="252" spans="1:13" x14ac:dyDescent="0.2">
      <c r="A252" s="70" t="s">
        <v>210</v>
      </c>
      <c r="B252" t="s">
        <v>215</v>
      </c>
      <c r="C252" t="s">
        <v>214</v>
      </c>
      <c r="D252" t="s">
        <v>212</v>
      </c>
      <c r="E252" t="s">
        <v>213</v>
      </c>
    </row>
    <row r="253" spans="1:13" x14ac:dyDescent="0.2">
      <c r="A253" s="71" t="s">
        <v>36</v>
      </c>
      <c r="B253">
        <v>51</v>
      </c>
      <c r="C253">
        <v>1535</v>
      </c>
      <c r="D253">
        <v>1501</v>
      </c>
      <c r="E253">
        <v>53</v>
      </c>
    </row>
    <row r="254" spans="1:13" x14ac:dyDescent="0.2">
      <c r="A254" s="71" t="s">
        <v>39</v>
      </c>
      <c r="B254">
        <v>42</v>
      </c>
      <c r="C254">
        <v>1280</v>
      </c>
      <c r="D254">
        <v>1018</v>
      </c>
      <c r="E254">
        <v>42</v>
      </c>
    </row>
    <row r="255" spans="1:13" x14ac:dyDescent="0.2">
      <c r="A255" s="71" t="s">
        <v>21</v>
      </c>
      <c r="B255">
        <v>60</v>
      </c>
      <c r="C255">
        <v>2100</v>
      </c>
      <c r="D255">
        <v>1710</v>
      </c>
      <c r="E255">
        <v>62</v>
      </c>
    </row>
    <row r="256" spans="1:13" x14ac:dyDescent="0.2">
      <c r="A256" s="71" t="s">
        <v>136</v>
      </c>
      <c r="B256">
        <v>30</v>
      </c>
      <c r="C256">
        <v>1080</v>
      </c>
      <c r="D256">
        <v>797</v>
      </c>
      <c r="E256">
        <v>29</v>
      </c>
    </row>
    <row r="257" spans="1:13" x14ac:dyDescent="0.2">
      <c r="A257" s="71" t="s">
        <v>42</v>
      </c>
      <c r="B257">
        <v>41</v>
      </c>
      <c r="C257">
        <v>1225</v>
      </c>
      <c r="D257">
        <v>1221</v>
      </c>
      <c r="E257">
        <v>43</v>
      </c>
    </row>
    <row r="258" spans="1:13" x14ac:dyDescent="0.2">
      <c r="A258" s="71" t="s">
        <v>30</v>
      </c>
      <c r="B258">
        <v>37</v>
      </c>
      <c r="C258">
        <v>1230</v>
      </c>
      <c r="D258">
        <v>1062</v>
      </c>
      <c r="E258">
        <v>38</v>
      </c>
    </row>
    <row r="259" spans="1:13" x14ac:dyDescent="0.2">
      <c r="A259" s="71" t="s">
        <v>211</v>
      </c>
      <c r="B259">
        <v>261</v>
      </c>
      <c r="C259">
        <v>8450</v>
      </c>
      <c r="D259">
        <v>7309</v>
      </c>
      <c r="E259">
        <v>267</v>
      </c>
    </row>
    <row r="260" spans="1:13" x14ac:dyDescent="0.2">
      <c r="A260"/>
      <c r="B260"/>
      <c r="C260"/>
      <c r="D260"/>
      <c r="E260"/>
    </row>
    <row r="261" spans="1:13" x14ac:dyDescent="0.2">
      <c r="A261"/>
      <c r="B261"/>
      <c r="C261"/>
      <c r="D261"/>
      <c r="E261"/>
    </row>
    <row r="262" spans="1:13" x14ac:dyDescent="0.2">
      <c r="A262"/>
      <c r="B262"/>
      <c r="C262"/>
      <c r="D262"/>
      <c r="E262"/>
    </row>
    <row r="263" spans="1:13" x14ac:dyDescent="0.2">
      <c r="A263"/>
      <c r="B263"/>
      <c r="C263"/>
      <c r="D263"/>
      <c r="E263"/>
    </row>
    <row r="264" spans="1:13" x14ac:dyDescent="0.2">
      <c r="A264"/>
      <c r="B264"/>
      <c r="C264"/>
      <c r="D264"/>
      <c r="E264"/>
    </row>
    <row r="265" spans="1:13" x14ac:dyDescent="0.2">
      <c r="A265"/>
      <c r="B265"/>
      <c r="C265"/>
      <c r="D265"/>
      <c r="E265"/>
      <c r="F265"/>
      <c r="G265"/>
      <c r="H265"/>
      <c r="I265"/>
      <c r="J265"/>
      <c r="K265"/>
      <c r="L265"/>
      <c r="M265"/>
    </row>
    <row r="266" spans="1:13" x14ac:dyDescent="0.2">
      <c r="A266"/>
      <c r="B266"/>
      <c r="C266"/>
      <c r="D266"/>
      <c r="E266"/>
      <c r="F266"/>
      <c r="G266"/>
      <c r="H266"/>
      <c r="I266"/>
      <c r="J266"/>
      <c r="K266"/>
      <c r="L266"/>
      <c r="M266"/>
    </row>
    <row r="267" spans="1:13" x14ac:dyDescent="0.2">
      <c r="A267"/>
      <c r="B267"/>
      <c r="C267"/>
      <c r="D267"/>
      <c r="E267"/>
      <c r="F267"/>
      <c r="G267"/>
      <c r="H267"/>
      <c r="I267"/>
      <c r="J267"/>
      <c r="K267"/>
      <c r="L267"/>
      <c r="M267"/>
    </row>
    <row r="268" spans="1:13" x14ac:dyDescent="0.2">
      <c r="A268"/>
      <c r="B268"/>
      <c r="C268"/>
      <c r="D268"/>
      <c r="E268"/>
    </row>
    <row r="269" spans="1:13" x14ac:dyDescent="0.2">
      <c r="A269"/>
      <c r="B269"/>
      <c r="C269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202E6-6765-4E0C-AFF8-95AC245AB312}">
  <dimension ref="A1:T139"/>
  <sheetViews>
    <sheetView topLeftCell="A122" zoomScale="84" zoomScaleNormal="76" workbookViewId="0">
      <selection activeCell="J133" sqref="J133"/>
    </sheetView>
  </sheetViews>
  <sheetFormatPr baseColWidth="10" defaultColWidth="11.42578125" defaultRowHeight="12.75" x14ac:dyDescent="0.2"/>
  <cols>
    <col min="1" max="1" width="18.7109375" style="4" bestFit="1" customWidth="1"/>
    <col min="2" max="2" width="45.42578125" style="4" bestFit="1" customWidth="1"/>
    <col min="3" max="3" width="36.7109375" style="4" bestFit="1" customWidth="1"/>
    <col min="4" max="4" width="21.5703125" style="4" bestFit="1" customWidth="1"/>
    <col min="5" max="5" width="21.2851562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26"/>
      <c r="B1" s="128" t="s">
        <v>0</v>
      </c>
      <c r="C1" s="128"/>
      <c r="D1" s="128"/>
      <c r="E1" s="128"/>
      <c r="F1" s="128"/>
      <c r="G1" s="128"/>
      <c r="H1" s="128"/>
      <c r="I1" s="128"/>
      <c r="J1" s="128"/>
      <c r="K1" s="128"/>
      <c r="L1" s="130"/>
      <c r="M1" s="131"/>
    </row>
    <row r="2" spans="1:20" ht="20.25" customHeight="1" x14ac:dyDescent="0.2">
      <c r="A2" s="127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32"/>
      <c r="M2" s="133"/>
    </row>
    <row r="3" spans="1:20" ht="12.75" customHeight="1" x14ac:dyDescent="0.2">
      <c r="A3" s="134" t="s">
        <v>1</v>
      </c>
      <c r="B3" s="136" t="s">
        <v>2</v>
      </c>
      <c r="C3" s="136"/>
      <c r="D3" s="136"/>
      <c r="E3" s="136"/>
      <c r="F3" s="136"/>
      <c r="G3" s="136"/>
      <c r="H3" s="136"/>
      <c r="I3" s="136"/>
      <c r="J3" s="136"/>
      <c r="K3" s="136"/>
      <c r="L3" s="138" t="s">
        <v>3</v>
      </c>
      <c r="M3" s="139"/>
    </row>
    <row r="4" spans="1:20" ht="13.5" thickBot="1" x14ac:dyDescent="0.25">
      <c r="A4" s="135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22" t="s">
        <v>6</v>
      </c>
      <c r="C6" s="122"/>
      <c r="D6" s="122"/>
      <c r="E6" s="122"/>
      <c r="F6" s="122"/>
      <c r="G6" s="122"/>
      <c r="H6" s="123" t="s">
        <v>7</v>
      </c>
      <c r="I6" s="124"/>
      <c r="J6" s="124"/>
      <c r="K6" s="124"/>
      <c r="L6" s="125"/>
      <c r="M6" s="25"/>
    </row>
    <row r="7" spans="1:20" s="14" customFormat="1" ht="49.5" customHeight="1" x14ac:dyDescent="0.2">
      <c r="A7" s="18" cm="1">
        <f t="array" aca="1" ref="A7" ca="1">+A93+A1:L7+A7:L7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73</v>
      </c>
      <c r="B8" s="85" t="s">
        <v>42</v>
      </c>
      <c r="C8" s="85" t="s">
        <v>37</v>
      </c>
      <c r="D8" s="84">
        <v>1</v>
      </c>
      <c r="E8" s="49">
        <v>30</v>
      </c>
      <c r="F8" s="112">
        <v>45959</v>
      </c>
      <c r="G8" s="113">
        <v>0.375</v>
      </c>
      <c r="H8" s="85">
        <v>45957</v>
      </c>
      <c r="I8" s="86">
        <v>0.41666666666666669</v>
      </c>
      <c r="J8" s="87">
        <f t="shared" ref="J8:J89" si="0">E8-L8</f>
        <v>5</v>
      </c>
      <c r="K8" s="8">
        <v>1</v>
      </c>
      <c r="L8" s="88">
        <v>25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">
      <c r="A9" s="23" t="s">
        <v>511</v>
      </c>
      <c r="B9" s="85" t="s">
        <v>510</v>
      </c>
      <c r="C9" s="85" t="s">
        <v>31</v>
      </c>
      <c r="D9" s="84">
        <v>1</v>
      </c>
      <c r="E9" s="49">
        <v>30</v>
      </c>
      <c r="F9" s="112">
        <v>45959</v>
      </c>
      <c r="G9" s="113">
        <v>0.375</v>
      </c>
      <c r="H9" s="85">
        <v>45957</v>
      </c>
      <c r="I9" s="86">
        <v>0.41666666666666669</v>
      </c>
      <c r="J9" s="87">
        <f t="shared" si="0"/>
        <v>5</v>
      </c>
      <c r="K9" s="8">
        <v>1</v>
      </c>
      <c r="L9" s="88">
        <v>25</v>
      </c>
      <c r="M9" s="91" t="s">
        <v>512</v>
      </c>
      <c r="O9" s="5" t="s">
        <v>155</v>
      </c>
    </row>
    <row r="10" spans="1:20" s="5" customFormat="1" ht="78.75" customHeight="1" x14ac:dyDescent="0.2">
      <c r="A10" s="23" t="s">
        <v>511</v>
      </c>
      <c r="B10" s="8" t="s">
        <v>42</v>
      </c>
      <c r="C10" s="8" t="s">
        <v>37</v>
      </c>
      <c r="D10" s="84">
        <v>1</v>
      </c>
      <c r="E10" s="49">
        <v>30</v>
      </c>
      <c r="F10" s="112">
        <v>45959</v>
      </c>
      <c r="G10" s="113">
        <v>0.375</v>
      </c>
      <c r="H10" s="112">
        <v>45957</v>
      </c>
      <c r="I10" s="113">
        <v>0.4375</v>
      </c>
      <c r="J10" s="87">
        <f t="shared" si="0"/>
        <v>4</v>
      </c>
      <c r="K10" s="8">
        <v>1</v>
      </c>
      <c r="L10" s="8">
        <v>26</v>
      </c>
      <c r="M10" s="49" t="s">
        <v>514</v>
      </c>
    </row>
    <row r="11" spans="1:20" s="5" customFormat="1" ht="75" customHeight="1" x14ac:dyDescent="0.2">
      <c r="A11" s="23" t="s">
        <v>511</v>
      </c>
      <c r="B11" s="8" t="s">
        <v>36</v>
      </c>
      <c r="C11" s="8" t="s">
        <v>43</v>
      </c>
      <c r="D11" s="84">
        <v>1</v>
      </c>
      <c r="E11" s="49">
        <v>30</v>
      </c>
      <c r="F11" s="112">
        <v>45959</v>
      </c>
      <c r="G11" s="113">
        <v>0.375</v>
      </c>
      <c r="H11" s="112" t="s">
        <v>513</v>
      </c>
      <c r="I11" s="113">
        <v>0.41666666666666669</v>
      </c>
      <c r="J11" s="87">
        <f t="shared" si="0"/>
        <v>4</v>
      </c>
      <c r="K11" s="8">
        <v>1</v>
      </c>
      <c r="L11" s="8">
        <v>26</v>
      </c>
      <c r="M11" s="49" t="s">
        <v>515</v>
      </c>
    </row>
    <row r="12" spans="1:20" s="5" customFormat="1" ht="84.75" customHeight="1" x14ac:dyDescent="0.2">
      <c r="A12" s="114" t="s">
        <v>24</v>
      </c>
      <c r="B12" s="8" t="s">
        <v>36</v>
      </c>
      <c r="C12" s="8" t="s">
        <v>43</v>
      </c>
      <c r="D12" s="84">
        <v>1</v>
      </c>
      <c r="E12" s="49">
        <v>30</v>
      </c>
      <c r="F12" s="112">
        <v>45959</v>
      </c>
      <c r="G12" s="113">
        <v>0.375</v>
      </c>
      <c r="H12" s="112" t="s">
        <v>513</v>
      </c>
      <c r="I12" s="113">
        <v>0.45833333333333331</v>
      </c>
      <c r="J12" s="87">
        <f t="shared" si="0"/>
        <v>5</v>
      </c>
      <c r="K12" s="8">
        <v>2</v>
      </c>
      <c r="L12" s="8">
        <v>25</v>
      </c>
      <c r="M12" s="49" t="s">
        <v>516</v>
      </c>
    </row>
    <row r="13" spans="1:20" s="5" customFormat="1" ht="81.75" customHeight="1" x14ac:dyDescent="0.2">
      <c r="A13" s="49" t="s">
        <v>24</v>
      </c>
      <c r="B13" s="8" t="s">
        <v>42</v>
      </c>
      <c r="C13" s="8" t="s">
        <v>37</v>
      </c>
      <c r="D13" s="84">
        <v>1</v>
      </c>
      <c r="E13" s="49">
        <v>30</v>
      </c>
      <c r="F13" s="112">
        <v>45959</v>
      </c>
      <c r="G13" s="113">
        <v>0.375</v>
      </c>
      <c r="H13" s="112" t="s">
        <v>513</v>
      </c>
      <c r="I13" s="113">
        <v>0.45833333333333331</v>
      </c>
      <c r="J13" s="87">
        <f t="shared" si="0"/>
        <v>5</v>
      </c>
      <c r="K13" s="8">
        <v>2</v>
      </c>
      <c r="L13" s="8">
        <v>25</v>
      </c>
      <c r="M13" s="49" t="s">
        <v>516</v>
      </c>
    </row>
    <row r="14" spans="1:20" s="5" customFormat="1" ht="61.5" customHeight="1" x14ac:dyDescent="0.2">
      <c r="A14" s="49" t="s">
        <v>517</v>
      </c>
      <c r="B14" s="8" t="s">
        <v>36</v>
      </c>
      <c r="C14" s="8" t="s">
        <v>43</v>
      </c>
      <c r="D14" s="84">
        <v>1</v>
      </c>
      <c r="E14" s="49">
        <v>30</v>
      </c>
      <c r="F14" s="112">
        <v>45959</v>
      </c>
      <c r="G14" s="113">
        <v>0.375</v>
      </c>
      <c r="H14" s="112">
        <v>45958</v>
      </c>
      <c r="I14" s="113">
        <v>0.41666666666666669</v>
      </c>
      <c r="J14" s="87">
        <f t="shared" si="0"/>
        <v>0</v>
      </c>
      <c r="K14" s="8">
        <v>2</v>
      </c>
      <c r="L14" s="8">
        <v>30</v>
      </c>
      <c r="M14" s="49" t="s">
        <v>518</v>
      </c>
    </row>
    <row r="15" spans="1:20" s="5" customFormat="1" ht="61.5" customHeight="1" x14ac:dyDescent="0.2">
      <c r="A15" s="49" t="s">
        <v>517</v>
      </c>
      <c r="B15" s="8" t="s">
        <v>42</v>
      </c>
      <c r="C15" s="8" t="s">
        <v>37</v>
      </c>
      <c r="D15" s="84">
        <v>1</v>
      </c>
      <c r="E15" s="49">
        <v>30</v>
      </c>
      <c r="F15" s="112">
        <v>45959</v>
      </c>
      <c r="G15" s="113">
        <v>0.375</v>
      </c>
      <c r="H15" s="112">
        <v>45958</v>
      </c>
      <c r="I15" s="113">
        <v>0.41666666666666669</v>
      </c>
      <c r="J15" s="87">
        <f t="shared" si="0"/>
        <v>0</v>
      </c>
      <c r="K15" s="8">
        <v>2</v>
      </c>
      <c r="L15" s="8">
        <v>30</v>
      </c>
      <c r="M15" s="49" t="s">
        <v>518</v>
      </c>
    </row>
    <row r="16" spans="1:20" s="5" customFormat="1" ht="63" customHeight="1" x14ac:dyDescent="0.2">
      <c r="A16" s="38" t="s">
        <v>519</v>
      </c>
      <c r="B16" s="8" t="s">
        <v>36</v>
      </c>
      <c r="C16" s="110" t="s">
        <v>43</v>
      </c>
      <c r="D16" s="84">
        <v>1</v>
      </c>
      <c r="E16" s="49">
        <v>30</v>
      </c>
      <c r="F16" s="80">
        <v>45959</v>
      </c>
      <c r="G16" s="81">
        <v>0.375</v>
      </c>
      <c r="H16" s="80">
        <v>45958</v>
      </c>
      <c r="I16" s="81">
        <v>0.4375</v>
      </c>
      <c r="J16" s="87">
        <f t="shared" si="0"/>
        <v>5</v>
      </c>
      <c r="K16" s="53">
        <v>2</v>
      </c>
      <c r="L16" s="53">
        <v>25</v>
      </c>
      <c r="M16" s="111" t="s">
        <v>520</v>
      </c>
    </row>
    <row r="17" spans="1:13" s="5" customFormat="1" ht="63" customHeight="1" x14ac:dyDescent="0.2">
      <c r="A17" s="38" t="s">
        <v>519</v>
      </c>
      <c r="B17" s="8" t="s">
        <v>42</v>
      </c>
      <c r="C17" s="110" t="s">
        <v>37</v>
      </c>
      <c r="D17" s="84">
        <v>1</v>
      </c>
      <c r="E17" s="49">
        <v>30</v>
      </c>
      <c r="F17" s="80">
        <v>45959</v>
      </c>
      <c r="G17" s="81">
        <v>0.375</v>
      </c>
      <c r="H17" s="80">
        <v>45958</v>
      </c>
      <c r="I17" s="81">
        <v>0.4375</v>
      </c>
      <c r="J17" s="87">
        <f t="shared" si="0"/>
        <v>5</v>
      </c>
      <c r="K17" s="53">
        <v>2</v>
      </c>
      <c r="L17" s="53">
        <v>25</v>
      </c>
      <c r="M17" s="111" t="s">
        <v>520</v>
      </c>
    </row>
    <row r="18" spans="1:13" s="5" customFormat="1" ht="75" customHeight="1" x14ac:dyDescent="0.2">
      <c r="A18" s="38" t="s">
        <v>521</v>
      </c>
      <c r="B18" s="8" t="s">
        <v>42</v>
      </c>
      <c r="C18" s="110" t="s">
        <v>37</v>
      </c>
      <c r="D18" s="84">
        <v>1</v>
      </c>
      <c r="E18" s="49">
        <v>30</v>
      </c>
      <c r="F18" s="80">
        <v>45959</v>
      </c>
      <c r="G18" s="81">
        <v>0.375</v>
      </c>
      <c r="H18" s="80">
        <v>45958</v>
      </c>
      <c r="I18" s="81">
        <v>0.45833333333333331</v>
      </c>
      <c r="J18" s="87">
        <f t="shared" si="0"/>
        <v>3</v>
      </c>
      <c r="K18" s="53">
        <v>1</v>
      </c>
      <c r="L18" s="53">
        <v>27</v>
      </c>
      <c r="M18" s="111" t="s">
        <v>522</v>
      </c>
    </row>
    <row r="19" spans="1:13" s="5" customFormat="1" ht="72.75" customHeight="1" x14ac:dyDescent="0.2">
      <c r="A19" s="35" t="s">
        <v>521</v>
      </c>
      <c r="B19" s="8" t="s">
        <v>36</v>
      </c>
      <c r="C19" s="110" t="s">
        <v>43</v>
      </c>
      <c r="D19" s="84">
        <v>1</v>
      </c>
      <c r="E19" s="49">
        <v>30</v>
      </c>
      <c r="F19" s="80">
        <v>45959</v>
      </c>
      <c r="G19" s="81">
        <v>0.375</v>
      </c>
      <c r="H19" s="80">
        <v>45958</v>
      </c>
      <c r="I19" s="81">
        <v>0.45833333333333331</v>
      </c>
      <c r="J19" s="87">
        <f t="shared" si="0"/>
        <v>3</v>
      </c>
      <c r="K19" s="53">
        <v>1</v>
      </c>
      <c r="L19" s="53">
        <v>27</v>
      </c>
      <c r="M19" s="111" t="s">
        <v>522</v>
      </c>
    </row>
    <row r="20" spans="1:13" s="5" customFormat="1" ht="77.25" customHeight="1" x14ac:dyDescent="0.2">
      <c r="A20" s="49" t="s">
        <v>523</v>
      </c>
      <c r="B20" s="8" t="s">
        <v>36</v>
      </c>
      <c r="C20" s="110" t="s">
        <v>43</v>
      </c>
      <c r="D20" s="84">
        <v>1</v>
      </c>
      <c r="E20" s="49">
        <v>30</v>
      </c>
      <c r="F20" s="80">
        <v>45959</v>
      </c>
      <c r="G20" s="81">
        <v>0.375</v>
      </c>
      <c r="H20" s="80">
        <v>45958</v>
      </c>
      <c r="I20" s="81">
        <v>0.47916666666666669</v>
      </c>
      <c r="J20" s="87">
        <f t="shared" si="0"/>
        <v>2</v>
      </c>
      <c r="K20" s="53">
        <v>1</v>
      </c>
      <c r="L20" s="53">
        <v>28</v>
      </c>
      <c r="M20" s="111" t="s">
        <v>524</v>
      </c>
    </row>
    <row r="21" spans="1:13" s="5" customFormat="1" ht="70.5" customHeight="1" x14ac:dyDescent="0.2">
      <c r="A21" s="49" t="s">
        <v>523</v>
      </c>
      <c r="B21" s="8" t="s">
        <v>42</v>
      </c>
      <c r="C21" s="110" t="s">
        <v>37</v>
      </c>
      <c r="D21" s="84">
        <v>1</v>
      </c>
      <c r="E21" s="49">
        <v>30</v>
      </c>
      <c r="F21" s="80">
        <v>45959</v>
      </c>
      <c r="G21" s="81">
        <v>0.375</v>
      </c>
      <c r="H21" s="80">
        <v>45958</v>
      </c>
      <c r="I21" s="81">
        <v>0.47916666666666669</v>
      </c>
      <c r="J21" s="87">
        <f t="shared" si="0"/>
        <v>2</v>
      </c>
      <c r="K21" s="53">
        <v>1</v>
      </c>
      <c r="L21" s="53">
        <v>28</v>
      </c>
      <c r="M21" s="111" t="s">
        <v>524</v>
      </c>
    </row>
    <row r="22" spans="1:13" s="5" customFormat="1" ht="66" customHeight="1" x14ac:dyDescent="0.2">
      <c r="A22" s="49" t="s">
        <v>525</v>
      </c>
      <c r="B22" s="8" t="s">
        <v>136</v>
      </c>
      <c r="C22" s="110" t="s">
        <v>22</v>
      </c>
      <c r="D22" s="84">
        <v>1</v>
      </c>
      <c r="E22" s="49">
        <v>30</v>
      </c>
      <c r="F22" s="80">
        <v>45959</v>
      </c>
      <c r="G22" s="81">
        <v>0.375</v>
      </c>
      <c r="H22" s="80">
        <v>45958</v>
      </c>
      <c r="I22" s="81">
        <v>0.5</v>
      </c>
      <c r="J22" s="87">
        <f t="shared" si="0"/>
        <v>0</v>
      </c>
      <c r="K22" s="53">
        <v>1</v>
      </c>
      <c r="L22" s="53">
        <v>30</v>
      </c>
      <c r="M22" s="111" t="s">
        <v>526</v>
      </c>
    </row>
    <row r="23" spans="1:13" s="5" customFormat="1" ht="69" customHeight="1" x14ac:dyDescent="0.2">
      <c r="A23" s="49" t="s">
        <v>525</v>
      </c>
      <c r="B23" s="8" t="s">
        <v>30</v>
      </c>
      <c r="C23" s="110" t="s">
        <v>40</v>
      </c>
      <c r="D23" s="84">
        <v>1</v>
      </c>
      <c r="E23" s="49">
        <v>30</v>
      </c>
      <c r="F23" s="80">
        <v>45959</v>
      </c>
      <c r="G23" s="81">
        <v>0.375</v>
      </c>
      <c r="H23" s="80">
        <v>45958</v>
      </c>
      <c r="I23" s="81">
        <v>0.5</v>
      </c>
      <c r="J23" s="87">
        <f t="shared" si="0"/>
        <v>0</v>
      </c>
      <c r="K23" s="53">
        <v>1</v>
      </c>
      <c r="L23" s="53">
        <v>30</v>
      </c>
      <c r="M23" s="111" t="s">
        <v>526</v>
      </c>
    </row>
    <row r="24" spans="1:13" s="5" customFormat="1" ht="60" customHeight="1" x14ac:dyDescent="0.2">
      <c r="A24" s="49" t="s">
        <v>525</v>
      </c>
      <c r="B24" s="8" t="s">
        <v>42</v>
      </c>
      <c r="C24" s="110" t="s">
        <v>37</v>
      </c>
      <c r="D24" s="84">
        <v>1</v>
      </c>
      <c r="E24" s="49">
        <v>30</v>
      </c>
      <c r="F24" s="80">
        <v>45959</v>
      </c>
      <c r="G24" s="81">
        <v>0.375</v>
      </c>
      <c r="H24" s="80">
        <v>45958</v>
      </c>
      <c r="I24" s="81">
        <v>0.5</v>
      </c>
      <c r="J24" s="87">
        <f t="shared" si="0"/>
        <v>0</v>
      </c>
      <c r="K24" s="53">
        <v>1</v>
      </c>
      <c r="L24" s="53">
        <v>30</v>
      </c>
      <c r="M24" s="111" t="s">
        <v>526</v>
      </c>
    </row>
    <row r="25" spans="1:13" s="5" customFormat="1" ht="59.25" customHeight="1" x14ac:dyDescent="0.2">
      <c r="A25" s="49" t="s">
        <v>525</v>
      </c>
      <c r="B25" s="8" t="s">
        <v>36</v>
      </c>
      <c r="C25" s="110" t="s">
        <v>43</v>
      </c>
      <c r="D25" s="84">
        <v>1</v>
      </c>
      <c r="E25" s="49">
        <v>30</v>
      </c>
      <c r="F25" s="80">
        <v>45959</v>
      </c>
      <c r="G25" s="81">
        <v>0.375</v>
      </c>
      <c r="H25" s="80">
        <v>45958</v>
      </c>
      <c r="I25" s="81">
        <v>0.5</v>
      </c>
      <c r="J25" s="87">
        <f t="shared" si="0"/>
        <v>0</v>
      </c>
      <c r="K25" s="53">
        <v>1</v>
      </c>
      <c r="L25" s="53">
        <v>30</v>
      </c>
      <c r="M25" s="111" t="s">
        <v>526</v>
      </c>
    </row>
    <row r="26" spans="1:13" s="5" customFormat="1" ht="89.25" customHeight="1" x14ac:dyDescent="0.2">
      <c r="A26" s="49" t="s">
        <v>525</v>
      </c>
      <c r="B26" s="8" t="s">
        <v>510</v>
      </c>
      <c r="C26" s="110" t="s">
        <v>31</v>
      </c>
      <c r="D26" s="84">
        <v>1</v>
      </c>
      <c r="E26" s="49">
        <v>30</v>
      </c>
      <c r="F26" s="80">
        <v>45959</v>
      </c>
      <c r="G26" s="81">
        <v>0.375</v>
      </c>
      <c r="H26" s="80">
        <v>45958</v>
      </c>
      <c r="I26" s="81">
        <v>0.5</v>
      </c>
      <c r="J26" s="87">
        <f t="shared" si="0"/>
        <v>0</v>
      </c>
      <c r="K26" s="53">
        <v>1</v>
      </c>
      <c r="L26" s="53">
        <v>30</v>
      </c>
      <c r="M26" s="111" t="s">
        <v>526</v>
      </c>
    </row>
    <row r="27" spans="1:13" s="5" customFormat="1" ht="87" customHeight="1" x14ac:dyDescent="0.2">
      <c r="A27" s="49" t="s">
        <v>525</v>
      </c>
      <c r="B27" s="8" t="s">
        <v>21</v>
      </c>
      <c r="C27" s="110" t="s">
        <v>34</v>
      </c>
      <c r="D27" s="84">
        <v>1</v>
      </c>
      <c r="E27" s="49">
        <v>30</v>
      </c>
      <c r="F27" s="80">
        <v>45959</v>
      </c>
      <c r="G27" s="81">
        <v>0.375</v>
      </c>
      <c r="H27" s="80">
        <v>45958</v>
      </c>
      <c r="I27" s="81">
        <v>0.5</v>
      </c>
      <c r="J27" s="87">
        <f t="shared" si="0"/>
        <v>0</v>
      </c>
      <c r="K27" s="53">
        <v>1</v>
      </c>
      <c r="L27" s="53">
        <v>30</v>
      </c>
      <c r="M27" s="111" t="s">
        <v>526</v>
      </c>
    </row>
    <row r="28" spans="1:13" s="5" customFormat="1" ht="48.75" customHeight="1" x14ac:dyDescent="0.2">
      <c r="A28" s="49" t="s">
        <v>527</v>
      </c>
      <c r="B28" s="8" t="s">
        <v>136</v>
      </c>
      <c r="C28" s="110" t="s">
        <v>22</v>
      </c>
      <c r="D28" s="84">
        <v>1</v>
      </c>
      <c r="E28" s="49">
        <v>30</v>
      </c>
      <c r="F28" s="80">
        <v>45959</v>
      </c>
      <c r="G28" s="81">
        <v>0.375</v>
      </c>
      <c r="H28" s="80">
        <v>45958</v>
      </c>
      <c r="I28" s="81">
        <v>0.52083333333333337</v>
      </c>
      <c r="J28" s="87">
        <f t="shared" si="0"/>
        <v>6</v>
      </c>
      <c r="K28" s="53">
        <v>2</v>
      </c>
      <c r="L28" s="53">
        <v>24</v>
      </c>
      <c r="M28" s="111" t="s">
        <v>528</v>
      </c>
    </row>
    <row r="29" spans="1:13" s="5" customFormat="1" ht="36.75" customHeight="1" x14ac:dyDescent="0.2">
      <c r="A29" s="49" t="s">
        <v>527</v>
      </c>
      <c r="B29" s="8" t="s">
        <v>30</v>
      </c>
      <c r="C29" s="110" t="s">
        <v>40</v>
      </c>
      <c r="D29" s="84">
        <v>1</v>
      </c>
      <c r="E29" s="49">
        <v>30</v>
      </c>
      <c r="F29" s="80">
        <v>45959</v>
      </c>
      <c r="G29" s="81">
        <v>0.375</v>
      </c>
      <c r="H29" s="80">
        <v>45958</v>
      </c>
      <c r="I29" s="81">
        <v>0.52083333333333337</v>
      </c>
      <c r="J29" s="87">
        <f t="shared" si="0"/>
        <v>6</v>
      </c>
      <c r="K29" s="53">
        <v>2</v>
      </c>
      <c r="L29" s="53">
        <v>24</v>
      </c>
      <c r="M29" s="111" t="s">
        <v>528</v>
      </c>
    </row>
    <row r="30" spans="1:13" s="5" customFormat="1" ht="37.5" customHeight="1" x14ac:dyDescent="0.2">
      <c r="A30" s="49" t="s">
        <v>527</v>
      </c>
      <c r="B30" s="8" t="s">
        <v>42</v>
      </c>
      <c r="C30" s="110" t="s">
        <v>37</v>
      </c>
      <c r="D30" s="84">
        <v>1</v>
      </c>
      <c r="E30" s="49">
        <v>30</v>
      </c>
      <c r="F30" s="80">
        <v>45959</v>
      </c>
      <c r="G30" s="81">
        <v>0.375</v>
      </c>
      <c r="H30" s="80">
        <v>45958</v>
      </c>
      <c r="I30" s="81">
        <v>0.52083333333333337</v>
      </c>
      <c r="J30" s="87">
        <f t="shared" si="0"/>
        <v>6</v>
      </c>
      <c r="K30" s="53">
        <v>2</v>
      </c>
      <c r="L30" s="53">
        <v>24</v>
      </c>
      <c r="M30" s="111" t="s">
        <v>528</v>
      </c>
    </row>
    <row r="31" spans="1:13" s="5" customFormat="1" ht="38.25" customHeight="1" x14ac:dyDescent="0.2">
      <c r="A31" s="49" t="s">
        <v>527</v>
      </c>
      <c r="B31" s="8" t="s">
        <v>36</v>
      </c>
      <c r="C31" s="110" t="s">
        <v>43</v>
      </c>
      <c r="D31" s="84">
        <v>1</v>
      </c>
      <c r="E31" s="49">
        <v>30</v>
      </c>
      <c r="F31" s="80">
        <v>45959</v>
      </c>
      <c r="G31" s="81">
        <v>0.375</v>
      </c>
      <c r="H31" s="80">
        <v>45958</v>
      </c>
      <c r="I31" s="81">
        <v>0.52083333333333337</v>
      </c>
      <c r="J31" s="87">
        <f t="shared" si="0"/>
        <v>6</v>
      </c>
      <c r="K31" s="53">
        <v>2</v>
      </c>
      <c r="L31" s="53">
        <v>24</v>
      </c>
      <c r="M31" s="111" t="s">
        <v>528</v>
      </c>
    </row>
    <row r="32" spans="1:13" s="5" customFormat="1" ht="38.25" customHeight="1" x14ac:dyDescent="0.2">
      <c r="A32" s="49" t="s">
        <v>527</v>
      </c>
      <c r="B32" s="8" t="s">
        <v>510</v>
      </c>
      <c r="C32" s="110" t="s">
        <v>31</v>
      </c>
      <c r="D32" s="84">
        <v>1</v>
      </c>
      <c r="E32" s="49">
        <v>30</v>
      </c>
      <c r="F32" s="80">
        <v>45959</v>
      </c>
      <c r="G32" s="81">
        <v>0.375</v>
      </c>
      <c r="H32" s="80">
        <v>45958</v>
      </c>
      <c r="I32" s="81">
        <v>0.52083333333333337</v>
      </c>
      <c r="J32" s="87">
        <f t="shared" si="0"/>
        <v>6</v>
      </c>
      <c r="K32" s="53">
        <v>2</v>
      </c>
      <c r="L32" s="53">
        <v>24</v>
      </c>
      <c r="M32" s="111" t="s">
        <v>528</v>
      </c>
    </row>
    <row r="33" spans="1:13" s="5" customFormat="1" ht="38.25" customHeight="1" x14ac:dyDescent="0.2">
      <c r="A33" s="49" t="s">
        <v>527</v>
      </c>
      <c r="B33" s="8" t="s">
        <v>21</v>
      </c>
      <c r="C33" s="110" t="s">
        <v>34</v>
      </c>
      <c r="D33" s="84">
        <v>1</v>
      </c>
      <c r="E33" s="49">
        <v>30</v>
      </c>
      <c r="F33" s="80">
        <v>45959</v>
      </c>
      <c r="G33" s="81">
        <v>0.375</v>
      </c>
      <c r="H33" s="80">
        <v>45958</v>
      </c>
      <c r="I33" s="81">
        <v>0.52083333333333337</v>
      </c>
      <c r="J33" s="87">
        <f t="shared" si="0"/>
        <v>6</v>
      </c>
      <c r="K33" s="53">
        <v>2</v>
      </c>
      <c r="L33" s="53">
        <v>24</v>
      </c>
      <c r="M33" s="111" t="s">
        <v>528</v>
      </c>
    </row>
    <row r="34" spans="1:13" s="5" customFormat="1" ht="44.25" customHeight="1" x14ac:dyDescent="0.2">
      <c r="A34" s="49" t="s">
        <v>529</v>
      </c>
      <c r="B34" s="8" t="s">
        <v>136</v>
      </c>
      <c r="C34" s="110" t="s">
        <v>22</v>
      </c>
      <c r="D34" s="84">
        <v>2</v>
      </c>
      <c r="E34" s="49">
        <v>30</v>
      </c>
      <c r="F34" s="80">
        <v>45959</v>
      </c>
      <c r="G34" s="81">
        <v>0.375</v>
      </c>
      <c r="H34" s="80">
        <v>45958</v>
      </c>
      <c r="I34" s="81">
        <v>0.54166666666666663</v>
      </c>
      <c r="J34" s="87">
        <f t="shared" si="0"/>
        <v>1</v>
      </c>
      <c r="K34" s="53">
        <v>1</v>
      </c>
      <c r="L34" s="53">
        <v>29</v>
      </c>
      <c r="M34" s="111" t="s">
        <v>530</v>
      </c>
    </row>
    <row r="35" spans="1:13" s="5" customFormat="1" ht="55.5" customHeight="1" x14ac:dyDescent="0.2">
      <c r="A35" s="49" t="s">
        <v>529</v>
      </c>
      <c r="B35" s="8" t="s">
        <v>30</v>
      </c>
      <c r="C35" s="110" t="s">
        <v>40</v>
      </c>
      <c r="D35" s="84">
        <v>2</v>
      </c>
      <c r="E35" s="49">
        <v>30</v>
      </c>
      <c r="F35" s="80">
        <v>45959</v>
      </c>
      <c r="G35" s="81">
        <v>0.375</v>
      </c>
      <c r="H35" s="80">
        <v>45958</v>
      </c>
      <c r="I35" s="81">
        <v>0.54166666666666663</v>
      </c>
      <c r="J35" s="87">
        <f t="shared" si="0"/>
        <v>1</v>
      </c>
      <c r="K35" s="53">
        <v>1</v>
      </c>
      <c r="L35" s="53">
        <v>29</v>
      </c>
      <c r="M35" s="111" t="s">
        <v>530</v>
      </c>
    </row>
    <row r="36" spans="1:13" s="5" customFormat="1" ht="39" customHeight="1" x14ac:dyDescent="0.2">
      <c r="A36" s="49" t="s">
        <v>529</v>
      </c>
      <c r="B36" s="8" t="s">
        <v>42</v>
      </c>
      <c r="C36" s="110" t="s">
        <v>37</v>
      </c>
      <c r="D36" s="84">
        <v>2</v>
      </c>
      <c r="E36" s="49">
        <v>30</v>
      </c>
      <c r="F36" s="80">
        <v>45959</v>
      </c>
      <c r="G36" s="81">
        <v>0.375</v>
      </c>
      <c r="H36" s="80">
        <v>45958</v>
      </c>
      <c r="I36" s="81">
        <v>0.54166666666666663</v>
      </c>
      <c r="J36" s="87">
        <f t="shared" si="0"/>
        <v>1</v>
      </c>
      <c r="K36" s="53">
        <v>1</v>
      </c>
      <c r="L36" s="53">
        <v>29</v>
      </c>
      <c r="M36" s="111" t="s">
        <v>530</v>
      </c>
    </row>
    <row r="37" spans="1:13" s="5" customFormat="1" ht="42" customHeight="1" x14ac:dyDescent="0.2">
      <c r="A37" s="49" t="s">
        <v>529</v>
      </c>
      <c r="B37" s="8" t="s">
        <v>36</v>
      </c>
      <c r="C37" s="110" t="s">
        <v>43</v>
      </c>
      <c r="D37" s="84">
        <v>2</v>
      </c>
      <c r="E37" s="49">
        <v>30</v>
      </c>
      <c r="F37" s="80">
        <v>45959</v>
      </c>
      <c r="G37" s="81">
        <v>0.375</v>
      </c>
      <c r="H37" s="80">
        <v>45958</v>
      </c>
      <c r="I37" s="81">
        <v>0.54166666666666663</v>
      </c>
      <c r="J37" s="87">
        <f t="shared" si="0"/>
        <v>1</v>
      </c>
      <c r="K37" s="53">
        <v>1</v>
      </c>
      <c r="L37" s="53">
        <v>29</v>
      </c>
      <c r="M37" s="111" t="s">
        <v>530</v>
      </c>
    </row>
    <row r="38" spans="1:13" s="5" customFormat="1" ht="71.25" customHeight="1" x14ac:dyDescent="0.2">
      <c r="A38" s="49" t="s">
        <v>529</v>
      </c>
      <c r="B38" s="8" t="s">
        <v>510</v>
      </c>
      <c r="C38" s="110" t="s">
        <v>31</v>
      </c>
      <c r="D38" s="84">
        <v>2</v>
      </c>
      <c r="E38" s="49">
        <v>30</v>
      </c>
      <c r="F38" s="80">
        <v>45959</v>
      </c>
      <c r="G38" s="81">
        <v>0.375</v>
      </c>
      <c r="H38" s="80">
        <v>45958</v>
      </c>
      <c r="I38" s="81">
        <v>0.54166666666666663</v>
      </c>
      <c r="J38" s="87">
        <f t="shared" si="0"/>
        <v>1</v>
      </c>
      <c r="K38" s="53">
        <v>1</v>
      </c>
      <c r="L38" s="53">
        <v>29</v>
      </c>
      <c r="M38" s="111" t="s">
        <v>530</v>
      </c>
    </row>
    <row r="39" spans="1:13" s="5" customFormat="1" ht="66" customHeight="1" x14ac:dyDescent="0.2">
      <c r="A39" s="49" t="s">
        <v>529</v>
      </c>
      <c r="B39" s="8" t="s">
        <v>21</v>
      </c>
      <c r="C39" s="110" t="s">
        <v>34</v>
      </c>
      <c r="D39" s="84">
        <v>2</v>
      </c>
      <c r="E39" s="49">
        <v>30</v>
      </c>
      <c r="F39" s="80">
        <v>45959</v>
      </c>
      <c r="G39" s="81">
        <v>0.375</v>
      </c>
      <c r="H39" s="80">
        <v>45958</v>
      </c>
      <c r="I39" s="81">
        <v>0.54166666666666663</v>
      </c>
      <c r="J39" s="87">
        <f t="shared" si="0"/>
        <v>1</v>
      </c>
      <c r="K39" s="53">
        <v>1</v>
      </c>
      <c r="L39" s="53">
        <v>29</v>
      </c>
      <c r="M39" s="111" t="s">
        <v>530</v>
      </c>
    </row>
    <row r="40" spans="1:13" s="5" customFormat="1" ht="56.25" customHeight="1" x14ac:dyDescent="0.2">
      <c r="A40" s="49" t="s">
        <v>531</v>
      </c>
      <c r="B40" s="8" t="s">
        <v>136</v>
      </c>
      <c r="C40" s="110" t="s">
        <v>22</v>
      </c>
      <c r="D40" s="84">
        <v>1</v>
      </c>
      <c r="E40" s="49">
        <v>35</v>
      </c>
      <c r="F40" s="80">
        <v>45959</v>
      </c>
      <c r="G40" s="81">
        <v>0.375</v>
      </c>
      <c r="H40" s="80">
        <v>45958</v>
      </c>
      <c r="I40" s="81">
        <v>0.5625</v>
      </c>
      <c r="J40" s="87">
        <f t="shared" si="0"/>
        <v>5</v>
      </c>
      <c r="K40" s="53">
        <v>2</v>
      </c>
      <c r="L40" s="53">
        <v>30</v>
      </c>
      <c r="M40" s="111" t="s">
        <v>532</v>
      </c>
    </row>
    <row r="41" spans="1:13" s="5" customFormat="1" ht="63" customHeight="1" x14ac:dyDescent="0.2">
      <c r="A41" s="49" t="s">
        <v>531</v>
      </c>
      <c r="B41" s="8" t="s">
        <v>30</v>
      </c>
      <c r="C41" s="110" t="s">
        <v>40</v>
      </c>
      <c r="D41" s="84">
        <v>1</v>
      </c>
      <c r="E41" s="49">
        <v>35</v>
      </c>
      <c r="F41" s="80">
        <v>45959</v>
      </c>
      <c r="G41" s="81">
        <v>0.375</v>
      </c>
      <c r="H41" s="80">
        <v>45958</v>
      </c>
      <c r="I41" s="81">
        <v>0.5625</v>
      </c>
      <c r="J41" s="87">
        <f t="shared" si="0"/>
        <v>5</v>
      </c>
      <c r="K41" s="53">
        <v>2</v>
      </c>
      <c r="L41" s="53">
        <v>30</v>
      </c>
      <c r="M41" s="111" t="s">
        <v>532</v>
      </c>
    </row>
    <row r="42" spans="1:13" s="5" customFormat="1" ht="66" customHeight="1" x14ac:dyDescent="0.2">
      <c r="A42" s="49" t="s">
        <v>531</v>
      </c>
      <c r="B42" s="8" t="s">
        <v>42</v>
      </c>
      <c r="C42" s="110" t="s">
        <v>37</v>
      </c>
      <c r="D42" s="84">
        <v>1</v>
      </c>
      <c r="E42" s="49">
        <v>35</v>
      </c>
      <c r="F42" s="80">
        <v>45959</v>
      </c>
      <c r="G42" s="81">
        <v>0.375</v>
      </c>
      <c r="H42" s="80">
        <v>45958</v>
      </c>
      <c r="I42" s="81">
        <v>0.5625</v>
      </c>
      <c r="J42" s="87">
        <f t="shared" si="0"/>
        <v>5</v>
      </c>
      <c r="K42" s="53">
        <v>2</v>
      </c>
      <c r="L42" s="53">
        <v>30</v>
      </c>
      <c r="M42" s="111" t="s">
        <v>532</v>
      </c>
    </row>
    <row r="43" spans="1:13" s="5" customFormat="1" ht="58.5" customHeight="1" x14ac:dyDescent="0.2">
      <c r="A43" s="49" t="s">
        <v>531</v>
      </c>
      <c r="B43" s="8" t="s">
        <v>36</v>
      </c>
      <c r="C43" s="110" t="s">
        <v>43</v>
      </c>
      <c r="D43" s="84">
        <v>1</v>
      </c>
      <c r="E43" s="49">
        <v>35</v>
      </c>
      <c r="F43" s="80">
        <v>45959</v>
      </c>
      <c r="G43" s="81">
        <v>0.375</v>
      </c>
      <c r="H43" s="80">
        <v>45958</v>
      </c>
      <c r="I43" s="81">
        <v>0.5625</v>
      </c>
      <c r="J43" s="87">
        <f t="shared" si="0"/>
        <v>5</v>
      </c>
      <c r="K43" s="53">
        <v>2</v>
      </c>
      <c r="L43" s="53">
        <v>30</v>
      </c>
      <c r="M43" s="111" t="s">
        <v>532</v>
      </c>
    </row>
    <row r="44" spans="1:13" s="5" customFormat="1" ht="57" customHeight="1" x14ac:dyDescent="0.2">
      <c r="A44" s="49" t="s">
        <v>531</v>
      </c>
      <c r="B44" s="8" t="s">
        <v>510</v>
      </c>
      <c r="C44" s="110" t="s">
        <v>31</v>
      </c>
      <c r="D44" s="84">
        <v>1</v>
      </c>
      <c r="E44" s="49">
        <v>35</v>
      </c>
      <c r="F44" s="80">
        <v>45959</v>
      </c>
      <c r="G44" s="81">
        <v>0.375</v>
      </c>
      <c r="H44" s="80">
        <v>45958</v>
      </c>
      <c r="I44" s="81">
        <v>0.5625</v>
      </c>
      <c r="J44" s="87">
        <f t="shared" si="0"/>
        <v>5</v>
      </c>
      <c r="K44" s="53">
        <v>2</v>
      </c>
      <c r="L44" s="53">
        <v>30</v>
      </c>
      <c r="M44" s="111" t="s">
        <v>532</v>
      </c>
    </row>
    <row r="45" spans="1:13" s="5" customFormat="1" ht="55.5" customHeight="1" x14ac:dyDescent="0.2">
      <c r="A45" s="49" t="s">
        <v>531</v>
      </c>
      <c r="B45" s="8" t="s">
        <v>21</v>
      </c>
      <c r="C45" s="110" t="s">
        <v>34</v>
      </c>
      <c r="D45" s="84">
        <v>1</v>
      </c>
      <c r="E45" s="49">
        <v>35</v>
      </c>
      <c r="F45" s="80">
        <v>45959</v>
      </c>
      <c r="G45" s="81">
        <v>0.375</v>
      </c>
      <c r="H45" s="80">
        <v>45958</v>
      </c>
      <c r="I45" s="81">
        <v>0.5625</v>
      </c>
      <c r="J45" s="87">
        <f t="shared" si="0"/>
        <v>5</v>
      </c>
      <c r="K45" s="53">
        <v>2</v>
      </c>
      <c r="L45" s="53">
        <v>30</v>
      </c>
      <c r="M45" s="111" t="s">
        <v>532</v>
      </c>
    </row>
    <row r="46" spans="1:13" ht="87" customHeight="1" x14ac:dyDescent="0.2">
      <c r="A46" s="49" t="s">
        <v>533</v>
      </c>
      <c r="B46" s="8" t="s">
        <v>136</v>
      </c>
      <c r="C46" s="110" t="s">
        <v>22</v>
      </c>
      <c r="D46" s="84">
        <v>1</v>
      </c>
      <c r="E46" s="49">
        <v>30</v>
      </c>
      <c r="F46" s="80">
        <v>45959</v>
      </c>
      <c r="G46" s="81">
        <v>0.375</v>
      </c>
      <c r="H46" s="80">
        <v>45958</v>
      </c>
      <c r="I46" s="81">
        <v>0.58333333333333337</v>
      </c>
      <c r="J46" s="87">
        <f t="shared" si="0"/>
        <v>7</v>
      </c>
      <c r="K46" s="53">
        <v>1</v>
      </c>
      <c r="L46" s="53">
        <v>23</v>
      </c>
      <c r="M46" s="111" t="s">
        <v>534</v>
      </c>
    </row>
    <row r="47" spans="1:13" s="5" customFormat="1" ht="56.25" customHeight="1" x14ac:dyDescent="0.2">
      <c r="A47" s="49" t="s">
        <v>533</v>
      </c>
      <c r="B47" s="8" t="s">
        <v>30</v>
      </c>
      <c r="C47" s="110" t="s">
        <v>40</v>
      </c>
      <c r="D47" s="84">
        <v>1</v>
      </c>
      <c r="E47" s="49">
        <v>30</v>
      </c>
      <c r="F47" s="80">
        <v>45959</v>
      </c>
      <c r="G47" s="81">
        <v>0.375</v>
      </c>
      <c r="H47" s="80">
        <v>45958</v>
      </c>
      <c r="I47" s="81">
        <v>0.58333333333333337</v>
      </c>
      <c r="J47" s="87">
        <f t="shared" si="0"/>
        <v>7</v>
      </c>
      <c r="K47" s="53">
        <v>1</v>
      </c>
      <c r="L47" s="53">
        <v>23</v>
      </c>
      <c r="M47" s="111" t="s">
        <v>534</v>
      </c>
    </row>
    <row r="48" spans="1:13" s="5" customFormat="1" ht="67.5" customHeight="1" x14ac:dyDescent="0.2">
      <c r="A48" s="49" t="s">
        <v>533</v>
      </c>
      <c r="B48" s="8" t="s">
        <v>42</v>
      </c>
      <c r="C48" s="110" t="s">
        <v>37</v>
      </c>
      <c r="D48" s="84">
        <v>1</v>
      </c>
      <c r="E48" s="49">
        <v>30</v>
      </c>
      <c r="F48" s="80">
        <v>45959</v>
      </c>
      <c r="G48" s="81">
        <v>0.375</v>
      </c>
      <c r="H48" s="80">
        <v>45958</v>
      </c>
      <c r="I48" s="81">
        <v>0.58333333333333337</v>
      </c>
      <c r="J48" s="87">
        <f t="shared" si="0"/>
        <v>7</v>
      </c>
      <c r="K48" s="53">
        <v>1</v>
      </c>
      <c r="L48" s="53">
        <v>23</v>
      </c>
      <c r="M48" s="111" t="s">
        <v>534</v>
      </c>
    </row>
    <row r="49" spans="1:13" s="5" customFormat="1" ht="69.75" customHeight="1" x14ac:dyDescent="0.2">
      <c r="A49" s="49" t="s">
        <v>533</v>
      </c>
      <c r="B49" s="8" t="s">
        <v>36</v>
      </c>
      <c r="C49" s="110" t="s">
        <v>43</v>
      </c>
      <c r="D49" s="84">
        <v>1</v>
      </c>
      <c r="E49" s="49">
        <v>30</v>
      </c>
      <c r="F49" s="80">
        <v>45959</v>
      </c>
      <c r="G49" s="81">
        <v>0.375</v>
      </c>
      <c r="H49" s="80">
        <v>45958</v>
      </c>
      <c r="I49" s="81">
        <v>0.58333333333333337</v>
      </c>
      <c r="J49" s="87">
        <f t="shared" si="0"/>
        <v>7</v>
      </c>
      <c r="K49" s="53">
        <v>1</v>
      </c>
      <c r="L49" s="53">
        <v>23</v>
      </c>
      <c r="M49" s="111" t="s">
        <v>534</v>
      </c>
    </row>
    <row r="50" spans="1:13" s="5" customFormat="1" ht="61.5" customHeight="1" x14ac:dyDescent="0.2">
      <c r="A50" s="49" t="s">
        <v>533</v>
      </c>
      <c r="B50" s="8" t="s">
        <v>510</v>
      </c>
      <c r="C50" s="110" t="s">
        <v>31</v>
      </c>
      <c r="D50" s="84">
        <v>1</v>
      </c>
      <c r="E50" s="49">
        <v>30</v>
      </c>
      <c r="F50" s="80">
        <v>45959</v>
      </c>
      <c r="G50" s="81">
        <v>0.375</v>
      </c>
      <c r="H50" s="80">
        <v>45958</v>
      </c>
      <c r="I50" s="81">
        <v>0.58333333333333337</v>
      </c>
      <c r="J50" s="87">
        <f t="shared" si="0"/>
        <v>7</v>
      </c>
      <c r="K50" s="53">
        <v>1</v>
      </c>
      <c r="L50" s="53">
        <v>23</v>
      </c>
      <c r="M50" s="111" t="s">
        <v>534</v>
      </c>
    </row>
    <row r="51" spans="1:13" s="5" customFormat="1" ht="56.25" customHeight="1" x14ac:dyDescent="0.2">
      <c r="A51" s="49" t="s">
        <v>533</v>
      </c>
      <c r="B51" s="8" t="s">
        <v>21</v>
      </c>
      <c r="C51" s="110" t="s">
        <v>34</v>
      </c>
      <c r="D51" s="84">
        <v>1</v>
      </c>
      <c r="E51" s="49">
        <v>30</v>
      </c>
      <c r="F51" s="80">
        <v>45959</v>
      </c>
      <c r="G51" s="81">
        <v>0.375</v>
      </c>
      <c r="H51" s="80">
        <v>45958</v>
      </c>
      <c r="I51" s="81">
        <v>0.58333333333333337</v>
      </c>
      <c r="J51" s="87">
        <f t="shared" si="0"/>
        <v>7</v>
      </c>
      <c r="K51" s="53">
        <v>1</v>
      </c>
      <c r="L51" s="53">
        <v>23</v>
      </c>
      <c r="M51" s="111" t="s">
        <v>534</v>
      </c>
    </row>
    <row r="52" spans="1:13" s="5" customFormat="1" ht="97.5" customHeight="1" x14ac:dyDescent="0.2">
      <c r="A52" s="49" t="s">
        <v>535</v>
      </c>
      <c r="B52" s="8" t="s">
        <v>136</v>
      </c>
      <c r="C52" s="110" t="s">
        <v>22</v>
      </c>
      <c r="D52" s="84">
        <v>1</v>
      </c>
      <c r="E52" s="49">
        <v>30</v>
      </c>
      <c r="F52" s="80">
        <v>45959</v>
      </c>
      <c r="G52" s="81">
        <v>0.375</v>
      </c>
      <c r="H52" s="80">
        <v>45958</v>
      </c>
      <c r="I52" s="81">
        <v>0.60416666666666663</v>
      </c>
      <c r="J52" s="87">
        <f t="shared" si="0"/>
        <v>0</v>
      </c>
      <c r="K52" s="53">
        <v>1</v>
      </c>
      <c r="L52" s="53">
        <v>30</v>
      </c>
      <c r="M52" s="111" t="s">
        <v>536</v>
      </c>
    </row>
    <row r="53" spans="1:13" s="5" customFormat="1" ht="75" customHeight="1" x14ac:dyDescent="0.2">
      <c r="A53" s="49" t="s">
        <v>535</v>
      </c>
      <c r="B53" s="8" t="s">
        <v>30</v>
      </c>
      <c r="C53" s="110" t="s">
        <v>40</v>
      </c>
      <c r="D53" s="84">
        <v>1</v>
      </c>
      <c r="E53" s="49">
        <v>30</v>
      </c>
      <c r="F53" s="80">
        <v>45959</v>
      </c>
      <c r="G53" s="81">
        <v>0.375</v>
      </c>
      <c r="H53" s="80">
        <v>45958</v>
      </c>
      <c r="I53" s="81">
        <v>0.60416666666666663</v>
      </c>
      <c r="J53" s="87">
        <f t="shared" si="0"/>
        <v>0</v>
      </c>
      <c r="K53" s="53">
        <v>1</v>
      </c>
      <c r="L53" s="53">
        <v>30</v>
      </c>
      <c r="M53" s="111" t="s">
        <v>536</v>
      </c>
    </row>
    <row r="54" spans="1:13" s="5" customFormat="1" ht="70.5" customHeight="1" x14ac:dyDescent="0.2">
      <c r="A54" s="49" t="s">
        <v>535</v>
      </c>
      <c r="B54" s="8" t="s">
        <v>42</v>
      </c>
      <c r="C54" s="110" t="s">
        <v>37</v>
      </c>
      <c r="D54" s="84">
        <v>1</v>
      </c>
      <c r="E54" s="49">
        <v>30</v>
      </c>
      <c r="F54" s="80">
        <v>45959</v>
      </c>
      <c r="G54" s="81">
        <v>0.375</v>
      </c>
      <c r="H54" s="80">
        <v>45958</v>
      </c>
      <c r="I54" s="81">
        <v>0.60416666666666663</v>
      </c>
      <c r="J54" s="87">
        <f t="shared" si="0"/>
        <v>0</v>
      </c>
      <c r="K54" s="53">
        <v>1</v>
      </c>
      <c r="L54" s="53">
        <v>30</v>
      </c>
      <c r="M54" s="111" t="s">
        <v>536</v>
      </c>
    </row>
    <row r="55" spans="1:13" s="5" customFormat="1" ht="73.5" customHeight="1" x14ac:dyDescent="0.2">
      <c r="A55" s="49" t="s">
        <v>535</v>
      </c>
      <c r="B55" s="8" t="s">
        <v>36</v>
      </c>
      <c r="C55" s="110" t="s">
        <v>43</v>
      </c>
      <c r="D55" s="84">
        <v>1</v>
      </c>
      <c r="E55" s="49">
        <v>30</v>
      </c>
      <c r="F55" s="80">
        <v>45959</v>
      </c>
      <c r="G55" s="81">
        <v>0.375</v>
      </c>
      <c r="H55" s="80">
        <v>45958</v>
      </c>
      <c r="I55" s="81">
        <v>0.60416666666666663</v>
      </c>
      <c r="J55" s="87">
        <f t="shared" si="0"/>
        <v>0</v>
      </c>
      <c r="K55" s="53">
        <v>1</v>
      </c>
      <c r="L55" s="53">
        <v>30</v>
      </c>
      <c r="M55" s="111" t="s">
        <v>536</v>
      </c>
    </row>
    <row r="56" spans="1:13" s="5" customFormat="1" ht="66.75" customHeight="1" x14ac:dyDescent="0.2">
      <c r="A56" s="49" t="s">
        <v>535</v>
      </c>
      <c r="B56" s="8" t="s">
        <v>510</v>
      </c>
      <c r="C56" s="110" t="s">
        <v>31</v>
      </c>
      <c r="D56" s="84">
        <v>1</v>
      </c>
      <c r="E56" s="49">
        <v>30</v>
      </c>
      <c r="F56" s="80">
        <v>45959</v>
      </c>
      <c r="G56" s="81">
        <v>0.375</v>
      </c>
      <c r="H56" s="80">
        <v>45958</v>
      </c>
      <c r="I56" s="81">
        <v>0.60416666666666663</v>
      </c>
      <c r="J56" s="87">
        <f t="shared" si="0"/>
        <v>0</v>
      </c>
      <c r="K56" s="53">
        <v>1</v>
      </c>
      <c r="L56" s="53">
        <v>30</v>
      </c>
      <c r="M56" s="111" t="s">
        <v>536</v>
      </c>
    </row>
    <row r="57" spans="1:13" s="5" customFormat="1" ht="55.5" customHeight="1" x14ac:dyDescent="0.2">
      <c r="A57" s="49" t="s">
        <v>535</v>
      </c>
      <c r="B57" s="8" t="s">
        <v>21</v>
      </c>
      <c r="C57" s="110" t="s">
        <v>34</v>
      </c>
      <c r="D57" s="84">
        <v>1</v>
      </c>
      <c r="E57" s="49">
        <v>30</v>
      </c>
      <c r="F57" s="80">
        <v>45959</v>
      </c>
      <c r="G57" s="81">
        <v>0.375</v>
      </c>
      <c r="H57" s="80">
        <v>45958</v>
      </c>
      <c r="I57" s="81">
        <v>0.60416666666666663</v>
      </c>
      <c r="J57" s="87">
        <f t="shared" si="0"/>
        <v>0</v>
      </c>
      <c r="K57" s="53">
        <v>1</v>
      </c>
      <c r="L57" s="53">
        <v>30</v>
      </c>
      <c r="M57" s="111" t="s">
        <v>536</v>
      </c>
    </row>
    <row r="58" spans="1:13" s="5" customFormat="1" ht="59.25" customHeight="1" x14ac:dyDescent="0.2">
      <c r="A58" s="49" t="s">
        <v>537</v>
      </c>
      <c r="B58" s="8" t="s">
        <v>510</v>
      </c>
      <c r="C58" s="110" t="s">
        <v>31</v>
      </c>
      <c r="D58" s="84">
        <v>1</v>
      </c>
      <c r="E58" s="49">
        <v>30</v>
      </c>
      <c r="F58" s="80">
        <v>45959</v>
      </c>
      <c r="G58" s="81">
        <v>0.375</v>
      </c>
      <c r="H58" s="80">
        <v>45958</v>
      </c>
      <c r="I58" s="81">
        <v>0.625</v>
      </c>
      <c r="J58" s="87">
        <f t="shared" si="0"/>
        <v>-1</v>
      </c>
      <c r="K58" s="53">
        <v>3</v>
      </c>
      <c r="L58" s="53">
        <v>31</v>
      </c>
      <c r="M58" s="111" t="s">
        <v>538</v>
      </c>
    </row>
    <row r="59" spans="1:13" s="5" customFormat="1" ht="53.25" customHeight="1" x14ac:dyDescent="0.2">
      <c r="A59" s="49" t="s">
        <v>539</v>
      </c>
      <c r="B59" s="8" t="s">
        <v>136</v>
      </c>
      <c r="C59" s="53" t="s">
        <v>22</v>
      </c>
      <c r="D59" s="84">
        <v>1</v>
      </c>
      <c r="E59" s="49">
        <v>30</v>
      </c>
      <c r="F59" s="80">
        <v>45959</v>
      </c>
      <c r="G59" s="81">
        <v>0.375</v>
      </c>
      <c r="H59" s="80">
        <v>45958</v>
      </c>
      <c r="I59" s="81">
        <v>0.625</v>
      </c>
      <c r="J59" s="87">
        <f t="shared" si="0"/>
        <v>5</v>
      </c>
      <c r="K59" s="53">
        <v>2</v>
      </c>
      <c r="L59" s="53">
        <v>25</v>
      </c>
      <c r="M59" s="79" t="s">
        <v>540</v>
      </c>
    </row>
    <row r="60" spans="1:13" s="5" customFormat="1" ht="63.75" customHeight="1" x14ac:dyDescent="0.2">
      <c r="A60" s="49" t="s">
        <v>541</v>
      </c>
      <c r="B60" s="8" t="s">
        <v>510</v>
      </c>
      <c r="C60" s="53" t="s">
        <v>31</v>
      </c>
      <c r="D60" s="84">
        <v>1</v>
      </c>
      <c r="E60" s="49">
        <v>30</v>
      </c>
      <c r="F60" s="80">
        <v>45959</v>
      </c>
      <c r="G60" s="81">
        <v>0.375</v>
      </c>
      <c r="H60" s="80">
        <v>45958</v>
      </c>
      <c r="I60" s="81">
        <v>0.625</v>
      </c>
      <c r="J60" s="87">
        <f t="shared" si="0"/>
        <v>3</v>
      </c>
      <c r="K60" s="53">
        <v>1</v>
      </c>
      <c r="L60" s="53">
        <v>27</v>
      </c>
      <c r="M60" s="79" t="s">
        <v>542</v>
      </c>
    </row>
    <row r="61" spans="1:13" s="5" customFormat="1" ht="57.75" customHeight="1" x14ac:dyDescent="0.2">
      <c r="A61" s="49" t="s">
        <v>541</v>
      </c>
      <c r="B61" s="8" t="s">
        <v>42</v>
      </c>
      <c r="C61" s="53" t="s">
        <v>37</v>
      </c>
      <c r="D61" s="84">
        <v>1</v>
      </c>
      <c r="E61" s="49">
        <v>30</v>
      </c>
      <c r="F61" s="80">
        <v>45959</v>
      </c>
      <c r="G61" s="81">
        <v>0.375</v>
      </c>
      <c r="H61" s="80">
        <v>45958</v>
      </c>
      <c r="I61" s="81">
        <v>0.625</v>
      </c>
      <c r="J61" s="87">
        <f t="shared" si="0"/>
        <v>3</v>
      </c>
      <c r="K61" s="53">
        <v>1</v>
      </c>
      <c r="L61" s="53">
        <v>27</v>
      </c>
      <c r="M61" s="79" t="s">
        <v>542</v>
      </c>
    </row>
    <row r="62" spans="1:13" s="5" customFormat="1" ht="63" customHeight="1" x14ac:dyDescent="0.2">
      <c r="A62" s="49" t="s">
        <v>543</v>
      </c>
      <c r="B62" s="8" t="s">
        <v>30</v>
      </c>
      <c r="C62" s="53" t="s">
        <v>40</v>
      </c>
      <c r="D62" s="84">
        <v>1</v>
      </c>
      <c r="E62" s="49">
        <v>30</v>
      </c>
      <c r="F62" s="80">
        <v>45959</v>
      </c>
      <c r="G62" s="81">
        <v>0.375</v>
      </c>
      <c r="H62" s="80">
        <v>45958</v>
      </c>
      <c r="I62" s="81">
        <v>0.625</v>
      </c>
      <c r="J62" s="87">
        <f t="shared" si="0"/>
        <v>5</v>
      </c>
      <c r="K62" s="53">
        <v>1</v>
      </c>
      <c r="L62" s="53">
        <v>25</v>
      </c>
      <c r="M62" s="79" t="s">
        <v>544</v>
      </c>
    </row>
    <row r="63" spans="1:13" s="5" customFormat="1" ht="71.25" customHeight="1" x14ac:dyDescent="0.2">
      <c r="A63" s="49" t="s">
        <v>545</v>
      </c>
      <c r="B63" s="8" t="s">
        <v>21</v>
      </c>
      <c r="C63" s="53" t="s">
        <v>22</v>
      </c>
      <c r="D63" s="84">
        <v>1</v>
      </c>
      <c r="E63" s="49">
        <v>30</v>
      </c>
      <c r="F63" s="80">
        <v>45959</v>
      </c>
      <c r="G63" s="81">
        <v>0.375</v>
      </c>
      <c r="H63" s="80">
        <v>45958</v>
      </c>
      <c r="I63" s="81">
        <v>0.625</v>
      </c>
      <c r="J63" s="87">
        <f t="shared" si="0"/>
        <v>0</v>
      </c>
      <c r="K63" s="53">
        <v>1</v>
      </c>
      <c r="L63" s="53">
        <v>30</v>
      </c>
      <c r="M63" s="79" t="s">
        <v>546</v>
      </c>
    </row>
    <row r="64" spans="1:13" s="5" customFormat="1" ht="78.75" customHeight="1" x14ac:dyDescent="0.2">
      <c r="A64" s="49" t="s">
        <v>547</v>
      </c>
      <c r="B64" s="8" t="s">
        <v>510</v>
      </c>
      <c r="C64" s="53" t="s">
        <v>40</v>
      </c>
      <c r="D64" s="84">
        <v>1</v>
      </c>
      <c r="E64" s="49">
        <v>30</v>
      </c>
      <c r="F64" s="80">
        <v>45959</v>
      </c>
      <c r="G64" s="81">
        <v>0.375</v>
      </c>
      <c r="H64" s="80">
        <v>45958</v>
      </c>
      <c r="I64" s="81">
        <v>0.64583333333333337</v>
      </c>
      <c r="J64" s="87">
        <f t="shared" si="0"/>
        <v>3</v>
      </c>
      <c r="K64" s="53">
        <v>1</v>
      </c>
      <c r="L64" s="53">
        <v>27</v>
      </c>
      <c r="M64" s="79" t="s">
        <v>548</v>
      </c>
    </row>
    <row r="65" spans="1:13" s="5" customFormat="1" ht="66.75" customHeight="1" x14ac:dyDescent="0.2">
      <c r="A65" s="49" t="s">
        <v>547</v>
      </c>
      <c r="B65" s="8" t="s">
        <v>30</v>
      </c>
      <c r="C65" s="53" t="s">
        <v>31</v>
      </c>
      <c r="D65" s="84">
        <v>1</v>
      </c>
      <c r="E65" s="49">
        <v>30</v>
      </c>
      <c r="F65" s="80">
        <v>45959</v>
      </c>
      <c r="G65" s="81">
        <v>0.375</v>
      </c>
      <c r="H65" s="80">
        <v>45958</v>
      </c>
      <c r="I65" s="81">
        <v>0.64583333333333337</v>
      </c>
      <c r="J65" s="87">
        <f t="shared" si="0"/>
        <v>3</v>
      </c>
      <c r="K65" s="53">
        <v>1</v>
      </c>
      <c r="L65" s="53">
        <v>27</v>
      </c>
      <c r="M65" s="79" t="s">
        <v>548</v>
      </c>
    </row>
    <row r="66" spans="1:13" s="5" customFormat="1" ht="72.75" customHeight="1" x14ac:dyDescent="0.2">
      <c r="A66" s="49" t="s">
        <v>549</v>
      </c>
      <c r="B66" s="8" t="s">
        <v>30</v>
      </c>
      <c r="C66" s="53" t="s">
        <v>40</v>
      </c>
      <c r="D66" s="84">
        <v>1</v>
      </c>
      <c r="E66" s="49">
        <v>30</v>
      </c>
      <c r="F66" s="80">
        <v>45959</v>
      </c>
      <c r="G66" s="81">
        <v>0.375</v>
      </c>
      <c r="H66" s="80">
        <v>45958</v>
      </c>
      <c r="I66" s="81">
        <v>0.66666666666666663</v>
      </c>
      <c r="J66" s="87">
        <f t="shared" si="0"/>
        <v>0</v>
      </c>
      <c r="K66" s="53">
        <v>1</v>
      </c>
      <c r="L66" s="53">
        <v>30</v>
      </c>
      <c r="M66" s="79" t="s">
        <v>550</v>
      </c>
    </row>
    <row r="67" spans="1:13" s="5" customFormat="1" ht="40.5" customHeight="1" x14ac:dyDescent="0.2">
      <c r="A67" s="49" t="s">
        <v>549</v>
      </c>
      <c r="B67" s="8" t="s">
        <v>510</v>
      </c>
      <c r="C67" s="53" t="s">
        <v>31</v>
      </c>
      <c r="D67" s="84">
        <v>1</v>
      </c>
      <c r="E67" s="49">
        <v>30</v>
      </c>
      <c r="F67" s="80">
        <v>45959</v>
      </c>
      <c r="G67" s="81">
        <v>0.375</v>
      </c>
      <c r="H67" s="80">
        <v>45958</v>
      </c>
      <c r="I67" s="81">
        <v>0.66666666666666663</v>
      </c>
      <c r="J67" s="87">
        <f t="shared" si="0"/>
        <v>0</v>
      </c>
      <c r="K67" s="53">
        <v>1</v>
      </c>
      <c r="L67" s="53">
        <v>30</v>
      </c>
      <c r="M67" s="79" t="s">
        <v>550</v>
      </c>
    </row>
    <row r="68" spans="1:13" s="5" customFormat="1" ht="38.25" customHeight="1" x14ac:dyDescent="0.2">
      <c r="A68" s="49" t="s">
        <v>551</v>
      </c>
      <c r="B68" s="8" t="s">
        <v>30</v>
      </c>
      <c r="C68" s="53" t="s">
        <v>40</v>
      </c>
      <c r="D68" s="84">
        <v>1</v>
      </c>
      <c r="E68" s="49">
        <v>30</v>
      </c>
      <c r="F68" s="80">
        <v>45959</v>
      </c>
      <c r="G68" s="81">
        <v>0.375</v>
      </c>
      <c r="H68" s="80">
        <v>45958</v>
      </c>
      <c r="I68" s="81">
        <v>0.6875</v>
      </c>
      <c r="J68" s="87">
        <f t="shared" ref="J68" si="1">E68-L68</f>
        <v>2</v>
      </c>
      <c r="K68" s="53">
        <v>2</v>
      </c>
      <c r="L68" s="53">
        <v>28</v>
      </c>
      <c r="M68" s="79" t="s">
        <v>552</v>
      </c>
    </row>
    <row r="69" spans="1:13" s="5" customFormat="1" ht="38.25" customHeight="1" x14ac:dyDescent="0.2">
      <c r="A69" s="49" t="s">
        <v>551</v>
      </c>
      <c r="B69" s="8" t="s">
        <v>510</v>
      </c>
      <c r="C69" s="53" t="s">
        <v>31</v>
      </c>
      <c r="D69" s="84">
        <v>1</v>
      </c>
      <c r="E69" s="49">
        <v>30</v>
      </c>
      <c r="F69" s="80">
        <v>45959</v>
      </c>
      <c r="G69" s="81">
        <v>0.375</v>
      </c>
      <c r="H69" s="80">
        <v>45958</v>
      </c>
      <c r="I69" s="81">
        <v>0.6875</v>
      </c>
      <c r="J69" s="87">
        <f t="shared" si="0"/>
        <v>2</v>
      </c>
      <c r="K69" s="53">
        <v>2</v>
      </c>
      <c r="L69" s="53">
        <v>28</v>
      </c>
      <c r="M69" s="79" t="s">
        <v>552</v>
      </c>
    </row>
    <row r="70" spans="1:13" s="5" customFormat="1" ht="67.5" customHeight="1" x14ac:dyDescent="0.2">
      <c r="A70" s="49" t="s">
        <v>553</v>
      </c>
      <c r="B70" s="8" t="s">
        <v>30</v>
      </c>
      <c r="C70" s="53" t="s">
        <v>40</v>
      </c>
      <c r="D70" s="84">
        <v>1</v>
      </c>
      <c r="E70" s="49">
        <v>30</v>
      </c>
      <c r="F70" s="80">
        <v>45959</v>
      </c>
      <c r="G70" s="81">
        <v>0.375</v>
      </c>
      <c r="H70" s="80">
        <v>45958</v>
      </c>
      <c r="I70" s="81">
        <v>0.70833333333333337</v>
      </c>
      <c r="J70" s="87">
        <f t="shared" ref="J70:J88" si="2">E70-L70</f>
        <v>5</v>
      </c>
      <c r="K70" s="53">
        <v>1</v>
      </c>
      <c r="L70" s="53">
        <v>25</v>
      </c>
      <c r="M70" s="79" t="s">
        <v>554</v>
      </c>
    </row>
    <row r="71" spans="1:13" s="5" customFormat="1" ht="53.25" customHeight="1" x14ac:dyDescent="0.2">
      <c r="A71" s="49" t="s">
        <v>553</v>
      </c>
      <c r="B71" s="8" t="s">
        <v>510</v>
      </c>
      <c r="C71" s="53" t="s">
        <v>31</v>
      </c>
      <c r="D71" s="84">
        <v>1</v>
      </c>
      <c r="E71" s="49">
        <v>30</v>
      </c>
      <c r="F71" s="80">
        <v>45959</v>
      </c>
      <c r="G71" s="81">
        <v>0.375</v>
      </c>
      <c r="H71" s="80">
        <v>45958</v>
      </c>
      <c r="I71" s="81">
        <v>0.70833333333333337</v>
      </c>
      <c r="J71" s="87">
        <f t="shared" si="2"/>
        <v>5</v>
      </c>
      <c r="K71" s="53">
        <v>1</v>
      </c>
      <c r="L71" s="53">
        <v>25</v>
      </c>
      <c r="M71" s="79" t="s">
        <v>554</v>
      </c>
    </row>
    <row r="72" spans="1:13" s="5" customFormat="1" ht="41.25" customHeight="1" x14ac:dyDescent="0.2">
      <c r="A72" s="49" t="s">
        <v>555</v>
      </c>
      <c r="B72" s="8" t="s">
        <v>30</v>
      </c>
      <c r="C72" s="53" t="s">
        <v>40</v>
      </c>
      <c r="D72" s="84">
        <v>1</v>
      </c>
      <c r="E72" s="49">
        <v>30</v>
      </c>
      <c r="F72" s="80">
        <v>45959</v>
      </c>
      <c r="G72" s="81">
        <v>0.375</v>
      </c>
      <c r="H72" s="80">
        <v>45958</v>
      </c>
      <c r="I72" s="81">
        <v>0.72916666666666663</v>
      </c>
      <c r="J72" s="87">
        <f t="shared" ref="J72" si="3">E72-L72</f>
        <v>4</v>
      </c>
      <c r="K72" s="53">
        <v>2</v>
      </c>
      <c r="L72" s="53">
        <v>26</v>
      </c>
      <c r="M72" s="79" t="s">
        <v>556</v>
      </c>
    </row>
    <row r="73" spans="1:13" s="5" customFormat="1" ht="42.75" customHeight="1" x14ac:dyDescent="0.2">
      <c r="A73" s="49" t="s">
        <v>555</v>
      </c>
      <c r="B73" s="8" t="s">
        <v>510</v>
      </c>
      <c r="C73" s="53" t="s">
        <v>31</v>
      </c>
      <c r="D73" s="84">
        <v>1</v>
      </c>
      <c r="E73" s="49">
        <v>30</v>
      </c>
      <c r="F73" s="80">
        <v>45959</v>
      </c>
      <c r="G73" s="81">
        <v>0.375</v>
      </c>
      <c r="H73" s="80">
        <v>45958</v>
      </c>
      <c r="I73" s="81">
        <v>0.72916666666666663</v>
      </c>
      <c r="J73" s="87">
        <f t="shared" si="2"/>
        <v>4</v>
      </c>
      <c r="K73" s="53">
        <v>2</v>
      </c>
      <c r="L73" s="53">
        <v>26</v>
      </c>
      <c r="M73" s="79" t="s">
        <v>556</v>
      </c>
    </row>
    <row r="74" spans="1:13" s="5" customFormat="1" ht="37.5" customHeight="1" x14ac:dyDescent="0.2">
      <c r="A74" s="49" t="s">
        <v>557</v>
      </c>
      <c r="B74" s="8" t="s">
        <v>21</v>
      </c>
      <c r="C74" s="53" t="s">
        <v>34</v>
      </c>
      <c r="D74" s="84">
        <v>1</v>
      </c>
      <c r="E74" s="49">
        <v>30</v>
      </c>
      <c r="F74" s="80">
        <v>45959</v>
      </c>
      <c r="G74" s="81">
        <v>0.375</v>
      </c>
      <c r="H74" s="80">
        <v>45958</v>
      </c>
      <c r="I74" s="81">
        <v>0.64583333333333337</v>
      </c>
      <c r="J74" s="87">
        <f t="shared" ref="J74" si="4">E74-L74</f>
        <v>4</v>
      </c>
      <c r="K74" s="53">
        <v>1</v>
      </c>
      <c r="L74" s="53">
        <v>26</v>
      </c>
      <c r="M74" s="79" t="s">
        <v>558</v>
      </c>
    </row>
    <row r="75" spans="1:13" s="5" customFormat="1" ht="39.75" customHeight="1" x14ac:dyDescent="0.2">
      <c r="A75" s="49" t="s">
        <v>557</v>
      </c>
      <c r="B75" s="8" t="s">
        <v>136</v>
      </c>
      <c r="C75" s="53" t="s">
        <v>22</v>
      </c>
      <c r="D75" s="84">
        <v>1</v>
      </c>
      <c r="E75" s="49">
        <v>30</v>
      </c>
      <c r="F75" s="80">
        <v>45959</v>
      </c>
      <c r="G75" s="81">
        <v>0.375</v>
      </c>
      <c r="H75" s="80">
        <v>45958</v>
      </c>
      <c r="I75" s="81">
        <v>0.64583333333333337</v>
      </c>
      <c r="J75" s="87">
        <f t="shared" si="2"/>
        <v>4</v>
      </c>
      <c r="K75" s="53">
        <v>1</v>
      </c>
      <c r="L75" s="53">
        <v>26</v>
      </c>
      <c r="M75" s="79" t="s">
        <v>558</v>
      </c>
    </row>
    <row r="76" spans="1:13" s="5" customFormat="1" ht="44.25" customHeight="1" x14ac:dyDescent="0.2">
      <c r="A76" s="49" t="s">
        <v>559</v>
      </c>
      <c r="B76" s="8" t="s">
        <v>21</v>
      </c>
      <c r="C76" s="53" t="s">
        <v>34</v>
      </c>
      <c r="D76" s="84">
        <v>1</v>
      </c>
      <c r="E76" s="49">
        <v>30</v>
      </c>
      <c r="F76" s="80">
        <v>45959</v>
      </c>
      <c r="G76" s="81">
        <v>0.375</v>
      </c>
      <c r="H76" s="80">
        <v>45958</v>
      </c>
      <c r="I76" s="81">
        <v>0.66666666666666663</v>
      </c>
      <c r="J76" s="87">
        <f t="shared" ref="J76" si="5">E76-L76</f>
        <v>2</v>
      </c>
      <c r="K76" s="53">
        <v>1</v>
      </c>
      <c r="L76" s="53">
        <v>28</v>
      </c>
      <c r="M76" s="79" t="s">
        <v>560</v>
      </c>
    </row>
    <row r="77" spans="1:13" s="5" customFormat="1" ht="44.25" customHeight="1" x14ac:dyDescent="0.2">
      <c r="A77" s="49" t="s">
        <v>559</v>
      </c>
      <c r="B77" s="8" t="s">
        <v>136</v>
      </c>
      <c r="C77" s="53" t="s">
        <v>22</v>
      </c>
      <c r="D77" s="84">
        <v>1</v>
      </c>
      <c r="E77" s="49">
        <v>30</v>
      </c>
      <c r="F77" s="80">
        <v>45959</v>
      </c>
      <c r="G77" s="81">
        <v>0.375</v>
      </c>
      <c r="H77" s="80">
        <v>45958</v>
      </c>
      <c r="I77" s="81">
        <v>0.66666666666666663</v>
      </c>
      <c r="J77" s="87">
        <f t="shared" si="2"/>
        <v>2</v>
      </c>
      <c r="K77" s="53">
        <v>1</v>
      </c>
      <c r="L77" s="53">
        <v>28</v>
      </c>
      <c r="M77" s="79" t="s">
        <v>560</v>
      </c>
    </row>
    <row r="78" spans="1:13" s="5" customFormat="1" ht="36.6" customHeight="1" x14ac:dyDescent="0.2">
      <c r="A78" s="49" t="s">
        <v>561</v>
      </c>
      <c r="B78" s="8" t="s">
        <v>21</v>
      </c>
      <c r="C78" s="53" t="s">
        <v>34</v>
      </c>
      <c r="D78" s="84">
        <v>1</v>
      </c>
      <c r="E78" s="49">
        <v>30</v>
      </c>
      <c r="F78" s="80">
        <v>45959</v>
      </c>
      <c r="G78" s="81">
        <v>0.375</v>
      </c>
      <c r="H78" s="80">
        <v>45958</v>
      </c>
      <c r="I78" s="81">
        <v>0.6875</v>
      </c>
      <c r="J78" s="87">
        <f t="shared" ref="J78" si="6">E78-L78</f>
        <v>0</v>
      </c>
      <c r="K78" s="53">
        <v>1</v>
      </c>
      <c r="L78" s="53">
        <v>30</v>
      </c>
      <c r="M78" s="79" t="s">
        <v>562</v>
      </c>
    </row>
    <row r="79" spans="1:13" s="5" customFormat="1" ht="36.6" customHeight="1" x14ac:dyDescent="0.2">
      <c r="A79" s="49" t="s">
        <v>561</v>
      </c>
      <c r="B79" s="8" t="s">
        <v>136</v>
      </c>
      <c r="C79" s="53" t="s">
        <v>22</v>
      </c>
      <c r="D79" s="84">
        <v>1</v>
      </c>
      <c r="E79" s="49">
        <v>30</v>
      </c>
      <c r="F79" s="80">
        <v>45959</v>
      </c>
      <c r="G79" s="81">
        <v>0.375</v>
      </c>
      <c r="H79" s="80">
        <v>45958</v>
      </c>
      <c r="I79" s="81">
        <v>0.6875</v>
      </c>
      <c r="J79" s="87">
        <f t="shared" si="2"/>
        <v>0</v>
      </c>
      <c r="K79" s="53">
        <v>1</v>
      </c>
      <c r="L79" s="53">
        <v>30</v>
      </c>
      <c r="M79" s="79" t="s">
        <v>562</v>
      </c>
    </row>
    <row r="80" spans="1:13" s="5" customFormat="1" ht="44.25" customHeight="1" x14ac:dyDescent="0.2">
      <c r="A80" s="49" t="s">
        <v>563</v>
      </c>
      <c r="B80" s="8" t="s">
        <v>21</v>
      </c>
      <c r="C80" s="53" t="s">
        <v>34</v>
      </c>
      <c r="D80" s="84">
        <v>1</v>
      </c>
      <c r="E80" s="49">
        <v>30</v>
      </c>
      <c r="F80" s="80">
        <v>45959</v>
      </c>
      <c r="G80" s="81">
        <v>0.375</v>
      </c>
      <c r="H80" s="80">
        <v>45958</v>
      </c>
      <c r="I80" s="81">
        <v>0.70833333333333337</v>
      </c>
      <c r="J80" s="87">
        <f t="shared" si="2"/>
        <v>6</v>
      </c>
      <c r="K80" s="53">
        <v>2</v>
      </c>
      <c r="L80" s="53">
        <v>24</v>
      </c>
      <c r="M80" s="79" t="s">
        <v>564</v>
      </c>
    </row>
    <row r="81" spans="1:13" s="5" customFormat="1" ht="46.5" customHeight="1" x14ac:dyDescent="0.2">
      <c r="A81" s="49" t="s">
        <v>563</v>
      </c>
      <c r="B81" s="8" t="s">
        <v>136</v>
      </c>
      <c r="C81" s="53" t="s">
        <v>22</v>
      </c>
      <c r="D81" s="84">
        <v>1</v>
      </c>
      <c r="E81" s="49">
        <v>30</v>
      </c>
      <c r="F81" s="80">
        <v>45959</v>
      </c>
      <c r="G81" s="81">
        <v>0.375</v>
      </c>
      <c r="H81" s="80">
        <v>45958</v>
      </c>
      <c r="I81" s="81">
        <v>0.70833333333333337</v>
      </c>
      <c r="J81" s="87">
        <f t="shared" ref="J81" si="7">E81-L81</f>
        <v>6</v>
      </c>
      <c r="K81" s="53">
        <v>2</v>
      </c>
      <c r="L81" s="53">
        <v>24</v>
      </c>
      <c r="M81" s="79" t="s">
        <v>564</v>
      </c>
    </row>
    <row r="82" spans="1:13" s="5" customFormat="1" ht="48" customHeight="1" x14ac:dyDescent="0.2">
      <c r="A82" s="49" t="s">
        <v>567</v>
      </c>
      <c r="B82" s="8" t="s">
        <v>21</v>
      </c>
      <c r="C82" s="53" t="s">
        <v>34</v>
      </c>
      <c r="D82" s="84">
        <v>1</v>
      </c>
      <c r="E82" s="49">
        <v>30</v>
      </c>
      <c r="F82" s="80">
        <v>45959</v>
      </c>
      <c r="G82" s="81">
        <v>0.375</v>
      </c>
      <c r="H82" s="80">
        <v>45958</v>
      </c>
      <c r="I82" s="81">
        <v>0.72916666666666663</v>
      </c>
      <c r="J82" s="87">
        <f t="shared" si="2"/>
        <v>2</v>
      </c>
      <c r="K82" s="53">
        <v>1</v>
      </c>
      <c r="L82" s="53">
        <v>28</v>
      </c>
      <c r="M82" s="79" t="s">
        <v>572</v>
      </c>
    </row>
    <row r="83" spans="1:13" s="5" customFormat="1" ht="49.5" customHeight="1" x14ac:dyDescent="0.2">
      <c r="A83" s="49" t="s">
        <v>567</v>
      </c>
      <c r="B83" s="8" t="s">
        <v>136</v>
      </c>
      <c r="C83" s="53" t="s">
        <v>22</v>
      </c>
      <c r="D83" s="84">
        <v>1</v>
      </c>
      <c r="E83" s="49">
        <v>30</v>
      </c>
      <c r="F83" s="80">
        <v>45959</v>
      </c>
      <c r="G83" s="81">
        <v>0.375</v>
      </c>
      <c r="H83" s="80">
        <v>45958</v>
      </c>
      <c r="I83" s="81">
        <v>0.72916666666666663</v>
      </c>
      <c r="J83" s="87">
        <f t="shared" ref="J83" si="8">E83-L83</f>
        <v>2</v>
      </c>
      <c r="K83" s="53">
        <v>1</v>
      </c>
      <c r="L83" s="53">
        <v>28</v>
      </c>
      <c r="M83" s="79" t="s">
        <v>572</v>
      </c>
    </row>
    <row r="84" spans="1:13" s="5" customFormat="1" ht="35.450000000000003" customHeight="1" x14ac:dyDescent="0.2">
      <c r="A84" s="49" t="s">
        <v>568</v>
      </c>
      <c r="B84" s="8" t="s">
        <v>21</v>
      </c>
      <c r="C84" s="53" t="s">
        <v>34</v>
      </c>
      <c r="D84" s="84">
        <v>1</v>
      </c>
      <c r="E84" s="49">
        <v>30</v>
      </c>
      <c r="F84" s="80">
        <v>45959</v>
      </c>
      <c r="G84" s="81">
        <v>0.375</v>
      </c>
      <c r="H84" s="80">
        <v>45958</v>
      </c>
      <c r="I84" s="81">
        <v>0.75</v>
      </c>
      <c r="J84" s="87">
        <f t="shared" si="2"/>
        <v>2</v>
      </c>
      <c r="K84" s="53">
        <v>1</v>
      </c>
      <c r="L84" s="53">
        <v>28</v>
      </c>
      <c r="M84" s="79" t="s">
        <v>571</v>
      </c>
    </row>
    <row r="85" spans="1:13" s="5" customFormat="1" ht="35.450000000000003" customHeight="1" x14ac:dyDescent="0.2">
      <c r="A85" s="49" t="s">
        <v>568</v>
      </c>
      <c r="B85" s="8" t="s">
        <v>136</v>
      </c>
      <c r="C85" s="53" t="s">
        <v>22</v>
      </c>
      <c r="D85" s="84">
        <v>1</v>
      </c>
      <c r="E85" s="49">
        <v>30</v>
      </c>
      <c r="F85" s="80">
        <v>45959</v>
      </c>
      <c r="G85" s="81">
        <v>0.375</v>
      </c>
      <c r="H85" s="80">
        <v>45958</v>
      </c>
      <c r="I85" s="81">
        <v>0.75</v>
      </c>
      <c r="J85" s="87">
        <f t="shared" ref="J85" si="9">E85-L85</f>
        <v>2</v>
      </c>
      <c r="K85" s="53">
        <v>1</v>
      </c>
      <c r="L85" s="53">
        <v>28</v>
      </c>
      <c r="M85" s="79" t="s">
        <v>571</v>
      </c>
    </row>
    <row r="86" spans="1:13" s="5" customFormat="1" ht="35.450000000000003" customHeight="1" x14ac:dyDescent="0.2">
      <c r="A86" s="49" t="s">
        <v>566</v>
      </c>
      <c r="B86" s="8" t="s">
        <v>21</v>
      </c>
      <c r="C86" s="53" t="s">
        <v>34</v>
      </c>
      <c r="D86" s="84">
        <v>1</v>
      </c>
      <c r="E86" s="49">
        <v>30</v>
      </c>
      <c r="F86" s="80">
        <v>45959</v>
      </c>
      <c r="G86" s="81">
        <v>0.375</v>
      </c>
      <c r="H86" s="80">
        <v>45958</v>
      </c>
      <c r="I86" s="81">
        <v>0.77083333333333337</v>
      </c>
      <c r="J86" s="87">
        <f t="shared" si="2"/>
        <v>2</v>
      </c>
      <c r="K86" s="53">
        <v>1</v>
      </c>
      <c r="L86" s="53">
        <v>28</v>
      </c>
      <c r="M86" s="79" t="s">
        <v>570</v>
      </c>
    </row>
    <row r="87" spans="1:13" s="5" customFormat="1" ht="35.450000000000003" customHeight="1" x14ac:dyDescent="0.2">
      <c r="A87" s="49" t="s">
        <v>566</v>
      </c>
      <c r="B87" s="8" t="s">
        <v>136</v>
      </c>
      <c r="C87" s="53" t="s">
        <v>22</v>
      </c>
      <c r="D87" s="84">
        <v>1</v>
      </c>
      <c r="E87" s="49">
        <v>30</v>
      </c>
      <c r="F87" s="80">
        <v>45959</v>
      </c>
      <c r="G87" s="81">
        <v>0.375</v>
      </c>
      <c r="H87" s="80">
        <v>45958</v>
      </c>
      <c r="I87" s="81">
        <v>0.77083333333333337</v>
      </c>
      <c r="J87" s="87">
        <f t="shared" ref="J87" si="10">E87-L87</f>
        <v>2</v>
      </c>
      <c r="K87" s="53">
        <v>1</v>
      </c>
      <c r="L87" s="53">
        <v>28</v>
      </c>
      <c r="M87" s="79" t="s">
        <v>570</v>
      </c>
    </row>
    <row r="88" spans="1:13" s="5" customFormat="1" ht="44.25" customHeight="1" x14ac:dyDescent="0.2">
      <c r="A88" s="49" t="s">
        <v>565</v>
      </c>
      <c r="B88" s="8" t="s">
        <v>21</v>
      </c>
      <c r="C88" s="53" t="s">
        <v>34</v>
      </c>
      <c r="D88" s="84">
        <v>1</v>
      </c>
      <c r="E88" s="49">
        <v>20</v>
      </c>
      <c r="F88" s="80">
        <v>45959</v>
      </c>
      <c r="G88" s="81">
        <v>0.375</v>
      </c>
      <c r="H88" s="80">
        <v>45958</v>
      </c>
      <c r="I88" s="81">
        <v>0.79166666666666663</v>
      </c>
      <c r="J88" s="87">
        <f t="shared" si="2"/>
        <v>2</v>
      </c>
      <c r="K88" s="53">
        <v>1</v>
      </c>
      <c r="L88" s="53">
        <v>18</v>
      </c>
      <c r="M88" s="79" t="s">
        <v>569</v>
      </c>
    </row>
    <row r="89" spans="1:13" s="5" customFormat="1" ht="43.5" customHeight="1" x14ac:dyDescent="0.2">
      <c r="A89" s="49" t="s">
        <v>565</v>
      </c>
      <c r="B89" s="8" t="s">
        <v>136</v>
      </c>
      <c r="C89" s="53" t="s">
        <v>40</v>
      </c>
      <c r="D89" s="84">
        <v>1</v>
      </c>
      <c r="E89" s="49">
        <v>20</v>
      </c>
      <c r="F89" s="80">
        <v>45959</v>
      </c>
      <c r="G89" s="81">
        <v>0.375</v>
      </c>
      <c r="H89" s="80">
        <v>45958</v>
      </c>
      <c r="I89" s="81">
        <v>0.79166666666666663</v>
      </c>
      <c r="J89" s="87">
        <f t="shared" si="0"/>
        <v>2</v>
      </c>
      <c r="K89" s="53">
        <v>1</v>
      </c>
      <c r="L89" s="53">
        <v>18</v>
      </c>
      <c r="M89" s="79" t="s">
        <v>569</v>
      </c>
    </row>
    <row r="90" spans="1:13" s="5" customFormat="1" ht="35.450000000000003" customHeight="1" x14ac:dyDescent="0.2">
      <c r="A90" s="106" t="s">
        <v>123</v>
      </c>
      <c r="B90" s="85" t="s">
        <v>42</v>
      </c>
      <c r="C90" s="85" t="s">
        <v>37</v>
      </c>
      <c r="D90" s="49">
        <v>1</v>
      </c>
      <c r="E90" s="49">
        <v>20</v>
      </c>
      <c r="F90" s="85">
        <v>45959</v>
      </c>
      <c r="G90" s="86">
        <v>0.375</v>
      </c>
      <c r="H90" s="85">
        <v>45958</v>
      </c>
      <c r="I90" s="86">
        <v>0.80555555555555558</v>
      </c>
      <c r="J90" s="87">
        <f>E90-L90</f>
        <v>0</v>
      </c>
      <c r="K90" s="53">
        <v>1</v>
      </c>
      <c r="L90" s="88">
        <v>20</v>
      </c>
      <c r="M90" s="93" t="s">
        <v>124</v>
      </c>
    </row>
    <row r="91" spans="1:13" s="5" customFormat="1" ht="35.450000000000003" customHeight="1" x14ac:dyDescent="0.2">
      <c r="A91" s="38" t="s">
        <v>123</v>
      </c>
      <c r="B91" s="85" t="s">
        <v>36</v>
      </c>
      <c r="C91" s="85" t="s">
        <v>43</v>
      </c>
      <c r="D91" s="49">
        <v>1</v>
      </c>
      <c r="E91" s="49">
        <v>20</v>
      </c>
      <c r="F91" s="85">
        <v>45959</v>
      </c>
      <c r="G91" s="86">
        <v>0.375</v>
      </c>
      <c r="H91" s="85">
        <v>45958</v>
      </c>
      <c r="I91" s="86">
        <v>0.80555555555555558</v>
      </c>
      <c r="J91" s="87">
        <f t="shared" ref="J91:J112" si="11">E91-L91</f>
        <v>0</v>
      </c>
      <c r="K91" s="8">
        <v>1</v>
      </c>
      <c r="L91" s="88">
        <v>20</v>
      </c>
      <c r="M91" s="93" t="s">
        <v>124</v>
      </c>
    </row>
    <row r="92" spans="1:13" s="5" customFormat="1" ht="37.5" customHeight="1" x14ac:dyDescent="0.2">
      <c r="A92" s="115" t="s">
        <v>175</v>
      </c>
      <c r="B92" s="115" t="s">
        <v>42</v>
      </c>
      <c r="C92" s="13" t="s">
        <v>37</v>
      </c>
      <c r="D92" s="53">
        <v>1</v>
      </c>
      <c r="E92" s="53">
        <v>30</v>
      </c>
      <c r="F92" s="13">
        <v>45959</v>
      </c>
      <c r="G92" s="86">
        <v>0.375</v>
      </c>
      <c r="H92" s="13">
        <v>45958</v>
      </c>
      <c r="I92" s="12">
        <v>0.83333333333333337</v>
      </c>
      <c r="J92" s="53">
        <f t="shared" si="11"/>
        <v>6</v>
      </c>
      <c r="K92" s="50">
        <v>1</v>
      </c>
      <c r="L92" s="68">
        <v>24</v>
      </c>
      <c r="M92" s="52" t="s">
        <v>176</v>
      </c>
    </row>
    <row r="93" spans="1:13" ht="25.5" x14ac:dyDescent="0.2">
      <c r="A93" s="115" t="s">
        <v>177</v>
      </c>
      <c r="B93" s="115" t="s">
        <v>30</v>
      </c>
      <c r="C93" s="13" t="s">
        <v>40</v>
      </c>
      <c r="D93" s="53">
        <v>1</v>
      </c>
      <c r="E93" s="53">
        <v>30</v>
      </c>
      <c r="F93" s="13">
        <v>45959</v>
      </c>
      <c r="G93" s="86">
        <v>0.375</v>
      </c>
      <c r="H93" s="13">
        <v>45958</v>
      </c>
      <c r="I93" s="12">
        <v>0.83333333333333337</v>
      </c>
      <c r="J93" s="53">
        <f t="shared" si="11"/>
        <v>0</v>
      </c>
      <c r="K93" s="50">
        <v>1</v>
      </c>
      <c r="L93" s="68">
        <v>30</v>
      </c>
      <c r="M93" s="52" t="s">
        <v>178</v>
      </c>
    </row>
    <row r="94" spans="1:13" ht="38.25" x14ac:dyDescent="0.2">
      <c r="A94" s="85" t="s">
        <v>179</v>
      </c>
      <c r="B94" s="115" t="s">
        <v>30</v>
      </c>
      <c r="C94" s="13" t="s">
        <v>40</v>
      </c>
      <c r="D94" s="53">
        <v>5</v>
      </c>
      <c r="E94" s="53">
        <v>50</v>
      </c>
      <c r="F94" s="13">
        <v>45959</v>
      </c>
      <c r="G94" s="86">
        <v>0.375</v>
      </c>
      <c r="H94" s="13">
        <v>45958</v>
      </c>
      <c r="I94" s="12">
        <v>0.86805555555555558</v>
      </c>
      <c r="J94" s="53">
        <f t="shared" si="11"/>
        <v>5</v>
      </c>
      <c r="K94" s="50">
        <v>5</v>
      </c>
      <c r="L94" s="68">
        <v>45</v>
      </c>
      <c r="M94" s="52" t="s">
        <v>180</v>
      </c>
    </row>
    <row r="95" spans="1:13" ht="36" x14ac:dyDescent="0.2">
      <c r="A95" s="23" t="s">
        <v>146</v>
      </c>
      <c r="B95" s="85" t="s">
        <v>510</v>
      </c>
      <c r="C95" s="90" t="s">
        <v>31</v>
      </c>
      <c r="D95" s="84">
        <v>1</v>
      </c>
      <c r="E95" s="49">
        <v>60</v>
      </c>
      <c r="F95" s="85">
        <v>45959</v>
      </c>
      <c r="G95" s="86">
        <v>0.375</v>
      </c>
      <c r="H95" s="85">
        <v>45958</v>
      </c>
      <c r="I95" s="86">
        <v>0.91666666666666663</v>
      </c>
      <c r="J95" s="87">
        <f t="shared" si="11"/>
        <v>50</v>
      </c>
      <c r="K95" s="8">
        <v>1</v>
      </c>
      <c r="L95" s="88">
        <v>10</v>
      </c>
      <c r="M95" s="91" t="s">
        <v>149</v>
      </c>
    </row>
    <row r="96" spans="1:13" ht="36" x14ac:dyDescent="0.2">
      <c r="A96" s="23" t="s">
        <v>146</v>
      </c>
      <c r="B96" s="85" t="s">
        <v>36</v>
      </c>
      <c r="C96" s="90" t="s">
        <v>43</v>
      </c>
      <c r="D96" s="84">
        <v>1</v>
      </c>
      <c r="E96" s="49">
        <v>60</v>
      </c>
      <c r="F96" s="85">
        <v>45959</v>
      </c>
      <c r="G96" s="86">
        <v>0.375</v>
      </c>
      <c r="H96" s="85">
        <v>45958</v>
      </c>
      <c r="I96" s="86">
        <v>0.91666666666666663</v>
      </c>
      <c r="J96" s="87">
        <f t="shared" si="11"/>
        <v>50</v>
      </c>
      <c r="K96" s="8">
        <v>1</v>
      </c>
      <c r="L96" s="88">
        <v>10</v>
      </c>
      <c r="M96" s="91" t="s">
        <v>149</v>
      </c>
    </row>
    <row r="97" spans="1:13" ht="36" x14ac:dyDescent="0.2">
      <c r="A97" s="23" t="s">
        <v>146</v>
      </c>
      <c r="B97" s="85" t="s">
        <v>136</v>
      </c>
      <c r="C97" s="90" t="s">
        <v>22</v>
      </c>
      <c r="D97" s="84">
        <v>1</v>
      </c>
      <c r="E97" s="49">
        <v>60</v>
      </c>
      <c r="F97" s="85">
        <v>45959</v>
      </c>
      <c r="G97" s="86">
        <v>0.375</v>
      </c>
      <c r="H97" s="85">
        <v>45958</v>
      </c>
      <c r="I97" s="86">
        <v>0.91666666666666663</v>
      </c>
      <c r="J97" s="87">
        <f t="shared" si="11"/>
        <v>50</v>
      </c>
      <c r="K97" s="8">
        <v>1</v>
      </c>
      <c r="L97" s="88">
        <v>10</v>
      </c>
      <c r="M97" s="91" t="s">
        <v>149</v>
      </c>
    </row>
    <row r="98" spans="1:13" ht="36" x14ac:dyDescent="0.2">
      <c r="A98" s="23" t="s">
        <v>146</v>
      </c>
      <c r="B98" s="85" t="s">
        <v>21</v>
      </c>
      <c r="C98" s="90" t="s">
        <v>34</v>
      </c>
      <c r="D98" s="84">
        <v>1</v>
      </c>
      <c r="E98" s="49">
        <v>60</v>
      </c>
      <c r="F98" s="85">
        <v>45959</v>
      </c>
      <c r="G98" s="86">
        <v>0.375</v>
      </c>
      <c r="H98" s="85">
        <v>45958</v>
      </c>
      <c r="I98" s="86">
        <v>0.91666666666666663</v>
      </c>
      <c r="J98" s="87">
        <f t="shared" si="11"/>
        <v>50</v>
      </c>
      <c r="K98" s="8">
        <v>1</v>
      </c>
      <c r="L98" s="88">
        <v>10</v>
      </c>
      <c r="M98" s="91" t="s">
        <v>149</v>
      </c>
    </row>
    <row r="99" spans="1:13" ht="36" x14ac:dyDescent="0.2">
      <c r="A99" s="23" t="s">
        <v>146</v>
      </c>
      <c r="B99" s="85" t="s">
        <v>42</v>
      </c>
      <c r="C99" s="90" t="s">
        <v>37</v>
      </c>
      <c r="D99" s="84">
        <v>1</v>
      </c>
      <c r="E99" s="49">
        <v>60</v>
      </c>
      <c r="F99" s="85">
        <v>45959</v>
      </c>
      <c r="G99" s="86">
        <v>0.375</v>
      </c>
      <c r="H99" s="85">
        <v>45958</v>
      </c>
      <c r="I99" s="86">
        <v>0.91666666666666663</v>
      </c>
      <c r="J99" s="87">
        <f t="shared" si="11"/>
        <v>50</v>
      </c>
      <c r="K99" s="8">
        <v>1</v>
      </c>
      <c r="L99" s="88">
        <v>10</v>
      </c>
      <c r="M99" s="91" t="s">
        <v>149</v>
      </c>
    </row>
    <row r="100" spans="1:13" ht="36" x14ac:dyDescent="0.2">
      <c r="A100" s="23" t="s">
        <v>146</v>
      </c>
      <c r="B100" s="85" t="s">
        <v>510</v>
      </c>
      <c r="C100" s="90" t="s">
        <v>40</v>
      </c>
      <c r="D100" s="84">
        <v>1</v>
      </c>
      <c r="E100" s="49">
        <v>60</v>
      </c>
      <c r="F100" s="85">
        <v>45959</v>
      </c>
      <c r="G100" s="86">
        <v>0.375</v>
      </c>
      <c r="H100" s="85">
        <v>45958</v>
      </c>
      <c r="I100" s="86">
        <v>0.91666666666666663</v>
      </c>
      <c r="J100" s="87">
        <f t="shared" si="11"/>
        <v>50</v>
      </c>
      <c r="K100" s="8">
        <v>1</v>
      </c>
      <c r="L100" s="88">
        <v>10</v>
      </c>
      <c r="M100" s="91" t="s">
        <v>149</v>
      </c>
    </row>
    <row r="101" spans="1:13" ht="24" x14ac:dyDescent="0.2">
      <c r="A101" s="23" t="s">
        <v>52</v>
      </c>
      <c r="B101" s="90" t="s">
        <v>136</v>
      </c>
      <c r="C101" s="90" t="s">
        <v>22</v>
      </c>
      <c r="D101" s="84">
        <v>1</v>
      </c>
      <c r="E101" s="49">
        <v>30</v>
      </c>
      <c r="F101" s="85">
        <v>45959</v>
      </c>
      <c r="G101" s="86">
        <v>0.375</v>
      </c>
      <c r="H101" s="85">
        <v>45958</v>
      </c>
      <c r="I101" s="86">
        <v>0.91666666666666663</v>
      </c>
      <c r="J101" s="87">
        <f t="shared" si="11"/>
        <v>0</v>
      </c>
      <c r="K101" s="8">
        <v>1</v>
      </c>
      <c r="L101" s="88">
        <v>30</v>
      </c>
      <c r="M101" s="91" t="s">
        <v>53</v>
      </c>
    </row>
    <row r="102" spans="1:13" ht="24" x14ac:dyDescent="0.2">
      <c r="A102" s="23" t="s">
        <v>153</v>
      </c>
      <c r="B102" s="90" t="s">
        <v>42</v>
      </c>
      <c r="C102" s="90" t="s">
        <v>37</v>
      </c>
      <c r="D102" s="84">
        <v>1</v>
      </c>
      <c r="E102" s="5">
        <v>30</v>
      </c>
      <c r="F102" s="85">
        <v>45959</v>
      </c>
      <c r="G102" s="86">
        <v>0.375</v>
      </c>
      <c r="H102" s="85">
        <v>45958</v>
      </c>
      <c r="I102" s="86">
        <v>0.91666666666666663</v>
      </c>
      <c r="J102" s="87">
        <f t="shared" si="11"/>
        <v>0</v>
      </c>
      <c r="K102" s="8">
        <v>1</v>
      </c>
      <c r="L102" s="88">
        <v>30</v>
      </c>
      <c r="M102" s="91" t="s">
        <v>53</v>
      </c>
    </row>
    <row r="103" spans="1:13" ht="24" x14ac:dyDescent="0.2">
      <c r="A103" s="23" t="s">
        <v>79</v>
      </c>
      <c r="B103" s="85" t="s">
        <v>42</v>
      </c>
      <c r="C103" s="90" t="s">
        <v>37</v>
      </c>
      <c r="D103" s="84">
        <v>1</v>
      </c>
      <c r="E103" s="49">
        <v>45</v>
      </c>
      <c r="F103" s="85">
        <v>45959</v>
      </c>
      <c r="G103" s="86">
        <v>0.375</v>
      </c>
      <c r="H103" s="85">
        <v>45958</v>
      </c>
      <c r="I103" s="86">
        <v>0.9375</v>
      </c>
      <c r="J103" s="87">
        <f t="shared" si="11"/>
        <v>-35</v>
      </c>
      <c r="K103" s="8">
        <v>1</v>
      </c>
      <c r="L103" s="88">
        <v>80</v>
      </c>
      <c r="M103" s="91" t="s">
        <v>81</v>
      </c>
    </row>
    <row r="104" spans="1:13" ht="36" x14ac:dyDescent="0.2">
      <c r="A104" s="23" t="s">
        <v>85</v>
      </c>
      <c r="B104" s="85" t="s">
        <v>136</v>
      </c>
      <c r="C104" s="90" t="s">
        <v>22</v>
      </c>
      <c r="D104" s="84">
        <v>1</v>
      </c>
      <c r="E104" s="49">
        <v>60</v>
      </c>
      <c r="F104" s="85">
        <v>45959</v>
      </c>
      <c r="G104" s="86">
        <v>0.375</v>
      </c>
      <c r="H104" s="85">
        <v>45958</v>
      </c>
      <c r="I104" s="86">
        <v>0.9375</v>
      </c>
      <c r="J104" s="87">
        <f t="shared" si="11"/>
        <v>10</v>
      </c>
      <c r="K104" s="8">
        <v>1</v>
      </c>
      <c r="L104" s="88">
        <v>50</v>
      </c>
      <c r="M104" s="91" t="s">
        <v>87</v>
      </c>
    </row>
    <row r="105" spans="1:13" ht="24" x14ac:dyDescent="0.2">
      <c r="A105" s="23" t="s">
        <v>88</v>
      </c>
      <c r="B105" s="85" t="s">
        <v>136</v>
      </c>
      <c r="C105" s="85" t="s">
        <v>22</v>
      </c>
      <c r="D105" s="84">
        <v>1</v>
      </c>
      <c r="E105" s="49">
        <v>55</v>
      </c>
      <c r="F105" s="85">
        <v>45959</v>
      </c>
      <c r="G105" s="86">
        <v>0.375</v>
      </c>
      <c r="H105" s="85">
        <v>45958</v>
      </c>
      <c r="I105" s="86">
        <v>0.9375</v>
      </c>
      <c r="J105" s="87">
        <f t="shared" si="11"/>
        <v>0</v>
      </c>
      <c r="K105" s="8">
        <v>1</v>
      </c>
      <c r="L105" s="88">
        <v>55</v>
      </c>
      <c r="M105" s="91" t="s">
        <v>89</v>
      </c>
    </row>
    <row r="106" spans="1:13" ht="24" x14ac:dyDescent="0.2">
      <c r="A106" s="33" t="s">
        <v>131</v>
      </c>
      <c r="B106" s="85" t="s">
        <v>42</v>
      </c>
      <c r="C106" s="85" t="s">
        <v>37</v>
      </c>
      <c r="D106" s="49">
        <v>1</v>
      </c>
      <c r="E106" s="49">
        <v>30</v>
      </c>
      <c r="F106" s="85">
        <v>45959</v>
      </c>
      <c r="G106" s="86">
        <v>0.375</v>
      </c>
      <c r="H106" s="85">
        <v>45958</v>
      </c>
      <c r="I106" s="86">
        <v>0.9375</v>
      </c>
      <c r="J106" s="87">
        <f t="shared" si="11"/>
        <v>-2</v>
      </c>
      <c r="K106" s="8">
        <v>1</v>
      </c>
      <c r="L106" s="88">
        <v>32</v>
      </c>
      <c r="M106" s="91" t="s">
        <v>132</v>
      </c>
    </row>
    <row r="107" spans="1:13" ht="24" x14ac:dyDescent="0.2">
      <c r="A107" s="33" t="s">
        <v>131</v>
      </c>
      <c r="B107" s="85" t="s">
        <v>36</v>
      </c>
      <c r="C107" s="85" t="s">
        <v>43</v>
      </c>
      <c r="D107" s="49">
        <v>1</v>
      </c>
      <c r="E107" s="49">
        <v>30</v>
      </c>
      <c r="F107" s="85">
        <v>45959</v>
      </c>
      <c r="G107" s="86">
        <v>0.375</v>
      </c>
      <c r="H107" s="85">
        <v>45958</v>
      </c>
      <c r="I107" s="86">
        <v>0.9375</v>
      </c>
      <c r="J107" s="87">
        <f t="shared" si="11"/>
        <v>-2</v>
      </c>
      <c r="K107" s="8">
        <v>1</v>
      </c>
      <c r="L107" s="88">
        <v>32</v>
      </c>
      <c r="M107" s="91" t="s">
        <v>132</v>
      </c>
    </row>
    <row r="108" spans="1:13" ht="24" x14ac:dyDescent="0.2">
      <c r="A108" s="33" t="s">
        <v>131</v>
      </c>
      <c r="B108" s="85" t="s">
        <v>510</v>
      </c>
      <c r="C108" s="85" t="s">
        <v>31</v>
      </c>
      <c r="D108" s="49">
        <v>1</v>
      </c>
      <c r="E108" s="49">
        <v>30</v>
      </c>
      <c r="F108" s="85">
        <v>45959</v>
      </c>
      <c r="G108" s="86">
        <v>0.375</v>
      </c>
      <c r="H108" s="85">
        <v>45958</v>
      </c>
      <c r="I108" s="86">
        <v>0.9375</v>
      </c>
      <c r="J108" s="87">
        <f t="shared" si="11"/>
        <v>-2</v>
      </c>
      <c r="K108" s="8">
        <v>1</v>
      </c>
      <c r="L108" s="88">
        <v>32</v>
      </c>
      <c r="M108" s="91" t="s">
        <v>132</v>
      </c>
    </row>
    <row r="109" spans="1:13" ht="24" x14ac:dyDescent="0.2">
      <c r="A109" s="33" t="s">
        <v>131</v>
      </c>
      <c r="B109" s="85" t="s">
        <v>136</v>
      </c>
      <c r="C109" s="85" t="s">
        <v>22</v>
      </c>
      <c r="D109" s="49">
        <v>1</v>
      </c>
      <c r="E109" s="49">
        <v>30</v>
      </c>
      <c r="F109" s="85">
        <v>45959</v>
      </c>
      <c r="G109" s="86">
        <v>0.375</v>
      </c>
      <c r="H109" s="85">
        <v>45958</v>
      </c>
      <c r="I109" s="86">
        <v>0.9375</v>
      </c>
      <c r="J109" s="87">
        <f t="shared" si="11"/>
        <v>-2</v>
      </c>
      <c r="K109" s="8">
        <v>1</v>
      </c>
      <c r="L109" s="88">
        <v>32</v>
      </c>
      <c r="M109" s="91" t="s">
        <v>132</v>
      </c>
    </row>
    <row r="110" spans="1:13" ht="24" x14ac:dyDescent="0.2">
      <c r="A110" s="33" t="s">
        <v>131</v>
      </c>
      <c r="B110" s="85" t="s">
        <v>21</v>
      </c>
      <c r="C110" s="85" t="s">
        <v>34</v>
      </c>
      <c r="D110" s="49">
        <v>1</v>
      </c>
      <c r="E110" s="49">
        <v>30</v>
      </c>
      <c r="F110" s="85">
        <v>45959</v>
      </c>
      <c r="G110" s="86">
        <v>0.375</v>
      </c>
      <c r="H110" s="85">
        <v>45958</v>
      </c>
      <c r="I110" s="86">
        <v>0.9375</v>
      </c>
      <c r="J110" s="87">
        <f t="shared" si="11"/>
        <v>-2</v>
      </c>
      <c r="K110" s="8">
        <v>1</v>
      </c>
      <c r="L110" s="88">
        <v>32</v>
      </c>
      <c r="M110" s="91" t="s">
        <v>132</v>
      </c>
    </row>
    <row r="111" spans="1:13" ht="24" x14ac:dyDescent="0.2">
      <c r="A111" s="33" t="s">
        <v>131</v>
      </c>
      <c r="B111" s="85" t="s">
        <v>30</v>
      </c>
      <c r="C111" s="85" t="s">
        <v>40</v>
      </c>
      <c r="D111" s="49">
        <v>1</v>
      </c>
      <c r="E111" s="49">
        <v>30</v>
      </c>
      <c r="F111" s="85">
        <v>45959</v>
      </c>
      <c r="G111" s="86">
        <v>0.375</v>
      </c>
      <c r="H111" s="85">
        <v>45958</v>
      </c>
      <c r="I111" s="86">
        <v>0.9375</v>
      </c>
      <c r="J111" s="87">
        <f t="shared" si="11"/>
        <v>-2</v>
      </c>
      <c r="K111" s="8">
        <v>1</v>
      </c>
      <c r="L111" s="88">
        <v>32</v>
      </c>
      <c r="M111" s="91" t="s">
        <v>132</v>
      </c>
    </row>
    <row r="112" spans="1:13" ht="24" x14ac:dyDescent="0.2">
      <c r="A112" s="33" t="s">
        <v>133</v>
      </c>
      <c r="B112" s="85" t="s">
        <v>136</v>
      </c>
      <c r="C112" s="85" t="s">
        <v>22</v>
      </c>
      <c r="D112" s="49">
        <v>3</v>
      </c>
      <c r="E112" s="49">
        <v>20</v>
      </c>
      <c r="F112" s="85">
        <v>45959</v>
      </c>
      <c r="G112" s="86">
        <v>0.375</v>
      </c>
      <c r="H112" s="85">
        <v>45959</v>
      </c>
      <c r="I112" s="86">
        <v>0.375</v>
      </c>
      <c r="J112" s="87">
        <f t="shared" si="11"/>
        <v>5</v>
      </c>
      <c r="K112" s="8">
        <v>3</v>
      </c>
      <c r="L112" s="88">
        <v>15</v>
      </c>
      <c r="M112" s="91" t="s">
        <v>134</v>
      </c>
    </row>
    <row r="113" spans="1:20" x14ac:dyDescent="0.2">
      <c r="A113"/>
      <c r="B113"/>
      <c r="C113"/>
      <c r="D113"/>
      <c r="E113"/>
      <c r="F113"/>
      <c r="G113"/>
      <c r="H113"/>
      <c r="I113"/>
      <c r="J113"/>
      <c r="K113"/>
      <c r="L113"/>
      <c r="M113"/>
    </row>
    <row r="115" spans="1:20" x14ac:dyDescent="0.2">
      <c r="A115"/>
      <c r="B115"/>
      <c r="C115"/>
      <c r="D115"/>
      <c r="E115"/>
    </row>
    <row r="116" spans="1:20" x14ac:dyDescent="0.2">
      <c r="A116" s="70" t="s">
        <v>210</v>
      </c>
      <c r="B116" t="s">
        <v>215</v>
      </c>
      <c r="C116" t="s">
        <v>214</v>
      </c>
      <c r="D116" t="s">
        <v>213</v>
      </c>
      <c r="E116" t="s">
        <v>212</v>
      </c>
    </row>
    <row r="117" spans="1:20" x14ac:dyDescent="0.2">
      <c r="A117" s="71" t="s">
        <v>36</v>
      </c>
      <c r="B117">
        <v>16</v>
      </c>
      <c r="C117">
        <v>475</v>
      </c>
      <c r="D117">
        <v>20</v>
      </c>
      <c r="E117">
        <v>389</v>
      </c>
    </row>
    <row r="118" spans="1:20" x14ac:dyDescent="0.2">
      <c r="A118" s="71" t="s">
        <v>510</v>
      </c>
      <c r="B118">
        <v>18</v>
      </c>
      <c r="C118">
        <v>575</v>
      </c>
      <c r="D118">
        <v>23</v>
      </c>
      <c r="E118">
        <v>437</v>
      </c>
    </row>
    <row r="119" spans="1:20" x14ac:dyDescent="0.2">
      <c r="A119" s="71" t="s">
        <v>21</v>
      </c>
      <c r="B119">
        <v>18</v>
      </c>
      <c r="C119">
        <v>535</v>
      </c>
      <c r="D119">
        <v>20</v>
      </c>
      <c r="E119">
        <v>448</v>
      </c>
    </row>
    <row r="120" spans="1:20" x14ac:dyDescent="0.2">
      <c r="A120" s="71" t="s">
        <v>136</v>
      </c>
      <c r="B120">
        <v>24</v>
      </c>
      <c r="C120">
        <v>700</v>
      </c>
      <c r="D120">
        <v>27</v>
      </c>
      <c r="E120">
        <v>593</v>
      </c>
    </row>
    <row r="121" spans="1:20" s="4" customFormat="1" ht="30" customHeight="1" x14ac:dyDescent="0.2">
      <c r="A121" s="71" t="s">
        <v>42</v>
      </c>
      <c r="B121">
        <v>21</v>
      </c>
      <c r="C121">
        <v>640</v>
      </c>
      <c r="D121">
        <v>25</v>
      </c>
      <c r="E121">
        <v>575</v>
      </c>
      <c r="I121" s="3"/>
      <c r="J121" s="3"/>
      <c r="K121" s="2"/>
      <c r="L121" s="1"/>
      <c r="M121" s="1"/>
      <c r="N121"/>
      <c r="O121"/>
      <c r="P121"/>
      <c r="Q121"/>
      <c r="R121"/>
      <c r="S121"/>
      <c r="T121"/>
    </row>
    <row r="122" spans="1:20" s="4" customFormat="1" ht="23.25" customHeight="1" x14ac:dyDescent="0.2">
      <c r="A122" s="71" t="s">
        <v>30</v>
      </c>
      <c r="B122">
        <v>20</v>
      </c>
      <c r="C122">
        <v>475</v>
      </c>
      <c r="D122">
        <v>23</v>
      </c>
      <c r="E122">
        <v>434</v>
      </c>
      <c r="I122" s="3"/>
      <c r="J122" s="3"/>
      <c r="K122" s="2"/>
      <c r="L122" s="1"/>
      <c r="M122" s="1"/>
      <c r="N122"/>
      <c r="O122"/>
      <c r="P122"/>
      <c r="Q122"/>
      <c r="R122"/>
      <c r="S122"/>
      <c r="T122"/>
    </row>
    <row r="123" spans="1:20" x14ac:dyDescent="0.2">
      <c r="A123" s="71" t="s">
        <v>211</v>
      </c>
      <c r="B123">
        <v>117</v>
      </c>
      <c r="C123">
        <v>3400</v>
      </c>
      <c r="D123">
        <v>138</v>
      </c>
      <c r="E123">
        <v>2876</v>
      </c>
    </row>
    <row r="124" spans="1:20" x14ac:dyDescent="0.2">
      <c r="A124"/>
      <c r="B124"/>
      <c r="C124"/>
    </row>
    <row r="125" spans="1:20" x14ac:dyDescent="0.2">
      <c r="A125"/>
      <c r="B125"/>
      <c r="C125"/>
    </row>
    <row r="126" spans="1:20" x14ac:dyDescent="0.2">
      <c r="A126"/>
      <c r="B126"/>
      <c r="C126"/>
    </row>
    <row r="127" spans="1:20" x14ac:dyDescent="0.2">
      <c r="A127"/>
      <c r="B127"/>
      <c r="C127"/>
    </row>
    <row r="128" spans="1:20" x14ac:dyDescent="0.2">
      <c r="A128"/>
      <c r="B128"/>
      <c r="C128"/>
    </row>
    <row r="129" spans="1:20" s="5" customFormat="1" ht="12" customHeight="1" x14ac:dyDescent="0.2">
      <c r="A129"/>
      <c r="B129"/>
      <c r="C129"/>
      <c r="D129"/>
      <c r="E129"/>
      <c r="F129"/>
      <c r="G129"/>
      <c r="H129"/>
      <c r="I129"/>
      <c r="J129"/>
      <c r="K129"/>
      <c r="L129"/>
      <c r="M129"/>
    </row>
    <row r="130" spans="1:20" x14ac:dyDescent="0.2">
      <c r="A130"/>
      <c r="B130"/>
      <c r="C130"/>
      <c r="D130"/>
      <c r="E130"/>
      <c r="F130"/>
      <c r="G130"/>
      <c r="H130"/>
      <c r="I130"/>
      <c r="J130"/>
      <c r="K130"/>
      <c r="L130"/>
      <c r="M130"/>
    </row>
    <row r="131" spans="1:20" x14ac:dyDescent="0.2">
      <c r="A131"/>
      <c r="B131"/>
      <c r="C131"/>
    </row>
    <row r="132" spans="1:20" x14ac:dyDescent="0.2">
      <c r="A132"/>
      <c r="B132"/>
      <c r="C132"/>
    </row>
    <row r="133" spans="1:20" x14ac:dyDescent="0.2">
      <c r="A133"/>
      <c r="B133"/>
      <c r="C133"/>
      <c r="Q133" s="42" t="e">
        <f>SUM(#REF!)</f>
        <v>#REF!</v>
      </c>
      <c r="R133" s="42" t="e">
        <f>SUM(#REF!)</f>
        <v>#REF!</v>
      </c>
      <c r="S133" s="42" t="e">
        <f>SUM(#REF!)</f>
        <v>#REF!</v>
      </c>
      <c r="T133" s="42" t="e">
        <f>SUM(#REF!)</f>
        <v>#REF!</v>
      </c>
    </row>
    <row r="134" spans="1:20" ht="35.25" customHeight="1" x14ac:dyDescent="0.2"/>
    <row r="135" spans="1:20" ht="36.75" customHeight="1" x14ac:dyDescent="0.2"/>
    <row r="136" spans="1:20" ht="33.75" customHeight="1" x14ac:dyDescent="0.2"/>
    <row r="137" spans="1:20" ht="26.25" customHeight="1" x14ac:dyDescent="0.2"/>
    <row r="138" spans="1:20" ht="27.75" customHeight="1" x14ac:dyDescent="0.2"/>
    <row r="139" spans="1:20" s="4" customFormat="1" ht="40.5" customHeight="1" x14ac:dyDescent="0.2">
      <c r="I139" s="3"/>
      <c r="J139" s="3"/>
      <c r="K139" s="2"/>
      <c r="L139" s="1"/>
      <c r="M139" s="1"/>
      <c r="N139"/>
      <c r="O139"/>
      <c r="P139"/>
      <c r="Q139"/>
      <c r="R139"/>
      <c r="S139"/>
      <c r="T139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0B4E1-38FD-48BE-9C17-FE92FA3E02E6}">
  <dimension ref="A1:T265"/>
  <sheetViews>
    <sheetView topLeftCell="A35" zoomScale="73" zoomScaleNormal="76" workbookViewId="0">
      <selection activeCell="I34" sqref="I34:I39"/>
    </sheetView>
  </sheetViews>
  <sheetFormatPr baseColWidth="10" defaultColWidth="11.42578125" defaultRowHeight="12.75" x14ac:dyDescent="0.2"/>
  <cols>
    <col min="1" max="1" width="22.42578125" style="4" bestFit="1" customWidth="1"/>
    <col min="2" max="2" width="52.140625" style="4" bestFit="1" customWidth="1"/>
    <col min="3" max="3" width="41.28515625" style="4" bestFit="1" customWidth="1"/>
    <col min="4" max="4" width="24.42578125" style="4" bestFit="1" customWidth="1"/>
    <col min="5" max="5" width="2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26"/>
      <c r="B1" s="128" t="s">
        <v>0</v>
      </c>
      <c r="C1" s="128"/>
      <c r="D1" s="128"/>
      <c r="E1" s="128"/>
      <c r="F1" s="128"/>
      <c r="G1" s="128"/>
      <c r="H1" s="128"/>
      <c r="I1" s="128"/>
      <c r="J1" s="128"/>
      <c r="K1" s="128"/>
      <c r="L1" s="130"/>
      <c r="M1" s="131"/>
    </row>
    <row r="2" spans="1:20" ht="20.25" customHeight="1" x14ac:dyDescent="0.2">
      <c r="A2" s="127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32"/>
      <c r="M2" s="133"/>
    </row>
    <row r="3" spans="1:20" ht="12.75" customHeight="1" x14ac:dyDescent="0.2">
      <c r="A3" s="134" t="s">
        <v>1</v>
      </c>
      <c r="B3" s="136" t="s">
        <v>2</v>
      </c>
      <c r="C3" s="136"/>
      <c r="D3" s="136"/>
      <c r="E3" s="136"/>
      <c r="F3" s="136"/>
      <c r="G3" s="136"/>
      <c r="H3" s="136"/>
      <c r="I3" s="136"/>
      <c r="J3" s="136"/>
      <c r="K3" s="136"/>
      <c r="L3" s="138" t="s">
        <v>3</v>
      </c>
      <c r="M3" s="139"/>
    </row>
    <row r="4" spans="1:20" ht="13.5" thickBot="1" x14ac:dyDescent="0.25">
      <c r="A4" s="135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22" t="s">
        <v>6</v>
      </c>
      <c r="C6" s="122"/>
      <c r="D6" s="122"/>
      <c r="E6" s="122"/>
      <c r="F6" s="122"/>
      <c r="G6" s="122"/>
      <c r="H6" s="123" t="s">
        <v>7</v>
      </c>
      <c r="I6" s="124"/>
      <c r="J6" s="124"/>
      <c r="K6" s="124"/>
      <c r="L6" s="125"/>
      <c r="M6" s="25"/>
    </row>
    <row r="7" spans="1:20" s="14" customFormat="1" ht="49.5" customHeight="1" x14ac:dyDescent="0.2">
      <c r="A7" s="117" cm="1">
        <f t="array" aca="1" ref="A7" ca="1">+A112+A1:L7+A7:L7</f>
        <v>0</v>
      </c>
      <c r="B7" s="117" t="s">
        <v>8</v>
      </c>
      <c r="C7" s="117" t="s">
        <v>9</v>
      </c>
      <c r="D7" s="117" t="s">
        <v>10</v>
      </c>
      <c r="E7" s="117" t="s">
        <v>11</v>
      </c>
      <c r="F7" s="117" t="s">
        <v>12</v>
      </c>
      <c r="G7" s="117" t="s">
        <v>13</v>
      </c>
      <c r="H7" s="118" t="s">
        <v>14</v>
      </c>
      <c r="I7" s="118" t="s">
        <v>15</v>
      </c>
      <c r="J7" s="118" t="s">
        <v>16</v>
      </c>
      <c r="K7" s="118" t="s">
        <v>17</v>
      </c>
      <c r="L7" s="118" t="s">
        <v>18</v>
      </c>
      <c r="M7" s="1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73</v>
      </c>
      <c r="B8" s="85" t="s">
        <v>42</v>
      </c>
      <c r="C8" s="85" t="s">
        <v>37</v>
      </c>
      <c r="D8" s="84">
        <v>1</v>
      </c>
      <c r="E8" s="49">
        <v>30</v>
      </c>
      <c r="F8" s="112">
        <v>45968</v>
      </c>
      <c r="G8" s="113">
        <v>0.375</v>
      </c>
      <c r="H8" s="85">
        <v>45966</v>
      </c>
      <c r="I8" s="86">
        <v>0.41666666666666669</v>
      </c>
      <c r="J8" s="87">
        <f t="shared" ref="J8:J108" si="0">E8-L8</f>
        <v>5</v>
      </c>
      <c r="K8" s="8">
        <v>1</v>
      </c>
      <c r="L8" s="88">
        <v>25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">
      <c r="A9" s="23" t="s">
        <v>511</v>
      </c>
      <c r="B9" s="85" t="s">
        <v>510</v>
      </c>
      <c r="C9" s="85" t="s">
        <v>31</v>
      </c>
      <c r="D9" s="84">
        <v>1</v>
      </c>
      <c r="E9" s="49">
        <v>30</v>
      </c>
      <c r="F9" s="112">
        <v>45968</v>
      </c>
      <c r="G9" s="113">
        <v>0.375</v>
      </c>
      <c r="H9" s="85">
        <v>45966</v>
      </c>
      <c r="I9" s="86">
        <v>0.41666666666666669</v>
      </c>
      <c r="J9" s="87">
        <f t="shared" si="0"/>
        <v>5</v>
      </c>
      <c r="K9" s="8">
        <v>1</v>
      </c>
      <c r="L9" s="88">
        <v>25</v>
      </c>
      <c r="M9" s="91" t="s">
        <v>512</v>
      </c>
      <c r="O9" s="5" t="s">
        <v>155</v>
      </c>
    </row>
    <row r="10" spans="1:20" s="5" customFormat="1" ht="78.75" customHeight="1" x14ac:dyDescent="0.2">
      <c r="A10" s="23" t="s">
        <v>511</v>
      </c>
      <c r="B10" s="8" t="s">
        <v>42</v>
      </c>
      <c r="C10" s="8" t="s">
        <v>37</v>
      </c>
      <c r="D10" s="84">
        <v>1</v>
      </c>
      <c r="E10" s="49">
        <v>30</v>
      </c>
      <c r="F10" s="112">
        <v>45968</v>
      </c>
      <c r="G10" s="113">
        <v>0.375</v>
      </c>
      <c r="H10" s="112">
        <v>45966</v>
      </c>
      <c r="I10" s="113">
        <v>0.4375</v>
      </c>
      <c r="J10" s="87">
        <f t="shared" si="0"/>
        <v>4</v>
      </c>
      <c r="K10" s="8">
        <v>1</v>
      </c>
      <c r="L10" s="8">
        <v>26</v>
      </c>
      <c r="M10" s="49" t="s">
        <v>514</v>
      </c>
    </row>
    <row r="11" spans="1:20" s="5" customFormat="1" ht="75" customHeight="1" x14ac:dyDescent="0.2">
      <c r="A11" s="23" t="s">
        <v>511</v>
      </c>
      <c r="B11" s="8" t="s">
        <v>36</v>
      </c>
      <c r="C11" s="8" t="s">
        <v>43</v>
      </c>
      <c r="D11" s="84">
        <v>1</v>
      </c>
      <c r="E11" s="49">
        <v>30</v>
      </c>
      <c r="F11" s="112">
        <v>45968</v>
      </c>
      <c r="G11" s="113">
        <v>0.375</v>
      </c>
      <c r="H11" s="112">
        <v>45966</v>
      </c>
      <c r="I11" s="113">
        <v>0.41666666666666669</v>
      </c>
      <c r="J11" s="87">
        <f t="shared" si="0"/>
        <v>4</v>
      </c>
      <c r="K11" s="8">
        <v>1</v>
      </c>
      <c r="L11" s="8">
        <v>26</v>
      </c>
      <c r="M11" s="49" t="s">
        <v>515</v>
      </c>
    </row>
    <row r="12" spans="1:20" s="5" customFormat="1" ht="84.75" customHeight="1" x14ac:dyDescent="0.2">
      <c r="A12" s="114" t="s">
        <v>573</v>
      </c>
      <c r="B12" s="8" t="s">
        <v>136</v>
      </c>
      <c r="C12" s="8" t="s">
        <v>22</v>
      </c>
      <c r="D12" s="84">
        <v>1</v>
      </c>
      <c r="E12" s="49">
        <v>30</v>
      </c>
      <c r="F12" s="112">
        <v>45968</v>
      </c>
      <c r="G12" s="113">
        <v>0.375</v>
      </c>
      <c r="H12" s="112">
        <v>45966</v>
      </c>
      <c r="I12" s="116">
        <v>0.41666666666666669</v>
      </c>
      <c r="J12" s="87">
        <f t="shared" si="0"/>
        <v>2</v>
      </c>
      <c r="K12" s="8">
        <v>2</v>
      </c>
      <c r="L12" s="8">
        <v>28</v>
      </c>
      <c r="M12" s="49" t="s">
        <v>574</v>
      </c>
    </row>
    <row r="13" spans="1:20" s="5" customFormat="1" ht="81.75" customHeight="1" x14ac:dyDescent="0.2">
      <c r="A13" s="49" t="s">
        <v>573</v>
      </c>
      <c r="B13" s="8" t="s">
        <v>21</v>
      </c>
      <c r="C13" s="8" t="s">
        <v>34</v>
      </c>
      <c r="D13" s="84">
        <v>1</v>
      </c>
      <c r="E13" s="49">
        <v>30</v>
      </c>
      <c r="F13" s="112">
        <v>45968</v>
      </c>
      <c r="G13" s="113">
        <v>0.375</v>
      </c>
      <c r="H13" s="112">
        <v>45966</v>
      </c>
      <c r="I13" s="113">
        <v>0.41666666666666669</v>
      </c>
      <c r="J13" s="87">
        <f t="shared" si="0"/>
        <v>2</v>
      </c>
      <c r="K13" s="8">
        <v>2</v>
      </c>
      <c r="L13" s="8">
        <v>28</v>
      </c>
      <c r="M13" s="49" t="s">
        <v>574</v>
      </c>
    </row>
    <row r="14" spans="1:20" s="5" customFormat="1" ht="61.5" customHeight="1" x14ac:dyDescent="0.2">
      <c r="A14" s="49" t="s">
        <v>573</v>
      </c>
      <c r="B14" s="8" t="s">
        <v>30</v>
      </c>
      <c r="C14" s="8" t="s">
        <v>40</v>
      </c>
      <c r="D14" s="84">
        <v>1</v>
      </c>
      <c r="E14" s="49">
        <v>30</v>
      </c>
      <c r="F14" s="112">
        <v>45968</v>
      </c>
      <c r="G14" s="113">
        <v>0.375</v>
      </c>
      <c r="H14" s="112">
        <v>45966</v>
      </c>
      <c r="I14" s="113">
        <v>0.41666666666666669</v>
      </c>
      <c r="J14" s="87">
        <f t="shared" si="0"/>
        <v>2</v>
      </c>
      <c r="K14" s="8">
        <v>2</v>
      </c>
      <c r="L14" s="8">
        <v>28</v>
      </c>
      <c r="M14" s="49" t="s">
        <v>574</v>
      </c>
    </row>
    <row r="15" spans="1:20" s="5" customFormat="1" ht="61.5" customHeight="1" x14ac:dyDescent="0.2">
      <c r="A15" s="49" t="s">
        <v>573</v>
      </c>
      <c r="B15" s="8" t="s">
        <v>510</v>
      </c>
      <c r="C15" s="8" t="s">
        <v>31</v>
      </c>
      <c r="D15" s="84">
        <v>1</v>
      </c>
      <c r="E15" s="49">
        <v>30</v>
      </c>
      <c r="F15" s="112">
        <v>45968</v>
      </c>
      <c r="G15" s="113">
        <v>0.375</v>
      </c>
      <c r="H15" s="112">
        <v>45966</v>
      </c>
      <c r="I15" s="113">
        <v>0.45833333333333331</v>
      </c>
      <c r="J15" s="87">
        <f t="shared" si="0"/>
        <v>2</v>
      </c>
      <c r="K15" s="8">
        <v>2</v>
      </c>
      <c r="L15" s="8">
        <v>28</v>
      </c>
      <c r="M15" s="49" t="s">
        <v>574</v>
      </c>
    </row>
    <row r="16" spans="1:20" s="5" customFormat="1" ht="63" customHeight="1" x14ac:dyDescent="0.2">
      <c r="A16" s="38" t="s">
        <v>573</v>
      </c>
      <c r="B16" s="8" t="s">
        <v>42</v>
      </c>
      <c r="C16" s="8" t="s">
        <v>37</v>
      </c>
      <c r="D16" s="84">
        <v>1</v>
      </c>
      <c r="E16" s="49">
        <v>30</v>
      </c>
      <c r="F16" s="112">
        <v>45968</v>
      </c>
      <c r="G16" s="113">
        <v>0.375</v>
      </c>
      <c r="H16" s="112">
        <v>45966</v>
      </c>
      <c r="I16" s="113">
        <v>0.45833333333333331</v>
      </c>
      <c r="J16" s="87">
        <f t="shared" si="0"/>
        <v>2</v>
      </c>
      <c r="K16" s="8">
        <v>2</v>
      </c>
      <c r="L16" s="8">
        <v>28</v>
      </c>
      <c r="M16" s="49" t="s">
        <v>574</v>
      </c>
    </row>
    <row r="17" spans="1:13" s="5" customFormat="1" ht="63" customHeight="1" x14ac:dyDescent="0.2">
      <c r="A17" s="38" t="s">
        <v>573</v>
      </c>
      <c r="B17" s="8" t="s">
        <v>36</v>
      </c>
      <c r="C17" s="8" t="s">
        <v>43</v>
      </c>
      <c r="D17" s="84">
        <v>1</v>
      </c>
      <c r="E17" s="49">
        <v>30</v>
      </c>
      <c r="F17" s="112">
        <v>45968</v>
      </c>
      <c r="G17" s="113">
        <v>0.375</v>
      </c>
      <c r="H17" s="112">
        <v>45966</v>
      </c>
      <c r="I17" s="113">
        <v>0.4375</v>
      </c>
      <c r="J17" s="87">
        <f t="shared" si="0"/>
        <v>2</v>
      </c>
      <c r="K17" s="8">
        <v>2</v>
      </c>
      <c r="L17" s="8">
        <v>28</v>
      </c>
      <c r="M17" s="49" t="s">
        <v>574</v>
      </c>
    </row>
    <row r="18" spans="1:13" s="5" customFormat="1" ht="75" customHeight="1" x14ac:dyDescent="0.2">
      <c r="A18" s="38" t="s">
        <v>575</v>
      </c>
      <c r="B18" s="8" t="s">
        <v>30</v>
      </c>
      <c r="C18" s="8" t="s">
        <v>40</v>
      </c>
      <c r="D18" s="84">
        <v>1</v>
      </c>
      <c r="E18" s="49">
        <v>30</v>
      </c>
      <c r="F18" s="112">
        <v>45968</v>
      </c>
      <c r="G18" s="113">
        <v>0.375</v>
      </c>
      <c r="H18" s="112">
        <v>45966</v>
      </c>
      <c r="I18" s="113">
        <v>0.4375</v>
      </c>
      <c r="J18" s="87">
        <f t="shared" si="0"/>
        <v>1</v>
      </c>
      <c r="K18" s="8">
        <v>1</v>
      </c>
      <c r="L18" s="8">
        <v>29</v>
      </c>
      <c r="M18" s="49" t="s">
        <v>576</v>
      </c>
    </row>
    <row r="19" spans="1:13" s="5" customFormat="1" ht="72.75" customHeight="1" x14ac:dyDescent="0.2">
      <c r="A19" s="35" t="s">
        <v>577</v>
      </c>
      <c r="B19" s="8" t="s">
        <v>30</v>
      </c>
      <c r="C19" s="8" t="s">
        <v>40</v>
      </c>
      <c r="D19" s="84">
        <v>1</v>
      </c>
      <c r="E19" s="49">
        <v>30</v>
      </c>
      <c r="F19" s="112">
        <v>45968</v>
      </c>
      <c r="G19" s="113">
        <v>0.375</v>
      </c>
      <c r="H19" s="112">
        <v>45966</v>
      </c>
      <c r="I19" s="113">
        <v>0.45833333333333331</v>
      </c>
      <c r="J19" s="87">
        <f t="shared" si="0"/>
        <v>2</v>
      </c>
      <c r="K19" s="8">
        <v>1</v>
      </c>
      <c r="L19" s="8">
        <v>28</v>
      </c>
      <c r="M19" s="49" t="s">
        <v>578</v>
      </c>
    </row>
    <row r="20" spans="1:13" s="5" customFormat="1" ht="77.25" customHeight="1" x14ac:dyDescent="0.2">
      <c r="A20" s="49" t="s">
        <v>579</v>
      </c>
      <c r="B20" s="8" t="s">
        <v>21</v>
      </c>
      <c r="C20" s="8" t="s">
        <v>34</v>
      </c>
      <c r="D20" s="84">
        <v>1</v>
      </c>
      <c r="E20" s="49">
        <v>30</v>
      </c>
      <c r="F20" s="112">
        <v>45968</v>
      </c>
      <c r="G20" s="113">
        <v>0.375</v>
      </c>
      <c r="H20" s="112">
        <v>45966</v>
      </c>
      <c r="I20" s="113">
        <v>0.4375</v>
      </c>
      <c r="J20" s="87">
        <f t="shared" si="0"/>
        <v>4</v>
      </c>
      <c r="K20" s="8">
        <v>2</v>
      </c>
      <c r="L20" s="8">
        <v>26</v>
      </c>
      <c r="M20" s="49" t="s">
        <v>580</v>
      </c>
    </row>
    <row r="21" spans="1:13" s="5" customFormat="1" ht="70.5" customHeight="1" x14ac:dyDescent="0.2">
      <c r="A21" s="49" t="s">
        <v>581</v>
      </c>
      <c r="B21" s="8" t="s">
        <v>36</v>
      </c>
      <c r="C21" s="8" t="s">
        <v>43</v>
      </c>
      <c r="D21" s="84">
        <v>1</v>
      </c>
      <c r="E21" s="49">
        <v>30</v>
      </c>
      <c r="F21" s="112">
        <v>45968</v>
      </c>
      <c r="G21" s="113">
        <v>0.375</v>
      </c>
      <c r="H21" s="112">
        <v>45966</v>
      </c>
      <c r="I21" s="113">
        <v>0.45833333333333331</v>
      </c>
      <c r="J21" s="87">
        <f t="shared" si="0"/>
        <v>5</v>
      </c>
      <c r="K21" s="8">
        <v>1</v>
      </c>
      <c r="L21" s="8">
        <v>25</v>
      </c>
      <c r="M21" s="49" t="s">
        <v>582</v>
      </c>
    </row>
    <row r="22" spans="1:13" s="5" customFormat="1" ht="66" customHeight="1" x14ac:dyDescent="0.2">
      <c r="A22" s="49" t="s">
        <v>583</v>
      </c>
      <c r="B22" s="8" t="s">
        <v>36</v>
      </c>
      <c r="C22" s="8" t="s">
        <v>43</v>
      </c>
      <c r="D22" s="84">
        <v>1</v>
      </c>
      <c r="E22" s="49">
        <v>30</v>
      </c>
      <c r="F22" s="112">
        <v>45968</v>
      </c>
      <c r="G22" s="113">
        <v>0.375</v>
      </c>
      <c r="H22" s="112">
        <v>45966</v>
      </c>
      <c r="I22" s="113">
        <v>0.47916666666666669</v>
      </c>
      <c r="J22" s="87">
        <f t="shared" si="0"/>
        <v>2</v>
      </c>
      <c r="K22" s="8">
        <v>1</v>
      </c>
      <c r="L22" s="8">
        <v>28</v>
      </c>
      <c r="M22" s="49" t="s">
        <v>584</v>
      </c>
    </row>
    <row r="23" spans="1:13" s="5" customFormat="1" ht="69" customHeight="1" x14ac:dyDescent="0.2">
      <c r="A23" s="49" t="s">
        <v>585</v>
      </c>
      <c r="B23" s="8" t="s">
        <v>36</v>
      </c>
      <c r="C23" s="8" t="s">
        <v>43</v>
      </c>
      <c r="D23" s="84">
        <v>1</v>
      </c>
      <c r="E23" s="49">
        <v>30</v>
      </c>
      <c r="F23" s="112">
        <v>45968</v>
      </c>
      <c r="G23" s="113">
        <v>0.375</v>
      </c>
      <c r="H23" s="112">
        <v>45966</v>
      </c>
      <c r="I23" s="113">
        <v>0.5</v>
      </c>
      <c r="J23" s="87">
        <f t="shared" si="0"/>
        <v>0</v>
      </c>
      <c r="K23" s="8">
        <v>1</v>
      </c>
      <c r="L23" s="8">
        <v>30</v>
      </c>
      <c r="M23" s="49" t="s">
        <v>586</v>
      </c>
    </row>
    <row r="24" spans="1:13" s="5" customFormat="1" ht="60" customHeight="1" x14ac:dyDescent="0.2">
      <c r="A24" s="49" t="s">
        <v>587</v>
      </c>
      <c r="B24" s="8" t="s">
        <v>136</v>
      </c>
      <c r="C24" s="8" t="s">
        <v>22</v>
      </c>
      <c r="D24" s="84">
        <v>1</v>
      </c>
      <c r="E24" s="49">
        <v>30</v>
      </c>
      <c r="F24" s="112">
        <v>45968</v>
      </c>
      <c r="G24" s="113">
        <v>0.375</v>
      </c>
      <c r="H24" s="112">
        <v>45966</v>
      </c>
      <c r="I24" s="113">
        <v>0.4375</v>
      </c>
      <c r="J24" s="87">
        <f t="shared" si="0"/>
        <v>6</v>
      </c>
      <c r="K24" s="8">
        <v>2</v>
      </c>
      <c r="L24" s="8">
        <v>24</v>
      </c>
      <c r="M24" s="49" t="s">
        <v>588</v>
      </c>
    </row>
    <row r="25" spans="1:13" s="5" customFormat="1" ht="59.25" customHeight="1" x14ac:dyDescent="0.2">
      <c r="A25" s="49" t="s">
        <v>589</v>
      </c>
      <c r="B25" s="8" t="s">
        <v>30</v>
      </c>
      <c r="C25" s="8" t="s">
        <v>40</v>
      </c>
      <c r="D25" s="84">
        <v>1</v>
      </c>
      <c r="E25" s="49">
        <v>30</v>
      </c>
      <c r="F25" s="112">
        <v>45968</v>
      </c>
      <c r="G25" s="113">
        <v>0.375</v>
      </c>
      <c r="H25" s="112">
        <v>45966</v>
      </c>
      <c r="I25" s="113">
        <v>0.47916666666666669</v>
      </c>
      <c r="J25" s="87">
        <f t="shared" si="0"/>
        <v>2</v>
      </c>
      <c r="K25" s="8">
        <v>1</v>
      </c>
      <c r="L25" s="8">
        <v>28</v>
      </c>
      <c r="M25" s="49" t="s">
        <v>590</v>
      </c>
    </row>
    <row r="26" spans="1:13" s="5" customFormat="1" ht="89.25" customHeight="1" x14ac:dyDescent="0.2">
      <c r="A26" s="49" t="s">
        <v>591</v>
      </c>
      <c r="B26" s="8" t="s">
        <v>510</v>
      </c>
      <c r="C26" s="8" t="s">
        <v>31</v>
      </c>
      <c r="D26" s="84">
        <v>1</v>
      </c>
      <c r="E26" s="49">
        <v>30</v>
      </c>
      <c r="F26" s="112">
        <v>45968</v>
      </c>
      <c r="G26" s="113">
        <v>0.375</v>
      </c>
      <c r="H26" s="112">
        <v>45966</v>
      </c>
      <c r="I26" s="113">
        <v>0.47916666666666669</v>
      </c>
      <c r="J26" s="87">
        <f t="shared" si="0"/>
        <v>4</v>
      </c>
      <c r="K26" s="8">
        <v>1</v>
      </c>
      <c r="L26" s="8">
        <v>26</v>
      </c>
      <c r="M26" s="49" t="s">
        <v>592</v>
      </c>
    </row>
    <row r="27" spans="1:13" s="5" customFormat="1" ht="87" customHeight="1" x14ac:dyDescent="0.2">
      <c r="A27" s="49" t="s">
        <v>593</v>
      </c>
      <c r="B27" s="8" t="s">
        <v>510</v>
      </c>
      <c r="C27" s="8" t="s">
        <v>31</v>
      </c>
      <c r="D27" s="84">
        <v>1</v>
      </c>
      <c r="E27" s="49">
        <v>30</v>
      </c>
      <c r="F27" s="112">
        <v>45968</v>
      </c>
      <c r="G27" s="113">
        <v>0.375</v>
      </c>
      <c r="H27" s="112">
        <v>45966</v>
      </c>
      <c r="I27" s="113">
        <v>0.5</v>
      </c>
      <c r="J27" s="87">
        <f t="shared" si="0"/>
        <v>3</v>
      </c>
      <c r="K27" s="8">
        <v>2</v>
      </c>
      <c r="L27" s="8">
        <v>27</v>
      </c>
      <c r="M27" s="49" t="s">
        <v>594</v>
      </c>
    </row>
    <row r="28" spans="1:13" s="5" customFormat="1" ht="48.75" customHeight="1" x14ac:dyDescent="0.2">
      <c r="A28" s="49" t="s">
        <v>595</v>
      </c>
      <c r="B28" s="8" t="s">
        <v>21</v>
      </c>
      <c r="C28" s="8" t="s">
        <v>34</v>
      </c>
      <c r="D28" s="84">
        <v>1</v>
      </c>
      <c r="E28" s="49">
        <v>30</v>
      </c>
      <c r="F28" s="112">
        <v>45968</v>
      </c>
      <c r="G28" s="113">
        <v>0.375</v>
      </c>
      <c r="H28" s="112">
        <v>45966</v>
      </c>
      <c r="I28" s="113">
        <v>0.45833333333333331</v>
      </c>
      <c r="J28" s="87">
        <f t="shared" si="0"/>
        <v>2</v>
      </c>
      <c r="K28" s="8">
        <v>1</v>
      </c>
      <c r="L28" s="8">
        <v>28</v>
      </c>
      <c r="M28" s="49" t="s">
        <v>596</v>
      </c>
    </row>
    <row r="29" spans="1:13" s="5" customFormat="1" ht="36.75" customHeight="1" x14ac:dyDescent="0.2">
      <c r="A29" s="49" t="s">
        <v>597</v>
      </c>
      <c r="B29" s="8" t="s">
        <v>136</v>
      </c>
      <c r="C29" s="8" t="s">
        <v>22</v>
      </c>
      <c r="D29" s="84">
        <v>1</v>
      </c>
      <c r="E29" s="49">
        <v>30</v>
      </c>
      <c r="F29" s="112">
        <v>45968</v>
      </c>
      <c r="G29" s="113">
        <v>0.375</v>
      </c>
      <c r="H29" s="112">
        <v>45966</v>
      </c>
      <c r="I29" s="113">
        <v>0.45833333333333331</v>
      </c>
      <c r="J29" s="87">
        <f t="shared" si="0"/>
        <v>3</v>
      </c>
      <c r="K29" s="8">
        <v>1</v>
      </c>
      <c r="L29" s="8">
        <v>27</v>
      </c>
      <c r="M29" s="49" t="s">
        <v>598</v>
      </c>
    </row>
    <row r="30" spans="1:13" s="5" customFormat="1" ht="37.5" customHeight="1" x14ac:dyDescent="0.2">
      <c r="A30" s="49" t="s">
        <v>599</v>
      </c>
      <c r="B30" s="8" t="s">
        <v>21</v>
      </c>
      <c r="C30" s="8" t="s">
        <v>34</v>
      </c>
      <c r="D30" s="84">
        <v>1</v>
      </c>
      <c r="E30" s="49">
        <v>30</v>
      </c>
      <c r="F30" s="112">
        <v>45968</v>
      </c>
      <c r="G30" s="113">
        <v>0.375</v>
      </c>
      <c r="H30" s="112">
        <v>45966</v>
      </c>
      <c r="I30" s="113">
        <v>0.47916666666666669</v>
      </c>
      <c r="J30" s="87">
        <f t="shared" si="0"/>
        <v>4</v>
      </c>
      <c r="K30" s="8">
        <v>1</v>
      </c>
      <c r="L30" s="8">
        <v>26</v>
      </c>
      <c r="M30" s="49" t="s">
        <v>600</v>
      </c>
    </row>
    <row r="31" spans="1:13" s="5" customFormat="1" ht="38.25" customHeight="1" x14ac:dyDescent="0.2">
      <c r="A31" s="49" t="s">
        <v>601</v>
      </c>
      <c r="B31" s="8" t="s">
        <v>136</v>
      </c>
      <c r="C31" s="8" t="s">
        <v>22</v>
      </c>
      <c r="D31" s="84">
        <v>1</v>
      </c>
      <c r="E31" s="49">
        <v>30</v>
      </c>
      <c r="F31" s="112">
        <v>45968</v>
      </c>
      <c r="G31" s="113">
        <v>0.375</v>
      </c>
      <c r="H31" s="112">
        <v>45966</v>
      </c>
      <c r="I31" s="113">
        <v>0.47916666666666669</v>
      </c>
      <c r="J31" s="87">
        <f t="shared" si="0"/>
        <v>4</v>
      </c>
      <c r="K31" s="8">
        <v>2</v>
      </c>
      <c r="L31" s="8">
        <v>26</v>
      </c>
      <c r="M31" s="49" t="s">
        <v>602</v>
      </c>
    </row>
    <row r="32" spans="1:13" s="5" customFormat="1" ht="38.25" customHeight="1" x14ac:dyDescent="0.2">
      <c r="A32" s="49" t="s">
        <v>603</v>
      </c>
      <c r="B32" s="8" t="s">
        <v>42</v>
      </c>
      <c r="C32" s="8" t="s">
        <v>37</v>
      </c>
      <c r="D32" s="84">
        <v>1</v>
      </c>
      <c r="E32" s="49">
        <v>30</v>
      </c>
      <c r="F32" s="112">
        <v>45968</v>
      </c>
      <c r="G32" s="113">
        <v>0.375</v>
      </c>
      <c r="H32" s="112">
        <v>45966</v>
      </c>
      <c r="I32" s="113">
        <v>0.47916666666666669</v>
      </c>
      <c r="J32" s="87">
        <f t="shared" si="0"/>
        <v>1</v>
      </c>
      <c r="K32" s="8">
        <v>1</v>
      </c>
      <c r="L32" s="8">
        <v>29</v>
      </c>
      <c r="M32" s="49" t="s">
        <v>604</v>
      </c>
    </row>
    <row r="33" spans="1:13" s="5" customFormat="1" ht="38.25" customHeight="1" x14ac:dyDescent="0.2">
      <c r="A33" s="49" t="s">
        <v>605</v>
      </c>
      <c r="B33" s="8" t="s">
        <v>42</v>
      </c>
      <c r="C33" s="8" t="s">
        <v>37</v>
      </c>
      <c r="D33" s="84">
        <v>1</v>
      </c>
      <c r="E33" s="49">
        <v>30</v>
      </c>
      <c r="F33" s="112">
        <v>45968</v>
      </c>
      <c r="G33" s="113">
        <v>0.375</v>
      </c>
      <c r="H33" s="112">
        <v>45966</v>
      </c>
      <c r="I33" s="113">
        <v>0.5</v>
      </c>
      <c r="J33" s="87">
        <f t="shared" si="0"/>
        <v>5</v>
      </c>
      <c r="K33" s="8">
        <v>1</v>
      </c>
      <c r="L33" s="8">
        <v>25</v>
      </c>
      <c r="M33" s="49" t="s">
        <v>606</v>
      </c>
    </row>
    <row r="34" spans="1:13" s="5" customFormat="1" ht="55.5" customHeight="1" x14ac:dyDescent="0.2">
      <c r="A34" s="49" t="s">
        <v>607</v>
      </c>
      <c r="B34" s="8" t="s">
        <v>42</v>
      </c>
      <c r="C34" s="8" t="s">
        <v>37</v>
      </c>
      <c r="D34" s="84">
        <v>1</v>
      </c>
      <c r="E34" s="49">
        <v>30</v>
      </c>
      <c r="F34" s="112">
        <v>45968</v>
      </c>
      <c r="G34" s="113">
        <v>0.375</v>
      </c>
      <c r="H34" s="112">
        <v>45966</v>
      </c>
      <c r="I34" s="113">
        <v>0.52083333333333337</v>
      </c>
      <c r="J34" s="87">
        <f t="shared" si="0"/>
        <v>2</v>
      </c>
      <c r="K34" s="8">
        <v>1</v>
      </c>
      <c r="L34" s="8">
        <v>28</v>
      </c>
      <c r="M34" s="49" t="s">
        <v>608</v>
      </c>
    </row>
    <row r="35" spans="1:13" s="5" customFormat="1" ht="55.5" customHeight="1" x14ac:dyDescent="0.2">
      <c r="A35" s="49" t="s">
        <v>609</v>
      </c>
      <c r="B35" s="8" t="s">
        <v>510</v>
      </c>
      <c r="C35" s="8" t="s">
        <v>31</v>
      </c>
      <c r="D35" s="84">
        <v>1</v>
      </c>
      <c r="E35" s="49">
        <v>30</v>
      </c>
      <c r="F35" s="112">
        <v>45968</v>
      </c>
      <c r="G35" s="113">
        <v>0.375</v>
      </c>
      <c r="H35" s="112">
        <v>45966</v>
      </c>
      <c r="I35" s="113">
        <v>0.52083333333333337</v>
      </c>
      <c r="J35" s="87">
        <f t="shared" si="0"/>
        <v>1</v>
      </c>
      <c r="K35" s="8">
        <v>2</v>
      </c>
      <c r="L35" s="8">
        <v>29</v>
      </c>
      <c r="M35" s="49" t="s">
        <v>610</v>
      </c>
    </row>
    <row r="36" spans="1:13" s="5" customFormat="1" ht="57.75" customHeight="1" x14ac:dyDescent="0.2">
      <c r="A36" s="49" t="s">
        <v>611</v>
      </c>
      <c r="B36" s="8" t="s">
        <v>510</v>
      </c>
      <c r="C36" s="8" t="s">
        <v>31</v>
      </c>
      <c r="D36" s="84">
        <v>1</v>
      </c>
      <c r="E36" s="49">
        <v>30</v>
      </c>
      <c r="F36" s="112">
        <v>45968</v>
      </c>
      <c r="G36" s="113">
        <v>0.375</v>
      </c>
      <c r="H36" s="112">
        <v>45966</v>
      </c>
      <c r="I36" s="113">
        <v>0.54166666666666663</v>
      </c>
      <c r="J36" s="87">
        <f t="shared" si="0"/>
        <v>2</v>
      </c>
      <c r="K36" s="8">
        <v>1</v>
      </c>
      <c r="L36" s="8">
        <v>28</v>
      </c>
      <c r="M36" s="49" t="s">
        <v>612</v>
      </c>
    </row>
    <row r="37" spans="1:13" s="5" customFormat="1" ht="42" customHeight="1" x14ac:dyDescent="0.2">
      <c r="A37" s="49" t="s">
        <v>613</v>
      </c>
      <c r="B37" s="8" t="s">
        <v>36</v>
      </c>
      <c r="C37" s="8" t="s">
        <v>43</v>
      </c>
      <c r="D37" s="84">
        <v>1</v>
      </c>
      <c r="E37" s="49">
        <v>30</v>
      </c>
      <c r="F37" s="112">
        <v>45968</v>
      </c>
      <c r="G37" s="113">
        <v>0.375</v>
      </c>
      <c r="H37" s="112">
        <v>45966</v>
      </c>
      <c r="I37" s="113">
        <v>0.52083333333333337</v>
      </c>
      <c r="J37" s="87">
        <f t="shared" si="0"/>
        <v>2</v>
      </c>
      <c r="K37" s="8">
        <v>1</v>
      </c>
      <c r="L37" s="8">
        <v>28</v>
      </c>
      <c r="M37" s="49" t="s">
        <v>614</v>
      </c>
    </row>
    <row r="38" spans="1:13" s="5" customFormat="1" ht="71.25" customHeight="1" x14ac:dyDescent="0.2">
      <c r="A38" s="49" t="s">
        <v>615</v>
      </c>
      <c r="B38" s="8" t="s">
        <v>42</v>
      </c>
      <c r="C38" s="8" t="s">
        <v>37</v>
      </c>
      <c r="D38" s="84">
        <v>1</v>
      </c>
      <c r="E38" s="49">
        <v>30</v>
      </c>
      <c r="F38" s="112">
        <v>45968</v>
      </c>
      <c r="G38" s="113">
        <v>0.375</v>
      </c>
      <c r="H38" s="112">
        <v>45966</v>
      </c>
      <c r="I38" s="113">
        <v>0.54166666666666663</v>
      </c>
      <c r="J38" s="87">
        <f t="shared" si="0"/>
        <v>2</v>
      </c>
      <c r="K38" s="8">
        <v>1</v>
      </c>
      <c r="L38" s="8">
        <v>28</v>
      </c>
      <c r="M38" s="49" t="s">
        <v>616</v>
      </c>
    </row>
    <row r="39" spans="1:13" s="5" customFormat="1" ht="66" customHeight="1" x14ac:dyDescent="0.2">
      <c r="A39" s="49" t="s">
        <v>617</v>
      </c>
      <c r="B39" s="8" t="s">
        <v>136</v>
      </c>
      <c r="C39" s="8" t="s">
        <v>22</v>
      </c>
      <c r="D39" s="84">
        <v>1</v>
      </c>
      <c r="E39" s="49">
        <v>30</v>
      </c>
      <c r="F39" s="112">
        <v>45968</v>
      </c>
      <c r="G39" s="113">
        <v>0.375</v>
      </c>
      <c r="H39" s="112">
        <v>45966</v>
      </c>
      <c r="I39" s="113">
        <v>0.5</v>
      </c>
      <c r="J39" s="87">
        <f t="shared" si="0"/>
        <v>1</v>
      </c>
      <c r="K39" s="8">
        <v>1</v>
      </c>
      <c r="L39" s="8">
        <v>29</v>
      </c>
      <c r="M39" s="49" t="s">
        <v>618</v>
      </c>
    </row>
    <row r="40" spans="1:13" s="5" customFormat="1" ht="56.25" customHeight="1" x14ac:dyDescent="0.2">
      <c r="A40" s="49" t="s">
        <v>619</v>
      </c>
      <c r="B40" s="8" t="s">
        <v>21</v>
      </c>
      <c r="C40" s="8" t="s">
        <v>34</v>
      </c>
      <c r="D40" s="84">
        <v>1</v>
      </c>
      <c r="E40" s="49">
        <v>30</v>
      </c>
      <c r="F40" s="112">
        <v>45968</v>
      </c>
      <c r="G40" s="113">
        <v>0.375</v>
      </c>
      <c r="H40" s="112">
        <v>45966</v>
      </c>
      <c r="I40" s="113">
        <v>0.5</v>
      </c>
      <c r="J40" s="87">
        <f t="shared" si="0"/>
        <v>3</v>
      </c>
      <c r="K40" s="8">
        <v>1</v>
      </c>
      <c r="L40" s="8">
        <v>27</v>
      </c>
      <c r="M40" s="49" t="s">
        <v>620</v>
      </c>
    </row>
    <row r="41" spans="1:13" s="5" customFormat="1" ht="63" customHeight="1" x14ac:dyDescent="0.2">
      <c r="A41" s="49" t="s">
        <v>621</v>
      </c>
      <c r="B41" s="8" t="s">
        <v>30</v>
      </c>
      <c r="C41" s="8" t="s">
        <v>40</v>
      </c>
      <c r="D41" s="84">
        <v>1</v>
      </c>
      <c r="E41" s="49">
        <v>30</v>
      </c>
      <c r="F41" s="112">
        <v>45968</v>
      </c>
      <c r="G41" s="113">
        <v>0.375</v>
      </c>
      <c r="H41" s="112">
        <v>45966</v>
      </c>
      <c r="I41" s="113">
        <v>0.5</v>
      </c>
      <c r="J41" s="87">
        <f t="shared" si="0"/>
        <v>0</v>
      </c>
      <c r="K41" s="8">
        <v>1</v>
      </c>
      <c r="L41" s="8">
        <v>30</v>
      </c>
      <c r="M41" s="49" t="s">
        <v>622</v>
      </c>
    </row>
    <row r="42" spans="1:13" s="5" customFormat="1" ht="66" customHeight="1" x14ac:dyDescent="0.2">
      <c r="A42" s="49" t="s">
        <v>623</v>
      </c>
      <c r="B42" s="8" t="s">
        <v>30</v>
      </c>
      <c r="C42" s="8" t="s">
        <v>40</v>
      </c>
      <c r="D42" s="84">
        <v>1</v>
      </c>
      <c r="E42" s="49">
        <v>30</v>
      </c>
      <c r="F42" s="112">
        <v>45968</v>
      </c>
      <c r="G42" s="113">
        <v>0.375</v>
      </c>
      <c r="H42" s="112">
        <v>45966</v>
      </c>
      <c r="I42" s="113">
        <v>0.52083333333333337</v>
      </c>
      <c r="J42" s="87">
        <f t="shared" si="0"/>
        <v>2</v>
      </c>
      <c r="K42" s="8">
        <v>1</v>
      </c>
      <c r="L42" s="8">
        <v>28</v>
      </c>
      <c r="M42" s="49" t="s">
        <v>624</v>
      </c>
    </row>
    <row r="43" spans="1:13" s="5" customFormat="1" ht="58.5" customHeight="1" x14ac:dyDescent="0.2">
      <c r="A43" s="49" t="s">
        <v>625</v>
      </c>
      <c r="B43" s="8" t="s">
        <v>42</v>
      </c>
      <c r="C43" s="8" t="s">
        <v>37</v>
      </c>
      <c r="D43" s="84">
        <v>1</v>
      </c>
      <c r="E43" s="49">
        <v>30</v>
      </c>
      <c r="F43" s="112">
        <v>45968</v>
      </c>
      <c r="G43" s="113">
        <v>0.375</v>
      </c>
      <c r="H43" s="112">
        <v>45966</v>
      </c>
      <c r="I43" s="113">
        <v>0.5625</v>
      </c>
      <c r="J43" s="87">
        <f t="shared" si="0"/>
        <v>4</v>
      </c>
      <c r="K43" s="8">
        <v>1</v>
      </c>
      <c r="L43" s="8">
        <v>26</v>
      </c>
      <c r="M43" s="49" t="s">
        <v>626</v>
      </c>
    </row>
    <row r="44" spans="1:13" s="5" customFormat="1" ht="57" customHeight="1" x14ac:dyDescent="0.2">
      <c r="A44" s="49" t="s">
        <v>625</v>
      </c>
      <c r="B44" s="8" t="s">
        <v>36</v>
      </c>
      <c r="C44" s="8" t="s">
        <v>43</v>
      </c>
      <c r="D44" s="84">
        <v>1</v>
      </c>
      <c r="E44" s="49">
        <v>30</v>
      </c>
      <c r="F44" s="112">
        <v>45968</v>
      </c>
      <c r="G44" s="113">
        <v>0.375</v>
      </c>
      <c r="H44" s="112">
        <v>45966</v>
      </c>
      <c r="I44" s="113">
        <v>0.54166666666666663</v>
      </c>
      <c r="J44" s="87">
        <f t="shared" si="0"/>
        <v>4</v>
      </c>
      <c r="K44" s="8">
        <v>1</v>
      </c>
      <c r="L44" s="8">
        <v>26</v>
      </c>
      <c r="M44" s="49" t="s">
        <v>626</v>
      </c>
    </row>
    <row r="45" spans="1:13" s="5" customFormat="1" ht="55.5" customHeight="1" x14ac:dyDescent="0.2">
      <c r="A45" s="49" t="s">
        <v>627</v>
      </c>
      <c r="B45" s="8" t="s">
        <v>42</v>
      </c>
      <c r="C45" s="8" t="s">
        <v>37</v>
      </c>
      <c r="D45" s="84">
        <v>1</v>
      </c>
      <c r="E45" s="49">
        <v>30</v>
      </c>
      <c r="F45" s="112">
        <v>45968</v>
      </c>
      <c r="G45" s="113">
        <v>0.375</v>
      </c>
      <c r="H45" s="112">
        <v>45966</v>
      </c>
      <c r="I45" s="113">
        <v>0.58333333333333337</v>
      </c>
      <c r="J45" s="87">
        <f t="shared" si="0"/>
        <v>2</v>
      </c>
      <c r="K45" s="8">
        <v>1</v>
      </c>
      <c r="L45" s="8">
        <v>28</v>
      </c>
      <c r="M45" s="49" t="s">
        <v>628</v>
      </c>
    </row>
    <row r="46" spans="1:13" ht="87" customHeight="1" x14ac:dyDescent="0.2">
      <c r="A46" s="49" t="s">
        <v>627</v>
      </c>
      <c r="B46" s="8" t="s">
        <v>36</v>
      </c>
      <c r="C46" s="8" t="s">
        <v>43</v>
      </c>
      <c r="D46" s="84">
        <v>1</v>
      </c>
      <c r="E46" s="49">
        <v>30</v>
      </c>
      <c r="F46" s="112">
        <v>45968</v>
      </c>
      <c r="G46" s="113">
        <v>0.375</v>
      </c>
      <c r="H46" s="112">
        <v>45966</v>
      </c>
      <c r="I46" s="113">
        <v>0.5625</v>
      </c>
      <c r="J46" s="87">
        <f t="shared" si="0"/>
        <v>2</v>
      </c>
      <c r="K46" s="8">
        <v>1</v>
      </c>
      <c r="L46" s="8">
        <v>28</v>
      </c>
      <c r="M46" s="49" t="s">
        <v>628</v>
      </c>
    </row>
    <row r="47" spans="1:13" s="5" customFormat="1" ht="56.25" customHeight="1" x14ac:dyDescent="0.2">
      <c r="A47" s="49" t="s">
        <v>629</v>
      </c>
      <c r="B47" s="8" t="s">
        <v>42</v>
      </c>
      <c r="C47" s="8" t="s">
        <v>37</v>
      </c>
      <c r="D47" s="84">
        <v>1</v>
      </c>
      <c r="E47" s="49">
        <v>30</v>
      </c>
      <c r="F47" s="112">
        <v>45968</v>
      </c>
      <c r="G47" s="113">
        <v>0.375</v>
      </c>
      <c r="H47" s="112">
        <v>45966</v>
      </c>
      <c r="I47" s="113">
        <v>0.60416666666666663</v>
      </c>
      <c r="J47" s="87">
        <f t="shared" si="0"/>
        <v>6</v>
      </c>
      <c r="K47" s="8">
        <v>1</v>
      </c>
      <c r="L47" s="8">
        <v>24</v>
      </c>
      <c r="M47" s="49" t="s">
        <v>630</v>
      </c>
    </row>
    <row r="48" spans="1:13" s="5" customFormat="1" ht="67.5" customHeight="1" x14ac:dyDescent="0.2">
      <c r="A48" s="49" t="s">
        <v>629</v>
      </c>
      <c r="B48" s="8" t="s">
        <v>36</v>
      </c>
      <c r="C48" s="8" t="s">
        <v>43</v>
      </c>
      <c r="D48" s="84">
        <v>1</v>
      </c>
      <c r="E48" s="49">
        <v>30</v>
      </c>
      <c r="F48" s="112">
        <v>45968</v>
      </c>
      <c r="G48" s="113">
        <v>0.375</v>
      </c>
      <c r="H48" s="112">
        <v>45966</v>
      </c>
      <c r="I48" s="113">
        <v>0.58333333333333337</v>
      </c>
      <c r="J48" s="87">
        <f t="shared" si="0"/>
        <v>6</v>
      </c>
      <c r="K48" s="8">
        <v>1</v>
      </c>
      <c r="L48" s="8">
        <v>24</v>
      </c>
      <c r="M48" s="49" t="s">
        <v>630</v>
      </c>
    </row>
    <row r="49" spans="1:13" s="5" customFormat="1" ht="69.75" customHeight="1" x14ac:dyDescent="0.2">
      <c r="A49" s="49" t="s">
        <v>631</v>
      </c>
      <c r="B49" s="8" t="s">
        <v>42</v>
      </c>
      <c r="C49" s="8" t="s">
        <v>632</v>
      </c>
      <c r="D49" s="84">
        <v>1</v>
      </c>
      <c r="E49" s="49">
        <v>30</v>
      </c>
      <c r="F49" s="112">
        <v>45968</v>
      </c>
      <c r="G49" s="113">
        <v>0.375</v>
      </c>
      <c r="H49" s="112">
        <v>45966</v>
      </c>
      <c r="I49" s="113">
        <v>0.625</v>
      </c>
      <c r="J49" s="87">
        <f t="shared" si="0"/>
        <v>4</v>
      </c>
      <c r="K49" s="8">
        <v>1</v>
      </c>
      <c r="L49" s="8">
        <v>26</v>
      </c>
      <c r="M49" s="49" t="s">
        <v>633</v>
      </c>
    </row>
    <row r="50" spans="1:13" s="5" customFormat="1" ht="61.5" customHeight="1" x14ac:dyDescent="0.2">
      <c r="A50" s="49" t="s">
        <v>631</v>
      </c>
      <c r="B50" s="8" t="s">
        <v>36</v>
      </c>
      <c r="C50" s="8" t="s">
        <v>43</v>
      </c>
      <c r="D50" s="84">
        <v>1</v>
      </c>
      <c r="E50" s="49">
        <v>30</v>
      </c>
      <c r="F50" s="112">
        <v>45968</v>
      </c>
      <c r="G50" s="113">
        <v>0.375</v>
      </c>
      <c r="H50" s="112">
        <v>45966</v>
      </c>
      <c r="I50" s="113">
        <v>0.60416666666666663</v>
      </c>
      <c r="J50" s="87">
        <f t="shared" si="0"/>
        <v>4</v>
      </c>
      <c r="K50" s="8">
        <v>1</v>
      </c>
      <c r="L50" s="8">
        <v>26</v>
      </c>
      <c r="M50" s="49" t="s">
        <v>633</v>
      </c>
    </row>
    <row r="51" spans="1:13" s="5" customFormat="1" ht="56.25" customHeight="1" x14ac:dyDescent="0.2">
      <c r="A51" s="49" t="s">
        <v>634</v>
      </c>
      <c r="B51" s="8" t="s">
        <v>42</v>
      </c>
      <c r="C51" s="8" t="s">
        <v>37</v>
      </c>
      <c r="D51" s="84">
        <v>1</v>
      </c>
      <c r="E51" s="49">
        <v>30</v>
      </c>
      <c r="F51" s="112">
        <v>45968</v>
      </c>
      <c r="G51" s="113">
        <v>0.375</v>
      </c>
      <c r="H51" s="112">
        <v>45966</v>
      </c>
      <c r="I51" s="113">
        <v>0.64583333333333337</v>
      </c>
      <c r="J51" s="87">
        <f t="shared" si="0"/>
        <v>3</v>
      </c>
      <c r="K51" s="8">
        <v>1</v>
      </c>
      <c r="L51" s="8">
        <v>27</v>
      </c>
      <c r="M51" s="49" t="s">
        <v>635</v>
      </c>
    </row>
    <row r="52" spans="1:13" s="5" customFormat="1" ht="97.5" customHeight="1" x14ac:dyDescent="0.2">
      <c r="A52" s="49" t="s">
        <v>634</v>
      </c>
      <c r="B52" s="8" t="s">
        <v>36</v>
      </c>
      <c r="C52" s="8" t="s">
        <v>43</v>
      </c>
      <c r="D52" s="84">
        <v>1</v>
      </c>
      <c r="E52" s="49">
        <v>30</v>
      </c>
      <c r="F52" s="112">
        <v>45968</v>
      </c>
      <c r="G52" s="113">
        <v>0.375</v>
      </c>
      <c r="H52" s="112">
        <v>45966</v>
      </c>
      <c r="I52" s="113">
        <v>0.625</v>
      </c>
      <c r="J52" s="87">
        <f t="shared" si="0"/>
        <v>3</v>
      </c>
      <c r="K52" s="8">
        <v>1</v>
      </c>
      <c r="L52" s="8">
        <v>27</v>
      </c>
      <c r="M52" s="49" t="s">
        <v>635</v>
      </c>
    </row>
    <row r="53" spans="1:13" s="5" customFormat="1" ht="75" customHeight="1" x14ac:dyDescent="0.2">
      <c r="A53" s="49" t="s">
        <v>636</v>
      </c>
      <c r="B53" s="8" t="s">
        <v>42</v>
      </c>
      <c r="C53" s="8" t="s">
        <v>37</v>
      </c>
      <c r="D53" s="84">
        <v>1</v>
      </c>
      <c r="E53" s="49">
        <v>30</v>
      </c>
      <c r="F53" s="112">
        <v>45968</v>
      </c>
      <c r="G53" s="113">
        <v>0.375</v>
      </c>
      <c r="H53" s="112">
        <v>45966</v>
      </c>
      <c r="I53" s="113">
        <v>0.66666666666666663</v>
      </c>
      <c r="J53" s="87">
        <f t="shared" si="0"/>
        <v>2</v>
      </c>
      <c r="K53" s="8">
        <v>1</v>
      </c>
      <c r="L53" s="8">
        <v>28</v>
      </c>
      <c r="M53" s="49" t="s">
        <v>637</v>
      </c>
    </row>
    <row r="54" spans="1:13" s="5" customFormat="1" ht="70.5" customHeight="1" x14ac:dyDescent="0.2">
      <c r="A54" s="49" t="s">
        <v>636</v>
      </c>
      <c r="B54" s="8" t="s">
        <v>36</v>
      </c>
      <c r="C54" s="8" t="s">
        <v>43</v>
      </c>
      <c r="D54" s="84">
        <v>1</v>
      </c>
      <c r="E54" s="49">
        <v>30</v>
      </c>
      <c r="F54" s="112">
        <v>45968</v>
      </c>
      <c r="G54" s="113">
        <v>0.375</v>
      </c>
      <c r="H54" s="112">
        <v>45966</v>
      </c>
      <c r="I54" s="113">
        <v>0.64583333333333337</v>
      </c>
      <c r="J54" s="87">
        <f t="shared" si="0"/>
        <v>2</v>
      </c>
      <c r="K54" s="8">
        <v>1</v>
      </c>
      <c r="L54" s="8">
        <v>28</v>
      </c>
      <c r="M54" s="49" t="s">
        <v>637</v>
      </c>
    </row>
    <row r="55" spans="1:13" s="5" customFormat="1" ht="73.5" customHeight="1" x14ac:dyDescent="0.2">
      <c r="A55" s="49" t="s">
        <v>638</v>
      </c>
      <c r="B55" s="8" t="s">
        <v>42</v>
      </c>
      <c r="C55" s="8" t="s">
        <v>37</v>
      </c>
      <c r="D55" s="84">
        <v>1</v>
      </c>
      <c r="E55" s="49">
        <v>30</v>
      </c>
      <c r="F55" s="112">
        <v>45968</v>
      </c>
      <c r="G55" s="113">
        <v>0.375</v>
      </c>
      <c r="H55" s="112">
        <v>45966</v>
      </c>
      <c r="I55" s="113">
        <v>0.6875</v>
      </c>
      <c r="J55" s="87">
        <f t="shared" si="0"/>
        <v>2</v>
      </c>
      <c r="K55" s="8">
        <v>1</v>
      </c>
      <c r="L55" s="8">
        <v>28</v>
      </c>
      <c r="M55" s="49" t="s">
        <v>639</v>
      </c>
    </row>
    <row r="56" spans="1:13" s="5" customFormat="1" ht="66.75" customHeight="1" x14ac:dyDescent="0.2">
      <c r="A56" s="49" t="s">
        <v>638</v>
      </c>
      <c r="B56" s="8" t="s">
        <v>36</v>
      </c>
      <c r="C56" s="8" t="s">
        <v>43</v>
      </c>
      <c r="D56" s="84">
        <v>1</v>
      </c>
      <c r="E56" s="49">
        <v>30</v>
      </c>
      <c r="F56" s="112">
        <v>45968</v>
      </c>
      <c r="G56" s="113">
        <v>0.375</v>
      </c>
      <c r="H56" s="112">
        <v>45966</v>
      </c>
      <c r="I56" s="113">
        <v>0.66666666666666663</v>
      </c>
      <c r="J56" s="87">
        <f t="shared" si="0"/>
        <v>2</v>
      </c>
      <c r="K56" s="8">
        <v>1</v>
      </c>
      <c r="L56" s="8">
        <v>28</v>
      </c>
      <c r="M56" s="49" t="s">
        <v>639</v>
      </c>
    </row>
    <row r="57" spans="1:13" s="5" customFormat="1" ht="55.5" customHeight="1" x14ac:dyDescent="0.2">
      <c r="A57" s="49" t="s">
        <v>640</v>
      </c>
      <c r="B57" s="8" t="s">
        <v>42</v>
      </c>
      <c r="C57" s="8" t="s">
        <v>37</v>
      </c>
      <c r="D57" s="84">
        <v>1</v>
      </c>
      <c r="E57" s="49">
        <v>30</v>
      </c>
      <c r="F57" s="112">
        <v>45968</v>
      </c>
      <c r="G57" s="113">
        <v>0.375</v>
      </c>
      <c r="H57" s="112">
        <v>45966</v>
      </c>
      <c r="I57" s="113">
        <v>0.70833333333333337</v>
      </c>
      <c r="J57" s="87">
        <f t="shared" si="0"/>
        <v>2</v>
      </c>
      <c r="K57" s="8">
        <v>1</v>
      </c>
      <c r="L57" s="8">
        <v>28</v>
      </c>
      <c r="M57" s="49" t="s">
        <v>641</v>
      </c>
    </row>
    <row r="58" spans="1:13" s="5" customFormat="1" ht="59.25" customHeight="1" x14ac:dyDescent="0.2">
      <c r="A58" s="49" t="s">
        <v>640</v>
      </c>
      <c r="B58" s="8" t="s">
        <v>36</v>
      </c>
      <c r="C58" s="8" t="s">
        <v>43</v>
      </c>
      <c r="D58" s="84">
        <v>1</v>
      </c>
      <c r="E58" s="49">
        <v>30</v>
      </c>
      <c r="F58" s="112">
        <v>45968</v>
      </c>
      <c r="G58" s="113">
        <v>0.375</v>
      </c>
      <c r="H58" s="112">
        <v>45966</v>
      </c>
      <c r="I58" s="113">
        <v>0.6875</v>
      </c>
      <c r="J58" s="87">
        <f t="shared" si="0"/>
        <v>2</v>
      </c>
      <c r="K58" s="8">
        <v>1</v>
      </c>
      <c r="L58" s="8">
        <v>28</v>
      </c>
      <c r="M58" s="49" t="s">
        <v>641</v>
      </c>
    </row>
    <row r="59" spans="1:13" s="5" customFormat="1" ht="53.25" customHeight="1" x14ac:dyDescent="0.2">
      <c r="A59" s="49" t="s">
        <v>642</v>
      </c>
      <c r="B59" s="8" t="s">
        <v>42</v>
      </c>
      <c r="C59" s="8" t="s">
        <v>37</v>
      </c>
      <c r="D59" s="84">
        <v>1</v>
      </c>
      <c r="E59" s="49">
        <v>30</v>
      </c>
      <c r="F59" s="112">
        <v>45968</v>
      </c>
      <c r="G59" s="113">
        <v>0.375</v>
      </c>
      <c r="H59" s="112">
        <v>45966</v>
      </c>
      <c r="I59" s="113">
        <v>0.72916666666666663</v>
      </c>
      <c r="J59" s="87">
        <f t="shared" si="0"/>
        <v>3</v>
      </c>
      <c r="K59" s="8">
        <v>1</v>
      </c>
      <c r="L59" s="8">
        <v>27</v>
      </c>
      <c r="M59" s="49" t="s">
        <v>643</v>
      </c>
    </row>
    <row r="60" spans="1:13" s="5" customFormat="1" ht="63.75" customHeight="1" x14ac:dyDescent="0.2">
      <c r="A60" s="49" t="s">
        <v>642</v>
      </c>
      <c r="B60" s="8" t="s">
        <v>36</v>
      </c>
      <c r="C60" s="8" t="s">
        <v>43</v>
      </c>
      <c r="D60" s="84">
        <v>1</v>
      </c>
      <c r="E60" s="49">
        <v>30</v>
      </c>
      <c r="F60" s="112">
        <v>45968</v>
      </c>
      <c r="G60" s="113">
        <v>0.375</v>
      </c>
      <c r="H60" s="112">
        <v>45966</v>
      </c>
      <c r="I60" s="113">
        <v>0.70833333333333337</v>
      </c>
      <c r="J60" s="87">
        <f t="shared" si="0"/>
        <v>3</v>
      </c>
      <c r="K60" s="8">
        <v>1</v>
      </c>
      <c r="L60" s="8">
        <v>27</v>
      </c>
      <c r="M60" s="49" t="s">
        <v>643</v>
      </c>
    </row>
    <row r="61" spans="1:13" s="5" customFormat="1" ht="57.75" customHeight="1" x14ac:dyDescent="0.2">
      <c r="A61" s="49" t="s">
        <v>644</v>
      </c>
      <c r="B61" s="8" t="s">
        <v>42</v>
      </c>
      <c r="C61" s="8" t="s">
        <v>37</v>
      </c>
      <c r="D61" s="84">
        <v>1</v>
      </c>
      <c r="E61" s="49">
        <v>30</v>
      </c>
      <c r="F61" s="112">
        <v>45968</v>
      </c>
      <c r="G61" s="113">
        <v>0.375</v>
      </c>
      <c r="H61" s="112">
        <v>45966</v>
      </c>
      <c r="I61" s="113">
        <v>0.75</v>
      </c>
      <c r="J61" s="87">
        <f t="shared" si="0"/>
        <v>2</v>
      </c>
      <c r="K61" s="8">
        <v>2</v>
      </c>
      <c r="L61" s="8">
        <v>28</v>
      </c>
      <c r="M61" s="49" t="s">
        <v>645</v>
      </c>
    </row>
    <row r="62" spans="1:13" s="5" customFormat="1" ht="63" customHeight="1" x14ac:dyDescent="0.2">
      <c r="A62" s="49" t="s">
        <v>644</v>
      </c>
      <c r="B62" s="8" t="s">
        <v>36</v>
      </c>
      <c r="C62" s="8" t="s">
        <v>43</v>
      </c>
      <c r="D62" s="84">
        <v>1</v>
      </c>
      <c r="E62" s="49">
        <v>30</v>
      </c>
      <c r="F62" s="112">
        <v>45968</v>
      </c>
      <c r="G62" s="113">
        <v>0.375</v>
      </c>
      <c r="H62" s="112">
        <v>45966</v>
      </c>
      <c r="I62" s="113">
        <v>0.72916666666666663</v>
      </c>
      <c r="J62" s="87">
        <f t="shared" si="0"/>
        <v>2</v>
      </c>
      <c r="K62" s="8">
        <v>2</v>
      </c>
      <c r="L62" s="8">
        <v>28</v>
      </c>
      <c r="M62" s="49" t="s">
        <v>645</v>
      </c>
    </row>
    <row r="63" spans="1:13" s="5" customFormat="1" ht="71.25" customHeight="1" x14ac:dyDescent="0.2">
      <c r="A63" s="49" t="s">
        <v>646</v>
      </c>
      <c r="B63" s="8" t="s">
        <v>42</v>
      </c>
      <c r="C63" s="8" t="s">
        <v>37</v>
      </c>
      <c r="D63" s="84">
        <v>1</v>
      </c>
      <c r="E63" s="49">
        <v>30</v>
      </c>
      <c r="F63" s="112">
        <v>45968</v>
      </c>
      <c r="G63" s="113">
        <v>0.375</v>
      </c>
      <c r="H63" s="112">
        <v>45966</v>
      </c>
      <c r="I63" s="113">
        <v>0.77083333333333337</v>
      </c>
      <c r="J63" s="87">
        <f t="shared" si="0"/>
        <v>1</v>
      </c>
      <c r="K63" s="8">
        <v>1</v>
      </c>
      <c r="L63" s="8">
        <v>29</v>
      </c>
      <c r="M63" s="49" t="s">
        <v>647</v>
      </c>
    </row>
    <row r="64" spans="1:13" s="5" customFormat="1" ht="78.75" customHeight="1" x14ac:dyDescent="0.2">
      <c r="A64" s="49" t="s">
        <v>646</v>
      </c>
      <c r="B64" s="8" t="s">
        <v>36</v>
      </c>
      <c r="C64" s="8" t="s">
        <v>43</v>
      </c>
      <c r="D64" s="84">
        <v>1</v>
      </c>
      <c r="E64" s="49">
        <v>30</v>
      </c>
      <c r="F64" s="112">
        <v>45968</v>
      </c>
      <c r="G64" s="113">
        <v>0.375</v>
      </c>
      <c r="H64" s="112">
        <v>45966</v>
      </c>
      <c r="I64" s="113">
        <v>0.75</v>
      </c>
      <c r="J64" s="87">
        <f t="shared" si="0"/>
        <v>1</v>
      </c>
      <c r="K64" s="8">
        <v>1</v>
      </c>
      <c r="L64" s="8">
        <v>29</v>
      </c>
      <c r="M64" s="49" t="s">
        <v>647</v>
      </c>
    </row>
    <row r="65" spans="1:13" s="5" customFormat="1" ht="66.75" customHeight="1" x14ac:dyDescent="0.2">
      <c r="A65" s="49" t="s">
        <v>648</v>
      </c>
      <c r="B65" s="8" t="s">
        <v>42</v>
      </c>
      <c r="C65" s="8" t="s">
        <v>37</v>
      </c>
      <c r="D65" s="84">
        <v>1</v>
      </c>
      <c r="E65" s="49">
        <v>30</v>
      </c>
      <c r="F65" s="112">
        <v>45968</v>
      </c>
      <c r="G65" s="113">
        <v>0.375</v>
      </c>
      <c r="H65" s="112">
        <v>45966</v>
      </c>
      <c r="I65" s="113">
        <v>0.79166666666666663</v>
      </c>
      <c r="J65" s="87">
        <f t="shared" si="0"/>
        <v>2</v>
      </c>
      <c r="K65" s="8">
        <v>1</v>
      </c>
      <c r="L65" s="8">
        <v>28</v>
      </c>
      <c r="M65" s="49" t="s">
        <v>276</v>
      </c>
    </row>
    <row r="66" spans="1:13" s="5" customFormat="1" ht="72.75" customHeight="1" x14ac:dyDescent="0.2">
      <c r="A66" s="49" t="s">
        <v>648</v>
      </c>
      <c r="B66" s="8" t="s">
        <v>36</v>
      </c>
      <c r="C66" s="8" t="s">
        <v>43</v>
      </c>
      <c r="D66" s="84">
        <v>1</v>
      </c>
      <c r="E66" s="49">
        <v>30</v>
      </c>
      <c r="F66" s="112">
        <v>45968</v>
      </c>
      <c r="G66" s="113">
        <v>0.375</v>
      </c>
      <c r="H66" s="112">
        <v>45966</v>
      </c>
      <c r="I66" s="113">
        <v>0.77083333333333337</v>
      </c>
      <c r="J66" s="87">
        <f t="shared" si="0"/>
        <v>2</v>
      </c>
      <c r="K66" s="8">
        <v>1</v>
      </c>
      <c r="L66" s="8">
        <v>28</v>
      </c>
      <c r="M66" s="49" t="s">
        <v>276</v>
      </c>
    </row>
    <row r="67" spans="1:13" s="5" customFormat="1" ht="40.5" customHeight="1" x14ac:dyDescent="0.2">
      <c r="A67" s="49" t="s">
        <v>649</v>
      </c>
      <c r="B67" s="8" t="s">
        <v>136</v>
      </c>
      <c r="C67" s="8" t="s">
        <v>22</v>
      </c>
      <c r="D67" s="84">
        <v>1</v>
      </c>
      <c r="E67" s="49">
        <v>30</v>
      </c>
      <c r="F67" s="112">
        <v>45968</v>
      </c>
      <c r="G67" s="113">
        <v>0.375</v>
      </c>
      <c r="H67" s="112">
        <v>45966</v>
      </c>
      <c r="I67" s="113">
        <v>0.52083333333333337</v>
      </c>
      <c r="J67" s="87">
        <f t="shared" si="0"/>
        <v>5</v>
      </c>
      <c r="K67" s="8">
        <v>1</v>
      </c>
      <c r="L67" s="8">
        <v>25</v>
      </c>
      <c r="M67" s="49" t="s">
        <v>650</v>
      </c>
    </row>
    <row r="68" spans="1:13" s="5" customFormat="1" ht="38.25" customHeight="1" x14ac:dyDescent="0.2">
      <c r="A68" s="49" t="s">
        <v>649</v>
      </c>
      <c r="B68" s="8" t="s">
        <v>21</v>
      </c>
      <c r="C68" s="8" t="s">
        <v>34</v>
      </c>
      <c r="D68" s="84">
        <v>1</v>
      </c>
      <c r="E68" s="49">
        <v>30</v>
      </c>
      <c r="F68" s="112">
        <v>45968</v>
      </c>
      <c r="G68" s="113">
        <v>0.375</v>
      </c>
      <c r="H68" s="112">
        <v>45966</v>
      </c>
      <c r="I68" s="113">
        <v>0.52083333333333337</v>
      </c>
      <c r="J68" s="87">
        <f t="shared" si="0"/>
        <v>5</v>
      </c>
      <c r="K68" s="8">
        <v>1</v>
      </c>
      <c r="L68" s="8">
        <v>25</v>
      </c>
      <c r="M68" s="49" t="s">
        <v>650</v>
      </c>
    </row>
    <row r="69" spans="1:13" s="5" customFormat="1" ht="38.25" customHeight="1" x14ac:dyDescent="0.2">
      <c r="A69" s="49" t="s">
        <v>651</v>
      </c>
      <c r="B69" s="8" t="s">
        <v>136</v>
      </c>
      <c r="C69" s="8" t="s">
        <v>22</v>
      </c>
      <c r="D69" s="84">
        <v>1</v>
      </c>
      <c r="E69" s="49">
        <v>30</v>
      </c>
      <c r="F69" s="112">
        <v>45968</v>
      </c>
      <c r="G69" s="113">
        <v>0.375</v>
      </c>
      <c r="H69" s="112">
        <v>45966</v>
      </c>
      <c r="I69" s="113">
        <v>0.54166666666666663</v>
      </c>
      <c r="J69" s="87">
        <f t="shared" si="0"/>
        <v>2</v>
      </c>
      <c r="K69" s="8">
        <v>1</v>
      </c>
      <c r="L69" s="8">
        <v>28</v>
      </c>
      <c r="M69" s="49" t="s">
        <v>652</v>
      </c>
    </row>
    <row r="70" spans="1:13" s="5" customFormat="1" ht="67.5" customHeight="1" x14ac:dyDescent="0.2">
      <c r="A70" s="49" t="s">
        <v>651</v>
      </c>
      <c r="B70" s="8" t="s">
        <v>21</v>
      </c>
      <c r="C70" s="8" t="s">
        <v>34</v>
      </c>
      <c r="D70" s="84">
        <v>1</v>
      </c>
      <c r="E70" s="49">
        <v>30</v>
      </c>
      <c r="F70" s="112">
        <v>45968</v>
      </c>
      <c r="G70" s="113">
        <v>0.375</v>
      </c>
      <c r="H70" s="112">
        <v>45966</v>
      </c>
      <c r="I70" s="113">
        <v>0.54166666666666663</v>
      </c>
      <c r="J70" s="87">
        <f t="shared" si="0"/>
        <v>2</v>
      </c>
      <c r="K70" s="8">
        <v>1</v>
      </c>
      <c r="L70" s="8">
        <v>28</v>
      </c>
      <c r="M70" s="49" t="s">
        <v>652</v>
      </c>
    </row>
    <row r="71" spans="1:13" s="5" customFormat="1" ht="53.25" customHeight="1" x14ac:dyDescent="0.2">
      <c r="A71" s="49" t="s">
        <v>653</v>
      </c>
      <c r="B71" s="8" t="s">
        <v>136</v>
      </c>
      <c r="C71" s="8" t="s">
        <v>22</v>
      </c>
      <c r="D71" s="84">
        <v>1</v>
      </c>
      <c r="E71" s="49">
        <v>30</v>
      </c>
      <c r="F71" s="112">
        <v>45968</v>
      </c>
      <c r="G71" s="113">
        <v>0.375</v>
      </c>
      <c r="H71" s="112">
        <v>45966</v>
      </c>
      <c r="I71" s="113">
        <v>0.5625</v>
      </c>
      <c r="J71" s="87">
        <f t="shared" si="0"/>
        <v>2</v>
      </c>
      <c r="K71" s="8">
        <v>1</v>
      </c>
      <c r="L71" s="8">
        <v>28</v>
      </c>
      <c r="M71" s="49" t="s">
        <v>282</v>
      </c>
    </row>
    <row r="72" spans="1:13" s="5" customFormat="1" ht="41.25" customHeight="1" x14ac:dyDescent="0.2">
      <c r="A72" s="49" t="s">
        <v>653</v>
      </c>
      <c r="B72" s="8" t="s">
        <v>21</v>
      </c>
      <c r="C72" s="8" t="s">
        <v>34</v>
      </c>
      <c r="D72" s="84">
        <v>1</v>
      </c>
      <c r="E72" s="49">
        <v>30</v>
      </c>
      <c r="F72" s="112">
        <v>45968</v>
      </c>
      <c r="G72" s="113">
        <v>0.375</v>
      </c>
      <c r="H72" s="112">
        <v>45966</v>
      </c>
      <c r="I72" s="113">
        <v>0.5625</v>
      </c>
      <c r="J72" s="87">
        <f t="shared" si="0"/>
        <v>2</v>
      </c>
      <c r="K72" s="8">
        <v>1</v>
      </c>
      <c r="L72" s="8">
        <v>28</v>
      </c>
      <c r="M72" s="49" t="s">
        <v>282</v>
      </c>
    </row>
    <row r="73" spans="1:13" s="5" customFormat="1" ht="42.75" customHeight="1" x14ac:dyDescent="0.2">
      <c r="A73" s="49" t="s">
        <v>654</v>
      </c>
      <c r="B73" s="8" t="s">
        <v>136</v>
      </c>
      <c r="C73" s="8" t="s">
        <v>22</v>
      </c>
      <c r="D73" s="84">
        <v>1</v>
      </c>
      <c r="E73" s="49">
        <v>30</v>
      </c>
      <c r="F73" s="112">
        <v>45968</v>
      </c>
      <c r="G73" s="113">
        <v>0.375</v>
      </c>
      <c r="H73" s="112">
        <v>45966</v>
      </c>
      <c r="I73" s="113">
        <v>0.58333333333333337</v>
      </c>
      <c r="J73" s="87">
        <f t="shared" si="0"/>
        <v>2</v>
      </c>
      <c r="K73" s="8">
        <v>1</v>
      </c>
      <c r="L73" s="8">
        <v>28</v>
      </c>
      <c r="M73" s="49" t="s">
        <v>655</v>
      </c>
    </row>
    <row r="74" spans="1:13" s="5" customFormat="1" ht="37.5" customHeight="1" x14ac:dyDescent="0.2">
      <c r="A74" s="49" t="s">
        <v>654</v>
      </c>
      <c r="B74" s="8" t="s">
        <v>21</v>
      </c>
      <c r="C74" s="8" t="s">
        <v>34</v>
      </c>
      <c r="D74" s="84">
        <v>1</v>
      </c>
      <c r="E74" s="49">
        <v>30</v>
      </c>
      <c r="F74" s="112">
        <v>45968</v>
      </c>
      <c r="G74" s="113">
        <v>0.375</v>
      </c>
      <c r="H74" s="112">
        <v>45966</v>
      </c>
      <c r="I74" s="113">
        <v>0.58333333333333337</v>
      </c>
      <c r="J74" s="87">
        <f t="shared" si="0"/>
        <v>2</v>
      </c>
      <c r="K74" s="8">
        <v>1</v>
      </c>
      <c r="L74" s="8">
        <v>28</v>
      </c>
      <c r="M74" s="49" t="s">
        <v>655</v>
      </c>
    </row>
    <row r="75" spans="1:13" s="5" customFormat="1" ht="39.75" customHeight="1" x14ac:dyDescent="0.2">
      <c r="A75" s="49" t="s">
        <v>656</v>
      </c>
      <c r="B75" s="8" t="s">
        <v>136</v>
      </c>
      <c r="C75" s="8" t="s">
        <v>22</v>
      </c>
      <c r="D75" s="84">
        <v>1</v>
      </c>
      <c r="E75" s="49">
        <v>30</v>
      </c>
      <c r="F75" s="112">
        <v>45968</v>
      </c>
      <c r="G75" s="113">
        <v>0.375</v>
      </c>
      <c r="H75" s="112">
        <v>45966</v>
      </c>
      <c r="I75" s="113">
        <v>0.60416666666666663</v>
      </c>
      <c r="J75" s="87">
        <f t="shared" si="0"/>
        <v>2</v>
      </c>
      <c r="K75" s="8">
        <v>1</v>
      </c>
      <c r="L75" s="8">
        <v>28</v>
      </c>
      <c r="M75" s="49" t="s">
        <v>657</v>
      </c>
    </row>
    <row r="76" spans="1:13" s="5" customFormat="1" ht="44.25" customHeight="1" x14ac:dyDescent="0.2">
      <c r="A76" s="49" t="s">
        <v>656</v>
      </c>
      <c r="B76" s="8" t="s">
        <v>21</v>
      </c>
      <c r="C76" s="8" t="s">
        <v>34</v>
      </c>
      <c r="D76" s="84">
        <v>1</v>
      </c>
      <c r="E76" s="49">
        <v>30</v>
      </c>
      <c r="F76" s="112">
        <v>45968</v>
      </c>
      <c r="G76" s="113">
        <v>0.375</v>
      </c>
      <c r="H76" s="112">
        <v>45966</v>
      </c>
      <c r="I76" s="113">
        <v>0.60416666666666663</v>
      </c>
      <c r="J76" s="87">
        <f t="shared" si="0"/>
        <v>2</v>
      </c>
      <c r="K76" s="8">
        <v>1</v>
      </c>
      <c r="L76" s="8">
        <v>28</v>
      </c>
      <c r="M76" s="49" t="s">
        <v>657</v>
      </c>
    </row>
    <row r="77" spans="1:13" s="5" customFormat="1" ht="44.25" customHeight="1" x14ac:dyDescent="0.2">
      <c r="A77" s="49" t="s">
        <v>658</v>
      </c>
      <c r="B77" s="8" t="s">
        <v>136</v>
      </c>
      <c r="C77" s="8" t="s">
        <v>22</v>
      </c>
      <c r="D77" s="84">
        <v>1</v>
      </c>
      <c r="E77" s="49">
        <v>30</v>
      </c>
      <c r="F77" s="112">
        <v>45968</v>
      </c>
      <c r="G77" s="113">
        <v>0.375</v>
      </c>
      <c r="H77" s="112">
        <v>45966</v>
      </c>
      <c r="I77" s="113">
        <v>0.625</v>
      </c>
      <c r="J77" s="87">
        <f t="shared" si="0"/>
        <v>2</v>
      </c>
      <c r="K77" s="8">
        <v>1</v>
      </c>
      <c r="L77" s="8">
        <v>28</v>
      </c>
      <c r="M77" s="49" t="s">
        <v>659</v>
      </c>
    </row>
    <row r="78" spans="1:13" s="5" customFormat="1" ht="36.6" customHeight="1" x14ac:dyDescent="0.2">
      <c r="A78" s="49" t="s">
        <v>658</v>
      </c>
      <c r="B78" s="8" t="s">
        <v>21</v>
      </c>
      <c r="C78" s="8" t="s">
        <v>34</v>
      </c>
      <c r="D78" s="84">
        <v>1</v>
      </c>
      <c r="E78" s="49">
        <v>30</v>
      </c>
      <c r="F78" s="112">
        <v>45968</v>
      </c>
      <c r="G78" s="113">
        <v>0.375</v>
      </c>
      <c r="H78" s="112">
        <v>45966</v>
      </c>
      <c r="I78" s="113">
        <v>0.625</v>
      </c>
      <c r="J78" s="87">
        <f t="shared" si="0"/>
        <v>2</v>
      </c>
      <c r="K78" s="8">
        <v>1</v>
      </c>
      <c r="L78" s="8">
        <v>28</v>
      </c>
      <c r="M78" s="49" t="s">
        <v>659</v>
      </c>
    </row>
    <row r="79" spans="1:13" s="5" customFormat="1" ht="36.6" customHeight="1" x14ac:dyDescent="0.2">
      <c r="A79" s="49" t="s">
        <v>660</v>
      </c>
      <c r="B79" s="8" t="s">
        <v>136</v>
      </c>
      <c r="C79" s="8" t="s">
        <v>22</v>
      </c>
      <c r="D79" s="84">
        <v>1</v>
      </c>
      <c r="E79" s="49">
        <v>30</v>
      </c>
      <c r="F79" s="112">
        <v>45968</v>
      </c>
      <c r="G79" s="113">
        <v>0.375</v>
      </c>
      <c r="H79" s="112">
        <v>45966</v>
      </c>
      <c r="I79" s="113">
        <v>0.64583333333333337</v>
      </c>
      <c r="J79" s="87">
        <f t="shared" si="0"/>
        <v>2</v>
      </c>
      <c r="K79" s="8">
        <v>1</v>
      </c>
      <c r="L79" s="8">
        <v>28</v>
      </c>
      <c r="M79" s="49" t="s">
        <v>661</v>
      </c>
    </row>
    <row r="80" spans="1:13" s="5" customFormat="1" ht="44.25" customHeight="1" x14ac:dyDescent="0.2">
      <c r="A80" s="49" t="s">
        <v>660</v>
      </c>
      <c r="B80" s="8" t="s">
        <v>21</v>
      </c>
      <c r="C80" s="8" t="s">
        <v>34</v>
      </c>
      <c r="D80" s="84">
        <v>1</v>
      </c>
      <c r="E80" s="49">
        <v>30</v>
      </c>
      <c r="F80" s="112">
        <v>45968</v>
      </c>
      <c r="G80" s="113">
        <v>0.375</v>
      </c>
      <c r="H80" s="112">
        <v>45966</v>
      </c>
      <c r="I80" s="113">
        <v>0.64583333333333337</v>
      </c>
      <c r="J80" s="87">
        <f t="shared" si="0"/>
        <v>2</v>
      </c>
      <c r="K80" s="8">
        <v>1</v>
      </c>
      <c r="L80" s="8">
        <v>28</v>
      </c>
      <c r="M80" s="49" t="s">
        <v>661</v>
      </c>
    </row>
    <row r="81" spans="1:13" s="5" customFormat="1" ht="46.5" customHeight="1" x14ac:dyDescent="0.2">
      <c r="A81" s="49" t="s">
        <v>662</v>
      </c>
      <c r="B81" s="8" t="s">
        <v>136</v>
      </c>
      <c r="C81" s="8" t="s">
        <v>22</v>
      </c>
      <c r="D81" s="84">
        <v>1</v>
      </c>
      <c r="E81" s="49">
        <v>30</v>
      </c>
      <c r="F81" s="112">
        <v>45968</v>
      </c>
      <c r="G81" s="113">
        <v>0.375</v>
      </c>
      <c r="H81" s="112">
        <v>45966</v>
      </c>
      <c r="I81" s="113">
        <v>0.66666666666666663</v>
      </c>
      <c r="J81" s="87">
        <f t="shared" si="0"/>
        <v>3</v>
      </c>
      <c r="K81" s="8">
        <v>1</v>
      </c>
      <c r="L81" s="8">
        <v>27</v>
      </c>
      <c r="M81" s="49" t="s">
        <v>292</v>
      </c>
    </row>
    <row r="82" spans="1:13" s="5" customFormat="1" ht="48" customHeight="1" x14ac:dyDescent="0.2">
      <c r="A82" s="49" t="s">
        <v>662</v>
      </c>
      <c r="B82" s="8" t="s">
        <v>21</v>
      </c>
      <c r="C82" s="8" t="s">
        <v>34</v>
      </c>
      <c r="D82" s="84">
        <v>1</v>
      </c>
      <c r="E82" s="49">
        <v>30</v>
      </c>
      <c r="F82" s="112">
        <v>45968</v>
      </c>
      <c r="G82" s="113">
        <v>0.375</v>
      </c>
      <c r="H82" s="112">
        <v>45966</v>
      </c>
      <c r="I82" s="113">
        <v>0.66666666666666663</v>
      </c>
      <c r="J82" s="87">
        <f t="shared" si="0"/>
        <v>3</v>
      </c>
      <c r="K82" s="8">
        <v>1</v>
      </c>
      <c r="L82" s="8">
        <v>27</v>
      </c>
      <c r="M82" s="49" t="s">
        <v>292</v>
      </c>
    </row>
    <row r="83" spans="1:13" s="5" customFormat="1" ht="49.5" customHeight="1" x14ac:dyDescent="0.2">
      <c r="A83" s="49" t="s">
        <v>663</v>
      </c>
      <c r="B83" s="8" t="s">
        <v>136</v>
      </c>
      <c r="C83" s="8" t="s">
        <v>22</v>
      </c>
      <c r="D83" s="84">
        <v>1</v>
      </c>
      <c r="E83" s="49">
        <v>30</v>
      </c>
      <c r="F83" s="112">
        <v>45968</v>
      </c>
      <c r="G83" s="113">
        <v>0.375</v>
      </c>
      <c r="H83" s="112">
        <v>45966</v>
      </c>
      <c r="I83" s="113">
        <v>0.6875</v>
      </c>
      <c r="J83" s="87">
        <f t="shared" si="0"/>
        <v>2</v>
      </c>
      <c r="K83" s="8">
        <v>1</v>
      </c>
      <c r="L83" s="8">
        <v>28</v>
      </c>
      <c r="M83" s="49" t="s">
        <v>294</v>
      </c>
    </row>
    <row r="84" spans="1:13" s="5" customFormat="1" ht="35.450000000000003" customHeight="1" x14ac:dyDescent="0.2">
      <c r="A84" s="49" t="s">
        <v>663</v>
      </c>
      <c r="B84" s="8" t="s">
        <v>21</v>
      </c>
      <c r="C84" s="8" t="s">
        <v>34</v>
      </c>
      <c r="D84" s="84">
        <v>1</v>
      </c>
      <c r="E84" s="49">
        <v>30</v>
      </c>
      <c r="F84" s="112">
        <v>45968</v>
      </c>
      <c r="G84" s="113">
        <v>0.375</v>
      </c>
      <c r="H84" s="112">
        <v>45966</v>
      </c>
      <c r="I84" s="113">
        <v>0.6875</v>
      </c>
      <c r="J84" s="87">
        <f t="shared" si="0"/>
        <v>2</v>
      </c>
      <c r="K84" s="8">
        <v>1</v>
      </c>
      <c r="L84" s="8">
        <v>28</v>
      </c>
      <c r="M84" s="49" t="s">
        <v>294</v>
      </c>
    </row>
    <row r="85" spans="1:13" s="5" customFormat="1" ht="35.450000000000003" customHeight="1" x14ac:dyDescent="0.2">
      <c r="A85" s="49" t="s">
        <v>664</v>
      </c>
      <c r="B85" s="8" t="s">
        <v>136</v>
      </c>
      <c r="C85" s="8" t="s">
        <v>22</v>
      </c>
      <c r="D85" s="84">
        <v>1</v>
      </c>
      <c r="E85" s="49">
        <v>30</v>
      </c>
      <c r="F85" s="112">
        <v>45968</v>
      </c>
      <c r="G85" s="113">
        <v>0.375</v>
      </c>
      <c r="H85" s="112">
        <v>45966</v>
      </c>
      <c r="I85" s="113">
        <v>0.70833333333333337</v>
      </c>
      <c r="J85" s="87">
        <f t="shared" si="0"/>
        <v>0</v>
      </c>
      <c r="K85" s="8">
        <v>1</v>
      </c>
      <c r="L85" s="8">
        <v>30</v>
      </c>
      <c r="M85" s="49" t="s">
        <v>665</v>
      </c>
    </row>
    <row r="86" spans="1:13" s="5" customFormat="1" ht="35.450000000000003" customHeight="1" x14ac:dyDescent="0.2">
      <c r="A86" s="49" t="s">
        <v>664</v>
      </c>
      <c r="B86" s="8" t="s">
        <v>21</v>
      </c>
      <c r="C86" s="8" t="s">
        <v>34</v>
      </c>
      <c r="D86" s="84">
        <v>1</v>
      </c>
      <c r="E86" s="49">
        <v>30</v>
      </c>
      <c r="F86" s="112">
        <v>45968</v>
      </c>
      <c r="G86" s="113">
        <v>0.375</v>
      </c>
      <c r="H86" s="112">
        <v>45966</v>
      </c>
      <c r="I86" s="113">
        <v>0.70833333333333337</v>
      </c>
      <c r="J86" s="87">
        <f t="shared" si="0"/>
        <v>0</v>
      </c>
      <c r="K86" s="8">
        <v>1</v>
      </c>
      <c r="L86" s="8">
        <v>30</v>
      </c>
      <c r="M86" s="49" t="s">
        <v>665</v>
      </c>
    </row>
    <row r="87" spans="1:13" s="5" customFormat="1" ht="35.450000000000003" customHeight="1" x14ac:dyDescent="0.2">
      <c r="A87" s="49" t="s">
        <v>666</v>
      </c>
      <c r="B87" s="8" t="s">
        <v>136</v>
      </c>
      <c r="C87" s="8" t="s">
        <v>22</v>
      </c>
      <c r="D87" s="84">
        <v>1</v>
      </c>
      <c r="E87" s="49">
        <v>30</v>
      </c>
      <c r="F87" s="112">
        <v>45968</v>
      </c>
      <c r="G87" s="113">
        <v>0.375</v>
      </c>
      <c r="H87" s="112">
        <v>45966</v>
      </c>
      <c r="I87" s="113">
        <v>0.72916666666666663</v>
      </c>
      <c r="J87" s="87">
        <f t="shared" ref="J87" si="1">E87-L87</f>
        <v>1</v>
      </c>
      <c r="K87" s="8">
        <v>1</v>
      </c>
      <c r="L87" s="8">
        <v>29</v>
      </c>
      <c r="M87" s="49" t="s">
        <v>298</v>
      </c>
    </row>
    <row r="88" spans="1:13" s="5" customFormat="1" ht="44.25" customHeight="1" x14ac:dyDescent="0.2">
      <c r="A88" s="49" t="s">
        <v>666</v>
      </c>
      <c r="B88" s="8" t="s">
        <v>21</v>
      </c>
      <c r="C88" s="8" t="s">
        <v>34</v>
      </c>
      <c r="D88" s="84">
        <v>1</v>
      </c>
      <c r="E88" s="49">
        <v>30</v>
      </c>
      <c r="F88" s="112">
        <v>45968</v>
      </c>
      <c r="G88" s="113">
        <v>0.375</v>
      </c>
      <c r="H88" s="112">
        <v>45966</v>
      </c>
      <c r="I88" s="113">
        <v>0.72916666666666663</v>
      </c>
      <c r="J88" s="87">
        <f t="shared" si="0"/>
        <v>1</v>
      </c>
      <c r="K88" s="8">
        <v>1</v>
      </c>
      <c r="L88" s="8">
        <v>29</v>
      </c>
      <c r="M88" s="49" t="s">
        <v>298</v>
      </c>
    </row>
    <row r="89" spans="1:13" s="5" customFormat="1" ht="43.5" customHeight="1" x14ac:dyDescent="0.2">
      <c r="A89" s="49" t="s">
        <v>667</v>
      </c>
      <c r="B89" s="8" t="s">
        <v>30</v>
      </c>
      <c r="C89" s="8" t="s">
        <v>40</v>
      </c>
      <c r="D89" s="84">
        <v>1</v>
      </c>
      <c r="E89" s="49">
        <v>30</v>
      </c>
      <c r="F89" s="112">
        <v>45968</v>
      </c>
      <c r="G89" s="113">
        <v>0.375</v>
      </c>
      <c r="H89" s="112">
        <v>45966</v>
      </c>
      <c r="I89" s="113">
        <v>0.58333333333333337</v>
      </c>
      <c r="J89" s="87">
        <f t="shared" ref="J89" si="2">E89-L89</f>
        <v>1</v>
      </c>
      <c r="K89" s="8">
        <v>1</v>
      </c>
      <c r="L89" s="8">
        <v>29</v>
      </c>
      <c r="M89" s="49" t="s">
        <v>668</v>
      </c>
    </row>
    <row r="90" spans="1:13" s="5" customFormat="1" ht="44.25" customHeight="1" x14ac:dyDescent="0.2">
      <c r="A90" s="49" t="s">
        <v>667</v>
      </c>
      <c r="B90" s="8" t="s">
        <v>510</v>
      </c>
      <c r="C90" s="8" t="s">
        <v>43</v>
      </c>
      <c r="D90" s="84">
        <v>1</v>
      </c>
      <c r="E90" s="49">
        <v>30</v>
      </c>
      <c r="F90" s="112">
        <v>45968</v>
      </c>
      <c r="G90" s="113">
        <v>0.375</v>
      </c>
      <c r="H90" s="112">
        <v>45966</v>
      </c>
      <c r="I90" s="113">
        <v>0.58333333333333337</v>
      </c>
      <c r="J90" s="87">
        <f t="shared" si="0"/>
        <v>1</v>
      </c>
      <c r="K90" s="8">
        <v>1</v>
      </c>
      <c r="L90" s="8">
        <v>29</v>
      </c>
      <c r="M90" s="49" t="s">
        <v>668</v>
      </c>
    </row>
    <row r="91" spans="1:13" s="5" customFormat="1" ht="35.450000000000003" customHeight="1" x14ac:dyDescent="0.2">
      <c r="A91" s="49" t="s">
        <v>669</v>
      </c>
      <c r="B91" s="8" t="s">
        <v>30</v>
      </c>
      <c r="C91" s="8" t="s">
        <v>40</v>
      </c>
      <c r="D91" s="84">
        <v>1</v>
      </c>
      <c r="E91" s="49">
        <v>30</v>
      </c>
      <c r="F91" s="112">
        <v>45968</v>
      </c>
      <c r="G91" s="113">
        <v>0.375</v>
      </c>
      <c r="H91" s="112">
        <v>45966</v>
      </c>
      <c r="I91" s="113">
        <v>0.60416666666666663</v>
      </c>
      <c r="J91" s="87">
        <f t="shared" ref="J91" si="3">E91-L91</f>
        <v>1</v>
      </c>
      <c r="K91" s="8">
        <v>1</v>
      </c>
      <c r="L91" s="8">
        <v>29</v>
      </c>
      <c r="M91" s="49" t="s">
        <v>670</v>
      </c>
    </row>
    <row r="92" spans="1:13" s="5" customFormat="1" ht="37.5" customHeight="1" x14ac:dyDescent="0.2">
      <c r="A92" s="49" t="s">
        <v>669</v>
      </c>
      <c r="B92" s="8" t="s">
        <v>510</v>
      </c>
      <c r="C92" s="8" t="s">
        <v>43</v>
      </c>
      <c r="D92" s="84">
        <v>1</v>
      </c>
      <c r="E92" s="49">
        <v>30</v>
      </c>
      <c r="F92" s="112">
        <v>45968</v>
      </c>
      <c r="G92" s="113">
        <v>0.375</v>
      </c>
      <c r="H92" s="112">
        <v>45966</v>
      </c>
      <c r="I92" s="120">
        <v>0.60416666666666663</v>
      </c>
      <c r="J92" s="87">
        <f t="shared" si="0"/>
        <v>1</v>
      </c>
      <c r="K92" s="8">
        <v>1</v>
      </c>
      <c r="L92" s="8">
        <v>29</v>
      </c>
      <c r="M92" s="49" t="s">
        <v>670</v>
      </c>
    </row>
    <row r="93" spans="1:13" ht="31.5" customHeight="1" x14ac:dyDescent="0.2">
      <c r="A93" s="49" t="s">
        <v>671</v>
      </c>
      <c r="B93" s="8" t="s">
        <v>30</v>
      </c>
      <c r="C93" s="8" t="s">
        <v>40</v>
      </c>
      <c r="D93" s="84">
        <v>1</v>
      </c>
      <c r="E93" s="49">
        <v>30</v>
      </c>
      <c r="F93" s="112">
        <v>45968</v>
      </c>
      <c r="G93" s="113">
        <v>0.375</v>
      </c>
      <c r="H93" s="112">
        <v>45966</v>
      </c>
      <c r="I93" s="113">
        <v>0.625</v>
      </c>
      <c r="J93" s="87">
        <f t="shared" ref="J93" si="4">E93-L93</f>
        <v>1</v>
      </c>
      <c r="K93" s="8">
        <v>1</v>
      </c>
      <c r="L93" s="8">
        <v>29</v>
      </c>
      <c r="M93" s="49" t="s">
        <v>304</v>
      </c>
    </row>
    <row r="94" spans="1:13" ht="46.5" customHeight="1" x14ac:dyDescent="0.2">
      <c r="A94" s="49" t="s">
        <v>671</v>
      </c>
      <c r="B94" s="8" t="s">
        <v>510</v>
      </c>
      <c r="C94" s="8" t="s">
        <v>43</v>
      </c>
      <c r="D94" s="84">
        <v>1</v>
      </c>
      <c r="E94" s="49">
        <v>30</v>
      </c>
      <c r="F94" s="112">
        <v>45968</v>
      </c>
      <c r="G94" s="113">
        <v>0.375</v>
      </c>
      <c r="H94" s="112">
        <v>45966</v>
      </c>
      <c r="I94" s="113">
        <v>0.625</v>
      </c>
      <c r="J94" s="87">
        <f t="shared" si="0"/>
        <v>1</v>
      </c>
      <c r="K94" s="8">
        <v>1</v>
      </c>
      <c r="L94" s="8">
        <v>29</v>
      </c>
      <c r="M94" s="49" t="s">
        <v>304</v>
      </c>
    </row>
    <row r="95" spans="1:13" ht="29.25" customHeight="1" x14ac:dyDescent="0.2">
      <c r="A95" s="49" t="s">
        <v>305</v>
      </c>
      <c r="B95" s="8" t="s">
        <v>30</v>
      </c>
      <c r="C95" s="8" t="s">
        <v>40</v>
      </c>
      <c r="D95" s="84">
        <v>1</v>
      </c>
      <c r="E95" s="49">
        <v>30</v>
      </c>
      <c r="F95" s="112">
        <v>45968</v>
      </c>
      <c r="G95" s="113">
        <v>0.375</v>
      </c>
      <c r="H95" s="112">
        <v>45966</v>
      </c>
      <c r="I95" s="113">
        <v>0.64583333333333337</v>
      </c>
      <c r="J95" s="87">
        <f t="shared" ref="J95" si="5">E95-L95</f>
        <v>1</v>
      </c>
      <c r="K95" s="8">
        <v>1</v>
      </c>
      <c r="L95" s="8">
        <v>29</v>
      </c>
      <c r="M95" s="49" t="s">
        <v>672</v>
      </c>
    </row>
    <row r="96" spans="1:13" ht="33.75" customHeight="1" x14ac:dyDescent="0.2">
      <c r="A96" s="49" t="s">
        <v>305</v>
      </c>
      <c r="B96" s="8" t="s">
        <v>510</v>
      </c>
      <c r="C96" s="8" t="s">
        <v>43</v>
      </c>
      <c r="D96" s="84">
        <v>1</v>
      </c>
      <c r="E96" s="49">
        <v>30</v>
      </c>
      <c r="F96" s="112">
        <v>45968</v>
      </c>
      <c r="G96" s="113">
        <v>0.375</v>
      </c>
      <c r="H96" s="112">
        <v>45966</v>
      </c>
      <c r="I96" s="113">
        <v>0.64583333333333337</v>
      </c>
      <c r="J96" s="87">
        <f t="shared" si="0"/>
        <v>1</v>
      </c>
      <c r="K96" s="8">
        <v>1</v>
      </c>
      <c r="L96" s="8">
        <v>29</v>
      </c>
      <c r="M96" s="49" t="s">
        <v>672</v>
      </c>
    </row>
    <row r="97" spans="1:13" ht="45" customHeight="1" x14ac:dyDescent="0.2">
      <c r="A97" s="49" t="s">
        <v>673</v>
      </c>
      <c r="B97" s="8" t="s">
        <v>30</v>
      </c>
      <c r="C97" s="8" t="s">
        <v>40</v>
      </c>
      <c r="D97" s="84">
        <v>1</v>
      </c>
      <c r="E97" s="49">
        <v>30</v>
      </c>
      <c r="F97" s="112">
        <v>45968</v>
      </c>
      <c r="G97" s="113">
        <v>0.375</v>
      </c>
      <c r="H97" s="112">
        <v>45966</v>
      </c>
      <c r="I97" s="113">
        <v>0.66666666666666663</v>
      </c>
      <c r="J97" s="87">
        <f t="shared" ref="J97:J98" si="6">E97-L97</f>
        <v>1</v>
      </c>
      <c r="K97" s="8">
        <v>1</v>
      </c>
      <c r="L97" s="8">
        <v>29</v>
      </c>
      <c r="M97" s="49" t="s">
        <v>674</v>
      </c>
    </row>
    <row r="98" spans="1:13" ht="46.5" customHeight="1" x14ac:dyDescent="0.2">
      <c r="A98" s="49" t="s">
        <v>673</v>
      </c>
      <c r="B98" s="8" t="s">
        <v>510</v>
      </c>
      <c r="C98" s="8" t="s">
        <v>43</v>
      </c>
      <c r="D98" s="84">
        <v>1</v>
      </c>
      <c r="E98" s="49">
        <v>30</v>
      </c>
      <c r="F98" s="112">
        <v>45968</v>
      </c>
      <c r="G98" s="113">
        <v>0.375</v>
      </c>
      <c r="H98" s="112">
        <v>45966</v>
      </c>
      <c r="I98" s="113">
        <v>0.66666666666666663</v>
      </c>
      <c r="J98" s="87">
        <f t="shared" si="6"/>
        <v>1</v>
      </c>
      <c r="K98" s="8">
        <v>1</v>
      </c>
      <c r="L98" s="8">
        <v>29</v>
      </c>
      <c r="M98" s="49" t="s">
        <v>674</v>
      </c>
    </row>
    <row r="99" spans="1:13" ht="39.75" customHeight="1" x14ac:dyDescent="0.2">
      <c r="A99" s="49" t="s">
        <v>675</v>
      </c>
      <c r="B99" s="8" t="s">
        <v>30</v>
      </c>
      <c r="C99" s="8" t="s">
        <v>40</v>
      </c>
      <c r="D99" s="84">
        <v>1</v>
      </c>
      <c r="E99" s="49">
        <v>30</v>
      </c>
      <c r="F99" s="112">
        <v>45968</v>
      </c>
      <c r="G99" s="113">
        <v>0.375</v>
      </c>
      <c r="H99" s="112">
        <v>45966</v>
      </c>
      <c r="I99" s="113">
        <v>0.6875</v>
      </c>
      <c r="J99" s="87">
        <f t="shared" si="0"/>
        <v>1</v>
      </c>
      <c r="K99" s="8">
        <v>1</v>
      </c>
      <c r="L99" s="8">
        <v>29</v>
      </c>
      <c r="M99" s="49" t="s">
        <v>676</v>
      </c>
    </row>
    <row r="100" spans="1:13" ht="31.5" customHeight="1" x14ac:dyDescent="0.2">
      <c r="A100" s="49" t="s">
        <v>675</v>
      </c>
      <c r="B100" s="8" t="s">
        <v>510</v>
      </c>
      <c r="C100" s="8" t="s">
        <v>43</v>
      </c>
      <c r="D100" s="84">
        <v>1</v>
      </c>
      <c r="E100" s="49">
        <v>30</v>
      </c>
      <c r="F100" s="112">
        <v>45968</v>
      </c>
      <c r="G100" s="113">
        <v>0.375</v>
      </c>
      <c r="H100" s="112">
        <v>45966</v>
      </c>
      <c r="I100" s="113">
        <v>0.6875</v>
      </c>
      <c r="J100" s="87">
        <f t="shared" si="0"/>
        <v>1</v>
      </c>
      <c r="K100" s="8">
        <v>1</v>
      </c>
      <c r="L100" s="8">
        <v>29</v>
      </c>
      <c r="M100" s="49" t="s">
        <v>676</v>
      </c>
    </row>
    <row r="101" spans="1:13" ht="39.75" customHeight="1" x14ac:dyDescent="0.2">
      <c r="A101" s="49" t="s">
        <v>677</v>
      </c>
      <c r="B101" s="8" t="s">
        <v>30</v>
      </c>
      <c r="C101" s="8" t="s">
        <v>40</v>
      </c>
      <c r="D101" s="84">
        <v>1</v>
      </c>
      <c r="E101" s="49">
        <v>30</v>
      </c>
      <c r="F101" s="112">
        <v>45968</v>
      </c>
      <c r="G101" s="113">
        <v>0.375</v>
      </c>
      <c r="H101" s="112">
        <v>45966</v>
      </c>
      <c r="I101" s="113">
        <v>0.70833333333333337</v>
      </c>
      <c r="J101" s="87">
        <f t="shared" ref="J101:J102" si="7">E101-L101</f>
        <v>1</v>
      </c>
      <c r="K101" s="8">
        <v>1</v>
      </c>
      <c r="L101" s="8">
        <v>29</v>
      </c>
      <c r="M101" s="49" t="s">
        <v>312</v>
      </c>
    </row>
    <row r="102" spans="1:13" ht="42" customHeight="1" x14ac:dyDescent="0.2">
      <c r="A102" s="49" t="s">
        <v>677</v>
      </c>
      <c r="B102" s="8" t="s">
        <v>510</v>
      </c>
      <c r="C102" s="8" t="s">
        <v>43</v>
      </c>
      <c r="D102" s="84">
        <v>1</v>
      </c>
      <c r="E102" s="49">
        <v>30</v>
      </c>
      <c r="F102" s="112">
        <v>45968</v>
      </c>
      <c r="G102" s="113">
        <v>0.375</v>
      </c>
      <c r="H102" s="112">
        <v>45966</v>
      </c>
      <c r="I102" s="113">
        <v>0.70833333333333337</v>
      </c>
      <c r="J102" s="87">
        <f t="shared" si="7"/>
        <v>1</v>
      </c>
      <c r="K102" s="8">
        <v>1</v>
      </c>
      <c r="L102" s="8">
        <v>29</v>
      </c>
      <c r="M102" s="49" t="s">
        <v>312</v>
      </c>
    </row>
    <row r="103" spans="1:13" ht="33" customHeight="1" x14ac:dyDescent="0.2">
      <c r="A103" s="49" t="s">
        <v>678</v>
      </c>
      <c r="B103" s="8" t="s">
        <v>30</v>
      </c>
      <c r="C103" s="8" t="s">
        <v>40</v>
      </c>
      <c r="D103" s="84">
        <v>1</v>
      </c>
      <c r="E103" s="49">
        <v>30</v>
      </c>
      <c r="F103" s="112">
        <v>45968</v>
      </c>
      <c r="G103" s="113">
        <v>0.375</v>
      </c>
      <c r="H103" s="112">
        <v>45966</v>
      </c>
      <c r="I103" s="113">
        <v>0.72916666666666663</v>
      </c>
      <c r="J103" s="87">
        <f t="shared" si="0"/>
        <v>1</v>
      </c>
      <c r="K103" s="8">
        <v>1</v>
      </c>
      <c r="L103" s="8">
        <v>29</v>
      </c>
      <c r="M103" s="49" t="s">
        <v>679</v>
      </c>
    </row>
    <row r="104" spans="1:13" ht="40.5" customHeight="1" x14ac:dyDescent="0.2">
      <c r="A104" s="49" t="s">
        <v>678</v>
      </c>
      <c r="B104" s="8" t="s">
        <v>510</v>
      </c>
      <c r="C104" s="8" t="s">
        <v>43</v>
      </c>
      <c r="D104" s="84">
        <v>1</v>
      </c>
      <c r="E104" s="49">
        <v>30</v>
      </c>
      <c r="F104" s="112">
        <v>45968</v>
      </c>
      <c r="G104" s="113">
        <v>0.375</v>
      </c>
      <c r="H104" s="112">
        <v>45966</v>
      </c>
      <c r="I104" s="113">
        <v>0.72916666666666663</v>
      </c>
      <c r="J104" s="87">
        <f t="shared" ref="J104" si="8">E104-L104</f>
        <v>1</v>
      </c>
      <c r="K104" s="8">
        <v>1</v>
      </c>
      <c r="L104" s="8">
        <v>29</v>
      </c>
      <c r="M104" s="49" t="s">
        <v>679</v>
      </c>
    </row>
    <row r="105" spans="1:13" ht="42" customHeight="1" x14ac:dyDescent="0.2">
      <c r="A105" s="49" t="s">
        <v>680</v>
      </c>
      <c r="B105" s="8" t="s">
        <v>30</v>
      </c>
      <c r="C105" s="8" t="s">
        <v>40</v>
      </c>
      <c r="D105" s="84">
        <v>1</v>
      </c>
      <c r="E105" s="49">
        <v>30</v>
      </c>
      <c r="F105" s="112">
        <v>45968</v>
      </c>
      <c r="G105" s="113">
        <v>0.375</v>
      </c>
      <c r="H105" s="112">
        <v>45966</v>
      </c>
      <c r="I105" s="113">
        <v>0.75</v>
      </c>
      <c r="J105" s="87">
        <f t="shared" ref="J105" si="9">E105-L105</f>
        <v>1</v>
      </c>
      <c r="K105" s="8">
        <v>1</v>
      </c>
      <c r="L105" s="8">
        <v>29</v>
      </c>
      <c r="M105" s="49" t="s">
        <v>681</v>
      </c>
    </row>
    <row r="106" spans="1:13" ht="51" customHeight="1" x14ac:dyDescent="0.2">
      <c r="A106" s="49" t="s">
        <v>680</v>
      </c>
      <c r="B106" s="8" t="s">
        <v>510</v>
      </c>
      <c r="C106" s="8" t="s">
        <v>43</v>
      </c>
      <c r="D106" s="84">
        <v>1</v>
      </c>
      <c r="E106" s="49">
        <v>30</v>
      </c>
      <c r="F106" s="112">
        <v>45968</v>
      </c>
      <c r="G106" s="113">
        <v>0.375</v>
      </c>
      <c r="H106" s="112">
        <v>45967</v>
      </c>
      <c r="I106" s="113">
        <v>0.75</v>
      </c>
      <c r="J106" s="87">
        <f t="shared" si="0"/>
        <v>1</v>
      </c>
      <c r="K106" s="8">
        <v>1</v>
      </c>
      <c r="L106" s="8">
        <v>29</v>
      </c>
      <c r="M106" s="49" t="s">
        <v>681</v>
      </c>
    </row>
    <row r="107" spans="1:13" ht="36" x14ac:dyDescent="0.2">
      <c r="A107" s="49" t="s">
        <v>565</v>
      </c>
      <c r="B107" s="8" t="s">
        <v>21</v>
      </c>
      <c r="C107" s="8" t="s">
        <v>34</v>
      </c>
      <c r="D107" s="84">
        <v>1</v>
      </c>
      <c r="E107" s="49">
        <v>20</v>
      </c>
      <c r="F107" s="112">
        <v>45968</v>
      </c>
      <c r="G107" s="113">
        <v>0.375</v>
      </c>
      <c r="H107" s="112">
        <v>45967</v>
      </c>
      <c r="I107" s="113">
        <v>0.79166666666666663</v>
      </c>
      <c r="J107" s="87">
        <f t="shared" si="0"/>
        <v>2</v>
      </c>
      <c r="K107" s="8">
        <v>1</v>
      </c>
      <c r="L107" s="8">
        <v>18</v>
      </c>
      <c r="M107" s="49" t="s">
        <v>569</v>
      </c>
    </row>
    <row r="108" spans="1:13" ht="36" x14ac:dyDescent="0.2">
      <c r="A108" s="49" t="s">
        <v>565</v>
      </c>
      <c r="B108" s="8" t="s">
        <v>136</v>
      </c>
      <c r="C108" s="8" t="s">
        <v>40</v>
      </c>
      <c r="D108" s="84">
        <v>1</v>
      </c>
      <c r="E108" s="49">
        <v>20</v>
      </c>
      <c r="F108" s="112">
        <v>45968</v>
      </c>
      <c r="G108" s="113">
        <v>0.375</v>
      </c>
      <c r="H108" s="112">
        <v>45967</v>
      </c>
      <c r="I108" s="113">
        <v>0.79166666666666663</v>
      </c>
      <c r="J108" s="87">
        <f t="shared" si="0"/>
        <v>2</v>
      </c>
      <c r="K108" s="8">
        <v>1</v>
      </c>
      <c r="L108" s="8">
        <v>18</v>
      </c>
      <c r="M108" s="49" t="s">
        <v>569</v>
      </c>
    </row>
    <row r="109" spans="1:13" ht="24" x14ac:dyDescent="0.2">
      <c r="A109" s="106" t="s">
        <v>123</v>
      </c>
      <c r="B109" s="85" t="s">
        <v>42</v>
      </c>
      <c r="C109" s="85" t="s">
        <v>37</v>
      </c>
      <c r="D109" s="49">
        <v>1</v>
      </c>
      <c r="E109" s="49">
        <v>20</v>
      </c>
      <c r="F109" s="85">
        <v>45968</v>
      </c>
      <c r="G109" s="86">
        <v>0.375</v>
      </c>
      <c r="H109" s="85">
        <v>45967</v>
      </c>
      <c r="I109" s="86">
        <v>0.80555555555555558</v>
      </c>
      <c r="J109" s="87">
        <f>E109-L109</f>
        <v>0</v>
      </c>
      <c r="K109" s="8">
        <v>1</v>
      </c>
      <c r="L109" s="88">
        <v>20</v>
      </c>
      <c r="M109" s="93" t="s">
        <v>124</v>
      </c>
    </row>
    <row r="110" spans="1:13" ht="24" x14ac:dyDescent="0.2">
      <c r="A110" s="38" t="s">
        <v>123</v>
      </c>
      <c r="B110" s="85" t="s">
        <v>36</v>
      </c>
      <c r="C110" s="85" t="s">
        <v>43</v>
      </c>
      <c r="D110" s="49">
        <v>1</v>
      </c>
      <c r="E110" s="49">
        <v>20</v>
      </c>
      <c r="F110" s="85">
        <v>45968</v>
      </c>
      <c r="G110" s="86">
        <v>0.375</v>
      </c>
      <c r="H110" s="85">
        <v>45967</v>
      </c>
      <c r="I110" s="86">
        <v>0.80555555555555558</v>
      </c>
      <c r="J110" s="87">
        <f t="shared" ref="J110:J131" si="10">E110-L110</f>
        <v>0</v>
      </c>
      <c r="K110" s="8">
        <v>1</v>
      </c>
      <c r="L110" s="88">
        <v>20</v>
      </c>
      <c r="M110" s="93" t="s">
        <v>124</v>
      </c>
    </row>
    <row r="111" spans="1:13" ht="24" x14ac:dyDescent="0.2">
      <c r="A111" s="115" t="s">
        <v>175</v>
      </c>
      <c r="B111" s="115" t="s">
        <v>42</v>
      </c>
      <c r="C111" s="115" t="s">
        <v>37</v>
      </c>
      <c r="D111" s="8">
        <v>1</v>
      </c>
      <c r="E111" s="8">
        <v>30</v>
      </c>
      <c r="F111" s="115">
        <v>45968</v>
      </c>
      <c r="G111" s="86">
        <v>0.375</v>
      </c>
      <c r="H111" s="115">
        <v>45967</v>
      </c>
      <c r="I111" s="121">
        <v>0.83333333333333337</v>
      </c>
      <c r="J111" s="8">
        <f t="shared" si="10"/>
        <v>6</v>
      </c>
      <c r="K111" s="65">
        <v>1</v>
      </c>
      <c r="L111" s="69">
        <v>24</v>
      </c>
      <c r="M111" s="91" t="s">
        <v>176</v>
      </c>
    </row>
    <row r="112" spans="1:13" ht="24" x14ac:dyDescent="0.2">
      <c r="A112" s="115" t="s">
        <v>177</v>
      </c>
      <c r="B112" s="115" t="s">
        <v>30</v>
      </c>
      <c r="C112" s="115" t="s">
        <v>40</v>
      </c>
      <c r="D112" s="8">
        <v>1</v>
      </c>
      <c r="E112" s="8">
        <v>30</v>
      </c>
      <c r="F112" s="115">
        <v>45968</v>
      </c>
      <c r="G112" s="86">
        <v>0.375</v>
      </c>
      <c r="H112" s="115">
        <v>45967</v>
      </c>
      <c r="I112" s="121">
        <v>0.83333333333333337</v>
      </c>
      <c r="J112" s="8">
        <f t="shared" si="10"/>
        <v>0</v>
      </c>
      <c r="K112" s="65">
        <v>1</v>
      </c>
      <c r="L112" s="69">
        <v>30</v>
      </c>
      <c r="M112" s="91" t="s">
        <v>178</v>
      </c>
    </row>
    <row r="113" spans="1:20" ht="36" x14ac:dyDescent="0.2">
      <c r="A113" s="85" t="s">
        <v>179</v>
      </c>
      <c r="B113" s="115" t="s">
        <v>30</v>
      </c>
      <c r="C113" s="115" t="s">
        <v>40</v>
      </c>
      <c r="D113" s="8">
        <v>5</v>
      </c>
      <c r="E113" s="8">
        <v>50</v>
      </c>
      <c r="F113" s="115">
        <v>45968</v>
      </c>
      <c r="G113" s="86">
        <v>0.375</v>
      </c>
      <c r="H113" s="115">
        <v>45967</v>
      </c>
      <c r="I113" s="121">
        <v>0.86805555555555558</v>
      </c>
      <c r="J113" s="8">
        <f t="shared" si="10"/>
        <v>5</v>
      </c>
      <c r="K113" s="65">
        <v>5</v>
      </c>
      <c r="L113" s="69">
        <v>45</v>
      </c>
      <c r="M113" s="91" t="s">
        <v>180</v>
      </c>
    </row>
    <row r="114" spans="1:20" ht="36" x14ac:dyDescent="0.2">
      <c r="A114" s="23" t="s">
        <v>146</v>
      </c>
      <c r="B114" s="85" t="s">
        <v>510</v>
      </c>
      <c r="C114" s="90" t="s">
        <v>31</v>
      </c>
      <c r="D114" s="84">
        <v>1</v>
      </c>
      <c r="E114" s="49">
        <v>60</v>
      </c>
      <c r="F114" s="85">
        <v>45968</v>
      </c>
      <c r="G114" s="86">
        <v>0.375</v>
      </c>
      <c r="H114" s="85">
        <v>45967</v>
      </c>
      <c r="I114" s="86">
        <v>0.91666666666666663</v>
      </c>
      <c r="J114" s="87">
        <f t="shared" si="10"/>
        <v>50</v>
      </c>
      <c r="K114" s="8">
        <v>1</v>
      </c>
      <c r="L114" s="88">
        <v>10</v>
      </c>
      <c r="M114" s="91" t="s">
        <v>149</v>
      </c>
    </row>
    <row r="115" spans="1:20" ht="36" x14ac:dyDescent="0.2">
      <c r="A115" s="23" t="s">
        <v>146</v>
      </c>
      <c r="B115" s="85" t="s">
        <v>36</v>
      </c>
      <c r="C115" s="90" t="s">
        <v>43</v>
      </c>
      <c r="D115" s="84">
        <v>1</v>
      </c>
      <c r="E115" s="49">
        <v>60</v>
      </c>
      <c r="F115" s="85">
        <v>45968</v>
      </c>
      <c r="G115" s="86">
        <v>0.375</v>
      </c>
      <c r="H115" s="85">
        <v>45967</v>
      </c>
      <c r="I115" s="86">
        <v>0.91666666666666663</v>
      </c>
      <c r="J115" s="87">
        <f t="shared" si="10"/>
        <v>50</v>
      </c>
      <c r="K115" s="8">
        <v>1</v>
      </c>
      <c r="L115" s="88">
        <v>10</v>
      </c>
      <c r="M115" s="91" t="s">
        <v>149</v>
      </c>
    </row>
    <row r="116" spans="1:20" ht="36" x14ac:dyDescent="0.2">
      <c r="A116" s="23" t="s">
        <v>146</v>
      </c>
      <c r="B116" s="85" t="s">
        <v>136</v>
      </c>
      <c r="C116" s="90" t="s">
        <v>22</v>
      </c>
      <c r="D116" s="84">
        <v>1</v>
      </c>
      <c r="E116" s="49">
        <v>60</v>
      </c>
      <c r="F116" s="85">
        <v>45968</v>
      </c>
      <c r="G116" s="86">
        <v>0.375</v>
      </c>
      <c r="H116" s="85">
        <v>45967</v>
      </c>
      <c r="I116" s="86">
        <v>0.91666666666666663</v>
      </c>
      <c r="J116" s="87">
        <f t="shared" si="10"/>
        <v>50</v>
      </c>
      <c r="K116" s="8">
        <v>1</v>
      </c>
      <c r="L116" s="88">
        <v>10</v>
      </c>
      <c r="M116" s="91" t="s">
        <v>149</v>
      </c>
    </row>
    <row r="117" spans="1:20" ht="36" x14ac:dyDescent="0.2">
      <c r="A117" s="23" t="s">
        <v>146</v>
      </c>
      <c r="B117" s="85" t="s">
        <v>21</v>
      </c>
      <c r="C117" s="90" t="s">
        <v>34</v>
      </c>
      <c r="D117" s="84">
        <v>1</v>
      </c>
      <c r="E117" s="49">
        <v>60</v>
      </c>
      <c r="F117" s="85">
        <v>45968</v>
      </c>
      <c r="G117" s="86">
        <v>0.375</v>
      </c>
      <c r="H117" s="85">
        <v>45967</v>
      </c>
      <c r="I117" s="86">
        <v>0.91666666666666663</v>
      </c>
      <c r="J117" s="87">
        <f t="shared" si="10"/>
        <v>50</v>
      </c>
      <c r="K117" s="8">
        <v>1</v>
      </c>
      <c r="L117" s="88">
        <v>10</v>
      </c>
      <c r="M117" s="91" t="s">
        <v>149</v>
      </c>
    </row>
    <row r="118" spans="1:20" ht="36" x14ac:dyDescent="0.2">
      <c r="A118" s="23" t="s">
        <v>146</v>
      </c>
      <c r="B118" s="85" t="s">
        <v>42</v>
      </c>
      <c r="C118" s="90" t="s">
        <v>37</v>
      </c>
      <c r="D118" s="84">
        <v>1</v>
      </c>
      <c r="E118" s="49">
        <v>60</v>
      </c>
      <c r="F118" s="85">
        <v>45968</v>
      </c>
      <c r="G118" s="86">
        <v>0.375</v>
      </c>
      <c r="H118" s="85">
        <v>45967</v>
      </c>
      <c r="I118" s="86">
        <v>0.91666666666666663</v>
      </c>
      <c r="J118" s="87">
        <f t="shared" si="10"/>
        <v>50</v>
      </c>
      <c r="K118" s="8">
        <v>1</v>
      </c>
      <c r="L118" s="88">
        <v>10</v>
      </c>
      <c r="M118" s="91" t="s">
        <v>149</v>
      </c>
    </row>
    <row r="119" spans="1:20" ht="36" x14ac:dyDescent="0.2">
      <c r="A119" s="23" t="s">
        <v>146</v>
      </c>
      <c r="B119" s="85" t="s">
        <v>510</v>
      </c>
      <c r="C119" s="90" t="s">
        <v>40</v>
      </c>
      <c r="D119" s="84">
        <v>1</v>
      </c>
      <c r="E119" s="49">
        <v>60</v>
      </c>
      <c r="F119" s="85">
        <v>45968</v>
      </c>
      <c r="G119" s="86">
        <v>0.375</v>
      </c>
      <c r="H119" s="85">
        <v>45967</v>
      </c>
      <c r="I119" s="86">
        <v>0.91666666666666663</v>
      </c>
      <c r="J119" s="87">
        <f t="shared" si="10"/>
        <v>50</v>
      </c>
      <c r="K119" s="8">
        <v>1</v>
      </c>
      <c r="L119" s="88">
        <v>10</v>
      </c>
      <c r="M119" s="91" t="s">
        <v>149</v>
      </c>
    </row>
    <row r="120" spans="1:20" ht="24" x14ac:dyDescent="0.2">
      <c r="A120" s="23" t="s">
        <v>52</v>
      </c>
      <c r="B120" s="90" t="s">
        <v>136</v>
      </c>
      <c r="C120" s="90" t="s">
        <v>22</v>
      </c>
      <c r="D120" s="84">
        <v>1</v>
      </c>
      <c r="E120" s="49">
        <v>30</v>
      </c>
      <c r="F120" s="85">
        <v>45968</v>
      </c>
      <c r="G120" s="86">
        <v>0.375</v>
      </c>
      <c r="H120" s="85">
        <v>45967</v>
      </c>
      <c r="I120" s="86">
        <v>0.91666666666666663</v>
      </c>
      <c r="J120" s="87">
        <f t="shared" si="10"/>
        <v>0</v>
      </c>
      <c r="K120" s="8">
        <v>1</v>
      </c>
      <c r="L120" s="88">
        <v>30</v>
      </c>
      <c r="M120" s="91" t="s">
        <v>53</v>
      </c>
    </row>
    <row r="121" spans="1:20" s="4" customFormat="1" ht="30" customHeight="1" x14ac:dyDescent="0.2">
      <c r="A121" s="23" t="s">
        <v>153</v>
      </c>
      <c r="B121" s="90" t="s">
        <v>42</v>
      </c>
      <c r="C121" s="90" t="s">
        <v>37</v>
      </c>
      <c r="D121" s="84">
        <v>1</v>
      </c>
      <c r="E121" s="5">
        <v>30</v>
      </c>
      <c r="F121" s="85">
        <v>45968</v>
      </c>
      <c r="G121" s="86">
        <v>0.375</v>
      </c>
      <c r="H121" s="85">
        <v>45967</v>
      </c>
      <c r="I121" s="86">
        <v>0.91666666666666663</v>
      </c>
      <c r="J121" s="87">
        <f t="shared" si="10"/>
        <v>0</v>
      </c>
      <c r="K121" s="8">
        <v>1</v>
      </c>
      <c r="L121" s="88">
        <v>30</v>
      </c>
      <c r="M121" s="91" t="s">
        <v>53</v>
      </c>
      <c r="N121"/>
      <c r="O121"/>
      <c r="P121"/>
      <c r="Q121"/>
      <c r="R121"/>
      <c r="S121"/>
      <c r="T121"/>
    </row>
    <row r="122" spans="1:20" s="4" customFormat="1" ht="23.25" customHeight="1" x14ac:dyDescent="0.2">
      <c r="A122" s="23" t="s">
        <v>79</v>
      </c>
      <c r="B122" s="85" t="s">
        <v>42</v>
      </c>
      <c r="C122" s="90" t="s">
        <v>37</v>
      </c>
      <c r="D122" s="84">
        <v>1</v>
      </c>
      <c r="E122" s="49">
        <v>45</v>
      </c>
      <c r="F122" s="85">
        <v>45968</v>
      </c>
      <c r="G122" s="86">
        <v>0.375</v>
      </c>
      <c r="H122" s="85">
        <v>45967</v>
      </c>
      <c r="I122" s="86">
        <v>0.9375</v>
      </c>
      <c r="J122" s="87">
        <f t="shared" si="10"/>
        <v>-35</v>
      </c>
      <c r="K122" s="8">
        <v>1</v>
      </c>
      <c r="L122" s="88">
        <v>80</v>
      </c>
      <c r="M122" s="91" t="s">
        <v>81</v>
      </c>
      <c r="N122"/>
      <c r="O122"/>
      <c r="P122"/>
      <c r="Q122"/>
      <c r="R122"/>
      <c r="S122"/>
      <c r="T122"/>
    </row>
    <row r="123" spans="1:20" ht="24" x14ac:dyDescent="0.2">
      <c r="A123" s="23" t="s">
        <v>85</v>
      </c>
      <c r="B123" s="85" t="s">
        <v>136</v>
      </c>
      <c r="C123" s="90" t="s">
        <v>22</v>
      </c>
      <c r="D123" s="84">
        <v>1</v>
      </c>
      <c r="E123" s="49">
        <v>60</v>
      </c>
      <c r="F123" s="85">
        <v>45968</v>
      </c>
      <c r="G123" s="86">
        <v>0.375</v>
      </c>
      <c r="H123" s="85">
        <v>45967</v>
      </c>
      <c r="I123" s="86">
        <v>0.9375</v>
      </c>
      <c r="J123" s="87">
        <f t="shared" si="10"/>
        <v>10</v>
      </c>
      <c r="K123" s="8">
        <v>1</v>
      </c>
      <c r="L123" s="88">
        <v>50</v>
      </c>
      <c r="M123" s="91" t="s">
        <v>87</v>
      </c>
    </row>
    <row r="124" spans="1:20" x14ac:dyDescent="0.2">
      <c r="A124" s="23" t="s">
        <v>88</v>
      </c>
      <c r="B124" s="85" t="s">
        <v>136</v>
      </c>
      <c r="C124" s="85" t="s">
        <v>22</v>
      </c>
      <c r="D124" s="84">
        <v>1</v>
      </c>
      <c r="E124" s="49">
        <v>55</v>
      </c>
      <c r="F124" s="85">
        <v>45968</v>
      </c>
      <c r="G124" s="86">
        <v>0.375</v>
      </c>
      <c r="H124" s="85">
        <v>45967</v>
      </c>
      <c r="I124" s="86">
        <v>0.9375</v>
      </c>
      <c r="J124" s="87">
        <f t="shared" si="10"/>
        <v>0</v>
      </c>
      <c r="K124" s="8">
        <v>1</v>
      </c>
      <c r="L124" s="88">
        <v>55</v>
      </c>
      <c r="M124" s="91" t="s">
        <v>89</v>
      </c>
    </row>
    <row r="125" spans="1:20" ht="24" x14ac:dyDescent="0.2">
      <c r="A125" s="33" t="s">
        <v>131</v>
      </c>
      <c r="B125" s="85" t="s">
        <v>42</v>
      </c>
      <c r="C125" s="85" t="s">
        <v>37</v>
      </c>
      <c r="D125" s="49">
        <v>1</v>
      </c>
      <c r="E125" s="49">
        <v>30</v>
      </c>
      <c r="F125" s="85">
        <v>45968</v>
      </c>
      <c r="G125" s="86">
        <v>0.375</v>
      </c>
      <c r="H125" s="85">
        <v>45967</v>
      </c>
      <c r="I125" s="86">
        <v>0.9375</v>
      </c>
      <c r="J125" s="87">
        <f t="shared" si="10"/>
        <v>-2</v>
      </c>
      <c r="K125" s="8">
        <v>1</v>
      </c>
      <c r="L125" s="88">
        <v>32</v>
      </c>
      <c r="M125" s="91" t="s">
        <v>132</v>
      </c>
    </row>
    <row r="126" spans="1:20" ht="24" x14ac:dyDescent="0.2">
      <c r="A126" s="33" t="s">
        <v>131</v>
      </c>
      <c r="B126" s="85" t="s">
        <v>36</v>
      </c>
      <c r="C126" s="85" t="s">
        <v>43</v>
      </c>
      <c r="D126" s="49">
        <v>1</v>
      </c>
      <c r="E126" s="49">
        <v>30</v>
      </c>
      <c r="F126" s="85">
        <v>45968</v>
      </c>
      <c r="G126" s="86">
        <v>0.375</v>
      </c>
      <c r="H126" s="85">
        <v>45967</v>
      </c>
      <c r="I126" s="86">
        <v>0.9375</v>
      </c>
      <c r="J126" s="87">
        <f t="shared" si="10"/>
        <v>-2</v>
      </c>
      <c r="K126" s="8">
        <v>1</v>
      </c>
      <c r="L126" s="88">
        <v>32</v>
      </c>
      <c r="M126" s="91" t="s">
        <v>132</v>
      </c>
    </row>
    <row r="127" spans="1:20" ht="24" x14ac:dyDescent="0.2">
      <c r="A127" s="33" t="s">
        <v>131</v>
      </c>
      <c r="B127" s="85" t="s">
        <v>510</v>
      </c>
      <c r="C127" s="85" t="s">
        <v>31</v>
      </c>
      <c r="D127" s="49">
        <v>1</v>
      </c>
      <c r="E127" s="49">
        <v>30</v>
      </c>
      <c r="F127" s="85">
        <v>45968</v>
      </c>
      <c r="G127" s="86">
        <v>0.375</v>
      </c>
      <c r="H127" s="85">
        <v>45967</v>
      </c>
      <c r="I127" s="86">
        <v>0.9375</v>
      </c>
      <c r="J127" s="87">
        <f t="shared" si="10"/>
        <v>-2</v>
      </c>
      <c r="K127" s="8">
        <v>1</v>
      </c>
      <c r="L127" s="88">
        <v>32</v>
      </c>
      <c r="M127" s="91" t="s">
        <v>132</v>
      </c>
    </row>
    <row r="128" spans="1:20" ht="24" x14ac:dyDescent="0.2">
      <c r="A128" s="33" t="s">
        <v>131</v>
      </c>
      <c r="B128" s="85" t="s">
        <v>136</v>
      </c>
      <c r="C128" s="85" t="s">
        <v>22</v>
      </c>
      <c r="D128" s="49">
        <v>1</v>
      </c>
      <c r="E128" s="49">
        <v>30</v>
      </c>
      <c r="F128" s="85">
        <v>45968</v>
      </c>
      <c r="G128" s="86">
        <v>0.375</v>
      </c>
      <c r="H128" s="85">
        <v>45967</v>
      </c>
      <c r="I128" s="86">
        <v>0.9375</v>
      </c>
      <c r="J128" s="87">
        <f t="shared" si="10"/>
        <v>-2</v>
      </c>
      <c r="K128" s="8">
        <v>1</v>
      </c>
      <c r="L128" s="88">
        <v>32</v>
      </c>
      <c r="M128" s="91" t="s">
        <v>132</v>
      </c>
    </row>
    <row r="129" spans="1:20" s="5" customFormat="1" ht="12" customHeight="1" x14ac:dyDescent="0.2">
      <c r="A129" s="33" t="s">
        <v>131</v>
      </c>
      <c r="B129" s="85" t="s">
        <v>21</v>
      </c>
      <c r="C129" s="85" t="s">
        <v>34</v>
      </c>
      <c r="D129" s="49">
        <v>1</v>
      </c>
      <c r="E129" s="49">
        <v>30</v>
      </c>
      <c r="F129" s="85">
        <v>45968</v>
      </c>
      <c r="G129" s="86">
        <v>0.375</v>
      </c>
      <c r="H129" s="85">
        <v>45967</v>
      </c>
      <c r="I129" s="86">
        <v>0.9375</v>
      </c>
      <c r="J129" s="87">
        <f t="shared" si="10"/>
        <v>-2</v>
      </c>
      <c r="K129" s="8">
        <v>1</v>
      </c>
      <c r="L129" s="88">
        <v>32</v>
      </c>
      <c r="M129" s="91" t="s">
        <v>132</v>
      </c>
    </row>
    <row r="130" spans="1:20" ht="24" x14ac:dyDescent="0.2">
      <c r="A130" s="33" t="s">
        <v>131</v>
      </c>
      <c r="B130" s="85" t="s">
        <v>30</v>
      </c>
      <c r="C130" s="85" t="s">
        <v>40</v>
      </c>
      <c r="D130" s="49">
        <v>1</v>
      </c>
      <c r="E130" s="49">
        <v>30</v>
      </c>
      <c r="F130" s="85">
        <v>45968</v>
      </c>
      <c r="G130" s="86">
        <v>0.375</v>
      </c>
      <c r="H130" s="85">
        <v>45967</v>
      </c>
      <c r="I130" s="86">
        <v>0.9375</v>
      </c>
      <c r="J130" s="87">
        <f t="shared" si="10"/>
        <v>-2</v>
      </c>
      <c r="K130" s="8">
        <v>1</v>
      </c>
      <c r="L130" s="88">
        <v>32</v>
      </c>
      <c r="M130" s="91" t="s">
        <v>132</v>
      </c>
    </row>
    <row r="131" spans="1:20" ht="24" x14ac:dyDescent="0.2">
      <c r="A131" s="33" t="s">
        <v>133</v>
      </c>
      <c r="B131" s="85" t="s">
        <v>136</v>
      </c>
      <c r="C131" s="85" t="s">
        <v>22</v>
      </c>
      <c r="D131" s="49">
        <v>3</v>
      </c>
      <c r="E131" s="49">
        <v>20</v>
      </c>
      <c r="F131" s="85">
        <v>45968</v>
      </c>
      <c r="G131" s="86">
        <v>0.375</v>
      </c>
      <c r="H131" s="85">
        <v>45968</v>
      </c>
      <c r="I131" s="86">
        <v>0.375</v>
      </c>
      <c r="J131" s="87">
        <f t="shared" si="10"/>
        <v>5</v>
      </c>
      <c r="K131" s="8">
        <v>3</v>
      </c>
      <c r="L131" s="88">
        <v>15</v>
      </c>
      <c r="M131" s="91" t="s">
        <v>134</v>
      </c>
    </row>
    <row r="132" spans="1:20" x14ac:dyDescent="0.2">
      <c r="A132"/>
      <c r="B132"/>
      <c r="C132"/>
      <c r="D132"/>
      <c r="E132"/>
      <c r="F132"/>
      <c r="G132"/>
      <c r="H132"/>
      <c r="I132"/>
      <c r="J132"/>
      <c r="K132"/>
      <c r="L132"/>
      <c r="M132"/>
    </row>
    <row r="133" spans="1:20" x14ac:dyDescent="0.2">
      <c r="Q133" s="42" t="e">
        <f>SUM(#REF!)</f>
        <v>#REF!</v>
      </c>
      <c r="R133" s="42" t="e">
        <f>SUM(#REF!)</f>
        <v>#REF!</v>
      </c>
      <c r="S133" s="42" t="e">
        <f>SUM(#REF!)</f>
        <v>#REF!</v>
      </c>
      <c r="T133" s="42" t="e">
        <f>SUM(#REF!)</f>
        <v>#REF!</v>
      </c>
    </row>
    <row r="134" spans="1:20" ht="35.25" customHeight="1" x14ac:dyDescent="0.2">
      <c r="A134"/>
      <c r="B134"/>
      <c r="C134"/>
      <c r="D134"/>
      <c r="E134"/>
    </row>
    <row r="135" spans="1:20" ht="36.75" customHeight="1" x14ac:dyDescent="0.2">
      <c r="A135" s="70" t="s">
        <v>210</v>
      </c>
      <c r="B135" t="s">
        <v>215</v>
      </c>
      <c r="C135" t="s">
        <v>214</v>
      </c>
      <c r="D135" t="s">
        <v>212</v>
      </c>
      <c r="E135" t="s">
        <v>213</v>
      </c>
    </row>
    <row r="136" spans="1:20" ht="33.75" customHeight="1" x14ac:dyDescent="0.2">
      <c r="A136" s="71" t="s">
        <v>36</v>
      </c>
      <c r="B136">
        <v>21</v>
      </c>
      <c r="C136">
        <v>650</v>
      </c>
      <c r="D136">
        <v>554</v>
      </c>
      <c r="E136">
        <v>23</v>
      </c>
    </row>
    <row r="137" spans="1:20" ht="26.25" customHeight="1" x14ac:dyDescent="0.2">
      <c r="A137" s="71" t="s">
        <v>510</v>
      </c>
      <c r="B137">
        <v>18</v>
      </c>
      <c r="C137">
        <v>600</v>
      </c>
      <c r="D137">
        <v>476</v>
      </c>
      <c r="E137">
        <v>21</v>
      </c>
    </row>
    <row r="138" spans="1:20" ht="27.75" customHeight="1" x14ac:dyDescent="0.2">
      <c r="A138" s="71" t="s">
        <v>21</v>
      </c>
      <c r="B138">
        <v>19</v>
      </c>
      <c r="C138">
        <v>590</v>
      </c>
      <c r="D138">
        <v>502</v>
      </c>
      <c r="E138">
        <v>21</v>
      </c>
    </row>
    <row r="139" spans="1:20" s="4" customFormat="1" ht="40.5" customHeight="1" x14ac:dyDescent="0.2">
      <c r="A139" s="71" t="s">
        <v>136</v>
      </c>
      <c r="B139">
        <v>25</v>
      </c>
      <c r="C139">
        <v>755</v>
      </c>
      <c r="D139">
        <v>651</v>
      </c>
      <c r="E139">
        <v>28</v>
      </c>
      <c r="I139" s="3"/>
      <c r="J139" s="3"/>
      <c r="K139" s="2"/>
      <c r="L139" s="1"/>
      <c r="M139" s="1"/>
      <c r="N139"/>
      <c r="O139"/>
      <c r="P139"/>
      <c r="Q139"/>
      <c r="R139"/>
      <c r="S139"/>
      <c r="T139"/>
    </row>
    <row r="140" spans="1:20" x14ac:dyDescent="0.2">
      <c r="A140" s="71" t="s">
        <v>42</v>
      </c>
      <c r="B140">
        <v>25</v>
      </c>
      <c r="C140">
        <v>785</v>
      </c>
      <c r="D140">
        <v>712</v>
      </c>
      <c r="E140">
        <v>27</v>
      </c>
    </row>
    <row r="141" spans="1:20" x14ac:dyDescent="0.2">
      <c r="A141" s="71" t="s">
        <v>30</v>
      </c>
      <c r="B141">
        <v>22</v>
      </c>
      <c r="C141">
        <v>560</v>
      </c>
      <c r="D141">
        <v>539</v>
      </c>
      <c r="E141">
        <v>23</v>
      </c>
    </row>
    <row r="142" spans="1:20" x14ac:dyDescent="0.2">
      <c r="A142" s="71" t="s">
        <v>211</v>
      </c>
      <c r="B142">
        <v>130</v>
      </c>
      <c r="C142">
        <v>3940</v>
      </c>
      <c r="D142">
        <v>3434</v>
      </c>
      <c r="E142">
        <v>143</v>
      </c>
    </row>
    <row r="143" spans="1:20" x14ac:dyDescent="0.2">
      <c r="A143"/>
      <c r="B143"/>
      <c r="C143"/>
      <c r="D143"/>
      <c r="E143"/>
    </row>
    <row r="144" spans="1:20" x14ac:dyDescent="0.2">
      <c r="A144"/>
      <c r="B144"/>
      <c r="C144"/>
      <c r="D144"/>
      <c r="E144"/>
    </row>
    <row r="145" spans="1:13" x14ac:dyDescent="0.2">
      <c r="A145"/>
      <c r="B145"/>
      <c r="C145"/>
      <c r="D145"/>
      <c r="E145"/>
    </row>
    <row r="146" spans="1:13" x14ac:dyDescent="0.2">
      <c r="A146"/>
      <c r="B146"/>
      <c r="C146"/>
      <c r="D146"/>
      <c r="E146"/>
    </row>
    <row r="147" spans="1:13" x14ac:dyDescent="0.2">
      <c r="A147"/>
      <c r="B147"/>
      <c r="C147"/>
      <c r="D147"/>
      <c r="E147"/>
    </row>
    <row r="148" spans="1:13" x14ac:dyDescent="0.2">
      <c r="A148"/>
      <c r="B148"/>
      <c r="C148"/>
      <c r="D148"/>
      <c r="E148"/>
      <c r="F148"/>
      <c r="G148"/>
      <c r="H148"/>
      <c r="I148"/>
      <c r="J148"/>
      <c r="K148"/>
      <c r="L148"/>
      <c r="M148"/>
    </row>
    <row r="149" spans="1:13" x14ac:dyDescent="0.2">
      <c r="A149"/>
      <c r="B149"/>
      <c r="C149"/>
      <c r="D149"/>
      <c r="E149"/>
      <c r="F149"/>
      <c r="G149"/>
      <c r="H149"/>
      <c r="I149"/>
      <c r="J149"/>
      <c r="K149"/>
      <c r="L149"/>
      <c r="M149"/>
    </row>
    <row r="150" spans="1:13" x14ac:dyDescent="0.2">
      <c r="A150"/>
      <c r="B150"/>
      <c r="C150"/>
      <c r="D150"/>
      <c r="E150"/>
    </row>
    <row r="151" spans="1:13" x14ac:dyDescent="0.2">
      <c r="A151"/>
      <c r="B151"/>
      <c r="C151"/>
      <c r="D151"/>
      <c r="E151"/>
    </row>
    <row r="152" spans="1:13" x14ac:dyDescent="0.2">
      <c r="A152"/>
      <c r="B152"/>
      <c r="C152"/>
      <c r="D152"/>
      <c r="E152"/>
    </row>
    <row r="153" spans="1:13" x14ac:dyDescent="0.2">
      <c r="A153"/>
      <c r="B153"/>
      <c r="C153"/>
      <c r="D153"/>
      <c r="E153"/>
    </row>
    <row r="154" spans="1:13" x14ac:dyDescent="0.2">
      <c r="A154"/>
      <c r="B154"/>
      <c r="C154"/>
      <c r="D154"/>
      <c r="E154"/>
    </row>
    <row r="155" spans="1:13" x14ac:dyDescent="0.2">
      <c r="A155"/>
      <c r="B155"/>
      <c r="C155"/>
      <c r="D155"/>
      <c r="E155"/>
    </row>
    <row r="156" spans="1:13" x14ac:dyDescent="0.2">
      <c r="A156"/>
      <c r="B156"/>
      <c r="C156"/>
      <c r="D156"/>
      <c r="E156"/>
    </row>
    <row r="157" spans="1:13" x14ac:dyDescent="0.2">
      <c r="A157"/>
      <c r="B157"/>
      <c r="C157"/>
      <c r="D157"/>
      <c r="E157"/>
    </row>
    <row r="158" spans="1:13" x14ac:dyDescent="0.2">
      <c r="A158"/>
      <c r="B158"/>
      <c r="C158"/>
      <c r="D158"/>
      <c r="E158"/>
    </row>
    <row r="159" spans="1:13" x14ac:dyDescent="0.2">
      <c r="A159"/>
      <c r="B159"/>
      <c r="C159"/>
      <c r="D159"/>
      <c r="E159"/>
    </row>
    <row r="160" spans="1:13" x14ac:dyDescent="0.2">
      <c r="A160"/>
      <c r="B160"/>
      <c r="C160"/>
      <c r="D160"/>
      <c r="E160"/>
    </row>
    <row r="161" spans="1:5" x14ac:dyDescent="0.2">
      <c r="A161"/>
      <c r="B161"/>
      <c r="C161"/>
      <c r="D161"/>
      <c r="E161"/>
    </row>
    <row r="162" spans="1:5" x14ac:dyDescent="0.2">
      <c r="A162"/>
      <c r="B162"/>
      <c r="C162"/>
      <c r="D162"/>
      <c r="E162"/>
    </row>
    <row r="163" spans="1:5" x14ac:dyDescent="0.2">
      <c r="A163"/>
      <c r="B163"/>
      <c r="C163"/>
      <c r="D163"/>
      <c r="E163"/>
    </row>
    <row r="164" spans="1:5" x14ac:dyDescent="0.2">
      <c r="A164"/>
      <c r="B164"/>
      <c r="C164"/>
      <c r="D164"/>
      <c r="E164"/>
    </row>
    <row r="165" spans="1:5" x14ac:dyDescent="0.2">
      <c r="A165"/>
      <c r="B165"/>
      <c r="C165"/>
      <c r="D165"/>
      <c r="E165"/>
    </row>
    <row r="166" spans="1:5" x14ac:dyDescent="0.2">
      <c r="A166"/>
      <c r="B166"/>
      <c r="C166"/>
      <c r="D166"/>
      <c r="E166"/>
    </row>
    <row r="167" spans="1:5" x14ac:dyDescent="0.2">
      <c r="A167"/>
      <c r="B167"/>
      <c r="C167"/>
      <c r="D167"/>
      <c r="E167"/>
    </row>
    <row r="168" spans="1:5" x14ac:dyDescent="0.2">
      <c r="A168"/>
      <c r="B168"/>
      <c r="C168"/>
      <c r="D168"/>
      <c r="E168"/>
    </row>
    <row r="169" spans="1:5" x14ac:dyDescent="0.2">
      <c r="A169"/>
      <c r="B169"/>
      <c r="C169"/>
      <c r="D169"/>
      <c r="E169"/>
    </row>
    <row r="170" spans="1:5" x14ac:dyDescent="0.2">
      <c r="A170"/>
      <c r="B170"/>
      <c r="C170"/>
      <c r="D170"/>
      <c r="E170"/>
    </row>
    <row r="171" spans="1:5" x14ac:dyDescent="0.2">
      <c r="A171"/>
      <c r="B171"/>
      <c r="C171"/>
      <c r="D171"/>
      <c r="E171"/>
    </row>
    <row r="172" spans="1:5" x14ac:dyDescent="0.2">
      <c r="A172"/>
      <c r="B172"/>
      <c r="C172"/>
      <c r="D172"/>
      <c r="E172"/>
    </row>
    <row r="173" spans="1:5" x14ac:dyDescent="0.2">
      <c r="A173"/>
      <c r="B173"/>
      <c r="C173"/>
      <c r="D173"/>
      <c r="E173"/>
    </row>
    <row r="174" spans="1:5" x14ac:dyDescent="0.2">
      <c r="A174"/>
      <c r="B174"/>
      <c r="C174"/>
      <c r="D174"/>
      <c r="E174"/>
    </row>
    <row r="175" spans="1:5" x14ac:dyDescent="0.2">
      <c r="A175"/>
      <c r="B175"/>
      <c r="C175"/>
      <c r="D175"/>
      <c r="E175"/>
    </row>
    <row r="176" spans="1:5" x14ac:dyDescent="0.2">
      <c r="A176"/>
      <c r="B176"/>
      <c r="C176"/>
      <c r="D176"/>
      <c r="E176"/>
    </row>
    <row r="177" spans="1:5" x14ac:dyDescent="0.2">
      <c r="A177"/>
      <c r="B177"/>
      <c r="C177"/>
      <c r="D177"/>
      <c r="E177"/>
    </row>
    <row r="178" spans="1:5" x14ac:dyDescent="0.2">
      <c r="A178"/>
      <c r="B178"/>
      <c r="C178"/>
      <c r="D178"/>
      <c r="E178"/>
    </row>
    <row r="179" spans="1:5" x14ac:dyDescent="0.2">
      <c r="A179"/>
      <c r="B179"/>
      <c r="C179"/>
      <c r="D179"/>
      <c r="E179"/>
    </row>
    <row r="180" spans="1:5" x14ac:dyDescent="0.2">
      <c r="A180"/>
      <c r="B180"/>
      <c r="C180"/>
      <c r="D180"/>
      <c r="E180"/>
    </row>
    <row r="181" spans="1:5" x14ac:dyDescent="0.2">
      <c r="A181"/>
      <c r="B181"/>
      <c r="C181"/>
      <c r="D181"/>
      <c r="E181"/>
    </row>
    <row r="182" spans="1:5" x14ac:dyDescent="0.2">
      <c r="A182"/>
      <c r="B182"/>
      <c r="C182"/>
      <c r="D182"/>
      <c r="E182"/>
    </row>
    <row r="183" spans="1:5" x14ac:dyDescent="0.2">
      <c r="A183"/>
      <c r="B183"/>
      <c r="C183"/>
      <c r="D183"/>
      <c r="E183"/>
    </row>
    <row r="184" spans="1:5" x14ac:dyDescent="0.2">
      <c r="A184"/>
      <c r="B184"/>
      <c r="C184"/>
      <c r="D184"/>
      <c r="E184"/>
    </row>
    <row r="185" spans="1:5" x14ac:dyDescent="0.2">
      <c r="A185"/>
      <c r="B185"/>
      <c r="C185"/>
      <c r="D185"/>
      <c r="E185"/>
    </row>
    <row r="186" spans="1:5" x14ac:dyDescent="0.2">
      <c r="A186"/>
      <c r="B186"/>
      <c r="C186"/>
      <c r="D186"/>
      <c r="E186"/>
    </row>
    <row r="187" spans="1:5" x14ac:dyDescent="0.2">
      <c r="A187"/>
      <c r="B187"/>
      <c r="C187"/>
      <c r="D187"/>
      <c r="E187"/>
    </row>
    <row r="188" spans="1:5" x14ac:dyDescent="0.2">
      <c r="A188"/>
      <c r="B188"/>
      <c r="C188"/>
      <c r="D188"/>
      <c r="E188"/>
    </row>
    <row r="189" spans="1:5" x14ac:dyDescent="0.2">
      <c r="A189"/>
      <c r="B189"/>
      <c r="C189"/>
      <c r="D189"/>
      <c r="E189"/>
    </row>
    <row r="190" spans="1:5" x14ac:dyDescent="0.2">
      <c r="A190"/>
      <c r="B190"/>
      <c r="C190"/>
      <c r="D190"/>
      <c r="E190"/>
    </row>
    <row r="191" spans="1:5" x14ac:dyDescent="0.2">
      <c r="A191"/>
      <c r="B191"/>
      <c r="C191"/>
      <c r="D191"/>
      <c r="E191"/>
    </row>
    <row r="192" spans="1:5" x14ac:dyDescent="0.2">
      <c r="A192"/>
      <c r="B192"/>
      <c r="C192"/>
      <c r="D192"/>
      <c r="E192"/>
    </row>
    <row r="193" spans="1:5" x14ac:dyDescent="0.2">
      <c r="A193"/>
      <c r="B193"/>
      <c r="C193"/>
      <c r="D193"/>
      <c r="E193"/>
    </row>
    <row r="194" spans="1:5" x14ac:dyDescent="0.2">
      <c r="A194"/>
      <c r="B194"/>
      <c r="C194"/>
      <c r="D194"/>
      <c r="E194"/>
    </row>
    <row r="195" spans="1:5" x14ac:dyDescent="0.2">
      <c r="A195"/>
      <c r="B195"/>
      <c r="C195"/>
      <c r="D195"/>
      <c r="E195"/>
    </row>
    <row r="196" spans="1:5" x14ac:dyDescent="0.2">
      <c r="A196"/>
      <c r="B196"/>
      <c r="C196"/>
      <c r="D196"/>
      <c r="E196"/>
    </row>
    <row r="197" spans="1:5" x14ac:dyDescent="0.2">
      <c r="A197"/>
      <c r="B197"/>
      <c r="C197"/>
      <c r="D197"/>
      <c r="E197"/>
    </row>
    <row r="198" spans="1:5" x14ac:dyDescent="0.2">
      <c r="A198"/>
      <c r="B198"/>
      <c r="C198"/>
      <c r="D198"/>
      <c r="E198"/>
    </row>
    <row r="199" spans="1:5" x14ac:dyDescent="0.2">
      <c r="A199"/>
      <c r="B199"/>
      <c r="C199"/>
      <c r="D199"/>
      <c r="E199"/>
    </row>
    <row r="200" spans="1:5" x14ac:dyDescent="0.2">
      <c r="A200"/>
      <c r="B200"/>
      <c r="C200"/>
      <c r="D200"/>
      <c r="E200"/>
    </row>
    <row r="201" spans="1:5" x14ac:dyDescent="0.2">
      <c r="A201"/>
      <c r="B201"/>
      <c r="C201"/>
      <c r="D201"/>
      <c r="E201"/>
    </row>
    <row r="202" spans="1:5" x14ac:dyDescent="0.2">
      <c r="A202"/>
      <c r="B202"/>
      <c r="C202"/>
      <c r="D202"/>
      <c r="E202"/>
    </row>
    <row r="203" spans="1:5" x14ac:dyDescent="0.2">
      <c r="A203"/>
      <c r="B203"/>
      <c r="C203"/>
      <c r="D203"/>
      <c r="E203"/>
    </row>
    <row r="204" spans="1:5" x14ac:dyDescent="0.2">
      <c r="A204"/>
      <c r="B204"/>
      <c r="C204"/>
      <c r="D204"/>
      <c r="E204"/>
    </row>
    <row r="205" spans="1:5" x14ac:dyDescent="0.2">
      <c r="A205"/>
      <c r="B205"/>
      <c r="C205"/>
      <c r="D205"/>
      <c r="E205"/>
    </row>
    <row r="206" spans="1:5" x14ac:dyDescent="0.2">
      <c r="A206"/>
      <c r="B206"/>
      <c r="C206"/>
      <c r="D206"/>
      <c r="E206"/>
    </row>
    <row r="207" spans="1:5" x14ac:dyDescent="0.2">
      <c r="A207"/>
      <c r="B207"/>
      <c r="C207"/>
      <c r="D207"/>
      <c r="E207"/>
    </row>
    <row r="208" spans="1:5" x14ac:dyDescent="0.2">
      <c r="A208"/>
      <c r="B208"/>
      <c r="C208"/>
      <c r="D208"/>
      <c r="E208"/>
    </row>
    <row r="209" spans="1:5" x14ac:dyDescent="0.2">
      <c r="A209"/>
      <c r="B209"/>
      <c r="C209"/>
      <c r="D209"/>
      <c r="E209"/>
    </row>
    <row r="210" spans="1:5" x14ac:dyDescent="0.2">
      <c r="A210"/>
      <c r="B210"/>
      <c r="C210"/>
      <c r="D210"/>
      <c r="E210"/>
    </row>
    <row r="211" spans="1:5" x14ac:dyDescent="0.2">
      <c r="A211"/>
      <c r="B211"/>
      <c r="C211"/>
      <c r="D211"/>
      <c r="E211"/>
    </row>
    <row r="212" spans="1:5" x14ac:dyDescent="0.2">
      <c r="A212"/>
      <c r="B212"/>
      <c r="C212"/>
      <c r="D212"/>
      <c r="E212"/>
    </row>
    <row r="213" spans="1:5" x14ac:dyDescent="0.2">
      <c r="A213"/>
      <c r="B213"/>
      <c r="C213"/>
      <c r="D213"/>
      <c r="E213"/>
    </row>
    <row r="214" spans="1:5" x14ac:dyDescent="0.2">
      <c r="A214"/>
      <c r="B214"/>
      <c r="C214"/>
      <c r="D214"/>
      <c r="E214"/>
    </row>
    <row r="215" spans="1:5" x14ac:dyDescent="0.2">
      <c r="A215"/>
      <c r="B215"/>
      <c r="C215"/>
      <c r="D215"/>
      <c r="E215"/>
    </row>
    <row r="216" spans="1:5" x14ac:dyDescent="0.2">
      <c r="A216"/>
      <c r="B216"/>
      <c r="C216"/>
      <c r="D216"/>
      <c r="E216"/>
    </row>
    <row r="217" spans="1:5" x14ac:dyDescent="0.2">
      <c r="A217"/>
      <c r="B217"/>
      <c r="C217"/>
      <c r="D217"/>
      <c r="E217"/>
    </row>
    <row r="218" spans="1:5" x14ac:dyDescent="0.2">
      <c r="A218"/>
      <c r="B218"/>
      <c r="C218"/>
      <c r="D218"/>
      <c r="E218"/>
    </row>
    <row r="219" spans="1:5" x14ac:dyDescent="0.2">
      <c r="A219"/>
      <c r="B219"/>
      <c r="C219"/>
      <c r="D219"/>
      <c r="E219"/>
    </row>
    <row r="220" spans="1:5" x14ac:dyDescent="0.2">
      <c r="A220"/>
      <c r="B220"/>
      <c r="C220"/>
      <c r="D220"/>
      <c r="E220"/>
    </row>
    <row r="221" spans="1:5" x14ac:dyDescent="0.2">
      <c r="A221"/>
      <c r="B221"/>
      <c r="C221"/>
      <c r="D221"/>
      <c r="E221"/>
    </row>
    <row r="222" spans="1:5" x14ac:dyDescent="0.2">
      <c r="A222"/>
      <c r="B222"/>
      <c r="C222"/>
      <c r="D222"/>
      <c r="E222"/>
    </row>
    <row r="223" spans="1:5" x14ac:dyDescent="0.2">
      <c r="A223"/>
      <c r="B223"/>
      <c r="C223"/>
      <c r="D223"/>
      <c r="E223"/>
    </row>
    <row r="224" spans="1:5" x14ac:dyDescent="0.2">
      <c r="A224"/>
      <c r="B224"/>
      <c r="C224"/>
      <c r="D224"/>
      <c r="E224"/>
    </row>
    <row r="225" spans="1:5" x14ac:dyDescent="0.2">
      <c r="A225"/>
      <c r="B225"/>
      <c r="C225"/>
      <c r="D225"/>
      <c r="E225"/>
    </row>
    <row r="226" spans="1:5" x14ac:dyDescent="0.2">
      <c r="A226"/>
      <c r="B226"/>
      <c r="C226"/>
      <c r="D226"/>
      <c r="E226"/>
    </row>
    <row r="227" spans="1:5" x14ac:dyDescent="0.2">
      <c r="A227"/>
      <c r="B227"/>
      <c r="C227"/>
      <c r="D227"/>
      <c r="E227"/>
    </row>
    <row r="228" spans="1:5" x14ac:dyDescent="0.2">
      <c r="A228"/>
      <c r="B228"/>
      <c r="C228"/>
      <c r="D228"/>
      <c r="E228"/>
    </row>
    <row r="229" spans="1:5" x14ac:dyDescent="0.2">
      <c r="A229"/>
      <c r="B229"/>
      <c r="C229"/>
      <c r="D229"/>
      <c r="E229"/>
    </row>
    <row r="230" spans="1:5" x14ac:dyDescent="0.2">
      <c r="A230"/>
      <c r="B230"/>
      <c r="C230"/>
      <c r="D230"/>
      <c r="E230"/>
    </row>
    <row r="231" spans="1:5" x14ac:dyDescent="0.2">
      <c r="A231"/>
      <c r="B231"/>
      <c r="C231"/>
      <c r="D231"/>
      <c r="E231"/>
    </row>
    <row r="232" spans="1:5" x14ac:dyDescent="0.2">
      <c r="A232"/>
      <c r="B232"/>
      <c r="C232"/>
      <c r="D232"/>
      <c r="E232"/>
    </row>
    <row r="233" spans="1:5" x14ac:dyDescent="0.2">
      <c r="A233"/>
      <c r="B233"/>
      <c r="C233"/>
      <c r="D233"/>
      <c r="E233"/>
    </row>
    <row r="234" spans="1:5" x14ac:dyDescent="0.2">
      <c r="A234"/>
      <c r="B234"/>
      <c r="C234"/>
      <c r="D234"/>
      <c r="E234"/>
    </row>
    <row r="235" spans="1:5" x14ac:dyDescent="0.2">
      <c r="A235"/>
      <c r="B235"/>
      <c r="C235"/>
      <c r="D235"/>
      <c r="E235"/>
    </row>
    <row r="236" spans="1:5" x14ac:dyDescent="0.2">
      <c r="A236"/>
      <c r="B236"/>
      <c r="C236"/>
      <c r="D236"/>
      <c r="E236"/>
    </row>
    <row r="237" spans="1:5" x14ac:dyDescent="0.2">
      <c r="A237"/>
      <c r="B237"/>
      <c r="C237"/>
      <c r="D237"/>
      <c r="E237"/>
    </row>
    <row r="238" spans="1:5" x14ac:dyDescent="0.2">
      <c r="A238"/>
      <c r="B238"/>
      <c r="C238"/>
      <c r="D238"/>
      <c r="E238"/>
    </row>
    <row r="239" spans="1:5" x14ac:dyDescent="0.2">
      <c r="A239"/>
      <c r="B239"/>
      <c r="C239"/>
      <c r="D239"/>
      <c r="E239"/>
    </row>
    <row r="240" spans="1:5" x14ac:dyDescent="0.2">
      <c r="A240"/>
      <c r="B240"/>
      <c r="C240"/>
      <c r="D240"/>
      <c r="E240"/>
    </row>
    <row r="241" spans="1:5" x14ac:dyDescent="0.2">
      <c r="A241"/>
      <c r="B241"/>
      <c r="C241"/>
      <c r="D241"/>
      <c r="E241"/>
    </row>
    <row r="242" spans="1:5" x14ac:dyDescent="0.2">
      <c r="A242"/>
      <c r="B242"/>
      <c r="C242"/>
      <c r="D242"/>
      <c r="E242"/>
    </row>
    <row r="243" spans="1:5" x14ac:dyDescent="0.2">
      <c r="A243"/>
      <c r="B243"/>
      <c r="C243"/>
      <c r="D243"/>
      <c r="E243"/>
    </row>
    <row r="244" spans="1:5" x14ac:dyDescent="0.2">
      <c r="A244"/>
      <c r="B244"/>
      <c r="C244"/>
      <c r="D244"/>
      <c r="E244"/>
    </row>
    <row r="245" spans="1:5" x14ac:dyDescent="0.2">
      <c r="A245"/>
      <c r="B245"/>
      <c r="C245"/>
      <c r="D245"/>
      <c r="E245"/>
    </row>
    <row r="246" spans="1:5" x14ac:dyDescent="0.2">
      <c r="A246"/>
      <c r="B246"/>
      <c r="C246"/>
      <c r="D246"/>
      <c r="E246"/>
    </row>
    <row r="247" spans="1:5" x14ac:dyDescent="0.2">
      <c r="A247"/>
      <c r="B247"/>
      <c r="C247"/>
      <c r="D247"/>
      <c r="E247"/>
    </row>
    <row r="248" spans="1:5" x14ac:dyDescent="0.2">
      <c r="A248"/>
      <c r="B248"/>
      <c r="C248"/>
      <c r="D248"/>
      <c r="E248"/>
    </row>
    <row r="249" spans="1:5" x14ac:dyDescent="0.2">
      <c r="A249"/>
      <c r="B249"/>
      <c r="C249"/>
      <c r="D249"/>
      <c r="E249"/>
    </row>
    <row r="250" spans="1:5" x14ac:dyDescent="0.2">
      <c r="A250"/>
      <c r="B250"/>
      <c r="C250"/>
      <c r="D250"/>
      <c r="E250"/>
    </row>
    <row r="251" spans="1:5" x14ac:dyDescent="0.2">
      <c r="A251"/>
      <c r="B251"/>
      <c r="C251"/>
      <c r="D251"/>
      <c r="E251"/>
    </row>
    <row r="252" spans="1:5" x14ac:dyDescent="0.2">
      <c r="A252"/>
      <c r="B252"/>
      <c r="C252"/>
      <c r="D252"/>
      <c r="E252"/>
    </row>
    <row r="253" spans="1:5" x14ac:dyDescent="0.2">
      <c r="A253"/>
      <c r="B253"/>
      <c r="C253"/>
      <c r="D253"/>
      <c r="E253"/>
    </row>
    <row r="254" spans="1:5" x14ac:dyDescent="0.2">
      <c r="A254"/>
      <c r="B254"/>
      <c r="C254"/>
      <c r="D254"/>
      <c r="E254"/>
    </row>
    <row r="255" spans="1:5" x14ac:dyDescent="0.2">
      <c r="A255"/>
      <c r="B255"/>
      <c r="C255"/>
      <c r="D255"/>
      <c r="E255"/>
    </row>
    <row r="256" spans="1:5" x14ac:dyDescent="0.2">
      <c r="A256"/>
      <c r="B256"/>
      <c r="C256"/>
      <c r="D256"/>
      <c r="E256"/>
    </row>
    <row r="257" spans="1:5" x14ac:dyDescent="0.2">
      <c r="A257"/>
      <c r="B257"/>
      <c r="C257"/>
      <c r="D257"/>
      <c r="E257"/>
    </row>
    <row r="258" spans="1:5" x14ac:dyDescent="0.2">
      <c r="A258"/>
      <c r="B258"/>
      <c r="C258"/>
      <c r="D258"/>
      <c r="E258"/>
    </row>
    <row r="259" spans="1:5" x14ac:dyDescent="0.2">
      <c r="A259"/>
      <c r="B259"/>
      <c r="C259"/>
      <c r="D259"/>
      <c r="E259"/>
    </row>
    <row r="260" spans="1:5" x14ac:dyDescent="0.2">
      <c r="A260"/>
      <c r="B260"/>
      <c r="C260"/>
      <c r="D260"/>
      <c r="E260"/>
    </row>
    <row r="261" spans="1:5" x14ac:dyDescent="0.2">
      <c r="A261"/>
      <c r="B261"/>
      <c r="C261"/>
      <c r="D261"/>
      <c r="E261"/>
    </row>
    <row r="262" spans="1:5" x14ac:dyDescent="0.2">
      <c r="A262"/>
      <c r="B262"/>
      <c r="C262"/>
      <c r="D262"/>
      <c r="E262"/>
    </row>
    <row r="263" spans="1:5" x14ac:dyDescent="0.2">
      <c r="A263"/>
      <c r="B263"/>
      <c r="C263"/>
      <c r="D263"/>
      <c r="E263"/>
    </row>
    <row r="264" spans="1:5" x14ac:dyDescent="0.2">
      <c r="A264"/>
      <c r="B264"/>
      <c r="C264"/>
      <c r="D264"/>
      <c r="E264"/>
    </row>
    <row r="265" spans="1:5" x14ac:dyDescent="0.2">
      <c r="A265"/>
      <c r="B265"/>
      <c r="C265"/>
      <c r="D265"/>
      <c r="E265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A8C6F-219E-4EAF-83EF-972C5590A550}">
  <dimension ref="A1:T198"/>
  <sheetViews>
    <sheetView tabSelected="1" topLeftCell="A62" zoomScale="71" zoomScaleNormal="76" workbookViewId="0">
      <selection activeCell="H83" sqref="H83"/>
    </sheetView>
  </sheetViews>
  <sheetFormatPr baseColWidth="10" defaultColWidth="11.42578125" defaultRowHeight="12.75" x14ac:dyDescent="0.2"/>
  <cols>
    <col min="1" max="1" width="21.7109375" style="4" bestFit="1" customWidth="1"/>
    <col min="2" max="2" width="50" style="4" bestFit="1" customWidth="1"/>
    <col min="3" max="3" width="40.140625" style="4" bestFit="1" customWidth="1"/>
    <col min="4" max="4" width="23.42578125" style="4" bestFit="1" customWidth="1"/>
    <col min="5" max="5" width="23.8554687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26"/>
      <c r="B1" s="128" t="s">
        <v>0</v>
      </c>
      <c r="C1" s="128"/>
      <c r="D1" s="128"/>
      <c r="E1" s="128"/>
      <c r="F1" s="128"/>
      <c r="G1" s="128"/>
      <c r="H1" s="128"/>
      <c r="I1" s="128"/>
      <c r="J1" s="128"/>
      <c r="K1" s="128"/>
      <c r="L1" s="130"/>
      <c r="M1" s="131"/>
    </row>
    <row r="2" spans="1:20" ht="20.25" customHeight="1" x14ac:dyDescent="0.2">
      <c r="A2" s="127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32"/>
      <c r="M2" s="133"/>
    </row>
    <row r="3" spans="1:20" ht="12.75" customHeight="1" x14ac:dyDescent="0.2">
      <c r="A3" s="134" t="s">
        <v>1</v>
      </c>
      <c r="B3" s="136" t="s">
        <v>2</v>
      </c>
      <c r="C3" s="136"/>
      <c r="D3" s="136"/>
      <c r="E3" s="136"/>
      <c r="F3" s="136"/>
      <c r="G3" s="136"/>
      <c r="H3" s="136"/>
      <c r="I3" s="136"/>
      <c r="J3" s="136"/>
      <c r="K3" s="136"/>
      <c r="L3" s="138" t="s">
        <v>3</v>
      </c>
      <c r="M3" s="139"/>
    </row>
    <row r="4" spans="1:20" ht="13.5" thickBot="1" x14ac:dyDescent="0.25">
      <c r="A4" s="135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22" t="s">
        <v>6</v>
      </c>
      <c r="C6" s="122"/>
      <c r="D6" s="122"/>
      <c r="E6" s="122"/>
      <c r="F6" s="122"/>
      <c r="G6" s="122"/>
      <c r="H6" s="123" t="s">
        <v>7</v>
      </c>
      <c r="I6" s="124"/>
      <c r="J6" s="124"/>
      <c r="K6" s="124"/>
      <c r="L6" s="125"/>
      <c r="M6" s="25"/>
    </row>
    <row r="7" spans="1:20" s="14" customFormat="1" ht="49.5" customHeight="1" x14ac:dyDescent="0.2">
      <c r="A7" s="117" cm="1">
        <f t="array" aca="1" ref="A7" ca="1">+A45+A1:L7+A7:L7</f>
        <v>0</v>
      </c>
      <c r="B7" s="117" t="s">
        <v>8</v>
      </c>
      <c r="C7" s="117" t="s">
        <v>9</v>
      </c>
      <c r="D7" s="117" t="s">
        <v>10</v>
      </c>
      <c r="E7" s="117" t="s">
        <v>11</v>
      </c>
      <c r="F7" s="117" t="s">
        <v>12</v>
      </c>
      <c r="G7" s="117" t="s">
        <v>13</v>
      </c>
      <c r="H7" s="118" t="s">
        <v>14</v>
      </c>
      <c r="I7" s="118" t="s">
        <v>15</v>
      </c>
      <c r="J7" s="118" t="s">
        <v>16</v>
      </c>
      <c r="K7" s="118" t="s">
        <v>17</v>
      </c>
      <c r="L7" s="118" t="s">
        <v>18</v>
      </c>
      <c r="M7" s="1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73</v>
      </c>
      <c r="B8" s="85" t="s">
        <v>42</v>
      </c>
      <c r="C8" s="85" t="s">
        <v>37</v>
      </c>
      <c r="D8" s="84">
        <v>1</v>
      </c>
      <c r="E8" s="49">
        <v>30</v>
      </c>
      <c r="F8" s="112">
        <v>45973</v>
      </c>
      <c r="G8" s="113">
        <v>0.375</v>
      </c>
      <c r="H8" s="85">
        <v>45971</v>
      </c>
      <c r="I8" s="86">
        <v>0.41666666666666669</v>
      </c>
      <c r="J8" s="87">
        <f t="shared" ref="J8:J41" si="0">E8-L8</f>
        <v>5</v>
      </c>
      <c r="K8" s="8">
        <v>1</v>
      </c>
      <c r="L8" s="88">
        <v>25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">
      <c r="A9" s="23" t="s">
        <v>511</v>
      </c>
      <c r="B9" s="85" t="s">
        <v>510</v>
      </c>
      <c r="C9" s="85" t="s">
        <v>31</v>
      </c>
      <c r="D9" s="84">
        <v>1</v>
      </c>
      <c r="E9" s="49">
        <v>30</v>
      </c>
      <c r="F9" s="112">
        <v>45973</v>
      </c>
      <c r="G9" s="113">
        <v>0.375</v>
      </c>
      <c r="H9" s="85">
        <v>45971</v>
      </c>
      <c r="I9" s="86">
        <v>0.41666666666666669</v>
      </c>
      <c r="J9" s="87">
        <f t="shared" si="0"/>
        <v>5</v>
      </c>
      <c r="K9" s="8">
        <v>1</v>
      </c>
      <c r="L9" s="88">
        <v>25</v>
      </c>
      <c r="M9" s="91" t="s">
        <v>512</v>
      </c>
      <c r="O9" s="5" t="s">
        <v>155</v>
      </c>
    </row>
    <row r="10" spans="1:20" s="5" customFormat="1" ht="78.75" customHeight="1" x14ac:dyDescent="0.2">
      <c r="A10" s="33" t="s">
        <v>322</v>
      </c>
      <c r="B10" s="8" t="s">
        <v>510</v>
      </c>
      <c r="C10" s="8" t="s">
        <v>31</v>
      </c>
      <c r="D10" s="84">
        <v>1</v>
      </c>
      <c r="E10" s="49">
        <v>30</v>
      </c>
      <c r="F10" s="112">
        <v>45973</v>
      </c>
      <c r="G10" s="113">
        <v>0.375</v>
      </c>
      <c r="H10" s="112">
        <v>45971</v>
      </c>
      <c r="I10" s="113">
        <v>0.4375</v>
      </c>
      <c r="J10" s="87">
        <f t="shared" si="0"/>
        <v>5</v>
      </c>
      <c r="K10" s="8">
        <v>1</v>
      </c>
      <c r="L10" s="88">
        <v>25</v>
      </c>
      <c r="M10" s="49" t="s">
        <v>323</v>
      </c>
    </row>
    <row r="11" spans="1:20" s="5" customFormat="1" ht="75" customHeight="1" x14ac:dyDescent="0.2">
      <c r="A11" s="33" t="s">
        <v>682</v>
      </c>
      <c r="B11" s="8" t="s">
        <v>510</v>
      </c>
      <c r="C11" s="8" t="s">
        <v>31</v>
      </c>
      <c r="D11" s="84">
        <v>1</v>
      </c>
      <c r="E11" s="49">
        <v>30</v>
      </c>
      <c r="F11" s="112">
        <v>45973</v>
      </c>
      <c r="G11" s="113">
        <v>0.375</v>
      </c>
      <c r="H11" s="112">
        <v>45971</v>
      </c>
      <c r="I11" s="113">
        <v>0.41666666666666669</v>
      </c>
      <c r="J11" s="87">
        <f t="shared" si="0"/>
        <v>5</v>
      </c>
      <c r="K11" s="8">
        <v>1</v>
      </c>
      <c r="L11" s="88">
        <v>25</v>
      </c>
      <c r="M11" s="49" t="s">
        <v>325</v>
      </c>
    </row>
    <row r="12" spans="1:20" s="5" customFormat="1" ht="84.75" customHeight="1" x14ac:dyDescent="0.2">
      <c r="A12" s="114" t="s">
        <v>683</v>
      </c>
      <c r="B12" s="8" t="s">
        <v>510</v>
      </c>
      <c r="C12" s="8" t="s">
        <v>31</v>
      </c>
      <c r="D12" s="84">
        <v>1</v>
      </c>
      <c r="E12" s="49">
        <v>30</v>
      </c>
      <c r="F12" s="112">
        <v>45973</v>
      </c>
      <c r="G12" s="113">
        <v>0.375</v>
      </c>
      <c r="H12" s="112">
        <v>45971</v>
      </c>
      <c r="I12" s="116">
        <v>0.41666666666666669</v>
      </c>
      <c r="J12" s="87">
        <f t="shared" si="0"/>
        <v>5</v>
      </c>
      <c r="K12" s="8">
        <v>1</v>
      </c>
      <c r="L12" s="88">
        <v>25</v>
      </c>
      <c r="M12" s="49" t="s">
        <v>331</v>
      </c>
    </row>
    <row r="13" spans="1:20" s="5" customFormat="1" ht="81.75" customHeight="1" x14ac:dyDescent="0.2">
      <c r="A13" s="49" t="s">
        <v>327</v>
      </c>
      <c r="B13" s="8" t="s">
        <v>21</v>
      </c>
      <c r="C13" s="8" t="s">
        <v>34</v>
      </c>
      <c r="D13" s="84">
        <v>1</v>
      </c>
      <c r="E13" s="49">
        <v>30</v>
      </c>
      <c r="F13" s="112">
        <v>45973</v>
      </c>
      <c r="G13" s="113">
        <v>0.375</v>
      </c>
      <c r="H13" s="112">
        <v>45971</v>
      </c>
      <c r="I13" s="113">
        <v>0.41666666666666669</v>
      </c>
      <c r="J13" s="87">
        <f t="shared" si="0"/>
        <v>5</v>
      </c>
      <c r="K13" s="8">
        <v>1</v>
      </c>
      <c r="L13" s="88">
        <v>25</v>
      </c>
      <c r="M13" s="49" t="s">
        <v>330</v>
      </c>
    </row>
    <row r="14" spans="1:20" s="5" customFormat="1" ht="61.5" customHeight="1" x14ac:dyDescent="0.2">
      <c r="A14" s="49" t="s">
        <v>684</v>
      </c>
      <c r="B14" s="8" t="s">
        <v>21</v>
      </c>
      <c r="C14" s="8" t="s">
        <v>34</v>
      </c>
      <c r="D14" s="84">
        <v>1</v>
      </c>
      <c r="E14" s="49">
        <v>30</v>
      </c>
      <c r="F14" s="112">
        <v>45973</v>
      </c>
      <c r="G14" s="113">
        <v>0.375</v>
      </c>
      <c r="H14" s="112">
        <v>45971</v>
      </c>
      <c r="I14" s="113">
        <v>0.41666666666666669</v>
      </c>
      <c r="J14" s="87">
        <f t="shared" si="0"/>
        <v>5</v>
      </c>
      <c r="K14" s="8">
        <v>1</v>
      </c>
      <c r="L14" s="88">
        <v>25</v>
      </c>
      <c r="M14" s="49" t="s">
        <v>329</v>
      </c>
    </row>
    <row r="15" spans="1:20" s="5" customFormat="1" ht="61.5" customHeight="1" x14ac:dyDescent="0.2">
      <c r="A15" s="49" t="s">
        <v>685</v>
      </c>
      <c r="B15" s="8" t="s">
        <v>21</v>
      </c>
      <c r="C15" s="8" t="s">
        <v>34</v>
      </c>
      <c r="D15" s="84">
        <v>1</v>
      </c>
      <c r="E15" s="49">
        <v>30</v>
      </c>
      <c r="F15" s="112">
        <v>45973</v>
      </c>
      <c r="G15" s="113">
        <v>0.375</v>
      </c>
      <c r="H15" s="112">
        <v>45971</v>
      </c>
      <c r="I15" s="113">
        <v>0.45833333333333331</v>
      </c>
      <c r="J15" s="87">
        <f t="shared" si="0"/>
        <v>5</v>
      </c>
      <c r="K15" s="8">
        <v>1</v>
      </c>
      <c r="L15" s="88">
        <v>25</v>
      </c>
      <c r="M15" s="49" t="s">
        <v>333</v>
      </c>
    </row>
    <row r="16" spans="1:20" s="5" customFormat="1" ht="63" customHeight="1" x14ac:dyDescent="0.2">
      <c r="A16" s="38" t="s">
        <v>686</v>
      </c>
      <c r="B16" s="8" t="s">
        <v>136</v>
      </c>
      <c r="C16" s="8" t="s">
        <v>22</v>
      </c>
      <c r="D16" s="84">
        <v>1</v>
      </c>
      <c r="E16" s="49">
        <v>30</v>
      </c>
      <c r="F16" s="112">
        <v>45973</v>
      </c>
      <c r="G16" s="113">
        <v>0.375</v>
      </c>
      <c r="H16" s="112">
        <v>45971</v>
      </c>
      <c r="I16" s="113">
        <v>0.45833333333333331</v>
      </c>
      <c r="J16" s="87">
        <f t="shared" si="0"/>
        <v>5</v>
      </c>
      <c r="K16" s="8">
        <v>1</v>
      </c>
      <c r="L16" s="88">
        <v>25</v>
      </c>
      <c r="M16" s="49" t="s">
        <v>710</v>
      </c>
    </row>
    <row r="17" spans="1:13" s="5" customFormat="1" ht="63" customHeight="1" x14ac:dyDescent="0.2">
      <c r="A17" s="38" t="s">
        <v>687</v>
      </c>
      <c r="B17" s="8" t="s">
        <v>510</v>
      </c>
      <c r="C17" s="8" t="s">
        <v>31</v>
      </c>
      <c r="D17" s="84">
        <v>1</v>
      </c>
      <c r="E17" s="49">
        <v>30</v>
      </c>
      <c r="F17" s="112">
        <v>45973</v>
      </c>
      <c r="G17" s="113">
        <v>0.375</v>
      </c>
      <c r="H17" s="112">
        <v>45971</v>
      </c>
      <c r="I17" s="113">
        <v>0.4375</v>
      </c>
      <c r="J17" s="87">
        <f t="shared" si="0"/>
        <v>5</v>
      </c>
      <c r="K17" s="8">
        <v>1</v>
      </c>
      <c r="L17" s="88">
        <v>25</v>
      </c>
      <c r="M17" s="49" t="s">
        <v>337</v>
      </c>
    </row>
    <row r="18" spans="1:13" s="5" customFormat="1" ht="75" customHeight="1" x14ac:dyDescent="0.2">
      <c r="A18" s="38" t="s">
        <v>688</v>
      </c>
      <c r="B18" s="8" t="s">
        <v>21</v>
      </c>
      <c r="C18" s="8" t="s">
        <v>34</v>
      </c>
      <c r="D18" s="84">
        <v>1</v>
      </c>
      <c r="E18" s="49">
        <v>30</v>
      </c>
      <c r="F18" s="112">
        <v>45973</v>
      </c>
      <c r="G18" s="113">
        <v>0.375</v>
      </c>
      <c r="H18" s="112">
        <v>45971</v>
      </c>
      <c r="I18" s="113">
        <v>0.4375</v>
      </c>
      <c r="J18" s="87">
        <f t="shared" si="0"/>
        <v>5</v>
      </c>
      <c r="K18" s="8">
        <v>1</v>
      </c>
      <c r="L18" s="88">
        <v>25</v>
      </c>
      <c r="M18" s="49" t="s">
        <v>320</v>
      </c>
    </row>
    <row r="19" spans="1:13" s="5" customFormat="1" ht="72.75" customHeight="1" x14ac:dyDescent="0.2">
      <c r="A19" s="35" t="s">
        <v>689</v>
      </c>
      <c r="B19" s="8" t="s">
        <v>136</v>
      </c>
      <c r="C19" s="8" t="s">
        <v>31</v>
      </c>
      <c r="D19" s="84">
        <v>1</v>
      </c>
      <c r="E19" s="49">
        <v>30</v>
      </c>
      <c r="F19" s="112">
        <v>45973</v>
      </c>
      <c r="G19" s="113">
        <v>0.375</v>
      </c>
      <c r="H19" s="112">
        <v>45971</v>
      </c>
      <c r="I19" s="113">
        <v>0.45833333333333331</v>
      </c>
      <c r="J19" s="87">
        <f t="shared" si="0"/>
        <v>5</v>
      </c>
      <c r="K19" s="8">
        <v>1</v>
      </c>
      <c r="L19" s="88">
        <v>25</v>
      </c>
      <c r="M19" s="49" t="s">
        <v>321</v>
      </c>
    </row>
    <row r="20" spans="1:13" s="5" customFormat="1" ht="77.25" customHeight="1" x14ac:dyDescent="0.2">
      <c r="A20" s="49" t="s">
        <v>690</v>
      </c>
      <c r="B20" s="8" t="s">
        <v>42</v>
      </c>
      <c r="C20" s="8" t="s">
        <v>37</v>
      </c>
      <c r="D20" s="84">
        <v>1</v>
      </c>
      <c r="E20" s="49">
        <v>30</v>
      </c>
      <c r="F20" s="112">
        <v>45973</v>
      </c>
      <c r="G20" s="113">
        <v>0.375</v>
      </c>
      <c r="H20" s="112">
        <v>45971</v>
      </c>
      <c r="I20" s="113">
        <v>0.4375</v>
      </c>
      <c r="J20" s="87">
        <f t="shared" si="0"/>
        <v>5</v>
      </c>
      <c r="K20" s="8">
        <v>1</v>
      </c>
      <c r="L20" s="88">
        <v>25</v>
      </c>
      <c r="M20" s="49" t="s">
        <v>340</v>
      </c>
    </row>
    <row r="21" spans="1:13" s="5" customFormat="1" ht="70.5" customHeight="1" x14ac:dyDescent="0.2">
      <c r="A21" s="49" t="s">
        <v>691</v>
      </c>
      <c r="B21" s="8" t="s">
        <v>36</v>
      </c>
      <c r="C21" s="8" t="s">
        <v>43</v>
      </c>
      <c r="D21" s="84">
        <v>1</v>
      </c>
      <c r="E21" s="49">
        <v>30</v>
      </c>
      <c r="F21" s="112">
        <v>45973</v>
      </c>
      <c r="G21" s="113">
        <v>0.375</v>
      </c>
      <c r="H21" s="112">
        <v>45971</v>
      </c>
      <c r="I21" s="113">
        <v>0.45833333333333331</v>
      </c>
      <c r="J21" s="87">
        <f t="shared" si="0"/>
        <v>5</v>
      </c>
      <c r="K21" s="8">
        <v>1</v>
      </c>
      <c r="L21" s="88">
        <v>25</v>
      </c>
      <c r="M21" s="49" t="s">
        <v>342</v>
      </c>
    </row>
    <row r="22" spans="1:13" s="5" customFormat="1" ht="66" customHeight="1" x14ac:dyDescent="0.2">
      <c r="A22" s="49" t="s">
        <v>692</v>
      </c>
      <c r="B22" s="8" t="s">
        <v>30</v>
      </c>
      <c r="C22" s="8" t="s">
        <v>40</v>
      </c>
      <c r="D22" s="84">
        <v>1</v>
      </c>
      <c r="E22" s="49">
        <v>30</v>
      </c>
      <c r="F22" s="112">
        <v>45973</v>
      </c>
      <c r="G22" s="113">
        <v>0.375</v>
      </c>
      <c r="H22" s="112">
        <v>45971</v>
      </c>
      <c r="I22" s="113">
        <v>0.47916666666666669</v>
      </c>
      <c r="J22" s="87">
        <f t="shared" si="0"/>
        <v>5</v>
      </c>
      <c r="K22" s="8">
        <v>1</v>
      </c>
      <c r="L22" s="88">
        <v>25</v>
      </c>
      <c r="M22" s="49" t="s">
        <v>344</v>
      </c>
    </row>
    <row r="23" spans="1:13" s="5" customFormat="1" ht="69" customHeight="1" x14ac:dyDescent="0.2">
      <c r="A23" s="49" t="s">
        <v>693</v>
      </c>
      <c r="B23" s="8" t="s">
        <v>136</v>
      </c>
      <c r="C23" s="8" t="s">
        <v>22</v>
      </c>
      <c r="D23" s="84">
        <v>1</v>
      </c>
      <c r="E23" s="49">
        <v>30</v>
      </c>
      <c r="F23" s="112">
        <v>45973</v>
      </c>
      <c r="G23" s="113">
        <v>0.375</v>
      </c>
      <c r="H23" s="112">
        <v>45971</v>
      </c>
      <c r="I23" s="113">
        <v>0.5</v>
      </c>
      <c r="J23" s="87">
        <f t="shared" si="0"/>
        <v>5</v>
      </c>
      <c r="K23" s="8">
        <v>1</v>
      </c>
      <c r="L23" s="88">
        <v>25</v>
      </c>
      <c r="M23" s="49" t="s">
        <v>348</v>
      </c>
    </row>
    <row r="24" spans="1:13" s="5" customFormat="1" ht="60" customHeight="1" x14ac:dyDescent="0.2">
      <c r="A24" s="49" t="s">
        <v>694</v>
      </c>
      <c r="B24" s="8" t="s">
        <v>42</v>
      </c>
      <c r="C24" s="8" t="s">
        <v>37</v>
      </c>
      <c r="D24" s="84">
        <v>1</v>
      </c>
      <c r="E24" s="49">
        <v>30</v>
      </c>
      <c r="F24" s="112">
        <v>45973</v>
      </c>
      <c r="G24" s="113">
        <v>0.375</v>
      </c>
      <c r="H24" s="112">
        <v>45971</v>
      </c>
      <c r="I24" s="113">
        <v>0.4375</v>
      </c>
      <c r="J24" s="87">
        <f t="shared" si="0"/>
        <v>5</v>
      </c>
      <c r="K24" s="8">
        <v>1</v>
      </c>
      <c r="L24" s="88">
        <v>25</v>
      </c>
      <c r="M24" s="49" t="s">
        <v>347</v>
      </c>
    </row>
    <row r="25" spans="1:13" s="5" customFormat="1" ht="59.25" customHeight="1" x14ac:dyDescent="0.2">
      <c r="A25" s="49" t="s">
        <v>695</v>
      </c>
      <c r="B25" s="8" t="s">
        <v>36</v>
      </c>
      <c r="C25" s="8" t="s">
        <v>43</v>
      </c>
      <c r="D25" s="84">
        <v>1</v>
      </c>
      <c r="E25" s="49">
        <v>30</v>
      </c>
      <c r="F25" s="112">
        <v>45973</v>
      </c>
      <c r="G25" s="113">
        <v>0.375</v>
      </c>
      <c r="H25" s="112">
        <v>45971</v>
      </c>
      <c r="I25" s="113">
        <v>0.47916666666666669</v>
      </c>
      <c r="J25" s="87">
        <f t="shared" si="0"/>
        <v>5</v>
      </c>
      <c r="K25" s="8">
        <v>1</v>
      </c>
      <c r="L25" s="88">
        <v>25</v>
      </c>
      <c r="M25" s="49" t="s">
        <v>350</v>
      </c>
    </row>
    <row r="26" spans="1:13" s="5" customFormat="1" ht="89.25" customHeight="1" x14ac:dyDescent="0.2">
      <c r="A26" s="49" t="s">
        <v>696</v>
      </c>
      <c r="B26" s="8" t="s">
        <v>30</v>
      </c>
      <c r="C26" s="8" t="s">
        <v>40</v>
      </c>
      <c r="D26" s="84">
        <v>1</v>
      </c>
      <c r="E26" s="49">
        <v>30</v>
      </c>
      <c r="F26" s="112">
        <v>45973</v>
      </c>
      <c r="G26" s="113">
        <v>0.375</v>
      </c>
      <c r="H26" s="112">
        <v>45971</v>
      </c>
      <c r="I26" s="113">
        <v>0.47916666666666669</v>
      </c>
      <c r="J26" s="87">
        <f t="shared" si="0"/>
        <v>5</v>
      </c>
      <c r="K26" s="8">
        <v>1</v>
      </c>
      <c r="L26" s="88">
        <v>25</v>
      </c>
      <c r="M26" s="49" t="s">
        <v>711</v>
      </c>
    </row>
    <row r="27" spans="1:13" s="5" customFormat="1" ht="87" customHeight="1" x14ac:dyDescent="0.2">
      <c r="A27" s="49" t="s">
        <v>697</v>
      </c>
      <c r="B27" s="8" t="s">
        <v>30</v>
      </c>
      <c r="C27" s="8" t="s">
        <v>40</v>
      </c>
      <c r="D27" s="84">
        <v>1</v>
      </c>
      <c r="E27" s="49">
        <v>30</v>
      </c>
      <c r="F27" s="112">
        <v>45973</v>
      </c>
      <c r="G27" s="113">
        <v>0.375</v>
      </c>
      <c r="H27" s="112">
        <v>45971</v>
      </c>
      <c r="I27" s="113">
        <v>0.5</v>
      </c>
      <c r="J27" s="87">
        <f t="shared" si="0"/>
        <v>5</v>
      </c>
      <c r="K27" s="8">
        <v>1</v>
      </c>
      <c r="L27" s="88">
        <v>25</v>
      </c>
      <c r="M27" s="49" t="s">
        <v>712</v>
      </c>
    </row>
    <row r="28" spans="1:13" s="5" customFormat="1" ht="48.75" customHeight="1" x14ac:dyDescent="0.2">
      <c r="A28" s="49" t="s">
        <v>698</v>
      </c>
      <c r="B28" s="8" t="s">
        <v>30</v>
      </c>
      <c r="C28" s="8" t="s">
        <v>40</v>
      </c>
      <c r="D28" s="84">
        <v>1</v>
      </c>
      <c r="E28" s="49">
        <v>30</v>
      </c>
      <c r="F28" s="112">
        <v>45973</v>
      </c>
      <c r="G28" s="113">
        <v>0.375</v>
      </c>
      <c r="H28" s="112">
        <v>45971</v>
      </c>
      <c r="I28" s="113">
        <v>0.45833333333333331</v>
      </c>
      <c r="J28" s="87">
        <f t="shared" si="0"/>
        <v>5</v>
      </c>
      <c r="K28" s="8">
        <v>1</v>
      </c>
      <c r="L28" s="88">
        <v>25</v>
      </c>
      <c r="M28" s="49" t="s">
        <v>713</v>
      </c>
    </row>
    <row r="29" spans="1:13" s="5" customFormat="1" ht="36.75" customHeight="1" x14ac:dyDescent="0.2">
      <c r="A29" s="49" t="s">
        <v>699</v>
      </c>
      <c r="B29" s="8" t="s">
        <v>136</v>
      </c>
      <c r="C29" s="8" t="s">
        <v>22</v>
      </c>
      <c r="D29" s="84">
        <v>1</v>
      </c>
      <c r="E29" s="49">
        <v>30</v>
      </c>
      <c r="F29" s="112">
        <v>45973</v>
      </c>
      <c r="G29" s="113">
        <v>0.375</v>
      </c>
      <c r="H29" s="112">
        <v>45971</v>
      </c>
      <c r="I29" s="113">
        <v>0.45833333333333331</v>
      </c>
      <c r="J29" s="87">
        <f t="shared" si="0"/>
        <v>7</v>
      </c>
      <c r="K29" s="8">
        <v>2</v>
      </c>
      <c r="L29" s="88">
        <v>23</v>
      </c>
      <c r="M29" s="49" t="s">
        <v>714</v>
      </c>
    </row>
    <row r="30" spans="1:13" s="5" customFormat="1" ht="37.5" customHeight="1" x14ac:dyDescent="0.2">
      <c r="A30" s="49" t="s">
        <v>700</v>
      </c>
      <c r="B30" s="8" t="s">
        <v>136</v>
      </c>
      <c r="C30" s="8" t="s">
        <v>22</v>
      </c>
      <c r="D30" s="84">
        <v>1</v>
      </c>
      <c r="E30" s="49">
        <v>30</v>
      </c>
      <c r="F30" s="112">
        <v>45973</v>
      </c>
      <c r="G30" s="113">
        <v>0.375</v>
      </c>
      <c r="H30" s="112">
        <v>45971</v>
      </c>
      <c r="I30" s="113">
        <v>0.47916666666666669</v>
      </c>
      <c r="J30" s="87">
        <f t="shared" si="0"/>
        <v>5</v>
      </c>
      <c r="K30" s="8">
        <v>1</v>
      </c>
      <c r="L30" s="88">
        <v>25</v>
      </c>
      <c r="M30" s="49" t="s">
        <v>715</v>
      </c>
    </row>
    <row r="31" spans="1:13" s="5" customFormat="1" ht="38.25" customHeight="1" x14ac:dyDescent="0.2">
      <c r="A31" s="49" t="s">
        <v>701</v>
      </c>
      <c r="B31" s="8" t="s">
        <v>36</v>
      </c>
      <c r="C31" s="8" t="s">
        <v>43</v>
      </c>
      <c r="D31" s="84">
        <v>1</v>
      </c>
      <c r="E31" s="49">
        <v>30</v>
      </c>
      <c r="F31" s="112">
        <v>45973</v>
      </c>
      <c r="G31" s="113">
        <v>0.375</v>
      </c>
      <c r="H31" s="112">
        <v>45971</v>
      </c>
      <c r="I31" s="113">
        <v>0.47916666666666669</v>
      </c>
      <c r="J31" s="87">
        <f t="shared" si="0"/>
        <v>5</v>
      </c>
      <c r="K31" s="8">
        <v>2</v>
      </c>
      <c r="L31" s="88">
        <v>25</v>
      </c>
      <c r="M31" s="49" t="s">
        <v>716</v>
      </c>
    </row>
    <row r="32" spans="1:13" s="5" customFormat="1" ht="38.25" customHeight="1" x14ac:dyDescent="0.2">
      <c r="A32" s="49" t="s">
        <v>702</v>
      </c>
      <c r="B32" s="8" t="s">
        <v>36</v>
      </c>
      <c r="C32" s="8" t="s">
        <v>43</v>
      </c>
      <c r="D32" s="84">
        <v>1</v>
      </c>
      <c r="E32" s="49">
        <v>30</v>
      </c>
      <c r="F32" s="112">
        <v>45973</v>
      </c>
      <c r="G32" s="113">
        <v>0.375</v>
      </c>
      <c r="H32" s="112">
        <v>45971</v>
      </c>
      <c r="I32" s="113">
        <v>0.47916666666666669</v>
      </c>
      <c r="J32" s="87">
        <f t="shared" si="0"/>
        <v>5</v>
      </c>
      <c r="K32" s="8">
        <v>1</v>
      </c>
      <c r="L32" s="88">
        <v>25</v>
      </c>
      <c r="M32" s="49" t="s">
        <v>717</v>
      </c>
    </row>
    <row r="33" spans="1:13" s="5" customFormat="1" ht="38.25" customHeight="1" x14ac:dyDescent="0.2">
      <c r="A33" s="49" t="s">
        <v>703</v>
      </c>
      <c r="B33" s="8" t="s">
        <v>42</v>
      </c>
      <c r="C33" s="8" t="s">
        <v>37</v>
      </c>
      <c r="D33" s="84">
        <v>1</v>
      </c>
      <c r="E33" s="49">
        <v>30</v>
      </c>
      <c r="F33" s="112">
        <v>45973</v>
      </c>
      <c r="G33" s="113">
        <v>0.375</v>
      </c>
      <c r="H33" s="112">
        <v>45971</v>
      </c>
      <c r="I33" s="113">
        <v>0.5</v>
      </c>
      <c r="J33" s="87">
        <f t="shared" si="0"/>
        <v>5</v>
      </c>
      <c r="K33" s="8">
        <v>2</v>
      </c>
      <c r="L33" s="88">
        <v>25</v>
      </c>
      <c r="M33" s="49" t="s">
        <v>718</v>
      </c>
    </row>
    <row r="34" spans="1:13" s="5" customFormat="1" ht="55.5" customHeight="1" x14ac:dyDescent="0.2">
      <c r="A34" s="49" t="s">
        <v>704</v>
      </c>
      <c r="B34" s="8" t="s">
        <v>42</v>
      </c>
      <c r="C34" s="8" t="s">
        <v>37</v>
      </c>
      <c r="D34" s="84">
        <v>1</v>
      </c>
      <c r="E34" s="49">
        <v>30</v>
      </c>
      <c r="F34" s="112">
        <v>45973</v>
      </c>
      <c r="G34" s="113">
        <v>0.375</v>
      </c>
      <c r="H34" s="112">
        <v>45971</v>
      </c>
      <c r="I34" s="113">
        <v>0.52083333333333337</v>
      </c>
      <c r="J34" s="87">
        <f t="shared" si="0"/>
        <v>5</v>
      </c>
      <c r="K34" s="8">
        <v>1</v>
      </c>
      <c r="L34" s="88">
        <v>25</v>
      </c>
      <c r="M34" s="49" t="s">
        <v>719</v>
      </c>
    </row>
    <row r="35" spans="1:13" s="5" customFormat="1" ht="55.5" customHeight="1" x14ac:dyDescent="0.2">
      <c r="A35" s="49" t="s">
        <v>705</v>
      </c>
      <c r="B35" s="8" t="s">
        <v>510</v>
      </c>
      <c r="C35" s="8" t="s">
        <v>31</v>
      </c>
      <c r="D35" s="84">
        <v>1</v>
      </c>
      <c r="E35" s="49">
        <v>30</v>
      </c>
      <c r="F35" s="112">
        <v>45973</v>
      </c>
      <c r="G35" s="113">
        <v>0.375</v>
      </c>
      <c r="H35" s="112">
        <v>45971</v>
      </c>
      <c r="I35" s="113">
        <v>0.52083333333333337</v>
      </c>
      <c r="J35" s="87">
        <f t="shared" si="0"/>
        <v>5</v>
      </c>
      <c r="K35" s="8">
        <v>1</v>
      </c>
      <c r="L35" s="88">
        <v>25</v>
      </c>
      <c r="M35" s="49" t="s">
        <v>720</v>
      </c>
    </row>
    <row r="36" spans="1:13" s="5" customFormat="1" ht="57.75" customHeight="1" x14ac:dyDescent="0.2">
      <c r="A36" s="49" t="s">
        <v>706</v>
      </c>
      <c r="B36" s="8" t="s">
        <v>510</v>
      </c>
      <c r="C36" s="8" t="s">
        <v>31</v>
      </c>
      <c r="D36" s="84">
        <v>1</v>
      </c>
      <c r="E36" s="49">
        <v>30</v>
      </c>
      <c r="F36" s="112">
        <v>45973</v>
      </c>
      <c r="G36" s="113">
        <v>0.375</v>
      </c>
      <c r="H36" s="112">
        <v>45971</v>
      </c>
      <c r="I36" s="113">
        <v>0.54166666666666663</v>
      </c>
      <c r="J36" s="87">
        <f t="shared" si="0"/>
        <v>5</v>
      </c>
      <c r="K36" s="8">
        <v>1</v>
      </c>
      <c r="L36" s="88">
        <v>25</v>
      </c>
      <c r="M36" s="49" t="s">
        <v>721</v>
      </c>
    </row>
    <row r="37" spans="1:13" s="5" customFormat="1" ht="42" customHeight="1" x14ac:dyDescent="0.2">
      <c r="A37" s="49" t="s">
        <v>707</v>
      </c>
      <c r="B37" s="8" t="s">
        <v>21</v>
      </c>
      <c r="C37" s="8" t="s">
        <v>34</v>
      </c>
      <c r="D37" s="84">
        <v>1</v>
      </c>
      <c r="E37" s="49">
        <v>30</v>
      </c>
      <c r="F37" s="112">
        <v>45973</v>
      </c>
      <c r="G37" s="113">
        <v>0.375</v>
      </c>
      <c r="H37" s="112">
        <v>45971</v>
      </c>
      <c r="I37" s="113">
        <v>0.52083333333333337</v>
      </c>
      <c r="J37" s="87">
        <f t="shared" si="0"/>
        <v>5</v>
      </c>
      <c r="K37" s="8">
        <v>1</v>
      </c>
      <c r="L37" s="88">
        <v>25</v>
      </c>
      <c r="M37" s="49" t="s">
        <v>722</v>
      </c>
    </row>
    <row r="38" spans="1:13" s="5" customFormat="1" ht="71.25" customHeight="1" x14ac:dyDescent="0.2">
      <c r="A38" s="49" t="s">
        <v>708</v>
      </c>
      <c r="B38" s="8" t="s">
        <v>21</v>
      </c>
      <c r="C38" s="8" t="s">
        <v>34</v>
      </c>
      <c r="D38" s="84">
        <v>1</v>
      </c>
      <c r="E38" s="49">
        <v>30</v>
      </c>
      <c r="F38" s="112">
        <v>45973</v>
      </c>
      <c r="G38" s="113">
        <v>0.375</v>
      </c>
      <c r="H38" s="112">
        <v>45971</v>
      </c>
      <c r="I38" s="113">
        <v>0.54166666666666663</v>
      </c>
      <c r="J38" s="87">
        <f t="shared" si="0"/>
        <v>5</v>
      </c>
      <c r="K38" s="8">
        <v>1</v>
      </c>
      <c r="L38" s="88">
        <v>25</v>
      </c>
      <c r="M38" s="49" t="s">
        <v>723</v>
      </c>
    </row>
    <row r="39" spans="1:13" s="5" customFormat="1" ht="66" customHeight="1" x14ac:dyDescent="0.2">
      <c r="A39" s="49" t="s">
        <v>709</v>
      </c>
      <c r="B39" s="8" t="s">
        <v>21</v>
      </c>
      <c r="C39" s="8" t="s">
        <v>34</v>
      </c>
      <c r="D39" s="84">
        <v>1</v>
      </c>
      <c r="E39" s="49">
        <v>30</v>
      </c>
      <c r="F39" s="112">
        <v>45973</v>
      </c>
      <c r="G39" s="113">
        <v>0.375</v>
      </c>
      <c r="H39" s="112">
        <v>45971</v>
      </c>
      <c r="I39" s="113">
        <v>0.5</v>
      </c>
      <c r="J39" s="87">
        <f t="shared" si="0"/>
        <v>5</v>
      </c>
      <c r="K39" s="8">
        <v>1</v>
      </c>
      <c r="L39" s="88">
        <v>25</v>
      </c>
      <c r="M39" s="49" t="s">
        <v>354</v>
      </c>
    </row>
    <row r="40" spans="1:13" s="5" customFormat="1" ht="56.25" customHeight="1" x14ac:dyDescent="0.2">
      <c r="A40" s="49" t="s">
        <v>565</v>
      </c>
      <c r="B40" s="8" t="s">
        <v>21</v>
      </c>
      <c r="C40" s="8" t="s">
        <v>34</v>
      </c>
      <c r="D40" s="84">
        <v>1</v>
      </c>
      <c r="E40" s="49">
        <v>20</v>
      </c>
      <c r="F40" s="112">
        <v>45973</v>
      </c>
      <c r="G40" s="113">
        <v>0.375</v>
      </c>
      <c r="H40" s="112">
        <v>45972</v>
      </c>
      <c r="I40" s="113">
        <v>0.79166666666666663</v>
      </c>
      <c r="J40" s="87">
        <f t="shared" si="0"/>
        <v>2</v>
      </c>
      <c r="K40" s="8">
        <v>1</v>
      </c>
      <c r="L40" s="8">
        <v>18</v>
      </c>
      <c r="M40" s="49" t="s">
        <v>569</v>
      </c>
    </row>
    <row r="41" spans="1:13" s="5" customFormat="1" ht="63" customHeight="1" x14ac:dyDescent="0.2">
      <c r="A41" s="49" t="s">
        <v>565</v>
      </c>
      <c r="B41" s="8" t="s">
        <v>136</v>
      </c>
      <c r="C41" s="8" t="s">
        <v>40</v>
      </c>
      <c r="D41" s="84">
        <v>1</v>
      </c>
      <c r="E41" s="49">
        <v>20</v>
      </c>
      <c r="F41" s="112">
        <v>45973</v>
      </c>
      <c r="G41" s="113">
        <v>0.375</v>
      </c>
      <c r="H41" s="112">
        <v>45972</v>
      </c>
      <c r="I41" s="113">
        <v>0.79166666666666663</v>
      </c>
      <c r="J41" s="87">
        <f t="shared" si="0"/>
        <v>2</v>
      </c>
      <c r="K41" s="8">
        <v>1</v>
      </c>
      <c r="L41" s="8">
        <v>18</v>
      </c>
      <c r="M41" s="49" t="s">
        <v>569</v>
      </c>
    </row>
    <row r="42" spans="1:13" s="5" customFormat="1" ht="66" customHeight="1" x14ac:dyDescent="0.2">
      <c r="A42" s="106" t="s">
        <v>123</v>
      </c>
      <c r="B42" s="85" t="s">
        <v>42</v>
      </c>
      <c r="C42" s="85" t="s">
        <v>37</v>
      </c>
      <c r="D42" s="49">
        <v>1</v>
      </c>
      <c r="E42" s="49">
        <v>20</v>
      </c>
      <c r="F42" s="85">
        <v>45973</v>
      </c>
      <c r="G42" s="86">
        <v>0.375</v>
      </c>
      <c r="H42" s="85">
        <v>45972</v>
      </c>
      <c r="I42" s="86">
        <v>0.80555555555555558</v>
      </c>
      <c r="J42" s="87">
        <f>E42-L42</f>
        <v>0</v>
      </c>
      <c r="K42" s="8">
        <v>1</v>
      </c>
      <c r="L42" s="88">
        <v>20</v>
      </c>
      <c r="M42" s="93" t="s">
        <v>124</v>
      </c>
    </row>
    <row r="43" spans="1:13" s="5" customFormat="1" ht="58.5" customHeight="1" x14ac:dyDescent="0.2">
      <c r="A43" s="38" t="s">
        <v>123</v>
      </c>
      <c r="B43" s="85" t="s">
        <v>36</v>
      </c>
      <c r="C43" s="85" t="s">
        <v>43</v>
      </c>
      <c r="D43" s="49">
        <v>1</v>
      </c>
      <c r="E43" s="49">
        <v>20</v>
      </c>
      <c r="F43" s="85">
        <v>45973</v>
      </c>
      <c r="G43" s="86">
        <v>0.375</v>
      </c>
      <c r="H43" s="85">
        <v>45972</v>
      </c>
      <c r="I43" s="86">
        <v>0.80555555555555558</v>
      </c>
      <c r="J43" s="87">
        <f t="shared" ref="J43:J64" si="1">E43-L43</f>
        <v>0</v>
      </c>
      <c r="K43" s="8">
        <v>1</v>
      </c>
      <c r="L43" s="88">
        <v>20</v>
      </c>
      <c r="M43" s="93" t="s">
        <v>124</v>
      </c>
    </row>
    <row r="44" spans="1:13" s="5" customFormat="1" ht="57" customHeight="1" x14ac:dyDescent="0.2">
      <c r="A44" s="115" t="s">
        <v>175</v>
      </c>
      <c r="B44" s="115" t="s">
        <v>42</v>
      </c>
      <c r="C44" s="115" t="s">
        <v>37</v>
      </c>
      <c r="D44" s="8">
        <v>1</v>
      </c>
      <c r="E44" s="8">
        <v>30</v>
      </c>
      <c r="F44" s="115">
        <v>45973</v>
      </c>
      <c r="G44" s="86">
        <v>0.375</v>
      </c>
      <c r="H44" s="115">
        <v>45972</v>
      </c>
      <c r="I44" s="121">
        <v>0.83333333333333337</v>
      </c>
      <c r="J44" s="8">
        <f t="shared" si="1"/>
        <v>6</v>
      </c>
      <c r="K44" s="65">
        <v>1</v>
      </c>
      <c r="L44" s="69">
        <v>24</v>
      </c>
      <c r="M44" s="91" t="s">
        <v>176</v>
      </c>
    </row>
    <row r="45" spans="1:13" s="5" customFormat="1" ht="55.5" customHeight="1" x14ac:dyDescent="0.2">
      <c r="A45" s="115" t="s">
        <v>177</v>
      </c>
      <c r="B45" s="115" t="s">
        <v>30</v>
      </c>
      <c r="C45" s="115" t="s">
        <v>40</v>
      </c>
      <c r="D45" s="8">
        <v>1</v>
      </c>
      <c r="E45" s="8">
        <v>30</v>
      </c>
      <c r="F45" s="115">
        <v>45973</v>
      </c>
      <c r="G45" s="86">
        <v>0.375</v>
      </c>
      <c r="H45" s="115">
        <v>45972</v>
      </c>
      <c r="I45" s="121">
        <v>0.83333333333333337</v>
      </c>
      <c r="J45" s="8">
        <f t="shared" si="1"/>
        <v>0</v>
      </c>
      <c r="K45" s="65">
        <v>1</v>
      </c>
      <c r="L45" s="69">
        <v>30</v>
      </c>
      <c r="M45" s="91" t="s">
        <v>178</v>
      </c>
    </row>
    <row r="46" spans="1:13" ht="87" customHeight="1" x14ac:dyDescent="0.2">
      <c r="A46" s="85" t="s">
        <v>179</v>
      </c>
      <c r="B46" s="115" t="s">
        <v>30</v>
      </c>
      <c r="C46" s="115" t="s">
        <v>40</v>
      </c>
      <c r="D46" s="8">
        <v>5</v>
      </c>
      <c r="E46" s="8">
        <v>50</v>
      </c>
      <c r="F46" s="115">
        <v>45973</v>
      </c>
      <c r="G46" s="86">
        <v>0.375</v>
      </c>
      <c r="H46" s="115">
        <v>45972</v>
      </c>
      <c r="I46" s="121">
        <v>0.86805555555555558</v>
      </c>
      <c r="J46" s="8">
        <f t="shared" si="1"/>
        <v>5</v>
      </c>
      <c r="K46" s="65">
        <v>5</v>
      </c>
      <c r="L46" s="69">
        <v>45</v>
      </c>
      <c r="M46" s="91" t="s">
        <v>180</v>
      </c>
    </row>
    <row r="47" spans="1:13" s="5" customFormat="1" ht="56.25" customHeight="1" x14ac:dyDescent="0.2">
      <c r="A47" s="23" t="s">
        <v>146</v>
      </c>
      <c r="B47" s="85" t="s">
        <v>510</v>
      </c>
      <c r="C47" s="90" t="s">
        <v>31</v>
      </c>
      <c r="D47" s="84">
        <v>1</v>
      </c>
      <c r="E47" s="49">
        <v>60</v>
      </c>
      <c r="F47" s="85">
        <v>45973</v>
      </c>
      <c r="G47" s="86">
        <v>0.375</v>
      </c>
      <c r="H47" s="85">
        <v>45972</v>
      </c>
      <c r="I47" s="86">
        <v>0.91666666666666663</v>
      </c>
      <c r="J47" s="87">
        <f t="shared" si="1"/>
        <v>50</v>
      </c>
      <c r="K47" s="8">
        <v>1</v>
      </c>
      <c r="L47" s="88">
        <v>10</v>
      </c>
      <c r="M47" s="91" t="s">
        <v>149</v>
      </c>
    </row>
    <row r="48" spans="1:13" s="5" customFormat="1" ht="67.5" customHeight="1" x14ac:dyDescent="0.2">
      <c r="A48" s="23" t="s">
        <v>146</v>
      </c>
      <c r="B48" s="85" t="s">
        <v>36</v>
      </c>
      <c r="C48" s="90" t="s">
        <v>43</v>
      </c>
      <c r="D48" s="84">
        <v>1</v>
      </c>
      <c r="E48" s="49">
        <v>60</v>
      </c>
      <c r="F48" s="85">
        <v>45973</v>
      </c>
      <c r="G48" s="86">
        <v>0.375</v>
      </c>
      <c r="H48" s="85">
        <v>45972</v>
      </c>
      <c r="I48" s="86">
        <v>0.91666666666666663</v>
      </c>
      <c r="J48" s="87">
        <f t="shared" si="1"/>
        <v>50</v>
      </c>
      <c r="K48" s="8">
        <v>1</v>
      </c>
      <c r="L48" s="88">
        <v>10</v>
      </c>
      <c r="M48" s="91" t="s">
        <v>149</v>
      </c>
    </row>
    <row r="49" spans="1:13" s="5" customFormat="1" ht="69.75" customHeight="1" x14ac:dyDescent="0.2">
      <c r="A49" s="23" t="s">
        <v>146</v>
      </c>
      <c r="B49" s="85" t="s">
        <v>136</v>
      </c>
      <c r="C49" s="90" t="s">
        <v>22</v>
      </c>
      <c r="D49" s="84">
        <v>1</v>
      </c>
      <c r="E49" s="49">
        <v>60</v>
      </c>
      <c r="F49" s="85">
        <v>45973</v>
      </c>
      <c r="G49" s="86">
        <v>0.375</v>
      </c>
      <c r="H49" s="85">
        <v>45972</v>
      </c>
      <c r="I49" s="86">
        <v>0.91666666666666663</v>
      </c>
      <c r="J49" s="87">
        <f t="shared" si="1"/>
        <v>50</v>
      </c>
      <c r="K49" s="8">
        <v>1</v>
      </c>
      <c r="L49" s="88">
        <v>10</v>
      </c>
      <c r="M49" s="91" t="s">
        <v>149</v>
      </c>
    </row>
    <row r="50" spans="1:13" s="5" customFormat="1" ht="61.5" customHeight="1" x14ac:dyDescent="0.2">
      <c r="A50" s="23" t="s">
        <v>146</v>
      </c>
      <c r="B50" s="85" t="s">
        <v>21</v>
      </c>
      <c r="C50" s="90" t="s">
        <v>34</v>
      </c>
      <c r="D50" s="84">
        <v>1</v>
      </c>
      <c r="E50" s="49">
        <v>60</v>
      </c>
      <c r="F50" s="85">
        <v>45973</v>
      </c>
      <c r="G50" s="86">
        <v>0.375</v>
      </c>
      <c r="H50" s="85">
        <v>45972</v>
      </c>
      <c r="I50" s="86">
        <v>0.91666666666666663</v>
      </c>
      <c r="J50" s="87">
        <f t="shared" si="1"/>
        <v>50</v>
      </c>
      <c r="K50" s="8">
        <v>1</v>
      </c>
      <c r="L50" s="88">
        <v>10</v>
      </c>
      <c r="M50" s="91" t="s">
        <v>149</v>
      </c>
    </row>
    <row r="51" spans="1:13" s="5" customFormat="1" ht="56.25" customHeight="1" x14ac:dyDescent="0.2">
      <c r="A51" s="23" t="s">
        <v>146</v>
      </c>
      <c r="B51" s="85" t="s">
        <v>42</v>
      </c>
      <c r="C51" s="90" t="s">
        <v>37</v>
      </c>
      <c r="D51" s="84">
        <v>1</v>
      </c>
      <c r="E51" s="49">
        <v>60</v>
      </c>
      <c r="F51" s="85">
        <v>45973</v>
      </c>
      <c r="G51" s="86">
        <v>0.375</v>
      </c>
      <c r="H51" s="85">
        <v>45972</v>
      </c>
      <c r="I51" s="86">
        <v>0.91666666666666663</v>
      </c>
      <c r="J51" s="87">
        <f t="shared" si="1"/>
        <v>50</v>
      </c>
      <c r="K51" s="8">
        <v>1</v>
      </c>
      <c r="L51" s="88">
        <v>10</v>
      </c>
      <c r="M51" s="91" t="s">
        <v>149</v>
      </c>
    </row>
    <row r="52" spans="1:13" s="5" customFormat="1" ht="97.5" customHeight="1" x14ac:dyDescent="0.2">
      <c r="A52" s="23" t="s">
        <v>146</v>
      </c>
      <c r="B52" s="85" t="s">
        <v>510</v>
      </c>
      <c r="C52" s="90" t="s">
        <v>40</v>
      </c>
      <c r="D52" s="84">
        <v>1</v>
      </c>
      <c r="E52" s="49">
        <v>60</v>
      </c>
      <c r="F52" s="85">
        <v>45973</v>
      </c>
      <c r="G52" s="86">
        <v>0.375</v>
      </c>
      <c r="H52" s="85">
        <v>45972</v>
      </c>
      <c r="I52" s="86">
        <v>0.91666666666666663</v>
      </c>
      <c r="J52" s="87">
        <f t="shared" si="1"/>
        <v>50</v>
      </c>
      <c r="K52" s="8">
        <v>1</v>
      </c>
      <c r="L52" s="88">
        <v>10</v>
      </c>
      <c r="M52" s="91" t="s">
        <v>149</v>
      </c>
    </row>
    <row r="53" spans="1:13" s="5" customFormat="1" ht="75" customHeight="1" x14ac:dyDescent="0.2">
      <c r="A53" s="23" t="s">
        <v>52</v>
      </c>
      <c r="B53" s="90" t="s">
        <v>136</v>
      </c>
      <c r="C53" s="90" t="s">
        <v>22</v>
      </c>
      <c r="D53" s="84">
        <v>1</v>
      </c>
      <c r="E53" s="49">
        <v>30</v>
      </c>
      <c r="F53" s="85">
        <v>45973</v>
      </c>
      <c r="G53" s="86">
        <v>0.375</v>
      </c>
      <c r="H53" s="85">
        <v>45972</v>
      </c>
      <c r="I53" s="86">
        <v>0.91666666666666663</v>
      </c>
      <c r="J53" s="87">
        <f t="shared" si="1"/>
        <v>0</v>
      </c>
      <c r="K53" s="8">
        <v>1</v>
      </c>
      <c r="L53" s="88">
        <v>30</v>
      </c>
      <c r="M53" s="91" t="s">
        <v>53</v>
      </c>
    </row>
    <row r="54" spans="1:13" s="5" customFormat="1" ht="70.5" customHeight="1" x14ac:dyDescent="0.2">
      <c r="A54" s="23" t="s">
        <v>153</v>
      </c>
      <c r="B54" s="90" t="s">
        <v>42</v>
      </c>
      <c r="C54" s="90" t="s">
        <v>37</v>
      </c>
      <c r="D54" s="84">
        <v>1</v>
      </c>
      <c r="E54" s="5">
        <v>30</v>
      </c>
      <c r="F54" s="85">
        <v>45973</v>
      </c>
      <c r="G54" s="86">
        <v>0.375</v>
      </c>
      <c r="H54" s="85">
        <v>45972</v>
      </c>
      <c r="I54" s="86">
        <v>0.91666666666666663</v>
      </c>
      <c r="J54" s="87">
        <f t="shared" si="1"/>
        <v>0</v>
      </c>
      <c r="K54" s="8">
        <v>1</v>
      </c>
      <c r="L54" s="88">
        <v>30</v>
      </c>
      <c r="M54" s="91" t="s">
        <v>53</v>
      </c>
    </row>
    <row r="55" spans="1:13" s="5" customFormat="1" ht="73.5" customHeight="1" x14ac:dyDescent="0.2">
      <c r="A55" s="23" t="s">
        <v>79</v>
      </c>
      <c r="B55" s="85" t="s">
        <v>42</v>
      </c>
      <c r="C55" s="90" t="s">
        <v>37</v>
      </c>
      <c r="D55" s="84">
        <v>1</v>
      </c>
      <c r="E55" s="49">
        <v>45</v>
      </c>
      <c r="F55" s="85">
        <v>45973</v>
      </c>
      <c r="G55" s="86">
        <v>0.375</v>
      </c>
      <c r="H55" s="85">
        <v>45972</v>
      </c>
      <c r="I55" s="86">
        <v>0.9375</v>
      </c>
      <c r="J55" s="87">
        <f t="shared" si="1"/>
        <v>-35</v>
      </c>
      <c r="K55" s="8">
        <v>1</v>
      </c>
      <c r="L55" s="88">
        <v>80</v>
      </c>
      <c r="M55" s="91" t="s">
        <v>81</v>
      </c>
    </row>
    <row r="56" spans="1:13" s="5" customFormat="1" ht="66.75" customHeight="1" x14ac:dyDescent="0.2">
      <c r="A56" s="23" t="s">
        <v>85</v>
      </c>
      <c r="B56" s="85" t="s">
        <v>136</v>
      </c>
      <c r="C56" s="90" t="s">
        <v>22</v>
      </c>
      <c r="D56" s="84">
        <v>1</v>
      </c>
      <c r="E56" s="49">
        <v>60</v>
      </c>
      <c r="F56" s="85">
        <v>45973</v>
      </c>
      <c r="G56" s="86">
        <v>0.375</v>
      </c>
      <c r="H56" s="85">
        <v>45972</v>
      </c>
      <c r="I56" s="86">
        <v>0.9375</v>
      </c>
      <c r="J56" s="87">
        <f t="shared" si="1"/>
        <v>10</v>
      </c>
      <c r="K56" s="8">
        <v>1</v>
      </c>
      <c r="L56" s="88">
        <v>50</v>
      </c>
      <c r="M56" s="91" t="s">
        <v>87</v>
      </c>
    </row>
    <row r="57" spans="1:13" s="5" customFormat="1" ht="55.5" customHeight="1" x14ac:dyDescent="0.2">
      <c r="A57" s="23" t="s">
        <v>88</v>
      </c>
      <c r="B57" s="85" t="s">
        <v>136</v>
      </c>
      <c r="C57" s="85" t="s">
        <v>22</v>
      </c>
      <c r="D57" s="84">
        <v>1</v>
      </c>
      <c r="E57" s="49">
        <v>55</v>
      </c>
      <c r="F57" s="85">
        <v>45973</v>
      </c>
      <c r="G57" s="86">
        <v>0.375</v>
      </c>
      <c r="H57" s="85">
        <v>45972</v>
      </c>
      <c r="I57" s="86">
        <v>0.9375</v>
      </c>
      <c r="J57" s="87">
        <f t="shared" si="1"/>
        <v>0</v>
      </c>
      <c r="K57" s="8">
        <v>1</v>
      </c>
      <c r="L57" s="88">
        <v>55</v>
      </c>
      <c r="M57" s="91" t="s">
        <v>89</v>
      </c>
    </row>
    <row r="58" spans="1:13" s="5" customFormat="1" ht="59.25" customHeight="1" x14ac:dyDescent="0.2">
      <c r="A58" s="33" t="s">
        <v>131</v>
      </c>
      <c r="B58" s="85" t="s">
        <v>42</v>
      </c>
      <c r="C58" s="85" t="s">
        <v>37</v>
      </c>
      <c r="D58" s="49">
        <v>1</v>
      </c>
      <c r="E58" s="49">
        <v>30</v>
      </c>
      <c r="F58" s="85">
        <v>45973</v>
      </c>
      <c r="G58" s="86">
        <v>0.375</v>
      </c>
      <c r="H58" s="85">
        <v>45972</v>
      </c>
      <c r="I58" s="86">
        <v>0.9375</v>
      </c>
      <c r="J58" s="87">
        <f t="shared" si="1"/>
        <v>-2</v>
      </c>
      <c r="K58" s="8">
        <v>1</v>
      </c>
      <c r="L58" s="88">
        <v>32</v>
      </c>
      <c r="M58" s="91" t="s">
        <v>132</v>
      </c>
    </row>
    <row r="59" spans="1:13" s="5" customFormat="1" ht="53.25" customHeight="1" x14ac:dyDescent="0.2">
      <c r="A59" s="33" t="s">
        <v>131</v>
      </c>
      <c r="B59" s="85" t="s">
        <v>36</v>
      </c>
      <c r="C59" s="85" t="s">
        <v>43</v>
      </c>
      <c r="D59" s="49">
        <v>1</v>
      </c>
      <c r="E59" s="49">
        <v>30</v>
      </c>
      <c r="F59" s="85">
        <v>45973</v>
      </c>
      <c r="G59" s="86">
        <v>0.375</v>
      </c>
      <c r="H59" s="85">
        <v>45972</v>
      </c>
      <c r="I59" s="86">
        <v>0.9375</v>
      </c>
      <c r="J59" s="87">
        <f t="shared" si="1"/>
        <v>-2</v>
      </c>
      <c r="K59" s="8">
        <v>1</v>
      </c>
      <c r="L59" s="88">
        <v>32</v>
      </c>
      <c r="M59" s="91" t="s">
        <v>132</v>
      </c>
    </row>
    <row r="60" spans="1:13" s="5" customFormat="1" ht="63.75" customHeight="1" x14ac:dyDescent="0.2">
      <c r="A60" s="33" t="s">
        <v>131</v>
      </c>
      <c r="B60" s="85" t="s">
        <v>510</v>
      </c>
      <c r="C60" s="85" t="s">
        <v>31</v>
      </c>
      <c r="D60" s="49">
        <v>1</v>
      </c>
      <c r="E60" s="49">
        <v>30</v>
      </c>
      <c r="F60" s="85">
        <v>45973</v>
      </c>
      <c r="G60" s="86">
        <v>0.375</v>
      </c>
      <c r="H60" s="85">
        <v>45972</v>
      </c>
      <c r="I60" s="86">
        <v>0.9375</v>
      </c>
      <c r="J60" s="87">
        <f t="shared" si="1"/>
        <v>-2</v>
      </c>
      <c r="K60" s="8">
        <v>1</v>
      </c>
      <c r="L60" s="88">
        <v>32</v>
      </c>
      <c r="M60" s="91" t="s">
        <v>132</v>
      </c>
    </row>
    <row r="61" spans="1:13" s="5" customFormat="1" ht="57.75" customHeight="1" x14ac:dyDescent="0.2">
      <c r="A61" s="33" t="s">
        <v>131</v>
      </c>
      <c r="B61" s="85" t="s">
        <v>136</v>
      </c>
      <c r="C61" s="85" t="s">
        <v>22</v>
      </c>
      <c r="D61" s="49">
        <v>1</v>
      </c>
      <c r="E61" s="49">
        <v>30</v>
      </c>
      <c r="F61" s="85">
        <v>45973</v>
      </c>
      <c r="G61" s="86">
        <v>0.375</v>
      </c>
      <c r="H61" s="85">
        <v>45972</v>
      </c>
      <c r="I61" s="86">
        <v>0.9375</v>
      </c>
      <c r="J61" s="87">
        <f t="shared" si="1"/>
        <v>-2</v>
      </c>
      <c r="K61" s="8">
        <v>1</v>
      </c>
      <c r="L61" s="88">
        <v>32</v>
      </c>
      <c r="M61" s="91" t="s">
        <v>132</v>
      </c>
    </row>
    <row r="62" spans="1:13" s="5" customFormat="1" ht="63" customHeight="1" x14ac:dyDescent="0.2">
      <c r="A62" s="33" t="s">
        <v>131</v>
      </c>
      <c r="B62" s="85" t="s">
        <v>21</v>
      </c>
      <c r="C62" s="85" t="s">
        <v>34</v>
      </c>
      <c r="D62" s="49">
        <v>1</v>
      </c>
      <c r="E62" s="49">
        <v>30</v>
      </c>
      <c r="F62" s="85">
        <v>45973</v>
      </c>
      <c r="G62" s="86">
        <v>0.375</v>
      </c>
      <c r="H62" s="85">
        <v>45972</v>
      </c>
      <c r="I62" s="86">
        <v>0.9375</v>
      </c>
      <c r="J62" s="87">
        <f t="shared" si="1"/>
        <v>-2</v>
      </c>
      <c r="K62" s="8">
        <v>1</v>
      </c>
      <c r="L62" s="88">
        <v>32</v>
      </c>
      <c r="M62" s="91" t="s">
        <v>132</v>
      </c>
    </row>
    <row r="63" spans="1:13" s="5" customFormat="1" ht="71.25" customHeight="1" x14ac:dyDescent="0.2">
      <c r="A63" s="33" t="s">
        <v>131</v>
      </c>
      <c r="B63" s="85" t="s">
        <v>30</v>
      </c>
      <c r="C63" s="85" t="s">
        <v>40</v>
      </c>
      <c r="D63" s="49">
        <v>1</v>
      </c>
      <c r="E63" s="49">
        <v>30</v>
      </c>
      <c r="F63" s="85">
        <v>45973</v>
      </c>
      <c r="G63" s="86">
        <v>0.375</v>
      </c>
      <c r="H63" s="85">
        <v>45972</v>
      </c>
      <c r="I63" s="86">
        <v>0.9375</v>
      </c>
      <c r="J63" s="87">
        <f t="shared" si="1"/>
        <v>-2</v>
      </c>
      <c r="K63" s="8">
        <v>1</v>
      </c>
      <c r="L63" s="88">
        <v>32</v>
      </c>
      <c r="M63" s="91" t="s">
        <v>132</v>
      </c>
    </row>
    <row r="64" spans="1:13" s="5" customFormat="1" ht="78.75" customHeight="1" x14ac:dyDescent="0.2">
      <c r="A64" s="33" t="s">
        <v>133</v>
      </c>
      <c r="B64" s="85" t="s">
        <v>136</v>
      </c>
      <c r="C64" s="85" t="s">
        <v>22</v>
      </c>
      <c r="D64" s="49">
        <v>3</v>
      </c>
      <c r="E64" s="49">
        <v>20</v>
      </c>
      <c r="F64" s="85">
        <v>45973</v>
      </c>
      <c r="G64" s="86">
        <v>0.375</v>
      </c>
      <c r="H64" s="85">
        <v>45973</v>
      </c>
      <c r="I64" s="86">
        <v>0.375</v>
      </c>
      <c r="J64" s="87">
        <f t="shared" si="1"/>
        <v>5</v>
      </c>
      <c r="K64" s="8">
        <v>3</v>
      </c>
      <c r="L64" s="88">
        <v>15</v>
      </c>
      <c r="M64" s="91" t="s">
        <v>134</v>
      </c>
    </row>
    <row r="65" spans="1:13" s="5" customFormat="1" ht="66.75" customHeight="1" x14ac:dyDescent="0.2">
      <c r="A65"/>
      <c r="B65"/>
      <c r="C65"/>
      <c r="D65"/>
      <c r="E65"/>
      <c r="F65"/>
      <c r="G65"/>
      <c r="H65"/>
      <c r="I65"/>
      <c r="J65"/>
      <c r="K65"/>
      <c r="L65"/>
      <c r="M65"/>
    </row>
    <row r="66" spans="1:13" s="5" customFormat="1" ht="72.75" customHeight="1" x14ac:dyDescent="0.2">
      <c r="A66" s="70" t="s">
        <v>210</v>
      </c>
      <c r="B66" t="s">
        <v>215</v>
      </c>
      <c r="C66" t="s">
        <v>214</v>
      </c>
      <c r="D66" t="s">
        <v>212</v>
      </c>
      <c r="E66" t="s">
        <v>213</v>
      </c>
      <c r="F66" s="4"/>
      <c r="G66" s="4"/>
      <c r="H66" s="4"/>
      <c r="I66" s="3"/>
      <c r="J66" s="3"/>
      <c r="K66" s="2"/>
      <c r="L66" s="1"/>
      <c r="M66" s="1"/>
    </row>
    <row r="67" spans="1:13" s="5" customFormat="1" ht="40.5" customHeight="1" x14ac:dyDescent="0.2">
      <c r="A67" s="71" t="s">
        <v>36</v>
      </c>
      <c r="B67" s="140">
        <v>7</v>
      </c>
      <c r="C67" s="140">
        <v>230</v>
      </c>
      <c r="D67" s="140">
        <v>162</v>
      </c>
      <c r="E67" s="140">
        <v>8</v>
      </c>
      <c r="F67" s="4"/>
      <c r="G67" s="4"/>
      <c r="H67" s="4"/>
      <c r="I67" s="3"/>
      <c r="J67" s="3"/>
      <c r="K67" s="2"/>
      <c r="L67" s="1"/>
      <c r="M67" s="1"/>
    </row>
    <row r="68" spans="1:13" s="5" customFormat="1" ht="38.25" customHeight="1" x14ac:dyDescent="0.2">
      <c r="A68" s="71" t="s">
        <v>510</v>
      </c>
      <c r="B68" s="140">
        <v>10</v>
      </c>
      <c r="C68" s="140">
        <v>360</v>
      </c>
      <c r="D68" s="140">
        <v>227</v>
      </c>
      <c r="E68" s="140">
        <v>10</v>
      </c>
      <c r="F68" s="4"/>
      <c r="G68" s="4"/>
      <c r="H68" s="4"/>
      <c r="I68" s="3"/>
      <c r="J68" s="3"/>
      <c r="K68" s="2"/>
      <c r="L68" s="1"/>
      <c r="M68" s="1"/>
    </row>
    <row r="69" spans="1:13" s="5" customFormat="1" ht="38.25" customHeight="1" x14ac:dyDescent="0.2">
      <c r="A69" s="71" t="s">
        <v>21</v>
      </c>
      <c r="B69" s="140">
        <v>10</v>
      </c>
      <c r="C69" s="140">
        <v>320</v>
      </c>
      <c r="D69" s="140">
        <v>235</v>
      </c>
      <c r="E69" s="140">
        <v>10</v>
      </c>
      <c r="F69" s="4"/>
      <c r="G69" s="4"/>
      <c r="H69" s="4"/>
      <c r="I69" s="3"/>
      <c r="J69" s="3"/>
      <c r="K69" s="2"/>
      <c r="L69" s="1"/>
      <c r="M69" s="1"/>
    </row>
    <row r="70" spans="1:13" s="5" customFormat="1" ht="67.5" customHeight="1" x14ac:dyDescent="0.2">
      <c r="A70" s="71" t="s">
        <v>136</v>
      </c>
      <c r="B70" s="140">
        <v>14</v>
      </c>
      <c r="C70" s="140">
        <v>425</v>
      </c>
      <c r="D70" s="140">
        <v>333</v>
      </c>
      <c r="E70" s="140">
        <v>15</v>
      </c>
      <c r="F70" s="4"/>
      <c r="G70" s="4"/>
      <c r="H70" s="4"/>
      <c r="I70" s="3"/>
      <c r="J70" s="3"/>
      <c r="K70" s="2"/>
      <c r="L70" s="1"/>
      <c r="M70" s="1"/>
    </row>
    <row r="71" spans="1:13" s="5" customFormat="1" ht="53.25" customHeight="1" x14ac:dyDescent="0.2">
      <c r="A71" s="71" t="s">
        <v>42</v>
      </c>
      <c r="B71" s="140">
        <v>11</v>
      </c>
      <c r="C71" s="140">
        <v>365</v>
      </c>
      <c r="D71" s="140">
        <v>321</v>
      </c>
      <c r="E71" s="140">
        <v>12</v>
      </c>
      <c r="F71" s="4"/>
      <c r="G71" s="4"/>
      <c r="H71" s="4"/>
      <c r="I71" s="3"/>
      <c r="J71" s="3"/>
      <c r="K71" s="2"/>
      <c r="L71" s="1"/>
      <c r="M71" s="1"/>
    </row>
    <row r="72" spans="1:13" s="5" customFormat="1" ht="41.25" customHeight="1" x14ac:dyDescent="0.2">
      <c r="A72" s="71" t="s">
        <v>30</v>
      </c>
      <c r="B72" s="140">
        <v>11</v>
      </c>
      <c r="C72" s="140">
        <v>230</v>
      </c>
      <c r="D72" s="140">
        <v>207</v>
      </c>
      <c r="E72" s="140">
        <v>11</v>
      </c>
      <c r="F72" s="4"/>
      <c r="G72" s="4"/>
      <c r="H72" s="4"/>
      <c r="I72" s="3"/>
      <c r="J72" s="3"/>
      <c r="K72" s="2"/>
      <c r="L72" s="1"/>
      <c r="M72" s="1"/>
    </row>
    <row r="73" spans="1:13" s="5" customFormat="1" ht="42.75" customHeight="1" x14ac:dyDescent="0.2">
      <c r="A73" s="71" t="s">
        <v>211</v>
      </c>
      <c r="B73" s="140">
        <v>63</v>
      </c>
      <c r="C73" s="140">
        <v>1930</v>
      </c>
      <c r="D73" s="140">
        <v>1485</v>
      </c>
      <c r="E73" s="140">
        <v>66</v>
      </c>
      <c r="F73" s="4"/>
      <c r="G73" s="4"/>
      <c r="H73" s="4"/>
      <c r="I73" s="3"/>
      <c r="J73" s="3"/>
      <c r="K73" s="2"/>
      <c r="L73" s="1"/>
      <c r="M73" s="1"/>
    </row>
    <row r="74" spans="1:13" s="5" customFormat="1" ht="37.5" customHeight="1" x14ac:dyDescent="0.2">
      <c r="A74"/>
      <c r="B74"/>
      <c r="C74"/>
      <c r="D74"/>
      <c r="E74"/>
      <c r="F74" s="4"/>
      <c r="G74" s="4"/>
      <c r="H74" s="4"/>
      <c r="I74" s="3"/>
      <c r="J74" s="3"/>
      <c r="K74" s="2"/>
      <c r="L74" s="1"/>
      <c r="M74" s="1"/>
    </row>
    <row r="75" spans="1:13" s="5" customFormat="1" ht="39.75" customHeight="1" x14ac:dyDescent="0.2">
      <c r="A75"/>
      <c r="B75"/>
      <c r="C75"/>
      <c r="D75"/>
      <c r="E75"/>
      <c r="F75" s="4"/>
      <c r="G75" s="4"/>
      <c r="H75" s="4"/>
      <c r="I75" s="3"/>
      <c r="J75" s="3"/>
      <c r="K75" s="2"/>
      <c r="L75" s="1"/>
      <c r="M75" s="1"/>
    </row>
    <row r="76" spans="1:13" s="5" customFormat="1" ht="44.25" customHeight="1" x14ac:dyDescent="0.2">
      <c r="A76"/>
      <c r="B76"/>
      <c r="C76"/>
      <c r="D76"/>
      <c r="E76"/>
      <c r="F76" s="4"/>
      <c r="G76" s="4"/>
      <c r="H76" s="4"/>
      <c r="I76" s="3"/>
      <c r="J76" s="3"/>
      <c r="K76" s="2"/>
      <c r="L76" s="1"/>
      <c r="M76" s="1"/>
    </row>
    <row r="77" spans="1:13" s="5" customFormat="1" ht="44.25" customHeight="1" x14ac:dyDescent="0.2">
      <c r="A77"/>
      <c r="B77"/>
      <c r="C77"/>
      <c r="D77"/>
      <c r="E77"/>
      <c r="F77" s="4"/>
      <c r="G77" s="4"/>
      <c r="H77" s="4"/>
      <c r="I77" s="3"/>
      <c r="J77" s="3"/>
      <c r="K77" s="2"/>
      <c r="L77" s="1"/>
      <c r="M77" s="1"/>
    </row>
    <row r="78" spans="1:13" s="5" customFormat="1" ht="36.6" customHeight="1" x14ac:dyDescent="0.2">
      <c r="A78"/>
      <c r="B78"/>
      <c r="C78"/>
      <c r="D78"/>
      <c r="E78"/>
      <c r="F78" s="4"/>
      <c r="G78" s="4"/>
      <c r="H78" s="4"/>
      <c r="I78" s="3"/>
      <c r="J78" s="3"/>
      <c r="K78" s="2"/>
      <c r="L78" s="1"/>
      <c r="M78" s="1"/>
    </row>
    <row r="79" spans="1:13" s="5" customFormat="1" ht="36.6" customHeight="1" x14ac:dyDescent="0.2">
      <c r="A79"/>
      <c r="B79"/>
      <c r="C79"/>
      <c r="D79"/>
      <c r="E79"/>
      <c r="F79" s="4"/>
      <c r="G79" s="4"/>
      <c r="H79" s="4"/>
      <c r="I79" s="3"/>
      <c r="J79" s="3"/>
      <c r="K79" s="2"/>
      <c r="L79" s="1"/>
      <c r="M79" s="1"/>
    </row>
    <row r="80" spans="1:13" s="5" customFormat="1" ht="44.25" customHeight="1" x14ac:dyDescent="0.2">
      <c r="A80"/>
      <c r="B80"/>
      <c r="C80"/>
      <c r="D80"/>
      <c r="E80"/>
      <c r="F80" s="4"/>
      <c r="G80" s="4"/>
      <c r="H80" s="4"/>
      <c r="I80" s="3"/>
      <c r="J80" s="3"/>
      <c r="K80" s="2"/>
      <c r="L80" s="1"/>
      <c r="M80" s="1"/>
    </row>
    <row r="81" spans="1:13" s="5" customFormat="1" ht="46.5" customHeight="1" x14ac:dyDescent="0.2">
      <c r="A81"/>
      <c r="B81"/>
      <c r="C81"/>
      <c r="D81"/>
      <c r="E81"/>
      <c r="F81"/>
      <c r="G81"/>
      <c r="H81"/>
      <c r="I81"/>
      <c r="J81"/>
      <c r="K81"/>
      <c r="L81"/>
      <c r="M81"/>
    </row>
    <row r="82" spans="1:13" s="5" customFormat="1" ht="48" customHeight="1" x14ac:dyDescent="0.2">
      <c r="A82"/>
      <c r="B82"/>
      <c r="C82"/>
      <c r="D82"/>
      <c r="E82"/>
      <c r="F82"/>
      <c r="G82"/>
      <c r="H82"/>
      <c r="I82"/>
      <c r="J82"/>
      <c r="K82"/>
      <c r="L82"/>
      <c r="M82"/>
    </row>
    <row r="83" spans="1:13" s="5" customFormat="1" ht="49.5" customHeight="1" x14ac:dyDescent="0.2">
      <c r="A83"/>
      <c r="B83"/>
      <c r="C83"/>
      <c r="D83"/>
      <c r="E83"/>
      <c r="F83" s="4"/>
      <c r="G83" s="4"/>
      <c r="H83" s="4"/>
      <c r="I83" s="3"/>
      <c r="J83" s="3"/>
      <c r="K83" s="2"/>
      <c r="L83" s="1"/>
      <c r="M83" s="1"/>
    </row>
    <row r="84" spans="1:13" s="5" customFormat="1" ht="35.450000000000003" customHeight="1" x14ac:dyDescent="0.2">
      <c r="A84"/>
      <c r="B84"/>
      <c r="C84"/>
      <c r="D84"/>
      <c r="E84"/>
      <c r="F84" s="4"/>
      <c r="G84" s="4"/>
      <c r="H84" s="4"/>
      <c r="I84" s="3"/>
      <c r="J84" s="3"/>
      <c r="K84" s="2"/>
      <c r="L84" s="1"/>
      <c r="M84" s="1"/>
    </row>
    <row r="85" spans="1:13" s="5" customFormat="1" ht="35.450000000000003" customHeight="1" x14ac:dyDescent="0.2">
      <c r="A85"/>
      <c r="B85"/>
      <c r="C85"/>
      <c r="D85"/>
      <c r="E85"/>
      <c r="F85" s="4"/>
      <c r="G85" s="4"/>
      <c r="H85" s="4"/>
      <c r="I85" s="3"/>
      <c r="J85" s="3"/>
      <c r="K85" s="2"/>
      <c r="L85" s="1"/>
      <c r="M85" s="1"/>
    </row>
    <row r="86" spans="1:13" s="5" customFormat="1" ht="35.450000000000003" customHeight="1" x14ac:dyDescent="0.2">
      <c r="A86"/>
      <c r="B86"/>
      <c r="C86"/>
      <c r="D86"/>
      <c r="E86"/>
      <c r="F86" s="4"/>
      <c r="G86" s="4"/>
      <c r="H86" s="4"/>
      <c r="I86" s="3"/>
      <c r="J86" s="3"/>
      <c r="K86" s="2"/>
      <c r="L86" s="1"/>
      <c r="M86" s="1"/>
    </row>
    <row r="87" spans="1:13" s="5" customFormat="1" ht="35.450000000000003" customHeight="1" x14ac:dyDescent="0.2">
      <c r="A87"/>
      <c r="B87"/>
      <c r="C87"/>
      <c r="D87"/>
      <c r="E87"/>
      <c r="F87" s="4"/>
      <c r="G87" s="4"/>
      <c r="H87" s="4"/>
      <c r="I87" s="3"/>
      <c r="J87" s="3"/>
      <c r="K87" s="2"/>
      <c r="L87" s="1"/>
      <c r="M87" s="1"/>
    </row>
    <row r="88" spans="1:13" s="5" customFormat="1" ht="44.25" customHeight="1" x14ac:dyDescent="0.2">
      <c r="A88"/>
      <c r="B88"/>
      <c r="C88"/>
      <c r="D88"/>
      <c r="E88"/>
      <c r="F88" s="4"/>
      <c r="G88" s="4"/>
      <c r="H88" s="4"/>
      <c r="I88" s="3"/>
      <c r="J88" s="3"/>
      <c r="K88" s="2"/>
      <c r="L88" s="1"/>
      <c r="M88" s="1"/>
    </row>
    <row r="89" spans="1:13" s="5" customFormat="1" ht="43.5" customHeight="1" x14ac:dyDescent="0.2">
      <c r="A89"/>
      <c r="B89"/>
      <c r="C89"/>
      <c r="D89"/>
      <c r="E89"/>
      <c r="F89" s="4"/>
      <c r="G89" s="4"/>
      <c r="H89" s="4"/>
      <c r="I89" s="3"/>
      <c r="J89" s="3"/>
      <c r="K89" s="2"/>
      <c r="L89" s="1"/>
      <c r="M89" s="1"/>
    </row>
    <row r="90" spans="1:13" s="5" customFormat="1" ht="44.25" customHeight="1" x14ac:dyDescent="0.2">
      <c r="A90"/>
      <c r="B90"/>
      <c r="C90"/>
      <c r="D90"/>
      <c r="E90"/>
      <c r="F90" s="4"/>
      <c r="G90" s="4"/>
      <c r="H90" s="4"/>
      <c r="I90" s="3"/>
      <c r="J90" s="3"/>
      <c r="K90" s="2"/>
      <c r="L90" s="1"/>
      <c r="M90" s="1"/>
    </row>
    <row r="91" spans="1:13" s="5" customFormat="1" ht="35.450000000000003" customHeight="1" x14ac:dyDescent="0.2">
      <c r="A91"/>
      <c r="B91"/>
      <c r="C91"/>
      <c r="D91"/>
      <c r="E91"/>
      <c r="F91" s="4"/>
      <c r="G91" s="4"/>
      <c r="H91" s="4"/>
      <c r="I91" s="3"/>
      <c r="J91" s="3"/>
      <c r="K91" s="2"/>
      <c r="L91" s="1"/>
      <c r="M91" s="1"/>
    </row>
    <row r="92" spans="1:13" s="5" customFormat="1" ht="37.5" customHeight="1" x14ac:dyDescent="0.2">
      <c r="A92"/>
      <c r="B92"/>
      <c r="C92"/>
      <c r="D92"/>
      <c r="E92"/>
      <c r="F92" s="4"/>
      <c r="G92" s="4"/>
      <c r="H92" s="4"/>
      <c r="I92" s="3"/>
      <c r="J92" s="3"/>
      <c r="K92" s="2"/>
      <c r="L92" s="1"/>
      <c r="M92" s="1"/>
    </row>
    <row r="93" spans="1:13" ht="31.5" customHeight="1" x14ac:dyDescent="0.2">
      <c r="A93"/>
      <c r="B93"/>
      <c r="C93"/>
      <c r="D93"/>
      <c r="E93"/>
    </row>
    <row r="94" spans="1:13" ht="46.5" customHeight="1" x14ac:dyDescent="0.2">
      <c r="A94"/>
      <c r="B94"/>
      <c r="C94"/>
      <c r="D94"/>
      <c r="E94"/>
    </row>
    <row r="95" spans="1:13" ht="29.25" customHeight="1" x14ac:dyDescent="0.2">
      <c r="A95"/>
      <c r="B95"/>
      <c r="C95"/>
      <c r="D95"/>
      <c r="E95"/>
    </row>
    <row r="96" spans="1:13" ht="33.75" customHeight="1" x14ac:dyDescent="0.2">
      <c r="A96"/>
      <c r="B96"/>
      <c r="C96"/>
      <c r="D96"/>
      <c r="E96"/>
    </row>
    <row r="97" spans="1:5" ht="45" customHeight="1" x14ac:dyDescent="0.2">
      <c r="A97"/>
      <c r="B97"/>
      <c r="C97"/>
      <c r="D97"/>
      <c r="E97"/>
    </row>
    <row r="98" spans="1:5" ht="46.5" customHeight="1" x14ac:dyDescent="0.2">
      <c r="A98"/>
      <c r="B98"/>
      <c r="C98"/>
      <c r="D98"/>
      <c r="E98"/>
    </row>
    <row r="99" spans="1:5" ht="39.75" customHeight="1" x14ac:dyDescent="0.2">
      <c r="A99"/>
      <c r="B99"/>
      <c r="C99"/>
      <c r="D99"/>
      <c r="E99"/>
    </row>
    <row r="100" spans="1:5" ht="31.5" customHeight="1" x14ac:dyDescent="0.2">
      <c r="A100"/>
      <c r="B100"/>
      <c r="C100"/>
      <c r="D100"/>
      <c r="E100"/>
    </row>
    <row r="101" spans="1:5" ht="39.75" customHeight="1" x14ac:dyDescent="0.2">
      <c r="A101"/>
      <c r="B101"/>
      <c r="C101"/>
      <c r="D101"/>
      <c r="E101"/>
    </row>
    <row r="102" spans="1:5" ht="42" customHeight="1" x14ac:dyDescent="0.2">
      <c r="A102"/>
      <c r="B102"/>
      <c r="C102"/>
      <c r="D102"/>
      <c r="E102"/>
    </row>
    <row r="103" spans="1:5" ht="33" customHeight="1" x14ac:dyDescent="0.2">
      <c r="A103"/>
      <c r="B103"/>
      <c r="C103"/>
      <c r="D103"/>
      <c r="E103"/>
    </row>
    <row r="104" spans="1:5" ht="40.5" customHeight="1" x14ac:dyDescent="0.2">
      <c r="A104"/>
      <c r="B104"/>
      <c r="C104"/>
      <c r="D104"/>
      <c r="E104"/>
    </row>
    <row r="105" spans="1:5" ht="42" customHeight="1" x14ac:dyDescent="0.2">
      <c r="A105"/>
      <c r="B105"/>
      <c r="C105"/>
      <c r="D105"/>
      <c r="E105"/>
    </row>
    <row r="106" spans="1:5" ht="51" customHeight="1" x14ac:dyDescent="0.2">
      <c r="A106"/>
      <c r="B106"/>
      <c r="C106"/>
      <c r="D106"/>
      <c r="E106"/>
    </row>
    <row r="107" spans="1:5" x14ac:dyDescent="0.2">
      <c r="A107"/>
      <c r="B107"/>
      <c r="C107"/>
      <c r="D107"/>
      <c r="E107"/>
    </row>
    <row r="108" spans="1:5" x14ac:dyDescent="0.2">
      <c r="A108"/>
      <c r="B108"/>
      <c r="C108"/>
      <c r="D108"/>
      <c r="E108"/>
    </row>
    <row r="109" spans="1:5" x14ac:dyDescent="0.2">
      <c r="A109"/>
      <c r="B109"/>
      <c r="C109"/>
      <c r="D109"/>
      <c r="E109"/>
    </row>
    <row r="110" spans="1:5" x14ac:dyDescent="0.2">
      <c r="A110"/>
      <c r="B110"/>
      <c r="C110"/>
      <c r="D110"/>
      <c r="E110"/>
    </row>
    <row r="111" spans="1:5" x14ac:dyDescent="0.2">
      <c r="A111"/>
      <c r="B111"/>
      <c r="C111"/>
      <c r="D111"/>
      <c r="E111"/>
    </row>
    <row r="112" spans="1:5" x14ac:dyDescent="0.2">
      <c r="A112"/>
      <c r="B112"/>
      <c r="C112"/>
      <c r="D112"/>
      <c r="E112"/>
    </row>
    <row r="113" spans="1:20" x14ac:dyDescent="0.2">
      <c r="A113"/>
      <c r="B113"/>
      <c r="C113"/>
      <c r="D113"/>
      <c r="E113"/>
    </row>
    <row r="114" spans="1:20" x14ac:dyDescent="0.2">
      <c r="A114"/>
      <c r="B114"/>
      <c r="C114"/>
      <c r="D114"/>
      <c r="E114"/>
    </row>
    <row r="115" spans="1:20" x14ac:dyDescent="0.2">
      <c r="A115"/>
      <c r="B115"/>
      <c r="C115"/>
      <c r="D115"/>
      <c r="E115"/>
    </row>
    <row r="116" spans="1:20" x14ac:dyDescent="0.2">
      <c r="A116"/>
      <c r="B116"/>
      <c r="C116"/>
      <c r="D116"/>
      <c r="E116"/>
    </row>
    <row r="117" spans="1:20" x14ac:dyDescent="0.2">
      <c r="A117"/>
      <c r="B117"/>
      <c r="C117"/>
      <c r="D117"/>
      <c r="E117"/>
    </row>
    <row r="118" spans="1:20" x14ac:dyDescent="0.2">
      <c r="A118"/>
      <c r="B118"/>
      <c r="C118"/>
      <c r="D118"/>
      <c r="E118"/>
    </row>
    <row r="119" spans="1:20" x14ac:dyDescent="0.2">
      <c r="A119"/>
      <c r="B119"/>
      <c r="C119"/>
      <c r="D119"/>
      <c r="E119"/>
    </row>
    <row r="120" spans="1:20" x14ac:dyDescent="0.2">
      <c r="A120"/>
      <c r="B120"/>
      <c r="C120"/>
      <c r="D120"/>
      <c r="E120"/>
    </row>
    <row r="121" spans="1:20" s="4" customFormat="1" ht="30" customHeight="1" x14ac:dyDescent="0.2">
      <c r="A121"/>
      <c r="B121"/>
      <c r="C121"/>
      <c r="D121"/>
      <c r="E121"/>
      <c r="I121" s="3"/>
      <c r="J121" s="3"/>
      <c r="K121" s="2"/>
      <c r="L121" s="1"/>
      <c r="M121" s="1"/>
      <c r="N121"/>
      <c r="O121"/>
      <c r="P121"/>
      <c r="Q121"/>
      <c r="R121"/>
      <c r="S121"/>
      <c r="T121"/>
    </row>
    <row r="122" spans="1:20" s="4" customFormat="1" ht="23.25" customHeight="1" x14ac:dyDescent="0.2">
      <c r="A122"/>
      <c r="B122"/>
      <c r="C122"/>
      <c r="D122"/>
      <c r="E122"/>
      <c r="I122" s="3"/>
      <c r="J122" s="3"/>
      <c r="K122" s="2"/>
      <c r="L122" s="1"/>
      <c r="M122" s="1"/>
      <c r="N122"/>
      <c r="O122"/>
      <c r="P122"/>
      <c r="Q122"/>
      <c r="R122"/>
      <c r="S122"/>
      <c r="T122"/>
    </row>
    <row r="123" spans="1:20" x14ac:dyDescent="0.2">
      <c r="A123"/>
      <c r="B123"/>
      <c r="C123"/>
      <c r="D123"/>
      <c r="E123"/>
    </row>
    <row r="124" spans="1:20" x14ac:dyDescent="0.2">
      <c r="A124"/>
      <c r="B124"/>
      <c r="C124"/>
      <c r="D124"/>
      <c r="E124"/>
    </row>
    <row r="125" spans="1:20" x14ac:dyDescent="0.2">
      <c r="A125"/>
      <c r="B125"/>
      <c r="C125"/>
      <c r="D125"/>
      <c r="E125"/>
    </row>
    <row r="126" spans="1:20" x14ac:dyDescent="0.2">
      <c r="A126"/>
      <c r="B126"/>
      <c r="C126"/>
      <c r="D126"/>
      <c r="E126"/>
    </row>
    <row r="127" spans="1:20" x14ac:dyDescent="0.2">
      <c r="A127"/>
      <c r="B127"/>
      <c r="C127"/>
      <c r="D127"/>
      <c r="E127"/>
    </row>
    <row r="128" spans="1:20" x14ac:dyDescent="0.2">
      <c r="A128"/>
      <c r="B128"/>
      <c r="C128"/>
      <c r="D128"/>
      <c r="E128"/>
    </row>
    <row r="129" spans="1:20" s="5" customFormat="1" ht="12" customHeight="1" x14ac:dyDescent="0.2">
      <c r="A129"/>
      <c r="B129"/>
      <c r="C129"/>
      <c r="D129"/>
      <c r="E129"/>
      <c r="F129" s="4"/>
      <c r="G129" s="4"/>
      <c r="H129" s="4"/>
      <c r="I129" s="3"/>
      <c r="J129" s="3"/>
      <c r="K129" s="2"/>
      <c r="L129" s="1"/>
      <c r="M129" s="1"/>
    </row>
    <row r="130" spans="1:20" x14ac:dyDescent="0.2">
      <c r="A130"/>
      <c r="B130"/>
      <c r="C130"/>
      <c r="D130"/>
      <c r="E130"/>
    </row>
    <row r="131" spans="1:20" x14ac:dyDescent="0.2">
      <c r="A131"/>
      <c r="B131"/>
      <c r="C131"/>
      <c r="D131"/>
      <c r="E131"/>
    </row>
    <row r="132" spans="1:20" x14ac:dyDescent="0.2">
      <c r="A132"/>
      <c r="B132"/>
      <c r="C132"/>
      <c r="D132"/>
      <c r="E132"/>
    </row>
    <row r="133" spans="1:20" x14ac:dyDescent="0.2">
      <c r="A133"/>
      <c r="B133"/>
      <c r="C133"/>
      <c r="D133"/>
      <c r="E133"/>
      <c r="Q133" s="42" t="e">
        <f>SUM(#REF!)</f>
        <v>#REF!</v>
      </c>
      <c r="R133" s="42" t="e">
        <f>SUM(#REF!)</f>
        <v>#REF!</v>
      </c>
      <c r="S133" s="42" t="e">
        <f>SUM(#REF!)</f>
        <v>#REF!</v>
      </c>
      <c r="T133" s="42" t="e">
        <f>SUM(#REF!)</f>
        <v>#REF!</v>
      </c>
    </row>
    <row r="134" spans="1:20" ht="35.25" customHeight="1" x14ac:dyDescent="0.2">
      <c r="A134"/>
      <c r="B134"/>
      <c r="C134"/>
      <c r="D134"/>
      <c r="E134"/>
    </row>
    <row r="135" spans="1:20" ht="36.75" customHeight="1" x14ac:dyDescent="0.2">
      <c r="A135"/>
      <c r="B135"/>
      <c r="C135"/>
      <c r="D135"/>
      <c r="E135"/>
    </row>
    <row r="136" spans="1:20" ht="33.75" customHeight="1" x14ac:dyDescent="0.2">
      <c r="A136"/>
      <c r="B136"/>
      <c r="C136"/>
      <c r="D136"/>
      <c r="E136"/>
    </row>
    <row r="137" spans="1:20" ht="26.25" customHeight="1" x14ac:dyDescent="0.2">
      <c r="A137"/>
      <c r="B137"/>
      <c r="C137"/>
      <c r="D137"/>
      <c r="E137"/>
    </row>
    <row r="138" spans="1:20" ht="27.75" customHeight="1" x14ac:dyDescent="0.2">
      <c r="A138"/>
      <c r="B138"/>
      <c r="C138"/>
      <c r="D138"/>
      <c r="E138"/>
    </row>
    <row r="139" spans="1:20" s="4" customFormat="1" ht="40.5" customHeight="1" x14ac:dyDescent="0.2">
      <c r="A139"/>
      <c r="B139"/>
      <c r="C139"/>
      <c r="D139"/>
      <c r="E139"/>
      <c r="I139" s="3"/>
      <c r="J139" s="3"/>
      <c r="K139" s="2"/>
      <c r="L139" s="1"/>
      <c r="M139" s="1"/>
      <c r="N139"/>
      <c r="O139"/>
      <c r="P139"/>
      <c r="Q139"/>
      <c r="R139"/>
      <c r="S139"/>
      <c r="T139"/>
    </row>
    <row r="140" spans="1:20" x14ac:dyDescent="0.2">
      <c r="A140"/>
      <c r="B140"/>
      <c r="C140"/>
      <c r="D140"/>
      <c r="E140"/>
    </row>
    <row r="141" spans="1:20" x14ac:dyDescent="0.2">
      <c r="A141"/>
      <c r="B141"/>
      <c r="C141"/>
      <c r="D141"/>
      <c r="E141"/>
    </row>
    <row r="142" spans="1:20" x14ac:dyDescent="0.2">
      <c r="A142"/>
      <c r="B142"/>
      <c r="C142"/>
      <c r="D142"/>
      <c r="E142"/>
    </row>
    <row r="143" spans="1:20" x14ac:dyDescent="0.2">
      <c r="A143"/>
      <c r="B143"/>
      <c r="C143"/>
      <c r="D143"/>
      <c r="E143"/>
    </row>
    <row r="144" spans="1:20" x14ac:dyDescent="0.2">
      <c r="A144"/>
      <c r="B144"/>
      <c r="C144"/>
      <c r="D144"/>
      <c r="E144"/>
    </row>
    <row r="145" spans="1:5" x14ac:dyDescent="0.2">
      <c r="A145"/>
      <c r="B145"/>
      <c r="C145"/>
      <c r="D145"/>
      <c r="E145"/>
    </row>
    <row r="146" spans="1:5" x14ac:dyDescent="0.2">
      <c r="A146"/>
      <c r="B146"/>
      <c r="C146"/>
      <c r="D146"/>
      <c r="E146"/>
    </row>
    <row r="147" spans="1:5" x14ac:dyDescent="0.2">
      <c r="A147"/>
      <c r="B147"/>
      <c r="C147"/>
      <c r="D147"/>
      <c r="E147"/>
    </row>
    <row r="148" spans="1:5" x14ac:dyDescent="0.2">
      <c r="A148"/>
      <c r="B148"/>
      <c r="C148"/>
      <c r="D148"/>
      <c r="E148"/>
    </row>
    <row r="149" spans="1:5" x14ac:dyDescent="0.2">
      <c r="A149"/>
      <c r="B149"/>
      <c r="C149"/>
      <c r="D149"/>
      <c r="E149"/>
    </row>
    <row r="150" spans="1:5" x14ac:dyDescent="0.2">
      <c r="A150"/>
      <c r="B150"/>
      <c r="C150"/>
      <c r="D150"/>
      <c r="E150"/>
    </row>
    <row r="151" spans="1:5" x14ac:dyDescent="0.2">
      <c r="A151"/>
      <c r="B151"/>
      <c r="C151"/>
      <c r="D151"/>
      <c r="E151"/>
    </row>
    <row r="152" spans="1:5" x14ac:dyDescent="0.2">
      <c r="A152"/>
      <c r="B152"/>
      <c r="C152"/>
      <c r="D152"/>
      <c r="E152"/>
    </row>
    <row r="153" spans="1:5" x14ac:dyDescent="0.2">
      <c r="A153"/>
      <c r="B153"/>
      <c r="C153"/>
      <c r="D153"/>
      <c r="E153"/>
    </row>
    <row r="154" spans="1:5" x14ac:dyDescent="0.2">
      <c r="A154"/>
      <c r="B154"/>
      <c r="C154"/>
      <c r="D154"/>
      <c r="E154"/>
    </row>
    <row r="155" spans="1:5" x14ac:dyDescent="0.2">
      <c r="A155"/>
      <c r="B155"/>
      <c r="C155"/>
      <c r="D155"/>
      <c r="E155"/>
    </row>
    <row r="156" spans="1:5" x14ac:dyDescent="0.2">
      <c r="A156"/>
      <c r="B156"/>
      <c r="C156"/>
      <c r="D156"/>
      <c r="E156"/>
    </row>
    <row r="157" spans="1:5" x14ac:dyDescent="0.2">
      <c r="A157"/>
      <c r="B157"/>
      <c r="C157"/>
      <c r="D157"/>
      <c r="E157"/>
    </row>
    <row r="158" spans="1:5" x14ac:dyDescent="0.2">
      <c r="A158"/>
      <c r="B158"/>
      <c r="C158"/>
      <c r="D158"/>
      <c r="E158"/>
    </row>
    <row r="159" spans="1:5" x14ac:dyDescent="0.2">
      <c r="A159"/>
      <c r="B159"/>
      <c r="C159"/>
      <c r="D159"/>
      <c r="E159"/>
    </row>
    <row r="160" spans="1:5" x14ac:dyDescent="0.2">
      <c r="A160"/>
      <c r="B160"/>
      <c r="C160"/>
      <c r="D160"/>
      <c r="E160"/>
    </row>
    <row r="161" spans="1:5" x14ac:dyDescent="0.2">
      <c r="A161"/>
      <c r="B161"/>
      <c r="C161"/>
      <c r="D161"/>
      <c r="E161"/>
    </row>
    <row r="162" spans="1:5" x14ac:dyDescent="0.2">
      <c r="A162"/>
      <c r="B162"/>
      <c r="C162"/>
      <c r="D162"/>
      <c r="E162"/>
    </row>
    <row r="163" spans="1:5" x14ac:dyDescent="0.2">
      <c r="A163"/>
      <c r="B163"/>
      <c r="C163"/>
      <c r="D163"/>
      <c r="E163"/>
    </row>
    <row r="164" spans="1:5" x14ac:dyDescent="0.2">
      <c r="A164"/>
      <c r="B164"/>
      <c r="C164"/>
      <c r="D164"/>
      <c r="E164"/>
    </row>
    <row r="165" spans="1:5" x14ac:dyDescent="0.2">
      <c r="A165"/>
      <c r="B165"/>
      <c r="C165"/>
      <c r="D165"/>
      <c r="E165"/>
    </row>
    <row r="166" spans="1:5" x14ac:dyDescent="0.2">
      <c r="A166"/>
      <c r="B166"/>
      <c r="C166"/>
      <c r="D166"/>
      <c r="E166"/>
    </row>
    <row r="167" spans="1:5" x14ac:dyDescent="0.2">
      <c r="A167"/>
      <c r="B167"/>
      <c r="C167"/>
      <c r="D167"/>
      <c r="E167"/>
    </row>
    <row r="168" spans="1:5" x14ac:dyDescent="0.2">
      <c r="A168"/>
      <c r="B168"/>
      <c r="C168"/>
      <c r="D168"/>
      <c r="E168"/>
    </row>
    <row r="169" spans="1:5" x14ac:dyDescent="0.2">
      <c r="A169"/>
      <c r="B169"/>
      <c r="C169"/>
      <c r="D169"/>
      <c r="E169"/>
    </row>
    <row r="170" spans="1:5" x14ac:dyDescent="0.2">
      <c r="A170"/>
      <c r="B170"/>
      <c r="C170"/>
      <c r="D170"/>
      <c r="E170"/>
    </row>
    <row r="171" spans="1:5" x14ac:dyDescent="0.2">
      <c r="A171"/>
      <c r="B171"/>
      <c r="C171"/>
      <c r="D171"/>
      <c r="E171"/>
    </row>
    <row r="172" spans="1:5" x14ac:dyDescent="0.2">
      <c r="A172"/>
      <c r="B172"/>
      <c r="C172"/>
      <c r="D172"/>
      <c r="E172"/>
    </row>
    <row r="173" spans="1:5" x14ac:dyDescent="0.2">
      <c r="A173"/>
      <c r="B173"/>
      <c r="C173"/>
      <c r="D173"/>
      <c r="E173"/>
    </row>
    <row r="174" spans="1:5" x14ac:dyDescent="0.2">
      <c r="A174"/>
      <c r="B174"/>
      <c r="C174"/>
      <c r="D174"/>
      <c r="E174"/>
    </row>
    <row r="175" spans="1:5" x14ac:dyDescent="0.2">
      <c r="A175"/>
      <c r="B175"/>
      <c r="C175"/>
      <c r="D175"/>
      <c r="E175"/>
    </row>
    <row r="176" spans="1:5" x14ac:dyDescent="0.2">
      <c r="A176"/>
      <c r="B176"/>
      <c r="C176"/>
      <c r="D176"/>
      <c r="E176"/>
    </row>
    <row r="177" spans="1:5" x14ac:dyDescent="0.2">
      <c r="A177"/>
      <c r="B177"/>
      <c r="C177"/>
      <c r="D177"/>
      <c r="E177"/>
    </row>
    <row r="178" spans="1:5" x14ac:dyDescent="0.2">
      <c r="A178"/>
      <c r="B178"/>
      <c r="C178"/>
      <c r="D178"/>
      <c r="E178"/>
    </row>
    <row r="179" spans="1:5" x14ac:dyDescent="0.2">
      <c r="A179"/>
      <c r="B179"/>
      <c r="C179"/>
      <c r="D179"/>
      <c r="E179"/>
    </row>
    <row r="180" spans="1:5" x14ac:dyDescent="0.2">
      <c r="A180"/>
      <c r="B180"/>
      <c r="C180"/>
      <c r="D180"/>
      <c r="E180"/>
    </row>
    <row r="181" spans="1:5" x14ac:dyDescent="0.2">
      <c r="A181"/>
      <c r="B181"/>
      <c r="C181"/>
      <c r="D181"/>
      <c r="E181"/>
    </row>
    <row r="182" spans="1:5" x14ac:dyDescent="0.2">
      <c r="A182"/>
      <c r="B182"/>
      <c r="C182"/>
      <c r="D182"/>
      <c r="E182"/>
    </row>
    <row r="183" spans="1:5" x14ac:dyDescent="0.2">
      <c r="A183"/>
      <c r="B183"/>
      <c r="C183"/>
      <c r="D183"/>
      <c r="E183"/>
    </row>
    <row r="184" spans="1:5" x14ac:dyDescent="0.2">
      <c r="A184"/>
      <c r="B184"/>
      <c r="C184"/>
      <c r="D184"/>
      <c r="E184"/>
    </row>
    <row r="185" spans="1:5" x14ac:dyDescent="0.2">
      <c r="A185"/>
      <c r="B185"/>
      <c r="C185"/>
      <c r="D185"/>
      <c r="E185"/>
    </row>
    <row r="186" spans="1:5" x14ac:dyDescent="0.2">
      <c r="A186"/>
      <c r="B186"/>
      <c r="C186"/>
      <c r="D186"/>
      <c r="E186"/>
    </row>
    <row r="187" spans="1:5" x14ac:dyDescent="0.2">
      <c r="A187"/>
      <c r="B187"/>
      <c r="C187"/>
      <c r="D187"/>
      <c r="E187"/>
    </row>
    <row r="188" spans="1:5" x14ac:dyDescent="0.2">
      <c r="A188"/>
      <c r="B188"/>
      <c r="C188"/>
      <c r="D188"/>
      <c r="E188"/>
    </row>
    <row r="189" spans="1:5" x14ac:dyDescent="0.2">
      <c r="A189"/>
      <c r="B189"/>
      <c r="C189"/>
      <c r="D189"/>
      <c r="E189"/>
    </row>
    <row r="190" spans="1:5" x14ac:dyDescent="0.2">
      <c r="A190"/>
      <c r="B190"/>
      <c r="C190"/>
      <c r="D190"/>
      <c r="E190"/>
    </row>
    <row r="191" spans="1:5" x14ac:dyDescent="0.2">
      <c r="A191"/>
      <c r="B191"/>
      <c r="C191"/>
      <c r="D191"/>
      <c r="E191"/>
    </row>
    <row r="192" spans="1:5" x14ac:dyDescent="0.2">
      <c r="A192"/>
      <c r="B192"/>
      <c r="C192"/>
      <c r="D192"/>
      <c r="E192"/>
    </row>
    <row r="193" spans="1:5" x14ac:dyDescent="0.2">
      <c r="A193"/>
      <c r="B193"/>
      <c r="C193"/>
      <c r="D193"/>
      <c r="E193"/>
    </row>
    <row r="194" spans="1:5" x14ac:dyDescent="0.2">
      <c r="A194"/>
      <c r="B194"/>
      <c r="C194"/>
      <c r="D194"/>
      <c r="E194"/>
    </row>
    <row r="195" spans="1:5" x14ac:dyDescent="0.2">
      <c r="A195"/>
      <c r="B195"/>
      <c r="C195"/>
      <c r="D195"/>
      <c r="E195"/>
    </row>
    <row r="196" spans="1:5" x14ac:dyDescent="0.2">
      <c r="A196"/>
      <c r="B196"/>
      <c r="C196"/>
      <c r="D196"/>
      <c r="E196"/>
    </row>
    <row r="197" spans="1:5" x14ac:dyDescent="0.2">
      <c r="A197"/>
      <c r="B197"/>
      <c r="C197"/>
      <c r="D197"/>
      <c r="E197"/>
    </row>
    <row r="198" spans="1:5" x14ac:dyDescent="0.2">
      <c r="A198"/>
      <c r="B198"/>
      <c r="C198"/>
      <c r="D198"/>
      <c r="E198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21</vt:i4>
      </vt:variant>
    </vt:vector>
  </HeadingPairs>
  <TitlesOfParts>
    <vt:vector size="21" baseType="lpstr">
      <vt:lpstr>SEMANAS</vt:lpstr>
      <vt:lpstr>SEMANA 1</vt:lpstr>
      <vt:lpstr>SEMANA 2</vt:lpstr>
      <vt:lpstr>SEMANA 3</vt:lpstr>
      <vt:lpstr>SEMANA 4</vt:lpstr>
      <vt:lpstr>SEMANA 5</vt:lpstr>
      <vt:lpstr>SEMANA 6 y 7</vt:lpstr>
      <vt:lpstr>SEMANA 8</vt:lpstr>
      <vt:lpstr>SEMANA 9</vt:lpstr>
      <vt:lpstr>DATOS 1</vt:lpstr>
      <vt:lpstr>DATOS 2</vt:lpstr>
      <vt:lpstr>DATOS 3</vt:lpstr>
      <vt:lpstr>DATOS 4</vt:lpstr>
      <vt:lpstr>DATOS 5</vt:lpstr>
      <vt:lpstr>DATOS 6 y 7 </vt:lpstr>
      <vt:lpstr>DATOS 8</vt:lpstr>
      <vt:lpstr>DATOS 9</vt:lpstr>
      <vt:lpstr>EDTs</vt:lpstr>
      <vt:lpstr>DATOS 1 (CICLO 2)</vt:lpstr>
      <vt:lpstr>DATOS 2 (CICLO 2) </vt:lpstr>
      <vt:lpstr>DATOS 3 (CICLO 2) 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DIEGO</dc:creator>
  <cp:keywords/>
  <dc:description/>
  <cp:lastModifiedBy>SANTIAGO ANDRES HERRADA MONTENEGRO</cp:lastModifiedBy>
  <cp:revision/>
  <dcterms:created xsi:type="dcterms:W3CDTF">2016-02-05T21:36:42Z</dcterms:created>
  <dcterms:modified xsi:type="dcterms:W3CDTF">2025-11-12T04:54:22Z</dcterms:modified>
  <cp:category/>
  <cp:contentStatus/>
</cp:coreProperties>
</file>