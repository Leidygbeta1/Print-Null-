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yectos print(nul)\docs\ciclo 2\iniciacion y estrategia\"/>
    </mc:Choice>
  </mc:AlternateContent>
  <xr:revisionPtr revIDLastSave="0" documentId="8_{13F5F251-D382-45E7-8EB0-3D74A2654D5B}" xr6:coauthVersionLast="47" xr6:coauthVersionMax="47" xr10:uidLastSave="{00000000-0000-0000-0000-000000000000}"/>
  <bookViews>
    <workbookView xWindow="28680" yWindow="-120" windowWidth="29040" windowHeight="15990" activeTab="3" xr2:uid="{BEF6CAFC-E562-4215-B758-938C3F53D191}"/>
  </bookViews>
  <sheets>
    <sheet name="INVENTARIO_CASOS_USO" sheetId="1" r:id="rId1"/>
    <sheet name="RESUMEN_MODULOS" sheetId="2" r:id="rId2"/>
    <sheet name="FACTORES_AJUSTE" sheetId="3" r:id="rId3"/>
    <sheet name="ESTIMACION_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4" l="1"/>
  <c r="G54" i="1"/>
  <c r="G55" i="1"/>
  <c r="G56" i="1"/>
  <c r="G57" i="1"/>
  <c r="G58" i="1"/>
  <c r="G59" i="1"/>
  <c r="G49" i="1"/>
  <c r="G50" i="1"/>
  <c r="G51" i="1"/>
  <c r="G52" i="1"/>
  <c r="G53" i="1"/>
  <c r="B11" i="2"/>
  <c r="B11" i="4" s="1"/>
  <c r="G44" i="1"/>
  <c r="G45" i="1"/>
  <c r="G46" i="1"/>
  <c r="G47" i="1"/>
  <c r="G48" i="1"/>
  <c r="G38" i="1"/>
  <c r="G39" i="1"/>
  <c r="G40" i="1"/>
  <c r="G41" i="1"/>
  <c r="G42" i="1"/>
  <c r="G43" i="1"/>
  <c r="G32" i="1"/>
  <c r="G33" i="1"/>
  <c r="G34" i="1"/>
  <c r="G35" i="1"/>
  <c r="G36" i="1"/>
  <c r="G37" i="1"/>
  <c r="G26" i="1"/>
  <c r="B5" i="2" s="1"/>
  <c r="B5" i="4" s="1"/>
  <c r="G27" i="1"/>
  <c r="G28" i="1"/>
  <c r="G29" i="1"/>
  <c r="G30" i="1"/>
  <c r="G31" i="1"/>
  <c r="B12" i="2"/>
  <c r="B12" i="4" s="1"/>
  <c r="E12" i="4" s="1"/>
  <c r="G12" i="4" s="1"/>
  <c r="H12" i="4" s="1"/>
  <c r="J12" i="4" s="1"/>
  <c r="B7" i="2"/>
  <c r="B7" i="4" s="1"/>
  <c r="E7" i="4" s="1"/>
  <c r="G7" i="4" s="1"/>
  <c r="H7" i="4" s="1"/>
  <c r="J7" i="4" s="1"/>
  <c r="C12" i="4"/>
  <c r="D12" i="4"/>
  <c r="C13" i="4"/>
  <c r="D13" i="4"/>
  <c r="B13" i="2"/>
  <c r="B13" i="4" s="1"/>
  <c r="B6" i="2"/>
  <c r="B6" i="4" s="1"/>
  <c r="E6" i="4" s="1"/>
  <c r="G6" i="4" s="1"/>
  <c r="H6" i="4" s="1"/>
  <c r="J6" i="4" s="1"/>
  <c r="B8" i="2"/>
  <c r="B8" i="4" s="1"/>
  <c r="E8" i="4" s="1"/>
  <c r="G8" i="4" s="1"/>
  <c r="H8" i="4" s="1"/>
  <c r="J8" i="4" s="1"/>
  <c r="B10" i="2"/>
  <c r="B10" i="4" s="1"/>
  <c r="E10" i="4" s="1"/>
  <c r="G10" i="4" s="1"/>
  <c r="H10" i="4" s="1"/>
  <c r="J10" i="4" s="1"/>
  <c r="C5" i="4"/>
  <c r="C6" i="4"/>
  <c r="C7" i="4"/>
  <c r="C8" i="4"/>
  <c r="C9" i="4"/>
  <c r="C10" i="4"/>
  <c r="C11" i="4"/>
  <c r="C3" i="4"/>
  <c r="C4" i="4"/>
  <c r="G18" i="1"/>
  <c r="G19" i="1"/>
  <c r="B4" i="2" s="1"/>
  <c r="B4" i="4" s="1"/>
  <c r="G20" i="1"/>
  <c r="G21" i="1"/>
  <c r="G22" i="1"/>
  <c r="G23" i="1"/>
  <c r="G24" i="1"/>
  <c r="G25" i="1"/>
  <c r="D4" i="4"/>
  <c r="D5" i="4"/>
  <c r="D6" i="4"/>
  <c r="D7" i="4"/>
  <c r="D8" i="4"/>
  <c r="D9" i="4"/>
  <c r="D10" i="4"/>
  <c r="D11" i="4"/>
  <c r="D3" i="4"/>
  <c r="C2" i="4"/>
  <c r="D2" i="4"/>
  <c r="G8" i="1"/>
  <c r="G9" i="1"/>
  <c r="B3" i="2" s="1"/>
  <c r="B3" i="4" s="1"/>
  <c r="G10" i="1"/>
  <c r="G11" i="1"/>
  <c r="G12" i="1"/>
  <c r="G13" i="1"/>
  <c r="G14" i="1"/>
  <c r="G15" i="1"/>
  <c r="G16" i="1"/>
  <c r="G17" i="1"/>
  <c r="I11" i="3"/>
  <c r="I10" i="3"/>
  <c r="D16" i="3"/>
  <c r="D15" i="3"/>
  <c r="I3" i="3"/>
  <c r="I4" i="3"/>
  <c r="I5" i="3"/>
  <c r="I6" i="3"/>
  <c r="I7" i="3"/>
  <c r="I8" i="3"/>
  <c r="I9" i="3"/>
  <c r="I2" i="3"/>
  <c r="D3" i="3"/>
  <c r="D4" i="3"/>
  <c r="D5" i="3"/>
  <c r="D6" i="3"/>
  <c r="D7" i="3"/>
  <c r="D8" i="3"/>
  <c r="D9" i="3"/>
  <c r="D10" i="3"/>
  <c r="D11" i="3"/>
  <c r="D12" i="3"/>
  <c r="D13" i="3"/>
  <c r="D14" i="3"/>
  <c r="D2" i="3"/>
  <c r="G5" i="1"/>
  <c r="G6" i="1"/>
  <c r="G7" i="1"/>
  <c r="G3" i="1"/>
  <c r="G4" i="1"/>
  <c r="G2" i="1"/>
  <c r="B2" i="2" s="1"/>
  <c r="B9" i="2" l="1"/>
  <c r="B9" i="4" s="1"/>
  <c r="E9" i="4" s="1"/>
  <c r="G9" i="4" s="1"/>
  <c r="H9" i="4" s="1"/>
  <c r="J9" i="4" s="1"/>
  <c r="J14" i="4" s="1"/>
  <c r="E13" i="4"/>
  <c r="G13" i="4" s="1"/>
  <c r="H13" i="4" s="1"/>
  <c r="J13" i="4" s="1"/>
  <c r="E11" i="4"/>
  <c r="G11" i="4" s="1"/>
  <c r="H11" i="4" s="1"/>
  <c r="J11" i="4" s="1"/>
  <c r="E5" i="4"/>
  <c r="G5" i="4" s="1"/>
  <c r="H5" i="4" s="1"/>
  <c r="J5" i="4" s="1"/>
  <c r="E4" i="4"/>
  <c r="G4" i="4" s="1"/>
  <c r="H4" i="4" s="1"/>
  <c r="J4" i="4" s="1"/>
  <c r="E3" i="4"/>
  <c r="G3" i="4" s="1"/>
  <c r="H3" i="4" s="1"/>
  <c r="J3" i="4" s="1"/>
  <c r="B2" i="4"/>
  <c r="E2" i="4" s="1"/>
  <c r="G2" i="4" s="1"/>
  <c r="H2" i="4" s="1"/>
</calcChain>
</file>

<file path=xl/sharedStrings.xml><?xml version="1.0" encoding="utf-8"?>
<sst xmlns="http://schemas.openxmlformats.org/spreadsheetml/2006/main" count="379" uniqueCount="183">
  <si>
    <t>Módulo</t>
  </si>
  <si>
    <t>ID Caso Uso</t>
  </si>
  <si>
    <t>Nombre Caso Uso</t>
  </si>
  <si>
    <t>Actor Principal</t>
  </si>
  <si>
    <t>Complejidad</t>
  </si>
  <si>
    <t>Nº Transacciones</t>
  </si>
  <si>
    <t>Puntos</t>
  </si>
  <si>
    <t>F01</t>
  </si>
  <si>
    <t>UC-01</t>
  </si>
  <si>
    <t>Iniciar sesión</t>
  </si>
  <si>
    <t>Usuario</t>
  </si>
  <si>
    <t>Simple</t>
  </si>
  <si>
    <t>UC-02</t>
  </si>
  <si>
    <t>Registrar usuario</t>
  </si>
  <si>
    <t>Medio</t>
  </si>
  <si>
    <t>UC-03</t>
  </si>
  <si>
    <t>Gestionar roles</t>
  </si>
  <si>
    <t>Administrador</t>
  </si>
  <si>
    <t>Complejo</t>
  </si>
  <si>
    <t>Total Puntos No Ajustados</t>
  </si>
  <si>
    <t>Descripción</t>
  </si>
  <si>
    <t>Autenticación y Usuarios</t>
  </si>
  <si>
    <t>F02</t>
  </si>
  <si>
    <t>Proyectos y KPIs</t>
  </si>
  <si>
    <t>UC-04</t>
  </si>
  <si>
    <t>Recuperar contraseña</t>
  </si>
  <si>
    <t>UC-05</t>
  </si>
  <si>
    <t>Cerrar sesión</t>
  </si>
  <si>
    <t>UC-06</t>
  </si>
  <si>
    <t>Editar perfil</t>
  </si>
  <si>
    <t>FACTOR TÉCNICO</t>
  </si>
  <si>
    <t>Peso</t>
  </si>
  <si>
    <t>Valor (0-5)</t>
  </si>
  <si>
    <t>Peso × Valor</t>
  </si>
  <si>
    <t>Sistema distribuido</t>
  </si>
  <si>
    <t>Objetivos de rendimiento</t>
  </si>
  <si>
    <t>Eficiencia del usuario final</t>
  </si>
  <si>
    <t>Procesamiento complejo</t>
  </si>
  <si>
    <t>Código reutilizable</t>
  </si>
  <si>
    <t>Facilidad de instalación</t>
  </si>
  <si>
    <t>Facilidad de uso</t>
  </si>
  <si>
    <t>Portabilidad</t>
  </si>
  <si>
    <t>Facilidad de cambio</t>
  </si>
  <si>
    <t>Concurrencia</t>
  </si>
  <si>
    <t>Características de seguridad</t>
  </si>
  <si>
    <t>Acceso a terceros</t>
  </si>
  <si>
    <t>Facilidad de entrenamiento</t>
  </si>
  <si>
    <t>TOTAL TF</t>
  </si>
  <si>
    <t>TCF</t>
  </si>
  <si>
    <t>FACTOR AMBIENTAL</t>
  </si>
  <si>
    <t>Familiaridad con el modelo</t>
  </si>
  <si>
    <t>Experiencia en la aplicación</t>
  </si>
  <si>
    <t>Experiencia en OO</t>
  </si>
  <si>
    <t>Capacidad del analista líder</t>
  </si>
  <si>
    <t>Motivación</t>
  </si>
  <si>
    <t>Estabilidad requerimientos</t>
  </si>
  <si>
    <t>Personal part-time</t>
  </si>
  <si>
    <t>Dificultad lenguaje</t>
  </si>
  <si>
    <t>TOTAL EF</t>
  </si>
  <si>
    <t>EF</t>
  </si>
  <si>
    <t>Puntos No Ajustados</t>
  </si>
  <si>
    <t>Puntos Ajustados</t>
  </si>
  <si>
    <t>Horas x Punto</t>
  </si>
  <si>
    <t>Esfuerzo (Horas)</t>
  </si>
  <si>
    <t>Esfuerzo (PM)</t>
  </si>
  <si>
    <t>UC-07</t>
  </si>
  <si>
    <t>Crear proyecto</t>
  </si>
  <si>
    <t>UC-08</t>
  </si>
  <si>
    <t>Editar proyecto</t>
  </si>
  <si>
    <t>UC-09</t>
  </si>
  <si>
    <t>Eliminar proyecto</t>
  </si>
  <si>
    <t>UC-10</t>
  </si>
  <si>
    <t>Consultar proyectos</t>
  </si>
  <si>
    <t>UC-11</t>
  </si>
  <si>
    <t>Crear KPI</t>
  </si>
  <si>
    <t>UC-12</t>
  </si>
  <si>
    <t>Editar KPI</t>
  </si>
  <si>
    <t>UC-13</t>
  </si>
  <si>
    <t>Definir fórmula KPI</t>
  </si>
  <si>
    <t>UC-14</t>
  </si>
  <si>
    <t>Establecer metas</t>
  </si>
  <si>
    <t>UC-15</t>
  </si>
  <si>
    <t>Configurar umbrales</t>
  </si>
  <si>
    <t>UC-16</t>
  </si>
  <si>
    <t>Vincular KPI a proyecto</t>
  </si>
  <si>
    <t>F03</t>
  </si>
  <si>
    <t>F04</t>
  </si>
  <si>
    <t>F05</t>
  </si>
  <si>
    <t>F06</t>
  </si>
  <si>
    <t>F07</t>
  </si>
  <si>
    <t>F08</t>
  </si>
  <si>
    <t>F09</t>
  </si>
  <si>
    <t>F10</t>
  </si>
  <si>
    <t>Registro de Datos</t>
  </si>
  <si>
    <t>UC-17</t>
  </si>
  <si>
    <t>Carga manual de datos KPI</t>
  </si>
  <si>
    <t>UC-18</t>
  </si>
  <si>
    <t>Carga masiva mediante CSV</t>
  </si>
  <si>
    <t>UC-19</t>
  </si>
  <si>
    <t>Validación datos durante carga</t>
  </si>
  <si>
    <t>Sistema</t>
  </si>
  <si>
    <t>UC-20</t>
  </si>
  <si>
    <t>Descargar plantilla CSV</t>
  </si>
  <si>
    <t>UC-21</t>
  </si>
  <si>
    <t>Corregir errores de carga</t>
  </si>
  <si>
    <t>UC-22</t>
  </si>
  <si>
    <t>Historial de cargas</t>
  </si>
  <si>
    <t>UC-23</t>
  </si>
  <si>
    <t>Eliminar carga erronea</t>
  </si>
  <si>
    <t>UC-24</t>
  </si>
  <si>
    <t>Previsualización datos CSV</t>
  </si>
  <si>
    <t>Costo por PM</t>
  </si>
  <si>
    <t>Costo total estimado</t>
  </si>
  <si>
    <t>Dashboard y Visualización</t>
  </si>
  <si>
    <t>UC-25</t>
  </si>
  <si>
    <t>Visualizar dashboard principal</t>
  </si>
  <si>
    <t>UC-26</t>
  </si>
  <si>
    <t>Ver tarjetas de métricas</t>
  </si>
  <si>
    <t>UC-27</t>
  </si>
  <si>
    <t>Filtrar datos dashboard</t>
  </si>
  <si>
    <t>UC-28</t>
  </si>
  <si>
    <t>Configurar vista personalizada</t>
  </si>
  <si>
    <t>UC-29</t>
  </si>
  <si>
    <t>Actualizar datos en tiempo real</t>
  </si>
  <si>
    <t>UC-30</t>
  </si>
  <si>
    <t>Generar gráficos de tendencias</t>
  </si>
  <si>
    <t>UC-31</t>
  </si>
  <si>
    <t>UC-32</t>
  </si>
  <si>
    <t>UC-33</t>
  </si>
  <si>
    <t>UC-34</t>
  </si>
  <si>
    <t>UC-35</t>
  </si>
  <si>
    <t>F11</t>
  </si>
  <si>
    <t>F12</t>
  </si>
  <si>
    <t>UC-36</t>
  </si>
  <si>
    <t>Generar reporte tabular</t>
  </si>
  <si>
    <t>UC-37</t>
  </si>
  <si>
    <t>Generar reporte gráfico</t>
  </si>
  <si>
    <t>UC-38</t>
  </si>
  <si>
    <t>Exportar a PDF</t>
  </si>
  <si>
    <t>UC-39</t>
  </si>
  <si>
    <t>Exportar a CSV</t>
  </si>
  <si>
    <t>UC-40</t>
  </si>
  <si>
    <t>Programar reportes</t>
  </si>
  <si>
    <t>UC-41</t>
  </si>
  <si>
    <t>Personalizar columnas reporte</t>
  </si>
  <si>
    <t>UC-42</t>
  </si>
  <si>
    <t>UC-43</t>
  </si>
  <si>
    <t>UC-44</t>
  </si>
  <si>
    <t>Configurar alertas por umbral</t>
  </si>
  <si>
    <t>Admin</t>
  </si>
  <si>
    <t>UC-45</t>
  </si>
  <si>
    <t>Notificaciones in-app</t>
  </si>
  <si>
    <t>UC-46</t>
  </si>
  <si>
    <t>Historial de alertas</t>
  </si>
  <si>
    <t>UC-47</t>
  </si>
  <si>
    <t>Gestionar reglas de activación</t>
  </si>
  <si>
    <t>UC-48</t>
  </si>
  <si>
    <t>Silenciar alertas</t>
  </si>
  <si>
    <t>UC-49</t>
  </si>
  <si>
    <t>Reportes y Exportación</t>
  </si>
  <si>
    <t>Alertas y Notificaciones</t>
  </si>
  <si>
    <t>Configuración del Sistema</t>
  </si>
  <si>
    <t>UC-50</t>
  </si>
  <si>
    <t>Configurar parámetros globales</t>
  </si>
  <si>
    <t>UC-51</t>
  </si>
  <si>
    <t>Gestionar catálogo unidades</t>
  </si>
  <si>
    <t>UC-52</t>
  </si>
  <si>
    <t>Configurar metas predeterminadas</t>
  </si>
  <si>
    <t>UC-53</t>
  </si>
  <si>
    <t>Gestionar umbrales sistema</t>
  </si>
  <si>
    <t>UC-54</t>
  </si>
  <si>
    <t>Configurar reglas dinámicas</t>
  </si>
  <si>
    <t>UC-55</t>
  </si>
  <si>
    <t>Auditoría y Trazabilidad</t>
  </si>
  <si>
    <t>UC-56</t>
  </si>
  <si>
    <t>Registrar bitácora cambios</t>
  </si>
  <si>
    <t>UC-57</t>
  </si>
  <si>
    <t>Consultar historial auditoría</t>
  </si>
  <si>
    <t>UC-58</t>
  </si>
  <si>
    <t>Exportar reporte auditoría</t>
  </si>
  <si>
    <t>Trazabilidad de datos</t>
  </si>
  <si>
    <t>Reporte de actividad usuario</t>
  </si>
  <si>
    <t>Configurar niveles auditoría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</si>
</sst>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0" borderId="1" xfId="0" applyFill="1" applyBorder="1"/>
    <xf numFmtId="170" fontId="0" fillId="0" borderId="1" xfId="0" applyNumberFormat="1" applyBorder="1"/>
    <xf numFmtId="170" fontId="0" fillId="0" borderId="0" xfId="0" applyNumberFormat="1"/>
    <xf numFmtId="3" fontId="0" fillId="0" borderId="1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7571-1537-44CF-B37A-C6AF7529DA08}">
  <dimension ref="A1:G59"/>
  <sheetViews>
    <sheetView topLeftCell="A10" workbookViewId="0">
      <selection activeCell="J43" sqref="J43"/>
    </sheetView>
  </sheetViews>
  <sheetFormatPr baseColWidth="10" defaultRowHeight="15" x14ac:dyDescent="0.25"/>
  <cols>
    <col min="1" max="1" width="7.85546875" bestFit="1" customWidth="1"/>
    <col min="2" max="2" width="11.140625" bestFit="1" customWidth="1"/>
    <col min="3" max="3" width="28.42578125" bestFit="1" customWidth="1"/>
    <col min="4" max="4" width="13.85546875" bestFit="1" customWidth="1"/>
    <col min="5" max="5" width="12.28515625" bestFit="1" customWidth="1"/>
    <col min="6" max="6" width="16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</v>
      </c>
      <c r="G2" s="1">
        <f>IF(E2="Simple",5,IF(E2="Medio",10,IF(E2="Complejo",15,0)))</f>
        <v>5</v>
      </c>
    </row>
    <row r="3" spans="1:7" x14ac:dyDescent="0.25">
      <c r="A3" s="1" t="s">
        <v>7</v>
      </c>
      <c r="B3" s="1" t="s">
        <v>12</v>
      </c>
      <c r="C3" s="1" t="s">
        <v>13</v>
      </c>
      <c r="D3" s="1" t="s">
        <v>10</v>
      </c>
      <c r="E3" s="1" t="s">
        <v>14</v>
      </c>
      <c r="F3" s="1">
        <v>5</v>
      </c>
      <c r="G3" s="1">
        <f t="shared" ref="G3:G59" si="0">IF(E3="Simple",5,IF(E3="Medio",10,IF(E3="Complejo",15,0)))</f>
        <v>10</v>
      </c>
    </row>
    <row r="4" spans="1:7" x14ac:dyDescent="0.25">
      <c r="A4" s="1" t="s">
        <v>7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8</v>
      </c>
      <c r="G4" s="1">
        <f t="shared" si="0"/>
        <v>15</v>
      </c>
    </row>
    <row r="5" spans="1:7" x14ac:dyDescent="0.25">
      <c r="A5" s="1" t="s">
        <v>7</v>
      </c>
      <c r="B5" s="1" t="s">
        <v>24</v>
      </c>
      <c r="C5" s="1" t="s">
        <v>25</v>
      </c>
      <c r="D5" s="1" t="s">
        <v>10</v>
      </c>
      <c r="E5" s="1" t="s">
        <v>14</v>
      </c>
      <c r="F5" s="1">
        <v>4</v>
      </c>
      <c r="G5" s="1">
        <f t="shared" si="0"/>
        <v>10</v>
      </c>
    </row>
    <row r="6" spans="1:7" x14ac:dyDescent="0.25">
      <c r="A6" s="1" t="s">
        <v>7</v>
      </c>
      <c r="B6" s="1" t="s">
        <v>26</v>
      </c>
      <c r="C6" s="1" t="s">
        <v>27</v>
      </c>
      <c r="D6" s="1" t="s">
        <v>10</v>
      </c>
      <c r="E6" s="1" t="s">
        <v>11</v>
      </c>
      <c r="F6" s="1">
        <v>2</v>
      </c>
      <c r="G6" s="1">
        <f t="shared" si="0"/>
        <v>5</v>
      </c>
    </row>
    <row r="7" spans="1:7" x14ac:dyDescent="0.25">
      <c r="A7" s="1" t="s">
        <v>7</v>
      </c>
      <c r="B7" s="1" t="s">
        <v>28</v>
      </c>
      <c r="C7" s="1" t="s">
        <v>29</v>
      </c>
      <c r="D7" s="1" t="s">
        <v>10</v>
      </c>
      <c r="E7" s="1" t="s">
        <v>14</v>
      </c>
      <c r="F7" s="1">
        <v>5</v>
      </c>
      <c r="G7" s="1">
        <f t="shared" si="0"/>
        <v>10</v>
      </c>
    </row>
    <row r="8" spans="1:7" x14ac:dyDescent="0.25">
      <c r="A8" s="1" t="s">
        <v>22</v>
      </c>
      <c r="B8" s="1" t="s">
        <v>65</v>
      </c>
      <c r="C8" s="1" t="s">
        <v>66</v>
      </c>
      <c r="D8" s="1" t="s">
        <v>10</v>
      </c>
      <c r="E8" s="1" t="s">
        <v>14</v>
      </c>
      <c r="F8" s="1">
        <v>6</v>
      </c>
      <c r="G8" s="1">
        <f t="shared" si="0"/>
        <v>10</v>
      </c>
    </row>
    <row r="9" spans="1:7" x14ac:dyDescent="0.25">
      <c r="A9" s="1" t="s">
        <v>22</v>
      </c>
      <c r="B9" s="1" t="s">
        <v>67</v>
      </c>
      <c r="C9" s="1" t="s">
        <v>68</v>
      </c>
      <c r="D9" s="1" t="s">
        <v>10</v>
      </c>
      <c r="E9" s="1" t="s">
        <v>11</v>
      </c>
      <c r="F9" s="1">
        <v>4</v>
      </c>
      <c r="G9" s="1">
        <f t="shared" si="0"/>
        <v>5</v>
      </c>
    </row>
    <row r="10" spans="1:7" x14ac:dyDescent="0.25">
      <c r="A10" s="1" t="s">
        <v>22</v>
      </c>
      <c r="B10" s="1" t="s">
        <v>69</v>
      </c>
      <c r="C10" s="1" t="s">
        <v>70</v>
      </c>
      <c r="D10" s="1" t="s">
        <v>10</v>
      </c>
      <c r="E10" s="1" t="s">
        <v>11</v>
      </c>
      <c r="F10" s="1">
        <v>3</v>
      </c>
      <c r="G10" s="1">
        <f t="shared" si="0"/>
        <v>5</v>
      </c>
    </row>
    <row r="11" spans="1:7" x14ac:dyDescent="0.25">
      <c r="A11" s="1" t="s">
        <v>22</v>
      </c>
      <c r="B11" s="1" t="s">
        <v>71</v>
      </c>
      <c r="C11" s="1" t="s">
        <v>72</v>
      </c>
      <c r="D11" s="1" t="s">
        <v>10</v>
      </c>
      <c r="E11" s="1" t="s">
        <v>11</v>
      </c>
      <c r="F11" s="1">
        <v>3</v>
      </c>
      <c r="G11" s="1">
        <f t="shared" si="0"/>
        <v>5</v>
      </c>
    </row>
    <row r="12" spans="1:7" x14ac:dyDescent="0.25">
      <c r="A12" s="1" t="s">
        <v>22</v>
      </c>
      <c r="B12" s="1" t="s">
        <v>73</v>
      </c>
      <c r="C12" s="1" t="s">
        <v>74</v>
      </c>
      <c r="D12" s="1" t="s">
        <v>10</v>
      </c>
      <c r="E12" s="1" t="s">
        <v>18</v>
      </c>
      <c r="F12" s="1">
        <v>9</v>
      </c>
      <c r="G12" s="1">
        <f t="shared" si="0"/>
        <v>15</v>
      </c>
    </row>
    <row r="13" spans="1:7" x14ac:dyDescent="0.25">
      <c r="A13" s="1" t="s">
        <v>22</v>
      </c>
      <c r="B13" s="1" t="s">
        <v>75</v>
      </c>
      <c r="C13" s="1" t="s">
        <v>76</v>
      </c>
      <c r="D13" s="1" t="s">
        <v>10</v>
      </c>
      <c r="E13" s="1" t="s">
        <v>14</v>
      </c>
      <c r="F13" s="1">
        <v>7</v>
      </c>
      <c r="G13" s="1">
        <f t="shared" si="0"/>
        <v>10</v>
      </c>
    </row>
    <row r="14" spans="1:7" x14ac:dyDescent="0.25">
      <c r="A14" s="1" t="s">
        <v>22</v>
      </c>
      <c r="B14" s="1" t="s">
        <v>77</v>
      </c>
      <c r="C14" s="1" t="s">
        <v>78</v>
      </c>
      <c r="D14" s="1" t="s">
        <v>10</v>
      </c>
      <c r="E14" s="1" t="s">
        <v>18</v>
      </c>
      <c r="F14" s="1">
        <v>10</v>
      </c>
      <c r="G14" s="1">
        <f t="shared" si="0"/>
        <v>15</v>
      </c>
    </row>
    <row r="15" spans="1:7" x14ac:dyDescent="0.25">
      <c r="A15" s="1" t="s">
        <v>22</v>
      </c>
      <c r="B15" s="1" t="s">
        <v>79</v>
      </c>
      <c r="C15" s="1" t="s">
        <v>80</v>
      </c>
      <c r="D15" s="1" t="s">
        <v>10</v>
      </c>
      <c r="E15" s="1" t="s">
        <v>14</v>
      </c>
      <c r="F15" s="1">
        <v>5</v>
      </c>
      <c r="G15" s="1">
        <f t="shared" si="0"/>
        <v>10</v>
      </c>
    </row>
    <row r="16" spans="1:7" x14ac:dyDescent="0.25">
      <c r="A16" s="1" t="s">
        <v>22</v>
      </c>
      <c r="B16" s="1" t="s">
        <v>81</v>
      </c>
      <c r="C16" s="1" t="s">
        <v>82</v>
      </c>
      <c r="D16" s="1" t="s">
        <v>10</v>
      </c>
      <c r="E16" s="1" t="s">
        <v>14</v>
      </c>
      <c r="F16" s="1">
        <v>6</v>
      </c>
      <c r="G16" s="1">
        <f t="shared" si="0"/>
        <v>10</v>
      </c>
    </row>
    <row r="17" spans="1:7" x14ac:dyDescent="0.25">
      <c r="A17" s="1" t="s">
        <v>22</v>
      </c>
      <c r="B17" s="1" t="s">
        <v>83</v>
      </c>
      <c r="C17" s="1" t="s">
        <v>84</v>
      </c>
      <c r="D17" s="1" t="s">
        <v>10</v>
      </c>
      <c r="E17" s="1" t="s">
        <v>11</v>
      </c>
      <c r="F17" s="1">
        <v>4</v>
      </c>
      <c r="G17" s="1">
        <f t="shared" si="0"/>
        <v>5</v>
      </c>
    </row>
    <row r="18" spans="1:7" x14ac:dyDescent="0.25">
      <c r="A18" s="1" t="s">
        <v>85</v>
      </c>
      <c r="B18" s="1" t="s">
        <v>94</v>
      </c>
      <c r="C18" s="1" t="s">
        <v>95</v>
      </c>
      <c r="D18" s="1" t="s">
        <v>10</v>
      </c>
      <c r="E18" s="1" t="s">
        <v>14</v>
      </c>
      <c r="F18" s="1">
        <v>5</v>
      </c>
      <c r="G18" s="1">
        <f t="shared" si="0"/>
        <v>10</v>
      </c>
    </row>
    <row r="19" spans="1:7" x14ac:dyDescent="0.25">
      <c r="A19" s="1" t="s">
        <v>85</v>
      </c>
      <c r="B19" s="1" t="s">
        <v>96</v>
      </c>
      <c r="C19" s="1" t="s">
        <v>97</v>
      </c>
      <c r="D19" s="1" t="s">
        <v>10</v>
      </c>
      <c r="E19" s="1" t="s">
        <v>18</v>
      </c>
      <c r="F19" s="1">
        <v>8</v>
      </c>
      <c r="G19" s="1">
        <f t="shared" si="0"/>
        <v>15</v>
      </c>
    </row>
    <row r="20" spans="1:7" x14ac:dyDescent="0.25">
      <c r="A20" s="1" t="s">
        <v>85</v>
      </c>
      <c r="B20" s="1" t="s">
        <v>98</v>
      </c>
      <c r="C20" s="1" t="s">
        <v>99</v>
      </c>
      <c r="D20" s="1" t="s">
        <v>100</v>
      </c>
      <c r="E20" s="1" t="s">
        <v>18</v>
      </c>
      <c r="F20" s="1">
        <v>9</v>
      </c>
      <c r="G20" s="1">
        <f t="shared" si="0"/>
        <v>15</v>
      </c>
    </row>
    <row r="21" spans="1:7" x14ac:dyDescent="0.25">
      <c r="A21" s="1" t="s">
        <v>85</v>
      </c>
      <c r="B21" s="1" t="s">
        <v>101</v>
      </c>
      <c r="C21" s="1" t="s">
        <v>102</v>
      </c>
      <c r="D21" s="1" t="s">
        <v>10</v>
      </c>
      <c r="E21" s="1" t="s">
        <v>11</v>
      </c>
      <c r="F21" s="1">
        <v>3</v>
      </c>
      <c r="G21" s="1">
        <f t="shared" si="0"/>
        <v>5</v>
      </c>
    </row>
    <row r="22" spans="1:7" x14ac:dyDescent="0.25">
      <c r="A22" s="1" t="s">
        <v>85</v>
      </c>
      <c r="B22" s="1" t="s">
        <v>103</v>
      </c>
      <c r="C22" s="1" t="s">
        <v>104</v>
      </c>
      <c r="D22" s="1" t="s">
        <v>10</v>
      </c>
      <c r="E22" s="1" t="s">
        <v>14</v>
      </c>
      <c r="F22" s="1">
        <v>6</v>
      </c>
      <c r="G22" s="1">
        <f t="shared" si="0"/>
        <v>10</v>
      </c>
    </row>
    <row r="23" spans="1:7" x14ac:dyDescent="0.25">
      <c r="A23" s="1" t="s">
        <v>85</v>
      </c>
      <c r="B23" s="1" t="s">
        <v>105</v>
      </c>
      <c r="C23" s="1" t="s">
        <v>106</v>
      </c>
      <c r="D23" s="1" t="s">
        <v>10</v>
      </c>
      <c r="E23" s="1" t="s">
        <v>11</v>
      </c>
      <c r="F23" s="1">
        <v>4</v>
      </c>
      <c r="G23" s="1">
        <f t="shared" si="0"/>
        <v>5</v>
      </c>
    </row>
    <row r="24" spans="1:7" x14ac:dyDescent="0.25">
      <c r="A24" s="1" t="s">
        <v>85</v>
      </c>
      <c r="B24" s="1" t="s">
        <v>107</v>
      </c>
      <c r="C24" s="1" t="s">
        <v>108</v>
      </c>
      <c r="D24" s="1" t="s">
        <v>10</v>
      </c>
      <c r="E24" s="1" t="s">
        <v>11</v>
      </c>
      <c r="F24" s="1">
        <v>3</v>
      </c>
      <c r="G24" s="1">
        <f t="shared" si="0"/>
        <v>5</v>
      </c>
    </row>
    <row r="25" spans="1:7" x14ac:dyDescent="0.25">
      <c r="A25" s="1" t="s">
        <v>85</v>
      </c>
      <c r="B25" s="1" t="s">
        <v>109</v>
      </c>
      <c r="C25" s="1" t="s">
        <v>110</v>
      </c>
      <c r="D25" s="1" t="s">
        <v>10</v>
      </c>
      <c r="E25" s="1" t="s">
        <v>14</v>
      </c>
      <c r="F25" s="1">
        <v>5</v>
      </c>
      <c r="G25" s="1">
        <f t="shared" si="0"/>
        <v>10</v>
      </c>
    </row>
    <row r="26" spans="1:7" x14ac:dyDescent="0.25">
      <c r="A26" s="1" t="s">
        <v>86</v>
      </c>
      <c r="B26" s="1" t="s">
        <v>114</v>
      </c>
      <c r="C26" s="1" t="s">
        <v>95</v>
      </c>
      <c r="D26" s="1" t="s">
        <v>10</v>
      </c>
      <c r="E26" s="1" t="s">
        <v>14</v>
      </c>
      <c r="F26" s="1">
        <v>5</v>
      </c>
      <c r="G26" s="1">
        <f t="shared" si="0"/>
        <v>10</v>
      </c>
    </row>
    <row r="27" spans="1:7" x14ac:dyDescent="0.25">
      <c r="A27" s="1" t="s">
        <v>86</v>
      </c>
      <c r="B27" s="1" t="s">
        <v>116</v>
      </c>
      <c r="C27" s="1" t="s">
        <v>97</v>
      </c>
      <c r="D27" s="1" t="s">
        <v>10</v>
      </c>
      <c r="E27" s="1" t="s">
        <v>18</v>
      </c>
      <c r="F27" s="1">
        <v>8</v>
      </c>
      <c r="G27" s="1">
        <f t="shared" si="0"/>
        <v>15</v>
      </c>
    </row>
    <row r="28" spans="1:7" x14ac:dyDescent="0.25">
      <c r="A28" s="1" t="s">
        <v>86</v>
      </c>
      <c r="B28" s="1" t="s">
        <v>118</v>
      </c>
      <c r="C28" s="1" t="s">
        <v>99</v>
      </c>
      <c r="D28" s="1" t="s">
        <v>100</v>
      </c>
      <c r="E28" s="1" t="s">
        <v>18</v>
      </c>
      <c r="F28" s="1">
        <v>9</v>
      </c>
      <c r="G28" s="1">
        <f t="shared" si="0"/>
        <v>15</v>
      </c>
    </row>
    <row r="29" spans="1:7" x14ac:dyDescent="0.25">
      <c r="A29" s="1" t="s">
        <v>87</v>
      </c>
      <c r="B29" s="1" t="s">
        <v>120</v>
      </c>
      <c r="C29" s="1" t="s">
        <v>102</v>
      </c>
      <c r="D29" s="1" t="s">
        <v>10</v>
      </c>
      <c r="E29" s="1" t="s">
        <v>11</v>
      </c>
      <c r="F29" s="1">
        <v>3</v>
      </c>
      <c r="G29" s="1">
        <f t="shared" si="0"/>
        <v>5</v>
      </c>
    </row>
    <row r="30" spans="1:7" x14ac:dyDescent="0.25">
      <c r="A30" s="1" t="s">
        <v>87</v>
      </c>
      <c r="B30" s="1" t="s">
        <v>122</v>
      </c>
      <c r="C30" s="1" t="s">
        <v>104</v>
      </c>
      <c r="D30" s="1" t="s">
        <v>10</v>
      </c>
      <c r="E30" s="1" t="s">
        <v>14</v>
      </c>
      <c r="F30" s="1">
        <v>6</v>
      </c>
      <c r="G30" s="1">
        <f t="shared" si="0"/>
        <v>10</v>
      </c>
    </row>
    <row r="31" spans="1:7" x14ac:dyDescent="0.25">
      <c r="A31" s="1" t="s">
        <v>87</v>
      </c>
      <c r="B31" s="1" t="s">
        <v>124</v>
      </c>
      <c r="C31" s="1" t="s">
        <v>106</v>
      </c>
      <c r="D31" s="1" t="s">
        <v>10</v>
      </c>
      <c r="E31" s="1" t="s">
        <v>11</v>
      </c>
      <c r="F31" s="1">
        <v>4</v>
      </c>
      <c r="G31" s="1">
        <f t="shared" si="0"/>
        <v>5</v>
      </c>
    </row>
    <row r="32" spans="1:7" x14ac:dyDescent="0.25">
      <c r="A32" s="1" t="s">
        <v>88</v>
      </c>
      <c r="B32" s="1" t="s">
        <v>126</v>
      </c>
      <c r="C32" s="1" t="s">
        <v>115</v>
      </c>
      <c r="D32" s="1" t="s">
        <v>10</v>
      </c>
      <c r="E32" s="1" t="s">
        <v>14</v>
      </c>
      <c r="F32" s="1">
        <v>6</v>
      </c>
      <c r="G32" s="1">
        <f t="shared" si="0"/>
        <v>10</v>
      </c>
    </row>
    <row r="33" spans="1:7" x14ac:dyDescent="0.25">
      <c r="A33" s="1" t="s">
        <v>88</v>
      </c>
      <c r="B33" s="1" t="s">
        <v>127</v>
      </c>
      <c r="C33" s="1" t="s">
        <v>117</v>
      </c>
      <c r="D33" s="1" t="s">
        <v>10</v>
      </c>
      <c r="E33" s="1" t="s">
        <v>11</v>
      </c>
      <c r="F33" s="1">
        <v>4</v>
      </c>
      <c r="G33" s="1">
        <f t="shared" si="0"/>
        <v>5</v>
      </c>
    </row>
    <row r="34" spans="1:7" x14ac:dyDescent="0.25">
      <c r="A34" s="1" t="s">
        <v>88</v>
      </c>
      <c r="B34" s="1" t="s">
        <v>128</v>
      </c>
      <c r="C34" s="1" t="s">
        <v>119</v>
      </c>
      <c r="D34" s="1" t="s">
        <v>10</v>
      </c>
      <c r="E34" s="1" t="s">
        <v>18</v>
      </c>
      <c r="F34" s="1">
        <v>8</v>
      </c>
      <c r="G34" s="1">
        <f t="shared" si="0"/>
        <v>15</v>
      </c>
    </row>
    <row r="35" spans="1:7" x14ac:dyDescent="0.25">
      <c r="A35" s="1" t="s">
        <v>89</v>
      </c>
      <c r="B35" s="1" t="s">
        <v>129</v>
      </c>
      <c r="C35" s="1" t="s">
        <v>121</v>
      </c>
      <c r="D35" s="1" t="s">
        <v>10</v>
      </c>
      <c r="E35" s="1" t="s">
        <v>14</v>
      </c>
      <c r="F35" s="1">
        <v>7</v>
      </c>
      <c r="G35" s="1">
        <f t="shared" si="0"/>
        <v>10</v>
      </c>
    </row>
    <row r="36" spans="1:7" x14ac:dyDescent="0.25">
      <c r="A36" s="1" t="s">
        <v>89</v>
      </c>
      <c r="B36" s="1" t="s">
        <v>130</v>
      </c>
      <c r="C36" s="1" t="s">
        <v>123</v>
      </c>
      <c r="D36" s="1" t="s">
        <v>100</v>
      </c>
      <c r="E36" s="1" t="s">
        <v>18</v>
      </c>
      <c r="F36" s="1">
        <v>9</v>
      </c>
      <c r="G36" s="1">
        <f t="shared" si="0"/>
        <v>15</v>
      </c>
    </row>
    <row r="37" spans="1:7" x14ac:dyDescent="0.25">
      <c r="A37" s="1" t="s">
        <v>89</v>
      </c>
      <c r="B37" s="1" t="s">
        <v>133</v>
      </c>
      <c r="C37" s="1" t="s">
        <v>125</v>
      </c>
      <c r="D37" s="1" t="s">
        <v>10</v>
      </c>
      <c r="E37" s="1" t="s">
        <v>14</v>
      </c>
      <c r="F37" s="1">
        <v>6</v>
      </c>
      <c r="G37" s="1">
        <f t="shared" si="0"/>
        <v>10</v>
      </c>
    </row>
    <row r="38" spans="1:7" x14ac:dyDescent="0.25">
      <c r="A38" s="1" t="s">
        <v>90</v>
      </c>
      <c r="B38" s="1" t="s">
        <v>135</v>
      </c>
      <c r="C38" s="1" t="s">
        <v>134</v>
      </c>
      <c r="D38" s="1" t="s">
        <v>10</v>
      </c>
      <c r="E38" s="1" t="s">
        <v>14</v>
      </c>
      <c r="F38" s="1">
        <v>6</v>
      </c>
      <c r="G38" s="1">
        <f t="shared" si="0"/>
        <v>10</v>
      </c>
    </row>
    <row r="39" spans="1:7" x14ac:dyDescent="0.25">
      <c r="A39" s="1" t="s">
        <v>90</v>
      </c>
      <c r="B39" s="1" t="s">
        <v>137</v>
      </c>
      <c r="C39" s="1" t="s">
        <v>136</v>
      </c>
      <c r="D39" s="1" t="s">
        <v>10</v>
      </c>
      <c r="E39" s="1" t="s">
        <v>18</v>
      </c>
      <c r="F39" s="1">
        <v>9</v>
      </c>
      <c r="G39" s="1">
        <f t="shared" si="0"/>
        <v>15</v>
      </c>
    </row>
    <row r="40" spans="1:7" x14ac:dyDescent="0.25">
      <c r="A40" s="1" t="s">
        <v>90</v>
      </c>
      <c r="B40" s="1" t="s">
        <v>139</v>
      </c>
      <c r="C40" s="1" t="s">
        <v>138</v>
      </c>
      <c r="D40" s="1" t="s">
        <v>10</v>
      </c>
      <c r="E40" s="1" t="s">
        <v>14</v>
      </c>
      <c r="F40" s="1">
        <v>5</v>
      </c>
      <c r="G40" s="1">
        <f t="shared" si="0"/>
        <v>10</v>
      </c>
    </row>
    <row r="41" spans="1:7" x14ac:dyDescent="0.25">
      <c r="A41" s="1" t="s">
        <v>90</v>
      </c>
      <c r="B41" s="1" t="s">
        <v>141</v>
      </c>
      <c r="C41" s="1" t="s">
        <v>140</v>
      </c>
      <c r="D41" s="1" t="s">
        <v>10</v>
      </c>
      <c r="E41" s="1" t="s">
        <v>11</v>
      </c>
      <c r="F41" s="1">
        <v>3</v>
      </c>
      <c r="G41" s="1">
        <f t="shared" si="0"/>
        <v>5</v>
      </c>
    </row>
    <row r="42" spans="1:7" x14ac:dyDescent="0.25">
      <c r="A42" s="1" t="s">
        <v>90</v>
      </c>
      <c r="B42" s="1" t="s">
        <v>143</v>
      </c>
      <c r="C42" s="1" t="s">
        <v>142</v>
      </c>
      <c r="D42" s="1" t="s">
        <v>10</v>
      </c>
      <c r="E42" s="1" t="s">
        <v>18</v>
      </c>
      <c r="F42" s="1">
        <v>8</v>
      </c>
      <c r="G42" s="1">
        <f t="shared" si="0"/>
        <v>15</v>
      </c>
    </row>
    <row r="43" spans="1:7" x14ac:dyDescent="0.25">
      <c r="A43" s="1" t="s">
        <v>90</v>
      </c>
      <c r="B43" s="1" t="s">
        <v>145</v>
      </c>
      <c r="C43" s="1" t="s">
        <v>144</v>
      </c>
      <c r="D43" s="1" t="s">
        <v>10</v>
      </c>
      <c r="E43" s="1" t="s">
        <v>14</v>
      </c>
      <c r="F43" s="1">
        <v>5</v>
      </c>
      <c r="G43" s="1">
        <f t="shared" si="0"/>
        <v>10</v>
      </c>
    </row>
    <row r="44" spans="1:7" x14ac:dyDescent="0.25">
      <c r="A44" s="1" t="s">
        <v>91</v>
      </c>
      <c r="B44" s="1" t="s">
        <v>146</v>
      </c>
      <c r="C44" s="1" t="s">
        <v>148</v>
      </c>
      <c r="D44" s="1" t="s">
        <v>149</v>
      </c>
      <c r="E44" s="1" t="s">
        <v>18</v>
      </c>
      <c r="F44" s="1">
        <v>10</v>
      </c>
      <c r="G44" s="1">
        <f t="shared" si="0"/>
        <v>15</v>
      </c>
    </row>
    <row r="45" spans="1:7" x14ac:dyDescent="0.25">
      <c r="A45" s="1" t="s">
        <v>91</v>
      </c>
      <c r="B45" s="1" t="s">
        <v>147</v>
      </c>
      <c r="C45" s="1" t="s">
        <v>151</v>
      </c>
      <c r="D45" s="1" t="s">
        <v>100</v>
      </c>
      <c r="E45" s="1" t="s">
        <v>14</v>
      </c>
      <c r="F45" s="1">
        <v>6</v>
      </c>
      <c r="G45" s="1">
        <f t="shared" si="0"/>
        <v>10</v>
      </c>
    </row>
    <row r="46" spans="1:7" x14ac:dyDescent="0.25">
      <c r="A46" s="1" t="s">
        <v>91</v>
      </c>
      <c r="B46" s="1" t="s">
        <v>150</v>
      </c>
      <c r="C46" s="1" t="s">
        <v>153</v>
      </c>
      <c r="D46" s="1" t="s">
        <v>10</v>
      </c>
      <c r="E46" s="1" t="s">
        <v>11</v>
      </c>
      <c r="F46" s="1">
        <v>4</v>
      </c>
      <c r="G46" s="1">
        <f t="shared" si="0"/>
        <v>5</v>
      </c>
    </row>
    <row r="47" spans="1:7" x14ac:dyDescent="0.25">
      <c r="A47" s="1" t="s">
        <v>91</v>
      </c>
      <c r="B47" s="1" t="s">
        <v>152</v>
      </c>
      <c r="C47" s="1" t="s">
        <v>155</v>
      </c>
      <c r="D47" s="1" t="s">
        <v>149</v>
      </c>
      <c r="E47" s="1" t="s">
        <v>18</v>
      </c>
      <c r="F47" s="1">
        <v>9</v>
      </c>
      <c r="G47" s="1">
        <f t="shared" si="0"/>
        <v>15</v>
      </c>
    </row>
    <row r="48" spans="1:7" x14ac:dyDescent="0.25">
      <c r="A48" s="1" t="s">
        <v>91</v>
      </c>
      <c r="B48" s="1" t="s">
        <v>154</v>
      </c>
      <c r="C48" s="1" t="s">
        <v>157</v>
      </c>
      <c r="D48" s="1" t="s">
        <v>10</v>
      </c>
      <c r="E48" s="1" t="s">
        <v>11</v>
      </c>
      <c r="F48" s="1">
        <v>3</v>
      </c>
      <c r="G48" s="1">
        <f t="shared" si="0"/>
        <v>5</v>
      </c>
    </row>
    <row r="49" spans="1:7" x14ac:dyDescent="0.25">
      <c r="A49" s="1" t="s">
        <v>92</v>
      </c>
      <c r="B49" s="1" t="s">
        <v>156</v>
      </c>
      <c r="C49" s="1" t="s">
        <v>163</v>
      </c>
      <c r="D49" s="1" t="s">
        <v>149</v>
      </c>
      <c r="E49" s="1" t="s">
        <v>18</v>
      </c>
      <c r="F49" s="1">
        <v>11</v>
      </c>
      <c r="G49" s="1">
        <f t="shared" si="0"/>
        <v>15</v>
      </c>
    </row>
    <row r="50" spans="1:7" x14ac:dyDescent="0.25">
      <c r="A50" s="1" t="s">
        <v>92</v>
      </c>
      <c r="B50" s="1" t="s">
        <v>158</v>
      </c>
      <c r="C50" s="1" t="s">
        <v>165</v>
      </c>
      <c r="D50" s="1" t="s">
        <v>149</v>
      </c>
      <c r="E50" s="1" t="s">
        <v>14</v>
      </c>
      <c r="F50" s="1">
        <v>7</v>
      </c>
      <c r="G50" s="1">
        <f t="shared" si="0"/>
        <v>10</v>
      </c>
    </row>
    <row r="51" spans="1:7" x14ac:dyDescent="0.25">
      <c r="A51" s="1" t="s">
        <v>92</v>
      </c>
      <c r="B51" s="1" t="s">
        <v>162</v>
      </c>
      <c r="C51" s="1" t="s">
        <v>167</v>
      </c>
      <c r="D51" s="1" t="s">
        <v>149</v>
      </c>
      <c r="E51" s="1" t="s">
        <v>14</v>
      </c>
      <c r="F51" s="1">
        <v>6</v>
      </c>
      <c r="G51" s="1">
        <f t="shared" si="0"/>
        <v>10</v>
      </c>
    </row>
    <row r="52" spans="1:7" x14ac:dyDescent="0.25">
      <c r="A52" s="1" t="s">
        <v>92</v>
      </c>
      <c r="B52" s="1" t="s">
        <v>164</v>
      </c>
      <c r="C52" s="1" t="s">
        <v>169</v>
      </c>
      <c r="D52" s="1" t="s">
        <v>149</v>
      </c>
      <c r="E52" s="1" t="s">
        <v>18</v>
      </c>
      <c r="F52" s="1">
        <v>10</v>
      </c>
      <c r="G52" s="1">
        <f t="shared" si="0"/>
        <v>15</v>
      </c>
    </row>
    <row r="53" spans="1:7" x14ac:dyDescent="0.25">
      <c r="A53" s="1" t="s">
        <v>92</v>
      </c>
      <c r="B53" s="1" t="s">
        <v>166</v>
      </c>
      <c r="C53" s="1" t="s">
        <v>171</v>
      </c>
      <c r="D53" s="1" t="s">
        <v>149</v>
      </c>
      <c r="E53" s="1" t="s">
        <v>18</v>
      </c>
      <c r="F53" s="1">
        <v>12</v>
      </c>
      <c r="G53" s="1">
        <f t="shared" si="0"/>
        <v>15</v>
      </c>
    </row>
    <row r="54" spans="1:7" x14ac:dyDescent="0.25">
      <c r="A54" s="1" t="s">
        <v>131</v>
      </c>
      <c r="B54" s="1" t="s">
        <v>168</v>
      </c>
      <c r="C54" s="1" t="s">
        <v>175</v>
      </c>
      <c r="D54" s="1" t="s">
        <v>100</v>
      </c>
      <c r="E54" s="1" t="s">
        <v>18</v>
      </c>
      <c r="F54" s="1">
        <v>9</v>
      </c>
      <c r="G54" s="1">
        <f t="shared" si="0"/>
        <v>15</v>
      </c>
    </row>
    <row r="55" spans="1:7" x14ac:dyDescent="0.25">
      <c r="A55" s="1" t="s">
        <v>131</v>
      </c>
      <c r="B55" s="1" t="s">
        <v>170</v>
      </c>
      <c r="C55" s="1" t="s">
        <v>177</v>
      </c>
      <c r="D55" s="1" t="s">
        <v>149</v>
      </c>
      <c r="E55" s="1" t="s">
        <v>14</v>
      </c>
      <c r="F55" s="1">
        <v>6</v>
      </c>
      <c r="G55" s="1">
        <f t="shared" si="0"/>
        <v>10</v>
      </c>
    </row>
    <row r="56" spans="1:7" x14ac:dyDescent="0.25">
      <c r="A56" s="1" t="s">
        <v>131</v>
      </c>
      <c r="B56" s="1" t="s">
        <v>172</v>
      </c>
      <c r="C56" s="1" t="s">
        <v>179</v>
      </c>
      <c r="D56" s="1" t="s">
        <v>149</v>
      </c>
      <c r="E56" s="1" t="s">
        <v>14</v>
      </c>
      <c r="F56" s="1">
        <v>5</v>
      </c>
      <c r="G56" s="1">
        <f t="shared" si="0"/>
        <v>10</v>
      </c>
    </row>
    <row r="57" spans="1:7" x14ac:dyDescent="0.25">
      <c r="A57" s="1" t="s">
        <v>132</v>
      </c>
      <c r="B57" s="1" t="s">
        <v>174</v>
      </c>
      <c r="C57" s="1" t="s">
        <v>180</v>
      </c>
      <c r="D57" s="1" t="s">
        <v>100</v>
      </c>
      <c r="E57" s="1" t="s">
        <v>18</v>
      </c>
      <c r="F57" s="1">
        <v>10</v>
      </c>
      <c r="G57" s="1">
        <f t="shared" si="0"/>
        <v>15</v>
      </c>
    </row>
    <row r="58" spans="1:7" x14ac:dyDescent="0.25">
      <c r="A58" s="1" t="s">
        <v>132</v>
      </c>
      <c r="B58" s="1" t="s">
        <v>176</v>
      </c>
      <c r="C58" s="1" t="s">
        <v>181</v>
      </c>
      <c r="D58" s="1" t="s">
        <v>149</v>
      </c>
      <c r="E58" s="1" t="s">
        <v>14</v>
      </c>
      <c r="F58" s="1">
        <v>7</v>
      </c>
      <c r="G58" s="1">
        <f t="shared" si="0"/>
        <v>10</v>
      </c>
    </row>
    <row r="59" spans="1:7" x14ac:dyDescent="0.25">
      <c r="A59" s="1" t="s">
        <v>132</v>
      </c>
      <c r="B59" s="1" t="s">
        <v>178</v>
      </c>
      <c r="C59" s="1" t="s">
        <v>182</v>
      </c>
      <c r="D59" s="1" t="s">
        <v>149</v>
      </c>
      <c r="E59" s="1" t="s">
        <v>14</v>
      </c>
      <c r="F59" s="1">
        <v>6</v>
      </c>
      <c r="G59" s="1">
        <f t="shared" si="0"/>
        <v>10</v>
      </c>
    </row>
  </sheetData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6F55-DA18-475A-8CA6-2BD1295D9A20}">
  <dimension ref="A1:C14"/>
  <sheetViews>
    <sheetView workbookViewId="0">
      <selection activeCell="E8" sqref="E8"/>
    </sheetView>
  </sheetViews>
  <sheetFormatPr baseColWidth="10" defaultRowHeight="15" x14ac:dyDescent="0.25"/>
  <cols>
    <col min="1" max="1" width="7.85546875" bestFit="1" customWidth="1"/>
    <col min="2" max="2" width="24.42578125" bestFit="1" customWidth="1"/>
    <col min="3" max="3" width="24.28515625" bestFit="1" customWidth="1"/>
  </cols>
  <sheetData>
    <row r="1" spans="1:3" x14ac:dyDescent="0.25">
      <c r="A1" s="1" t="s">
        <v>0</v>
      </c>
      <c r="B1" s="1" t="s">
        <v>19</v>
      </c>
      <c r="C1" s="1" t="s">
        <v>20</v>
      </c>
    </row>
    <row r="2" spans="1:3" x14ac:dyDescent="0.25">
      <c r="A2" s="1" t="s">
        <v>7</v>
      </c>
      <c r="B2" s="1">
        <f>SUMIF(INVENTARIO_CASOS_USO!A:A,A2,INVENTARIO_CASOS_USO!G:G)</f>
        <v>55</v>
      </c>
      <c r="C2" s="1" t="s">
        <v>21</v>
      </c>
    </row>
    <row r="3" spans="1:3" x14ac:dyDescent="0.25">
      <c r="A3" s="1" t="s">
        <v>22</v>
      </c>
      <c r="B3" s="1">
        <f>SUMIF(INVENTARIO_CASOS_USO!A:A,A3,INVENTARIO_CASOS_USO!G:G)</f>
        <v>90</v>
      </c>
      <c r="C3" s="1" t="s">
        <v>23</v>
      </c>
    </row>
    <row r="4" spans="1:3" x14ac:dyDescent="0.25">
      <c r="A4" s="1" t="s">
        <v>85</v>
      </c>
      <c r="B4" s="1">
        <f>SUMIF(INVENTARIO_CASOS_USO!A:A,A4,INVENTARIO_CASOS_USO!G:G)</f>
        <v>75</v>
      </c>
      <c r="C4" s="1" t="s">
        <v>23</v>
      </c>
    </row>
    <row r="5" spans="1:3" x14ac:dyDescent="0.25">
      <c r="A5" s="1" t="s">
        <v>86</v>
      </c>
      <c r="B5" s="1">
        <f>SUMIF(INVENTARIO_CASOS_USO!A:A,A5,INVENTARIO_CASOS_USO!G:G)</f>
        <v>40</v>
      </c>
      <c r="C5" s="7" t="s">
        <v>93</v>
      </c>
    </row>
    <row r="6" spans="1:3" x14ac:dyDescent="0.25">
      <c r="A6" s="1" t="s">
        <v>87</v>
      </c>
      <c r="B6" s="1">
        <f>SUMIF(INVENTARIO_CASOS_USO!A:A,A6,INVENTARIO_CASOS_USO!G:G)</f>
        <v>20</v>
      </c>
      <c r="C6" s="3" t="s">
        <v>93</v>
      </c>
    </row>
    <row r="7" spans="1:3" x14ac:dyDescent="0.25">
      <c r="A7" s="1" t="s">
        <v>88</v>
      </c>
      <c r="B7" s="1">
        <f>SUMIF(INVENTARIO_CASOS_USO!A:A,A7,INVENTARIO_CASOS_USO!G:G)</f>
        <v>30</v>
      </c>
      <c r="C7" s="3" t="s">
        <v>113</v>
      </c>
    </row>
    <row r="8" spans="1:3" x14ac:dyDescent="0.25">
      <c r="A8" s="1" t="s">
        <v>89</v>
      </c>
      <c r="B8" s="1">
        <f>SUMIF(INVENTARIO_CASOS_USO!A:A,A8,INVENTARIO_CASOS_USO!G:G)</f>
        <v>35</v>
      </c>
      <c r="C8" s="3" t="s">
        <v>113</v>
      </c>
    </row>
    <row r="9" spans="1:3" x14ac:dyDescent="0.25">
      <c r="A9" s="1" t="s">
        <v>90</v>
      </c>
      <c r="B9" s="1">
        <f>SUMIF(INVENTARIO_CASOS_USO!A:A,A9,INVENTARIO_CASOS_USO!G:G)</f>
        <v>65</v>
      </c>
      <c r="C9" s="3" t="s">
        <v>159</v>
      </c>
    </row>
    <row r="10" spans="1:3" x14ac:dyDescent="0.25">
      <c r="A10" s="1" t="s">
        <v>91</v>
      </c>
      <c r="B10" s="1">
        <f>SUMIF(INVENTARIO_CASOS_USO!A:A,A10,INVENTARIO_CASOS_USO!G:G)</f>
        <v>50</v>
      </c>
      <c r="C10" s="3" t="s">
        <v>160</v>
      </c>
    </row>
    <row r="11" spans="1:3" x14ac:dyDescent="0.25">
      <c r="A11" s="1" t="s">
        <v>92</v>
      </c>
      <c r="B11" s="1">
        <f>SUMIF(INVENTARIO_CASOS_USO!A:A,A11,INVENTARIO_CASOS_USO!G:G)</f>
        <v>65</v>
      </c>
      <c r="C11" s="3" t="s">
        <v>161</v>
      </c>
    </row>
    <row r="12" spans="1:3" x14ac:dyDescent="0.25">
      <c r="A12" s="1" t="s">
        <v>131</v>
      </c>
      <c r="B12" s="1">
        <f>SUMIF(INVENTARIO_CASOS_USO!A:A,A12,INVENTARIO_CASOS_USO!G:G)</f>
        <v>35</v>
      </c>
      <c r="C12" s="3" t="s">
        <v>173</v>
      </c>
    </row>
    <row r="13" spans="1:3" x14ac:dyDescent="0.25">
      <c r="A13" s="1" t="s">
        <v>132</v>
      </c>
      <c r="B13" s="1">
        <f>SUMIF(INVENTARIO_CASOS_USO!A:A,A13,INVENTARIO_CASOS_USO!G:G)</f>
        <v>35</v>
      </c>
      <c r="C13" s="3" t="s">
        <v>173</v>
      </c>
    </row>
    <row r="14" spans="1:3" x14ac:dyDescent="0.25">
      <c r="A14" s="1"/>
      <c r="B14" s="1"/>
      <c r="C1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3D9C-4246-4401-BE68-6883E08CAAD1}">
  <dimension ref="A1:I16"/>
  <sheetViews>
    <sheetView workbookViewId="0">
      <selection activeCell="I10" sqref="I10"/>
    </sheetView>
  </sheetViews>
  <sheetFormatPr baseColWidth="10" defaultRowHeight="15" x14ac:dyDescent="0.25"/>
  <cols>
    <col min="1" max="1" width="25.7109375" bestFit="1" customWidth="1"/>
    <col min="4" max="4" width="11.85546875" bestFit="1" customWidth="1"/>
    <col min="6" max="6" width="25.5703125" bestFit="1" customWidth="1"/>
    <col min="9" max="9" width="11.85546875" bestFit="1" customWidth="1"/>
  </cols>
  <sheetData>
    <row r="1" spans="1:9" x14ac:dyDescent="0.25">
      <c r="A1" s="1" t="s">
        <v>30</v>
      </c>
      <c r="B1" s="1" t="s">
        <v>31</v>
      </c>
      <c r="C1" s="1" t="s">
        <v>32</v>
      </c>
      <c r="D1" s="1" t="s">
        <v>33</v>
      </c>
      <c r="F1" s="1" t="s">
        <v>49</v>
      </c>
      <c r="G1" s="1" t="s">
        <v>31</v>
      </c>
      <c r="H1" s="1" t="s">
        <v>32</v>
      </c>
      <c r="I1" s="1" t="s">
        <v>33</v>
      </c>
    </row>
    <row r="2" spans="1:9" x14ac:dyDescent="0.25">
      <c r="A2" s="1" t="s">
        <v>34</v>
      </c>
      <c r="B2" s="1">
        <v>2</v>
      </c>
      <c r="C2" s="1">
        <v>3</v>
      </c>
      <c r="D2" s="1">
        <f>B2*C2</f>
        <v>6</v>
      </c>
      <c r="F2" s="1" t="s">
        <v>50</v>
      </c>
      <c r="G2" s="1">
        <v>1.5</v>
      </c>
      <c r="H2" s="1">
        <v>3</v>
      </c>
      <c r="I2" s="1">
        <f>G2*H2</f>
        <v>4.5</v>
      </c>
    </row>
    <row r="3" spans="1:9" x14ac:dyDescent="0.25">
      <c r="A3" s="1" t="s">
        <v>35</v>
      </c>
      <c r="B3" s="1">
        <v>1</v>
      </c>
      <c r="C3" s="1">
        <v>4</v>
      </c>
      <c r="D3" s="1">
        <f t="shared" ref="D3:D14" si="0">B3*C3</f>
        <v>4</v>
      </c>
      <c r="F3" s="1" t="s">
        <v>51</v>
      </c>
      <c r="G3" s="1">
        <v>0.5</v>
      </c>
      <c r="H3" s="1">
        <v>2</v>
      </c>
      <c r="I3" s="1">
        <f t="shared" ref="I3:I9" si="1">G3*H3</f>
        <v>1</v>
      </c>
    </row>
    <row r="4" spans="1:9" x14ac:dyDescent="0.25">
      <c r="A4" s="1" t="s">
        <v>36</v>
      </c>
      <c r="B4" s="1">
        <v>1</v>
      </c>
      <c r="C4" s="1">
        <v>3</v>
      </c>
      <c r="D4" s="1">
        <f t="shared" si="0"/>
        <v>3</v>
      </c>
      <c r="F4" s="1" t="s">
        <v>52</v>
      </c>
      <c r="G4" s="1">
        <v>1</v>
      </c>
      <c r="H4" s="1">
        <v>3</v>
      </c>
      <c r="I4" s="1">
        <f t="shared" si="1"/>
        <v>3</v>
      </c>
    </row>
    <row r="5" spans="1:9" x14ac:dyDescent="0.25">
      <c r="A5" s="1" t="s">
        <v>37</v>
      </c>
      <c r="B5" s="1">
        <v>1</v>
      </c>
      <c r="C5" s="1">
        <v>2</v>
      </c>
      <c r="D5" s="1">
        <f t="shared" si="0"/>
        <v>2</v>
      </c>
      <c r="F5" s="1" t="s">
        <v>53</v>
      </c>
      <c r="G5" s="1">
        <v>0.5</v>
      </c>
      <c r="H5" s="1">
        <v>4</v>
      </c>
      <c r="I5" s="1">
        <f t="shared" si="1"/>
        <v>2</v>
      </c>
    </row>
    <row r="6" spans="1:9" x14ac:dyDescent="0.25">
      <c r="A6" s="1" t="s">
        <v>38</v>
      </c>
      <c r="B6" s="1">
        <v>1</v>
      </c>
      <c r="C6" s="1">
        <v>3</v>
      </c>
      <c r="D6" s="1">
        <f t="shared" si="0"/>
        <v>3</v>
      </c>
      <c r="F6" s="1" t="s">
        <v>54</v>
      </c>
      <c r="G6" s="1">
        <v>1</v>
      </c>
      <c r="H6" s="1">
        <v>4</v>
      </c>
      <c r="I6" s="1">
        <f t="shared" si="1"/>
        <v>4</v>
      </c>
    </row>
    <row r="7" spans="1:9" x14ac:dyDescent="0.25">
      <c r="A7" s="1" t="s">
        <v>39</v>
      </c>
      <c r="B7" s="1">
        <v>0.5</v>
      </c>
      <c r="C7" s="1">
        <v>2</v>
      </c>
      <c r="D7" s="1">
        <f t="shared" si="0"/>
        <v>1</v>
      </c>
      <c r="F7" s="1" t="s">
        <v>55</v>
      </c>
      <c r="G7" s="1">
        <v>2</v>
      </c>
      <c r="H7" s="1">
        <v>3</v>
      </c>
      <c r="I7" s="1">
        <f t="shared" si="1"/>
        <v>6</v>
      </c>
    </row>
    <row r="8" spans="1:9" x14ac:dyDescent="0.25">
      <c r="A8" s="1" t="s">
        <v>40</v>
      </c>
      <c r="B8" s="1">
        <v>0.5</v>
      </c>
      <c r="C8" s="1">
        <v>4</v>
      </c>
      <c r="D8" s="1">
        <f t="shared" si="0"/>
        <v>2</v>
      </c>
      <c r="F8" s="1" t="s">
        <v>56</v>
      </c>
      <c r="G8" s="1">
        <v>-1</v>
      </c>
      <c r="H8" s="1">
        <v>1</v>
      </c>
      <c r="I8" s="1">
        <f t="shared" si="1"/>
        <v>-1</v>
      </c>
    </row>
    <row r="9" spans="1:9" x14ac:dyDescent="0.25">
      <c r="A9" s="1" t="s">
        <v>41</v>
      </c>
      <c r="B9" s="1">
        <v>2</v>
      </c>
      <c r="C9" s="1">
        <v>1</v>
      </c>
      <c r="D9" s="1">
        <f t="shared" si="0"/>
        <v>2</v>
      </c>
      <c r="F9" s="1" t="s">
        <v>57</v>
      </c>
      <c r="G9" s="1">
        <v>-1</v>
      </c>
      <c r="H9" s="1">
        <v>2</v>
      </c>
      <c r="I9" s="1">
        <f t="shared" si="1"/>
        <v>-2</v>
      </c>
    </row>
    <row r="10" spans="1:9" x14ac:dyDescent="0.25">
      <c r="A10" s="1" t="s">
        <v>42</v>
      </c>
      <c r="B10" s="1">
        <v>1</v>
      </c>
      <c r="C10" s="1">
        <v>4</v>
      </c>
      <c r="D10" s="1">
        <f t="shared" si="0"/>
        <v>4</v>
      </c>
      <c r="F10" s="1" t="s">
        <v>58</v>
      </c>
      <c r="G10" s="1"/>
      <c r="H10" s="1"/>
      <c r="I10" s="1">
        <f>SUM(I2:I9)</f>
        <v>17.5</v>
      </c>
    </row>
    <row r="11" spans="1:9" x14ac:dyDescent="0.25">
      <c r="A11" s="1" t="s">
        <v>43</v>
      </c>
      <c r="B11" s="1">
        <v>1</v>
      </c>
      <c r="C11" s="1">
        <v>2</v>
      </c>
      <c r="D11" s="1">
        <f t="shared" si="0"/>
        <v>2</v>
      </c>
      <c r="F11" s="1" t="s">
        <v>59</v>
      </c>
      <c r="G11" s="1"/>
      <c r="H11" s="1"/>
      <c r="I11" s="1">
        <f>1.4+(-0.03*I10)</f>
        <v>0.87499999999999989</v>
      </c>
    </row>
    <row r="12" spans="1:9" x14ac:dyDescent="0.25">
      <c r="A12" s="1" t="s">
        <v>44</v>
      </c>
      <c r="B12" s="1">
        <v>1</v>
      </c>
      <c r="C12" s="1">
        <v>5</v>
      </c>
      <c r="D12" s="1">
        <f t="shared" si="0"/>
        <v>5</v>
      </c>
    </row>
    <row r="13" spans="1:9" x14ac:dyDescent="0.25">
      <c r="A13" s="1" t="s">
        <v>45</v>
      </c>
      <c r="B13" s="1">
        <v>1</v>
      </c>
      <c r="C13" s="1">
        <v>1</v>
      </c>
      <c r="D13" s="1">
        <f t="shared" si="0"/>
        <v>1</v>
      </c>
    </row>
    <row r="14" spans="1:9" x14ac:dyDescent="0.25">
      <c r="A14" s="1" t="s">
        <v>46</v>
      </c>
      <c r="B14" s="1">
        <v>1</v>
      </c>
      <c r="C14" s="1">
        <v>2</v>
      </c>
      <c r="D14" s="1">
        <f t="shared" si="0"/>
        <v>2</v>
      </c>
    </row>
    <row r="15" spans="1:9" x14ac:dyDescent="0.25">
      <c r="A15" s="1" t="s">
        <v>47</v>
      </c>
      <c r="B15" s="1"/>
      <c r="C15" s="1"/>
      <c r="D15" s="1">
        <f>SUM(D1:D14)</f>
        <v>37</v>
      </c>
    </row>
    <row r="16" spans="1:9" x14ac:dyDescent="0.25">
      <c r="A16" s="1" t="s">
        <v>48</v>
      </c>
      <c r="B16" s="1"/>
      <c r="C16" s="1"/>
      <c r="D16" s="1">
        <f>0.6+(0.01*D15)</f>
        <v>0.97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F0D9-05E0-48B5-9194-6D7DC7F2C192}">
  <dimension ref="A1:J14"/>
  <sheetViews>
    <sheetView tabSelected="1" workbookViewId="0">
      <selection activeCell="J14" sqref="J14"/>
    </sheetView>
  </sheetViews>
  <sheetFormatPr baseColWidth="10" defaultRowHeight="15" x14ac:dyDescent="0.25"/>
  <cols>
    <col min="5" max="5" width="16.42578125" bestFit="1" customWidth="1"/>
    <col min="6" max="6" width="13.140625" bestFit="1" customWidth="1"/>
    <col min="7" max="7" width="15.42578125" bestFit="1" customWidth="1"/>
    <col min="8" max="8" width="13.28515625" bestFit="1" customWidth="1"/>
    <col min="9" max="9" width="14.7109375" bestFit="1" customWidth="1"/>
    <col min="10" max="10" width="19.42578125" bestFit="1" customWidth="1"/>
  </cols>
  <sheetData>
    <row r="1" spans="1:10" x14ac:dyDescent="0.25">
      <c r="A1" s="1" t="s">
        <v>0</v>
      </c>
      <c r="B1" s="1" t="s">
        <v>60</v>
      </c>
      <c r="C1" s="1" t="s">
        <v>48</v>
      </c>
      <c r="D1" s="1" t="s">
        <v>59</v>
      </c>
      <c r="E1" s="1" t="s">
        <v>61</v>
      </c>
      <c r="F1" s="1" t="s">
        <v>62</v>
      </c>
      <c r="G1" s="1" t="s">
        <v>63</v>
      </c>
      <c r="H1" s="1" t="s">
        <v>64</v>
      </c>
      <c r="I1" s="3" t="s">
        <v>111</v>
      </c>
      <c r="J1" s="3" t="s">
        <v>112</v>
      </c>
    </row>
    <row r="2" spans="1:10" x14ac:dyDescent="0.25">
      <c r="A2" s="1" t="s">
        <v>7</v>
      </c>
      <c r="B2" s="1">
        <f>RESUMEN_MODULOS!B2</f>
        <v>55</v>
      </c>
      <c r="C2" s="1">
        <f>FACTORES_AJUSTE!$D$16</f>
        <v>0.97</v>
      </c>
      <c r="D2" s="1">
        <f>FACTORES_AJUSTE!$I$11</f>
        <v>0.87499999999999989</v>
      </c>
      <c r="E2" s="1">
        <f>B2*C2*D2</f>
        <v>46.681249999999999</v>
      </c>
      <c r="F2" s="2">
        <v>20</v>
      </c>
      <c r="G2" s="1">
        <f>E2*F2</f>
        <v>933.625</v>
      </c>
      <c r="H2" s="1">
        <f>G2/160</f>
        <v>5.8351562499999998</v>
      </c>
      <c r="I2" s="6">
        <v>6000000</v>
      </c>
      <c r="J2" s="4">
        <f>I2*H2</f>
        <v>35010937.5</v>
      </c>
    </row>
    <row r="3" spans="1:10" x14ac:dyDescent="0.25">
      <c r="A3" s="1" t="s">
        <v>22</v>
      </c>
      <c r="B3" s="1">
        <f>RESUMEN_MODULOS!B3</f>
        <v>90</v>
      </c>
      <c r="C3" s="1">
        <f>FACTORES_AJUSTE!$D$16</f>
        <v>0.97</v>
      </c>
      <c r="D3" s="1">
        <f>FACTORES_AJUSTE!$I$11</f>
        <v>0.87499999999999989</v>
      </c>
      <c r="E3" s="1">
        <f>B3*C3*D3</f>
        <v>76.387499999999989</v>
      </c>
      <c r="F3" s="1">
        <v>20</v>
      </c>
      <c r="G3" s="1">
        <f>E3*F3</f>
        <v>1527.7499999999998</v>
      </c>
      <c r="H3" s="1">
        <f>G3/160</f>
        <v>9.5484374999999986</v>
      </c>
      <c r="I3" s="6">
        <v>6000000</v>
      </c>
      <c r="J3" s="4">
        <f t="shared" ref="J3:J11" si="0">I3*H3</f>
        <v>57290624.999999993</v>
      </c>
    </row>
    <row r="4" spans="1:10" x14ac:dyDescent="0.25">
      <c r="A4" s="1" t="s">
        <v>85</v>
      </c>
      <c r="B4" s="1">
        <f>RESUMEN_MODULOS!B4</f>
        <v>75</v>
      </c>
      <c r="C4" s="1">
        <f>FACTORES_AJUSTE!$D$16</f>
        <v>0.97</v>
      </c>
      <c r="D4" s="1">
        <f>FACTORES_AJUSTE!$I$11</f>
        <v>0.87499999999999989</v>
      </c>
      <c r="E4" s="1">
        <f t="shared" ref="E4:E11" si="1">B4*C4*D4</f>
        <v>63.656249999999993</v>
      </c>
      <c r="F4" s="1">
        <v>20</v>
      </c>
      <c r="G4" s="1">
        <f t="shared" ref="G4:G11" si="2">E4*F4</f>
        <v>1273.1249999999998</v>
      </c>
      <c r="H4" s="1">
        <f t="shared" ref="H4:H13" si="3">G4/160</f>
        <v>7.9570312499999982</v>
      </c>
      <c r="I4" s="6">
        <v>6000000</v>
      </c>
      <c r="J4" s="4">
        <f t="shared" si="0"/>
        <v>47742187.499999993</v>
      </c>
    </row>
    <row r="5" spans="1:10" x14ac:dyDescent="0.25">
      <c r="A5" s="1" t="s">
        <v>86</v>
      </c>
      <c r="B5" s="1">
        <f>RESUMEN_MODULOS!B5</f>
        <v>40</v>
      </c>
      <c r="C5" s="1">
        <f>FACTORES_AJUSTE!$D$16</f>
        <v>0.97</v>
      </c>
      <c r="D5" s="1">
        <f>FACTORES_AJUSTE!$I$11</f>
        <v>0.87499999999999989</v>
      </c>
      <c r="E5" s="1">
        <f t="shared" si="1"/>
        <v>33.949999999999996</v>
      </c>
      <c r="F5" s="1">
        <v>20</v>
      </c>
      <c r="G5" s="1">
        <f t="shared" si="2"/>
        <v>678.99999999999989</v>
      </c>
      <c r="H5" s="1">
        <f t="shared" si="3"/>
        <v>4.2437499999999995</v>
      </c>
      <c r="I5" s="6">
        <v>6000000</v>
      </c>
      <c r="J5" s="4">
        <f t="shared" si="0"/>
        <v>25462499.999999996</v>
      </c>
    </row>
    <row r="6" spans="1:10" x14ac:dyDescent="0.25">
      <c r="A6" s="1" t="s">
        <v>87</v>
      </c>
      <c r="B6" s="1">
        <f>RESUMEN_MODULOS!B6</f>
        <v>20</v>
      </c>
      <c r="C6" s="1">
        <f>FACTORES_AJUSTE!$D$16</f>
        <v>0.97</v>
      </c>
      <c r="D6" s="1">
        <f>FACTORES_AJUSTE!$I$11</f>
        <v>0.87499999999999989</v>
      </c>
      <c r="E6" s="1">
        <f t="shared" si="1"/>
        <v>16.974999999999998</v>
      </c>
      <c r="F6" s="1">
        <v>20</v>
      </c>
      <c r="G6" s="1">
        <f t="shared" si="2"/>
        <v>339.49999999999994</v>
      </c>
      <c r="H6" s="1">
        <f t="shared" si="3"/>
        <v>2.1218749999999997</v>
      </c>
      <c r="I6" s="6">
        <v>6000000</v>
      </c>
      <c r="J6" s="4">
        <f t="shared" si="0"/>
        <v>12731249.999999998</v>
      </c>
    </row>
    <row r="7" spans="1:10" x14ac:dyDescent="0.25">
      <c r="A7" s="1" t="s">
        <v>88</v>
      </c>
      <c r="B7" s="1">
        <f>RESUMEN_MODULOS!B7</f>
        <v>30</v>
      </c>
      <c r="C7" s="1">
        <f>FACTORES_AJUSTE!$D$16</f>
        <v>0.97</v>
      </c>
      <c r="D7" s="1">
        <f>FACTORES_AJUSTE!$I$11</f>
        <v>0.87499999999999989</v>
      </c>
      <c r="E7" s="1">
        <f t="shared" si="1"/>
        <v>25.462499999999995</v>
      </c>
      <c r="F7" s="1">
        <v>20</v>
      </c>
      <c r="G7" s="1">
        <f t="shared" si="2"/>
        <v>509.24999999999989</v>
      </c>
      <c r="H7" s="1">
        <f t="shared" si="3"/>
        <v>3.1828124999999994</v>
      </c>
      <c r="I7" s="6">
        <v>6000000</v>
      </c>
      <c r="J7" s="4">
        <f t="shared" si="0"/>
        <v>19096874.999999996</v>
      </c>
    </row>
    <row r="8" spans="1:10" x14ac:dyDescent="0.25">
      <c r="A8" s="1" t="s">
        <v>89</v>
      </c>
      <c r="B8" s="1">
        <f>RESUMEN_MODULOS!B8</f>
        <v>35</v>
      </c>
      <c r="C8" s="1">
        <f>FACTORES_AJUSTE!$D$16</f>
        <v>0.97</v>
      </c>
      <c r="D8" s="1">
        <f>FACTORES_AJUSTE!$I$11</f>
        <v>0.87499999999999989</v>
      </c>
      <c r="E8" s="1">
        <f t="shared" si="1"/>
        <v>29.706249999999994</v>
      </c>
      <c r="F8" s="1">
        <v>20</v>
      </c>
      <c r="G8" s="1">
        <f t="shared" si="2"/>
        <v>594.12499999999989</v>
      </c>
      <c r="H8" s="1">
        <f t="shared" si="3"/>
        <v>3.7132812499999992</v>
      </c>
      <c r="I8" s="6">
        <v>6000000</v>
      </c>
      <c r="J8" s="4">
        <f t="shared" si="0"/>
        <v>22279687.499999996</v>
      </c>
    </row>
    <row r="9" spans="1:10" x14ac:dyDescent="0.25">
      <c r="A9" s="1" t="s">
        <v>90</v>
      </c>
      <c r="B9" s="1">
        <f>RESUMEN_MODULOS!B9</f>
        <v>65</v>
      </c>
      <c r="C9" s="1">
        <f>FACTORES_AJUSTE!$D$16</f>
        <v>0.97</v>
      </c>
      <c r="D9" s="1">
        <f>FACTORES_AJUSTE!$I$11</f>
        <v>0.87499999999999989</v>
      </c>
      <c r="E9" s="1">
        <f t="shared" si="1"/>
        <v>55.168749999999989</v>
      </c>
      <c r="F9" s="1">
        <v>20</v>
      </c>
      <c r="G9" s="1">
        <f t="shared" si="2"/>
        <v>1103.3749999999998</v>
      </c>
      <c r="H9" s="1">
        <f t="shared" si="3"/>
        <v>6.8960937499999986</v>
      </c>
      <c r="I9" s="6">
        <v>6000000</v>
      </c>
      <c r="J9" s="4">
        <f t="shared" si="0"/>
        <v>41376562.499999993</v>
      </c>
    </row>
    <row r="10" spans="1:10" x14ac:dyDescent="0.25">
      <c r="A10" s="1" t="s">
        <v>91</v>
      </c>
      <c r="B10" s="1">
        <f>RESUMEN_MODULOS!B10</f>
        <v>50</v>
      </c>
      <c r="C10" s="1">
        <f>FACTORES_AJUSTE!$D$16</f>
        <v>0.97</v>
      </c>
      <c r="D10" s="1">
        <f>FACTORES_AJUSTE!$I$11</f>
        <v>0.87499999999999989</v>
      </c>
      <c r="E10" s="1">
        <f t="shared" si="1"/>
        <v>42.437499999999993</v>
      </c>
      <c r="F10" s="1">
        <v>20</v>
      </c>
      <c r="G10" s="1">
        <f t="shared" si="2"/>
        <v>848.74999999999989</v>
      </c>
      <c r="H10" s="1">
        <f t="shared" si="3"/>
        <v>5.3046874999999991</v>
      </c>
      <c r="I10" s="6">
        <v>6000000</v>
      </c>
      <c r="J10" s="4">
        <f t="shared" si="0"/>
        <v>31828124.999999996</v>
      </c>
    </row>
    <row r="11" spans="1:10" x14ac:dyDescent="0.25">
      <c r="A11" s="1" t="s">
        <v>92</v>
      </c>
      <c r="B11" s="1">
        <f>RESUMEN_MODULOS!B11</f>
        <v>65</v>
      </c>
      <c r="C11" s="1">
        <f>FACTORES_AJUSTE!$D$16</f>
        <v>0.97</v>
      </c>
      <c r="D11" s="1">
        <f>FACTORES_AJUSTE!$I$11</f>
        <v>0.87499999999999989</v>
      </c>
      <c r="E11" s="1">
        <f t="shared" si="1"/>
        <v>55.168749999999989</v>
      </c>
      <c r="F11" s="1">
        <v>20</v>
      </c>
      <c r="G11" s="1">
        <f t="shared" si="2"/>
        <v>1103.3749999999998</v>
      </c>
      <c r="H11" s="1">
        <f t="shared" si="3"/>
        <v>6.8960937499999986</v>
      </c>
      <c r="I11" s="6">
        <v>6000000</v>
      </c>
      <c r="J11" s="4">
        <f t="shared" si="0"/>
        <v>41376562.499999993</v>
      </c>
    </row>
    <row r="12" spans="1:10" x14ac:dyDescent="0.25">
      <c r="A12" s="1" t="s">
        <v>131</v>
      </c>
      <c r="B12" s="1">
        <f>RESUMEN_MODULOS!B12</f>
        <v>35</v>
      </c>
      <c r="C12" s="1">
        <f>FACTORES_AJUSTE!$D$16</f>
        <v>0.97</v>
      </c>
      <c r="D12" s="1">
        <f>FACTORES_AJUSTE!$I$11</f>
        <v>0.87499999999999989</v>
      </c>
      <c r="E12" s="1">
        <f t="shared" ref="E12:E13" si="4">B12*C12*D12</f>
        <v>29.706249999999994</v>
      </c>
      <c r="F12" s="1">
        <v>21</v>
      </c>
      <c r="G12" s="1">
        <f t="shared" ref="G12:G13" si="5">E12*F12</f>
        <v>623.83124999999984</v>
      </c>
      <c r="H12" s="1">
        <f t="shared" si="3"/>
        <v>3.8989453124999991</v>
      </c>
      <c r="I12" s="6">
        <v>6000000</v>
      </c>
      <c r="J12" s="4">
        <f t="shared" ref="J12:J13" si="6">I12*H12</f>
        <v>23393671.874999996</v>
      </c>
    </row>
    <row r="13" spans="1:10" x14ac:dyDescent="0.25">
      <c r="A13" s="1" t="s">
        <v>132</v>
      </c>
      <c r="B13" s="1">
        <f>RESUMEN_MODULOS!B13</f>
        <v>35</v>
      </c>
      <c r="C13" s="1">
        <f>FACTORES_AJUSTE!$D$16</f>
        <v>0.97</v>
      </c>
      <c r="D13" s="1">
        <f>FACTORES_AJUSTE!$I$11</f>
        <v>0.87499999999999989</v>
      </c>
      <c r="E13" s="1">
        <f t="shared" si="4"/>
        <v>29.706249999999994</v>
      </c>
      <c r="F13" s="1">
        <v>22</v>
      </c>
      <c r="G13" s="1">
        <f t="shared" si="5"/>
        <v>653.53749999999991</v>
      </c>
      <c r="H13" s="1">
        <f t="shared" si="3"/>
        <v>4.0846093749999994</v>
      </c>
      <c r="I13" s="6">
        <v>6000000</v>
      </c>
      <c r="J13" s="4">
        <f t="shared" si="6"/>
        <v>24507656.249999996</v>
      </c>
    </row>
    <row r="14" spans="1:10" x14ac:dyDescent="0.25">
      <c r="J14" s="5">
        <f>SUM(J2:J13)</f>
        <v>382096640.625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INVENTARIO_CASOS_USO</vt:lpstr>
      <vt:lpstr>RESUMEN_MODULOS</vt:lpstr>
      <vt:lpstr>FACTORES_AJUSTE</vt:lpstr>
      <vt:lpstr>ESTIMACION_FINAL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SOFIA GIRALDO BETANCOURTH</dc:creator>
  <cp:lastModifiedBy>LEIDY SOFIA GIRALDO BETANCOURTH</cp:lastModifiedBy>
  <dcterms:created xsi:type="dcterms:W3CDTF">2025-10-28T15:02:01Z</dcterms:created>
  <dcterms:modified xsi:type="dcterms:W3CDTF">2025-10-28T18:20:58Z</dcterms:modified>
</cp:coreProperties>
</file>